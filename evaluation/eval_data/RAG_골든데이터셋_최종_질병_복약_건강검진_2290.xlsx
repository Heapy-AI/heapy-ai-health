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584a065fa714b1d" /></Relationships>
</file>

<file path=xl/workbook.xml><?xml version="1.0" encoding="utf-8"?>
<x:workbook xmlns:x="http://schemas.openxmlformats.org/spreadsheetml/2006/main">
  <x:sheets>
    <x:sheet xmlns:r="http://schemas.openxmlformats.org/officeDocument/2006/relationships" name="한눈에 보기" sheetId="1" r:id="R1e8abbdb926f4545"/>
    <x:sheet xmlns:r="http://schemas.openxmlformats.org/officeDocument/2006/relationships" name="사용 안내" sheetId="2" r:id="Rb19d8bf2ab5d45f4"/>
    <x:sheet xmlns:r="http://schemas.openxmlformats.org/officeDocument/2006/relationships" name="질문 보기" sheetId="3" r:id="R31a398420e2c424d"/>
    <x:sheet xmlns:r="http://schemas.openxmlformats.org/officeDocument/2006/relationships" name="유형별 현황" sheetId="4" r:id="Rbf1a1c9eda994271"/>
    <x:sheet xmlns:r="http://schemas.openxmlformats.org/officeDocument/2006/relationships" name="평가 연결 정보(기술)" sheetId="5" r:id="R6b5b3db79eee423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26">
    <x:font>
      <x:sz val="11"/>
      <x:name val="Carlito"/>
    </x:font>
    <x:font>
      <x:b/>
      <x:sz val="11"/>
      <x:color rgb="FFFFFFFF"/>
      <x:name val="Carlito"/>
    </x:font>
    <x:font>
      <x:b/>
      <x:sz val="20"/>
      <x:color rgb="FFFFFFFF"/>
      <x:name val="Carlito"/>
    </x:font>
    <x:font>
      <x:i/>
      <x:sz val="11"/>
      <x:color rgb="FF115E59"/>
      <x:name val="Carlito"/>
    </x:font>
    <x:font>
      <x:b/>
      <x:sz val="13"/>
      <x:color rgb="FFFFFFFF"/>
      <x:name val="Carlito"/>
    </x:font>
    <x:font>
      <x:b/>
      <x:sz val="11"/>
      <x:color rgb="FF115E59"/>
      <x:name val="Carlito"/>
    </x:font>
    <x:font>
      <x:b/>
      <x:sz val="11"/>
      <x:color rgb="FFC2410C"/>
      <x:name val="Carlito"/>
    </x:font>
    <x:font>
      <x:b/>
      <x:sz val="22"/>
      <x:color rgb="FFFFFFFF"/>
      <x:name val="Carlito"/>
    </x:font>
    <x:font>
      <x:sz val="11"/>
      <x:color rgb="FF115E59"/>
      <x:name val="Carlito"/>
    </x:font>
    <x:font>
      <x:b/>
      <x:sz val="24"/>
      <x:color rgb="FF115E59"/>
      <x:name val="Carlito"/>
    </x:font>
    <x:font>
      <x:b/>
      <x:sz val="11"/>
      <x:color rgb="FF1D4ED8"/>
      <x:name val="Carlito"/>
    </x:font>
    <x:font>
      <x:b/>
      <x:sz val="24"/>
      <x:color rgb="FF1D4ED8"/>
      <x:name val="Carlito"/>
    </x:font>
    <x:font>
      <x:b/>
      <x:sz val="11"/>
      <x:color rgb="FF7E22CE"/>
      <x:name val="Carlito"/>
    </x:font>
    <x:font>
      <x:b/>
      <x:sz val="24"/>
      <x:color rgb="FF7E22CE"/>
      <x:name val="Carlito"/>
    </x:font>
    <x:font>
      <x:b/>
      <x:sz val="11"/>
      <x:color rgb="FF166534"/>
      <x:name val="Carlito"/>
    </x:font>
    <x:font>
      <x:b/>
      <x:sz val="24"/>
      <x:color rgb="FF166534"/>
      <x:name val="Carlito"/>
    </x:font>
    <x:font>
      <x:b/>
      <x:sz val="11"/>
      <x:color rgb="FF92400E"/>
      <x:name val="Carlito"/>
    </x:font>
    <x:font>
      <x:b/>
      <x:sz val="24"/>
      <x:color rgb="FF92400E"/>
      <x:name val="Carlito"/>
    </x:font>
    <x:font>
      <x:b/>
      <x:sz val="11"/>
      <x:color rgb="FF0F172A"/>
      <x:name val="Carlito"/>
    </x:font>
    <x:font>
      <x:b/>
      <x:sz val="24"/>
      <x:color rgb="FF0F172A"/>
      <x:name val="Carlito"/>
    </x:font>
    <x:font>
      <x:b/>
      <x:sz val="11"/>
      <x:color rgb="FFB91C1C"/>
      <x:name val="Carlito"/>
    </x:font>
    <x:font>
      <x:b/>
      <x:sz val="24"/>
      <x:color rgb="FFB91C1C"/>
      <x:name val="Carlito"/>
    </x:font>
    <x:font>
      <x:b/>
      <x:sz val="24"/>
      <x:color rgb="FFC2410C"/>
      <x:name val="Carlito"/>
    </x:font>
    <x:font>
      <x:b/>
      <x:sz val="14"/>
      <x:color rgb="FF115E59"/>
      <x:name val="Carlito"/>
    </x:font>
    <x:font>
      <x:b/>
      <x:sz val="11"/>
      <x:color rgb="FF0E7490"/>
      <x:name val="Carlito"/>
    </x:font>
    <x:font>
      <x:b/>
      <x:sz val="24"/>
      <x:color rgb="FF0E7490"/>
      <x:name val="Carlito"/>
    </x:font>
  </x:fonts>
  <x:fills count="17">
    <x:fill>
      <x:patternFill patternType="none"/>
    </x:fill>
    <x:fill>
      <x:patternFill patternType="gray125"/>
    </x:fill>
    <x:fill>
      <x:patternFill patternType="solid">
        <x:fgColor rgb="FF0F766E"/>
      </x:patternFill>
    </x:fill>
    <x:fill>
      <x:patternFill patternType="solid">
        <x:fgColor rgb="FF0F172A"/>
      </x:patternFill>
    </x:fill>
    <x:fill>
      <x:patternFill patternType="solid">
        <x:fgColor rgb="FFCCFBF1"/>
      </x:patternFill>
    </x:fill>
    <x:fill>
      <x:patternFill patternType="solid">
        <x:fgColor rgb="FFF1F5F9"/>
      </x:patternFill>
    </x:fill>
    <x:fill>
      <x:patternFill patternType="solid">
        <x:fgColor rgb="FFFFEDD5"/>
      </x:patternFill>
    </x:fill>
    <x:fill>
      <x:patternFill patternType="solid">
        <x:fgColor rgb="FFDBEAFE"/>
      </x:patternFill>
    </x:fill>
    <x:fill>
      <x:patternFill patternType="solid">
        <x:fgColor rgb="FFF3E8FF"/>
      </x:patternFill>
    </x:fill>
    <x:fill>
      <x:patternFill patternType="solid">
        <x:fgColor rgb="FFDCFCE7"/>
      </x:patternFill>
    </x:fill>
    <x:fill>
      <x:patternFill patternType="solid">
        <x:fgColor rgb="FFFEF3C7"/>
      </x:patternFill>
    </x:fill>
    <x:fill>
      <x:patternFill patternType="solid">
        <x:fgColor rgb="FFFEE2E2"/>
      </x:patternFill>
    </x:fill>
    <x:fill>
      <x:patternFill patternType="solid">
        <x:fgColor rgb="FFCFFAFE"/>
      </x:patternFill>
    </x:fill>
    <x:fill>
      <x:patternFill patternType="solid">
        <x:fgColor rgb="FFDCFCE7"/>
      </x:patternFill>
    </x:fill>
    <x:fill>
      <x:patternFill patternType="solid">
        <x:fgColor rgb="FFFFEDD5"/>
      </x:patternFill>
    </x:fill>
    <x:fill>
      <x:patternFill patternType="solid">
        <x:fgColor rgb="FFFEE2E2"/>
      </x:patternFill>
    </x:fill>
    <x:fill>
      <x:patternFill patternType="solid">
        <x:fgColor rgb="FF0F766E"/>
      </x:patternFill>
    </x:fill>
  </x:fills>
  <x:borders count="23">
    <x:border/>
    <x:border>
      <x:right style="thin">
        <x:color rgb="FFCBD5E1"/>
      </x:right>
      <x:bottom style="thin">
        <x:color rgb="FFCBD5E1"/>
      </x:bottom>
    </x:border>
    <x:border>
      <x:left style="thin">
        <x:color rgb="FFCBD5E1"/>
      </x:left>
      <x:right style="thin">
        <x:color rgb="FFCBD5E1"/>
      </x:right>
      <x:bottom style="thin">
        <x:color rgb="FFCBD5E1"/>
      </x:bottom>
    </x:border>
    <x:border>
      <x:left style="thin">
        <x:color rgb="FFCBD5E1"/>
      </x:left>
      <x:bottom style="thin">
        <x:color rgb="FFCBD5E1"/>
      </x:bottom>
    </x:border>
    <x:border>
      <x:right style="thin">
        <x:color rgb="FFCBD5E1"/>
      </x:right>
      <x:top style="thin">
        <x:color rgb="FFCBD5E1"/>
      </x:top>
      <x:bottom style="thin">
        <x:color rgb="FFCBD5E1"/>
      </x:bottom>
    </x:border>
    <x:border>
      <x:left style="thin">
        <x:color rgb="FFCBD5E1"/>
      </x:left>
      <x:right style="thin">
        <x:color rgb="FFCBD5E1"/>
      </x:right>
      <x:top style="thin">
        <x:color rgb="FFCBD5E1"/>
      </x:top>
      <x:bottom style="thin">
        <x:color rgb="FFCBD5E1"/>
      </x:bottom>
    </x:border>
    <x:border>
      <x:left style="thin">
        <x:color rgb="FFCBD5E1"/>
      </x:left>
      <x:top style="thin">
        <x:color rgb="FFCBD5E1"/>
      </x:top>
      <x:bottom style="thin">
        <x:color rgb="FFCBD5E1"/>
      </x:bottom>
    </x:border>
    <x:border>
      <x:right style="thin">
        <x:color rgb="FFCBD5E1"/>
      </x:right>
      <x:top style="thin">
        <x:color rgb="FFCBD5E1"/>
      </x:top>
    </x:border>
    <x:border>
      <x:left style="thin">
        <x:color rgb="FFCBD5E1"/>
      </x:left>
      <x:right style="thin">
        <x:color rgb="FFCBD5E1"/>
      </x:right>
      <x:top style="thin">
        <x:color rgb="FFCBD5E1"/>
      </x:top>
    </x:border>
    <x:border>
      <x:left style="thin">
        <x:color rgb="FFCBD5E1"/>
      </x:left>
      <x:top style="thin">
        <x:color rgb="FFCBD5E1"/>
      </x:top>
    </x:border>
    <x:border>
      <x:left style="medium">
        <x:color rgb="FFC2410C"/>
      </x:left>
      <x:top style="medium">
        <x:color rgb="FFC2410C"/>
      </x:top>
    </x:border>
    <x:border>
      <x:top style="medium">
        <x:color rgb="FFC2410C"/>
      </x:top>
    </x:border>
    <x:border>
      <x:right style="medium">
        <x:color rgb="FFC2410C"/>
      </x:right>
      <x:top style="medium">
        <x:color rgb="FFC2410C"/>
      </x:top>
    </x:border>
    <x:border>
      <x:left style="medium">
        <x:color rgb="FFC2410C"/>
      </x:left>
    </x:border>
    <x:border>
      <x:right style="medium">
        <x:color rgb="FFC2410C"/>
      </x:right>
    </x:border>
    <x:border>
      <x:left style="medium">
        <x:color rgb="FFC2410C"/>
      </x:left>
      <x:bottom style="medium">
        <x:color rgb="FFC2410C"/>
      </x:bottom>
    </x:border>
    <x:border>
      <x:bottom style="medium">
        <x:color rgb="FFC2410C"/>
      </x:bottom>
    </x:border>
    <x:border>
      <x:right style="medium">
        <x:color rgb="FFC2410C"/>
      </x:right>
      <x:bottom style="medium">
        <x:color rgb="FFC2410C"/>
      </x:bottom>
    </x:border>
    <x:border>
      <x:top style="thin">
        <x:color rgb="FFCBD5E1"/>
      </x:top>
    </x:border>
    <x:border>
      <x:left style="thin">
        <x:color rgb="FFCBD5E1"/>
      </x:left>
    </x:border>
    <x:border>
      <x:right style="thin">
        <x:color rgb="FFCBD5E1"/>
      </x:right>
    </x:border>
    <x:border>
      <x:bottom style="thin">
        <x:color rgb="FFCBD5E1"/>
      </x:bottom>
    </x:border>
    <x:border>
      <x:left style="thin">
        <x:color rgb="FFCBD5E1"/>
      </x:left>
      <x:right style="thin">
        <x:color rgb="FFCBD5E1"/>
      </x:right>
    </x:border>
  </x:borders>
  <x:cellStyleXfs count="1">
    <x:xf numFmtId="0" fontId="0" fillId="0" borderId="0"/>
  </x:cellStyleXfs>
  <x:cellXfs count="45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200" fontId="0" fillId="0" borderId="0" xfId="0" applyNumberFormat="1" applyFont="1" applyFill="1" applyBorder="1" applyAlignment="1">
      <x:alignment vertical="top" wrapText="1"/>
    </x:xf>
    <x:xf numFmtId="0" fontId="1" fillId="2" borderId="0" xfId="0" applyNumberFormat="1" applyFont="1" applyFill="1" applyBorder="1" applyAlignment="1">
      <x:alignment horizontal="center"/>
    </x:xf>
    <x:xf numFmtId="200" fontId="0" fillId="0" borderId="0" xfId="0" applyNumberFormat="1" applyFont="1" applyFill="1" applyBorder="1"/>
    <x:xf numFmtId="200" fontId="0" fillId="0" borderId="0" xfId="0" applyNumberFormat="1" applyFont="1" applyFill="1" applyBorder="1" applyAlignment="1">
      <x:alignment horizontal="right"/>
    </x:xf>
    <x:xf numFmtId="0" fontId="2" fillId="2" borderId="0" xfId="0" applyNumberFormat="1" applyFont="1" applyFill="1" applyBorder="1"/>
    <x:xf numFmtId="0" fontId="2" fillId="2" borderId="0" xfId="0" applyNumberFormat="1" applyFont="1" applyFill="1" applyBorder="1" applyAlignment="1">
      <x:alignment horizontal="left"/>
    </x:xf>
    <x:xf numFmtId="0" fontId="2" fillId="2" borderId="0" xfId="0" applyNumberFormat="1" applyFont="1" applyFill="1" applyBorder="1" applyAlignment="1">
      <x:alignment horizontal="lef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4" fillId="3" borderId="0" xfId="0" applyNumberFormat="1" applyFont="1" applyFill="1" applyBorder="1"/>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horizontal="center"/>
    </x:xf>
    <x:xf numFmtId="0" fontId="5" fillId="5" borderId="0" xfId="0" applyNumberFormat="1" applyFont="1" applyFill="1" applyBorder="1" applyAlignment="1">
      <x:alignment horizontal="center" vertical="center"/>
    </x:xf>
    <x:xf numFmtId="0" fontId="0" fillId="0" borderId="0" xfId="0" applyNumberFormat="1" applyFont="1" applyFill="1" applyBorder="1" applyAlignment="1">
      <x:alignment vertical="center" wrapText="1"/>
    </x:xf>
    <x:xf numFmtId="0" fontId="5" fillId="5" borderId="1" xfId="0" applyNumberFormat="1" applyFont="1" applyFill="1" applyBorder="1" applyAlignment="1">
      <x:alignment horizontal="center" vertical="center"/>
    </x:xf>
    <x:xf numFmtId="0" fontId="0" fillId="0" borderId="2" xfId="0" applyNumberFormat="1" applyFont="1" applyFill="1" applyBorder="1" applyAlignment="1">
      <x:alignment vertical="center" wrapText="1"/>
    </x:xf>
    <x:xf numFmtId="0" fontId="0" fillId="0" borderId="3" xfId="0" applyNumberFormat="1" applyFont="1" applyFill="1" applyBorder="1" applyAlignment="1">
      <x:alignment vertical="center" wrapText="1"/>
    </x:xf>
    <x:xf numFmtId="0" fontId="5" fillId="5" borderId="4" xfId="0" applyNumberFormat="1" applyFont="1" applyFill="1" applyBorder="1" applyAlignment="1">
      <x:alignment horizontal="center" vertical="center"/>
    </x:xf>
    <x:xf numFmtId="0" fontId="0" fillId="0" borderId="5"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5" fillId="5" borderId="7" xfId="0" applyNumberFormat="1" applyFont="1" applyFill="1" applyBorder="1" applyAlignment="1">
      <x:alignment horizontal="center" vertical="center"/>
    </x:xf>
    <x:xf numFmtId="0" fontId="0" fillId="0" borderId="8" xfId="0" applyNumberFormat="1" applyFont="1" applyFill="1" applyBorder="1" applyAlignment="1">
      <x:alignment vertical="center" wrapText="1"/>
    </x:xf>
    <x:xf numFmtId="0" fontId="0" fillId="0" borderId="9" xfId="0" applyNumberFormat="1" applyFont="1" applyFill="1" applyBorder="1" applyAlignment="1">
      <x:alignment vertical="center" wrapText="1"/>
    </x:xf>
    <x:xf numFmtId="0" fontId="0" fillId="6" borderId="0" xfId="0" applyNumberFormat="1" applyFont="1" applyFill="1" applyBorder="1"/>
    <x:xf numFmtId="0" fontId="6" fillId="6" borderId="0" xfId="0" applyNumberFormat="1" applyFont="1" applyFill="1" applyBorder="1"/>
    <x:xf numFmtId="0" fontId="6" fillId="6" borderId="10" xfId="0" applyNumberFormat="1" applyFont="1" applyFill="1" applyBorder="1"/>
    <x:xf numFmtId="0" fontId="6" fillId="6" borderId="11" xfId="0" applyNumberFormat="1" applyFont="1" applyFill="1" applyBorder="1"/>
    <x:xf numFmtId="0" fontId="6" fillId="6" borderId="12" xfId="0" applyNumberFormat="1" applyFont="1" applyFill="1" applyBorder="1"/>
    <x:xf numFmtId="0" fontId="6" fillId="6" borderId="13" xfId="0" applyNumberFormat="1" applyFont="1" applyFill="1" applyBorder="1"/>
    <x:xf numFmtId="0" fontId="6" fillId="6" borderId="14" xfId="0" applyNumberFormat="1" applyFont="1" applyFill="1" applyBorder="1"/>
    <x:xf numFmtId="0" fontId="6" fillId="6" borderId="15" xfId="0" applyNumberFormat="1" applyFont="1" applyFill="1" applyBorder="1"/>
    <x:xf numFmtId="0" fontId="6" fillId="6" borderId="16" xfId="0" applyNumberFormat="1" applyFont="1" applyFill="1" applyBorder="1"/>
    <x:xf numFmtId="0" fontId="6" fillId="6" borderId="17" xfId="0" applyNumberFormat="1" applyFont="1" applyFill="1" applyBorder="1"/>
    <x:xf numFmtId="0" fontId="6" fillId="6" borderId="10" xfId="0" applyNumberFormat="1" applyFont="1" applyFill="1" applyBorder="1" applyAlignment="1">
      <x:alignment wrapText="1"/>
    </x:xf>
    <x:xf numFmtId="0" fontId="6" fillId="6" borderId="11" xfId="0" applyNumberFormat="1" applyFont="1" applyFill="1" applyBorder="1" applyAlignment="1">
      <x:alignment wrapText="1"/>
    </x:xf>
    <x:xf numFmtId="0" fontId="6" fillId="6" borderId="12" xfId="0" applyNumberFormat="1" applyFont="1" applyFill="1" applyBorder="1" applyAlignment="1">
      <x:alignment wrapText="1"/>
    </x:xf>
    <x:xf numFmtId="0" fontId="6" fillId="6" borderId="13" xfId="0" applyNumberFormat="1" applyFont="1" applyFill="1" applyBorder="1" applyAlignment="1">
      <x:alignment wrapText="1"/>
    </x:xf>
    <x:xf numFmtId="0" fontId="6" fillId="6" borderId="0" xfId="0" applyNumberFormat="1" applyFont="1" applyFill="1" applyBorder="1" applyAlignment="1">
      <x:alignment wrapText="1"/>
    </x:xf>
    <x:xf numFmtId="0" fontId="6" fillId="6" borderId="14" xfId="0" applyNumberFormat="1" applyFont="1" applyFill="1" applyBorder="1" applyAlignment="1">
      <x:alignment wrapText="1"/>
    </x:xf>
    <x:xf numFmtId="0" fontId="6" fillId="6" borderId="15" xfId="0" applyNumberFormat="1" applyFont="1" applyFill="1" applyBorder="1" applyAlignment="1">
      <x:alignment wrapText="1"/>
    </x:xf>
    <x:xf numFmtId="0" fontId="6" fillId="6" borderId="16" xfId="0" applyNumberFormat="1" applyFont="1" applyFill="1" applyBorder="1" applyAlignment="1">
      <x:alignment wrapText="1"/>
    </x:xf>
    <x:xf numFmtId="0" fontId="6" fillId="6" borderId="17" xfId="0" applyNumberFormat="1" applyFont="1" applyFill="1" applyBorder="1" applyAlignment="1">
      <x:alignment wrapText="1"/>
    </x:xf>
    <x:xf numFmtId="0" fontId="6" fillId="6" borderId="10" xfId="0" applyNumberFormat="1" applyFont="1" applyFill="1" applyBorder="1" applyAlignment="1">
      <x:alignment horizontal="left" wrapText="1"/>
    </x:xf>
    <x:xf numFmtId="0" fontId="6" fillId="6" borderId="11" xfId="0" applyNumberFormat="1" applyFont="1" applyFill="1" applyBorder="1" applyAlignment="1">
      <x:alignment horizontal="left" wrapText="1"/>
    </x:xf>
    <x:xf numFmtId="0" fontId="6" fillId="6" borderId="12" xfId="0" applyNumberFormat="1" applyFont="1" applyFill="1" applyBorder="1" applyAlignment="1">
      <x:alignment horizontal="left" wrapText="1"/>
    </x:xf>
    <x:xf numFmtId="0" fontId="6" fillId="6" borderId="13" xfId="0" applyNumberFormat="1" applyFont="1" applyFill="1" applyBorder="1" applyAlignment="1">
      <x:alignment horizontal="left" wrapText="1"/>
    </x:xf>
    <x:xf numFmtId="0" fontId="6" fillId="6" borderId="0" xfId="0" applyNumberFormat="1" applyFont="1" applyFill="1" applyBorder="1" applyAlignment="1">
      <x:alignment horizontal="left" wrapText="1"/>
    </x:xf>
    <x:xf numFmtId="0" fontId="6" fillId="6" borderId="14" xfId="0" applyNumberFormat="1" applyFont="1" applyFill="1" applyBorder="1" applyAlignment="1">
      <x:alignment horizontal="left" wrapText="1"/>
    </x:xf>
    <x:xf numFmtId="0" fontId="6" fillId="6" borderId="15" xfId="0" applyNumberFormat="1" applyFont="1" applyFill="1" applyBorder="1" applyAlignment="1">
      <x:alignment horizontal="left" wrapText="1"/>
    </x:xf>
    <x:xf numFmtId="0" fontId="6" fillId="6" borderId="16" xfId="0" applyNumberFormat="1" applyFont="1" applyFill="1" applyBorder="1" applyAlignment="1">
      <x:alignment horizontal="left" wrapText="1"/>
    </x:xf>
    <x:xf numFmtId="0" fontId="6" fillId="6" borderId="17" xfId="0" applyNumberFormat="1" applyFont="1" applyFill="1" applyBorder="1" applyAlignment="1">
      <x:alignment horizontal="left" wrapText="1"/>
    </x:xf>
    <x:xf numFmtId="0" fontId="6" fillId="6" borderId="10" xfId="0" applyNumberFormat="1" applyFont="1" applyFill="1" applyBorder="1" applyAlignment="1">
      <x:alignment horizontal="left" vertical="center" wrapText="1"/>
    </x:xf>
    <x:xf numFmtId="0" fontId="6" fillId="6" borderId="11" xfId="0" applyNumberFormat="1" applyFont="1" applyFill="1" applyBorder="1" applyAlignment="1">
      <x:alignment horizontal="left" vertical="center" wrapText="1"/>
    </x:xf>
    <x:xf numFmtId="0" fontId="6" fillId="6" borderId="12" xfId="0" applyNumberFormat="1" applyFont="1" applyFill="1" applyBorder="1" applyAlignment="1">
      <x:alignment horizontal="left" vertical="center" wrapText="1"/>
    </x:xf>
    <x:xf numFmtId="0" fontId="6" fillId="6" borderId="13" xfId="0" applyNumberFormat="1" applyFont="1" applyFill="1" applyBorder="1" applyAlignment="1">
      <x:alignment horizontal="left" vertical="center" wrapText="1"/>
    </x:xf>
    <x:xf numFmtId="0" fontId="6" fillId="6" borderId="0" xfId="0" applyNumberFormat="1" applyFont="1" applyFill="1" applyBorder="1" applyAlignment="1">
      <x:alignment horizontal="left" vertical="center" wrapText="1"/>
    </x:xf>
    <x:xf numFmtId="0" fontId="6" fillId="6" borderId="14" xfId="0" applyNumberFormat="1" applyFont="1" applyFill="1" applyBorder="1" applyAlignment="1">
      <x:alignment horizontal="left" vertical="center" wrapText="1"/>
    </x:xf>
    <x:xf numFmtId="0" fontId="6" fillId="6" borderId="15" xfId="0" applyNumberFormat="1" applyFont="1" applyFill="1" applyBorder="1" applyAlignment="1">
      <x:alignment horizontal="left" vertical="center" wrapText="1"/>
    </x:xf>
    <x:xf numFmtId="0" fontId="6" fillId="6" borderId="16" xfId="0" applyNumberFormat="1" applyFont="1" applyFill="1" applyBorder="1" applyAlignment="1">
      <x:alignment horizontal="left" vertical="center" wrapText="1"/>
    </x:xf>
    <x:xf numFmtId="0" fontId="6" fillId="6" borderId="17" xfId="0" applyNumberFormat="1" applyFont="1" applyFill="1" applyBorder="1" applyAlignment="1">
      <x:alignment horizontal="left" vertical="center" wrapText="1"/>
    </x:xf>
    <x:xf numFmtId="0" fontId="7" fillId="2" borderId="0" xfId="0" applyNumberFormat="1" applyFont="1" applyFill="1" applyBorder="1"/>
    <x:xf numFmtId="0" fontId="7" fillId="2" borderId="0" xfId="0" applyNumberFormat="1" applyFont="1" applyFill="1" applyBorder="1" applyAlignment="1">
      <x:alignment horizontal="left"/>
    </x:xf>
    <x:xf numFmtId="0" fontId="7" fillId="2" borderId="0" xfId="0" applyNumberFormat="1" applyFont="1" applyFill="1" applyBorder="1" applyAlignment="1">
      <x:alignment horizontal="left" vertical="center"/>
    </x:xf>
    <x:xf numFmtId="0" fontId="8" fillId="4" borderId="0" xfId="0" applyNumberFormat="1" applyFont="1" applyFill="1" applyBorder="1"/>
    <x:xf numFmtId="0" fontId="0" fillId="4" borderId="9" xfId="0" applyNumberFormat="1" applyFont="1" applyFill="1" applyBorder="1"/>
    <x:xf numFmtId="0" fontId="0" fillId="4" borderId="18" xfId="0" applyNumberFormat="1" applyFont="1" applyFill="1" applyBorder="1"/>
    <x:xf numFmtId="0" fontId="0" fillId="4" borderId="7" xfId="0" applyNumberFormat="1" applyFont="1" applyFill="1" applyBorder="1"/>
    <x:xf numFmtId="0" fontId="0" fillId="4" borderId="19" xfId="0" applyNumberFormat="1" applyFont="1" applyFill="1" applyBorder="1"/>
    <x:xf numFmtId="0" fontId="0" fillId="4" borderId="20" xfId="0" applyNumberFormat="1" applyFont="1" applyFill="1" applyBorder="1"/>
    <x:xf numFmtId="0" fontId="0" fillId="4" borderId="3" xfId="0" applyNumberFormat="1" applyFont="1" applyFill="1" applyBorder="1"/>
    <x:xf numFmtId="0" fontId="0" fillId="4" borderId="21" xfId="0" applyNumberFormat="1" applyFont="1" applyFill="1" applyBorder="1"/>
    <x:xf numFmtId="0" fontId="0" fillId="4" borderId="1" xfId="0" applyNumberFormat="1" applyFont="1" applyFill="1" applyBorder="1"/>
    <x:xf numFmtId="0" fontId="5" fillId="4" borderId="9" xfId="0" applyNumberFormat="1" applyFont="1" applyFill="1" applyBorder="1"/>
    <x:xf numFmtId="0" fontId="5" fillId="4" borderId="18" xfId="0" applyNumberFormat="1" applyFont="1" applyFill="1" applyBorder="1"/>
    <x:xf numFmtId="0" fontId="5" fillId="4" borderId="7" xfId="0" applyNumberFormat="1" applyFont="1" applyFill="1" applyBorder="1"/>
    <x:xf numFmtId="0" fontId="5" fillId="4" borderId="9" xfId="0" applyNumberFormat="1" applyFont="1" applyFill="1" applyBorder="1" applyAlignment="1">
      <x:alignment horizontal="center"/>
    </x:xf>
    <x:xf numFmtId="0" fontId="5" fillId="4" borderId="18" xfId="0" applyNumberFormat="1" applyFont="1" applyFill="1" applyBorder="1" applyAlignment="1">
      <x:alignment horizontal="center"/>
    </x:xf>
    <x:xf numFmtId="0" fontId="5" fillId="4" borderId="7" xfId="0" applyNumberFormat="1" applyFont="1" applyFill="1" applyBorder="1" applyAlignment="1">
      <x:alignment horizontal="center"/>
    </x:xf>
    <x:xf numFmtId="0" fontId="5" fillId="4" borderId="9" xfId="0" applyNumberFormat="1" applyFont="1" applyFill="1" applyBorder="1" applyAlignment="1">
      <x:alignment horizontal="center" vertical="center"/>
    </x:xf>
    <x:xf numFmtId="0" fontId="5" fillId="4" borderId="18" xfId="0" applyNumberFormat="1" applyFont="1" applyFill="1" applyBorder="1" applyAlignment="1">
      <x:alignment horizontal="center" vertical="center"/>
    </x:xf>
    <x:xf numFmtId="0" fontId="5" fillId="4" borderId="7" xfId="0" applyNumberFormat="1" applyFont="1" applyFill="1" applyBorder="1" applyAlignment="1">
      <x:alignment horizontal="center" vertical="center"/>
    </x:xf>
    <x:xf numFmtId="0" fontId="9" fillId="4" borderId="19" xfId="0" applyNumberFormat="1" applyFont="1" applyFill="1" applyBorder="1"/>
    <x:xf numFmtId="0" fontId="9" fillId="4" borderId="0" xfId="0" applyNumberFormat="1" applyFont="1" applyFill="1" applyBorder="1"/>
    <x:xf numFmtId="0" fontId="9" fillId="4" borderId="20" xfId="0" applyNumberFormat="1" applyFont="1" applyFill="1" applyBorder="1"/>
    <x:xf numFmtId="0" fontId="9" fillId="4" borderId="3" xfId="0" applyNumberFormat="1" applyFont="1" applyFill="1" applyBorder="1"/>
    <x:xf numFmtId="0" fontId="9" fillId="4" borderId="21" xfId="0" applyNumberFormat="1" applyFont="1" applyFill="1" applyBorder="1"/>
    <x:xf numFmtId="0" fontId="9" fillId="4" borderId="1" xfId="0" applyNumberFormat="1" applyFont="1" applyFill="1" applyBorder="1"/>
    <x:xf numFmtId="200" fontId="9" fillId="4" borderId="19" xfId="0" applyNumberFormat="1" applyFont="1" applyFill="1" applyBorder="1"/>
    <x:xf numFmtId="200" fontId="9" fillId="4" borderId="0" xfId="0" applyNumberFormat="1" applyFont="1" applyFill="1" applyBorder="1"/>
    <x:xf numFmtId="200" fontId="9" fillId="4" borderId="20" xfId="0" applyNumberFormat="1" applyFont="1" applyFill="1" applyBorder="1"/>
    <x:xf numFmtId="200" fontId="9" fillId="4" borderId="3" xfId="0" applyNumberFormat="1" applyFont="1" applyFill="1" applyBorder="1"/>
    <x:xf numFmtId="200" fontId="9" fillId="4" borderId="21" xfId="0" applyNumberFormat="1" applyFont="1" applyFill="1" applyBorder="1"/>
    <x:xf numFmtId="200" fontId="9" fillId="4" borderId="1" xfId="0" applyNumberFormat="1" applyFont="1" applyFill="1" applyBorder="1"/>
    <x:xf numFmtId="200" fontId="9" fillId="4" borderId="19" xfId="0" applyNumberFormat="1" applyFont="1" applyFill="1" applyBorder="1" applyAlignment="1">
      <x:alignment horizontal="center"/>
    </x:xf>
    <x:xf numFmtId="200" fontId="9" fillId="4" borderId="0" xfId="0" applyNumberFormat="1" applyFont="1" applyFill="1" applyBorder="1" applyAlignment="1">
      <x:alignment horizontal="center"/>
    </x:xf>
    <x:xf numFmtId="200" fontId="9" fillId="4" borderId="20" xfId="0" applyNumberFormat="1" applyFont="1" applyFill="1" applyBorder="1" applyAlignment="1">
      <x:alignment horizontal="center"/>
    </x:xf>
    <x:xf numFmtId="200" fontId="9" fillId="4" borderId="3" xfId="0" applyNumberFormat="1" applyFont="1" applyFill="1" applyBorder="1" applyAlignment="1">
      <x:alignment horizontal="center"/>
    </x:xf>
    <x:xf numFmtId="200" fontId="9" fillId="4" borderId="21" xfId="0" applyNumberFormat="1" applyFont="1" applyFill="1" applyBorder="1" applyAlignment="1">
      <x:alignment horizontal="center"/>
    </x:xf>
    <x:xf numFmtId="200" fontId="9" fillId="4" borderId="1" xfId="0" applyNumberFormat="1" applyFont="1" applyFill="1" applyBorder="1" applyAlignment="1">
      <x:alignment horizontal="center"/>
    </x:xf>
    <x:xf numFmtId="200" fontId="9" fillId="4" borderId="19" xfId="0" applyNumberFormat="1" applyFont="1" applyFill="1" applyBorder="1" applyAlignment="1">
      <x:alignment horizontal="center" vertical="center"/>
    </x:xf>
    <x:xf numFmtId="200" fontId="9" fillId="4" borderId="0" xfId="0" applyNumberFormat="1" applyFont="1" applyFill="1" applyBorder="1" applyAlignment="1">
      <x:alignment horizontal="center" vertical="center"/>
    </x:xf>
    <x:xf numFmtId="200" fontId="9" fillId="4" borderId="20" xfId="0" applyNumberFormat="1" applyFont="1" applyFill="1" applyBorder="1" applyAlignment="1">
      <x:alignment horizontal="center" vertical="center"/>
    </x:xf>
    <x:xf numFmtId="200" fontId="9" fillId="4" borderId="3" xfId="0" applyNumberFormat="1" applyFont="1" applyFill="1" applyBorder="1" applyAlignment="1">
      <x:alignment horizontal="center" vertical="center"/>
    </x:xf>
    <x:xf numFmtId="200" fontId="9" fillId="4" borderId="21" xfId="0" applyNumberFormat="1" applyFont="1" applyFill="1" applyBorder="1" applyAlignment="1">
      <x:alignment horizontal="center" vertical="center"/>
    </x:xf>
    <x:xf numFmtId="200" fontId="9" fillId="4" borderId="1" xfId="0" applyNumberFormat="1" applyFont="1" applyFill="1" applyBorder="1" applyAlignment="1">
      <x:alignment horizontal="center" vertical="center"/>
    </x:xf>
    <x:xf numFmtId="0" fontId="0" fillId="7" borderId="0" xfId="0" applyNumberFormat="1" applyFont="1" applyFill="1" applyBorder="1"/>
    <x:xf numFmtId="0" fontId="0" fillId="7" borderId="9" xfId="0" applyNumberFormat="1" applyFont="1" applyFill="1" applyBorder="1"/>
    <x:xf numFmtId="0" fontId="0" fillId="7" borderId="18" xfId="0" applyNumberFormat="1" applyFont="1" applyFill="1" applyBorder="1"/>
    <x:xf numFmtId="0" fontId="0" fillId="7" borderId="7" xfId="0" applyNumberFormat="1" applyFont="1" applyFill="1" applyBorder="1"/>
    <x:xf numFmtId="0" fontId="0" fillId="7" borderId="19" xfId="0" applyNumberFormat="1" applyFont="1" applyFill="1" applyBorder="1"/>
    <x:xf numFmtId="0" fontId="0" fillId="7" borderId="20" xfId="0" applyNumberFormat="1" applyFont="1" applyFill="1" applyBorder="1"/>
    <x:xf numFmtId="0" fontId="0" fillId="7" borderId="3" xfId="0" applyNumberFormat="1" applyFont="1" applyFill="1" applyBorder="1"/>
    <x:xf numFmtId="0" fontId="0" fillId="7" borderId="21" xfId="0" applyNumberFormat="1" applyFont="1" applyFill="1" applyBorder="1"/>
    <x:xf numFmtId="0" fontId="0" fillId="7" borderId="1" xfId="0" applyNumberFormat="1" applyFont="1" applyFill="1" applyBorder="1"/>
    <x:xf numFmtId="0" fontId="10" fillId="7" borderId="9" xfId="0" applyNumberFormat="1" applyFont="1" applyFill="1" applyBorder="1"/>
    <x:xf numFmtId="0" fontId="10" fillId="7" borderId="18" xfId="0" applyNumberFormat="1" applyFont="1" applyFill="1" applyBorder="1"/>
    <x:xf numFmtId="0" fontId="10" fillId="7" borderId="7" xfId="0" applyNumberFormat="1" applyFont="1" applyFill="1" applyBorder="1"/>
    <x:xf numFmtId="0" fontId="10" fillId="7" borderId="9" xfId="0" applyNumberFormat="1" applyFont="1" applyFill="1" applyBorder="1" applyAlignment="1">
      <x:alignment horizontal="center"/>
    </x:xf>
    <x:xf numFmtId="0" fontId="10" fillId="7" borderId="18" xfId="0" applyNumberFormat="1" applyFont="1" applyFill="1" applyBorder="1" applyAlignment="1">
      <x:alignment horizontal="center"/>
    </x:xf>
    <x:xf numFmtId="0" fontId="10" fillId="7" borderId="7" xfId="0" applyNumberFormat="1" applyFont="1" applyFill="1" applyBorder="1" applyAlignment="1">
      <x:alignment horizontal="center"/>
    </x:xf>
    <x:xf numFmtId="0" fontId="10" fillId="7" borderId="9" xfId="0" applyNumberFormat="1" applyFont="1" applyFill="1" applyBorder="1" applyAlignment="1">
      <x:alignment horizontal="center" vertical="center"/>
    </x:xf>
    <x:xf numFmtId="0" fontId="10" fillId="7" borderId="18" xfId="0" applyNumberFormat="1" applyFont="1" applyFill="1" applyBorder="1" applyAlignment="1">
      <x:alignment horizontal="center" vertical="center"/>
    </x:xf>
    <x:xf numFmtId="0" fontId="10" fillId="7" borderId="7" xfId="0" applyNumberFormat="1" applyFont="1" applyFill="1" applyBorder="1" applyAlignment="1">
      <x:alignment horizontal="center" vertical="center"/>
    </x:xf>
    <x:xf numFmtId="0" fontId="11" fillId="7" borderId="19" xfId="0" applyNumberFormat="1" applyFont="1" applyFill="1" applyBorder="1"/>
    <x:xf numFmtId="0" fontId="11" fillId="7" borderId="0" xfId="0" applyNumberFormat="1" applyFont="1" applyFill="1" applyBorder="1"/>
    <x:xf numFmtId="0" fontId="11" fillId="7" borderId="20" xfId="0" applyNumberFormat="1" applyFont="1" applyFill="1" applyBorder="1"/>
    <x:xf numFmtId="0" fontId="11" fillId="7" borderId="3" xfId="0" applyNumberFormat="1" applyFont="1" applyFill="1" applyBorder="1"/>
    <x:xf numFmtId="0" fontId="11" fillId="7" borderId="21" xfId="0" applyNumberFormat="1" applyFont="1" applyFill="1" applyBorder="1"/>
    <x:xf numFmtId="0" fontId="11" fillId="7" borderId="1" xfId="0" applyNumberFormat="1" applyFont="1" applyFill="1" applyBorder="1"/>
    <x:xf numFmtId="200" fontId="11" fillId="7" borderId="19" xfId="0" applyNumberFormat="1" applyFont="1" applyFill="1" applyBorder="1"/>
    <x:xf numFmtId="200" fontId="11" fillId="7" borderId="0" xfId="0" applyNumberFormat="1" applyFont="1" applyFill="1" applyBorder="1"/>
    <x:xf numFmtId="200" fontId="11" fillId="7" borderId="20" xfId="0" applyNumberFormat="1" applyFont="1" applyFill="1" applyBorder="1"/>
    <x:xf numFmtId="200" fontId="11" fillId="7" borderId="3" xfId="0" applyNumberFormat="1" applyFont="1" applyFill="1" applyBorder="1"/>
    <x:xf numFmtId="200" fontId="11" fillId="7" borderId="21" xfId="0" applyNumberFormat="1" applyFont="1" applyFill="1" applyBorder="1"/>
    <x:xf numFmtId="200" fontId="11" fillId="7" borderId="1" xfId="0" applyNumberFormat="1" applyFont="1" applyFill="1" applyBorder="1"/>
    <x:xf numFmtId="200" fontId="11" fillId="7" borderId="19" xfId="0" applyNumberFormat="1" applyFont="1" applyFill="1" applyBorder="1" applyAlignment="1">
      <x:alignment horizontal="center"/>
    </x:xf>
    <x:xf numFmtId="200" fontId="11" fillId="7" borderId="0" xfId="0" applyNumberFormat="1" applyFont="1" applyFill="1" applyBorder="1" applyAlignment="1">
      <x:alignment horizontal="center"/>
    </x:xf>
    <x:xf numFmtId="200" fontId="11" fillId="7" borderId="20" xfId="0" applyNumberFormat="1" applyFont="1" applyFill="1" applyBorder="1" applyAlignment="1">
      <x:alignment horizontal="center"/>
    </x:xf>
    <x:xf numFmtId="200" fontId="11" fillId="7" borderId="3" xfId="0" applyNumberFormat="1" applyFont="1" applyFill="1" applyBorder="1" applyAlignment="1">
      <x:alignment horizontal="center"/>
    </x:xf>
    <x:xf numFmtId="200" fontId="11" fillId="7" borderId="21" xfId="0" applyNumberFormat="1" applyFont="1" applyFill="1" applyBorder="1" applyAlignment="1">
      <x:alignment horizontal="center"/>
    </x:xf>
    <x:xf numFmtId="200" fontId="11" fillId="7" borderId="1" xfId="0" applyNumberFormat="1" applyFont="1" applyFill="1" applyBorder="1" applyAlignment="1">
      <x:alignment horizontal="center"/>
    </x:xf>
    <x:xf numFmtId="200" fontId="11" fillId="7" borderId="19" xfId="0" applyNumberFormat="1" applyFont="1" applyFill="1" applyBorder="1" applyAlignment="1">
      <x:alignment horizontal="center" vertical="center"/>
    </x:xf>
    <x:xf numFmtId="200" fontId="11" fillId="7" borderId="0" xfId="0" applyNumberFormat="1" applyFont="1" applyFill="1" applyBorder="1" applyAlignment="1">
      <x:alignment horizontal="center" vertical="center"/>
    </x:xf>
    <x:xf numFmtId="200" fontId="11" fillId="7" borderId="20" xfId="0" applyNumberFormat="1" applyFont="1" applyFill="1" applyBorder="1" applyAlignment="1">
      <x:alignment horizontal="center" vertical="center"/>
    </x:xf>
    <x:xf numFmtId="200" fontId="11" fillId="7" borderId="3" xfId="0" applyNumberFormat="1" applyFont="1" applyFill="1" applyBorder="1" applyAlignment="1">
      <x:alignment horizontal="center" vertical="center"/>
    </x:xf>
    <x:xf numFmtId="200" fontId="11" fillId="7" borderId="21" xfId="0" applyNumberFormat="1" applyFont="1" applyFill="1" applyBorder="1" applyAlignment="1">
      <x:alignment horizontal="center" vertical="center"/>
    </x:xf>
    <x:xf numFmtId="200" fontId="11" fillId="7" borderId="1" xfId="0" applyNumberFormat="1" applyFont="1" applyFill="1" applyBorder="1" applyAlignment="1">
      <x:alignment horizontal="center" vertical="center"/>
    </x:xf>
    <x:xf numFmtId="0" fontId="0" fillId="8" borderId="0" xfId="0" applyNumberFormat="1" applyFont="1" applyFill="1" applyBorder="1"/>
    <x:xf numFmtId="0" fontId="0" fillId="8" borderId="9" xfId="0" applyNumberFormat="1" applyFont="1" applyFill="1" applyBorder="1"/>
    <x:xf numFmtId="0" fontId="0" fillId="8" borderId="18" xfId="0" applyNumberFormat="1" applyFont="1" applyFill="1" applyBorder="1"/>
    <x:xf numFmtId="0" fontId="0" fillId="8" borderId="7" xfId="0" applyNumberFormat="1" applyFont="1" applyFill="1" applyBorder="1"/>
    <x:xf numFmtId="0" fontId="0" fillId="8" borderId="19" xfId="0" applyNumberFormat="1" applyFont="1" applyFill="1" applyBorder="1"/>
    <x:xf numFmtId="0" fontId="0" fillId="8" borderId="20" xfId="0" applyNumberFormat="1" applyFont="1" applyFill="1" applyBorder="1"/>
    <x:xf numFmtId="0" fontId="0" fillId="8" borderId="3" xfId="0" applyNumberFormat="1" applyFont="1" applyFill="1" applyBorder="1"/>
    <x:xf numFmtId="0" fontId="0" fillId="8" borderId="21" xfId="0" applyNumberFormat="1" applyFont="1" applyFill="1" applyBorder="1"/>
    <x:xf numFmtId="0" fontId="0" fillId="8" borderId="1" xfId="0" applyNumberFormat="1" applyFont="1" applyFill="1" applyBorder="1"/>
    <x:xf numFmtId="0" fontId="12" fillId="8" borderId="9" xfId="0" applyNumberFormat="1" applyFont="1" applyFill="1" applyBorder="1"/>
    <x:xf numFmtId="0" fontId="12" fillId="8" borderId="18" xfId="0" applyNumberFormat="1" applyFont="1" applyFill="1" applyBorder="1"/>
    <x:xf numFmtId="0" fontId="12" fillId="8" borderId="7" xfId="0" applyNumberFormat="1" applyFont="1" applyFill="1" applyBorder="1"/>
    <x:xf numFmtId="0" fontId="12" fillId="8" borderId="9" xfId="0" applyNumberFormat="1" applyFont="1" applyFill="1" applyBorder="1" applyAlignment="1">
      <x:alignment horizontal="center"/>
    </x:xf>
    <x:xf numFmtId="0" fontId="12" fillId="8" borderId="18" xfId="0" applyNumberFormat="1" applyFont="1" applyFill="1" applyBorder="1" applyAlignment="1">
      <x:alignment horizontal="center"/>
    </x:xf>
    <x:xf numFmtId="0" fontId="12" fillId="8" borderId="7" xfId="0" applyNumberFormat="1" applyFont="1" applyFill="1" applyBorder="1" applyAlignment="1">
      <x:alignment horizontal="center"/>
    </x:xf>
    <x:xf numFmtId="0" fontId="12" fillId="8" borderId="9" xfId="0" applyNumberFormat="1" applyFont="1" applyFill="1" applyBorder="1" applyAlignment="1">
      <x:alignment horizontal="center" vertical="center"/>
    </x:xf>
    <x:xf numFmtId="0" fontId="12" fillId="8" borderId="18" xfId="0" applyNumberFormat="1" applyFont="1" applyFill="1" applyBorder="1" applyAlignment="1">
      <x:alignment horizontal="center" vertical="center"/>
    </x:xf>
    <x:xf numFmtId="0" fontId="12" fillId="8" borderId="7" xfId="0" applyNumberFormat="1" applyFont="1" applyFill="1" applyBorder="1" applyAlignment="1">
      <x:alignment horizontal="center" vertical="center"/>
    </x:xf>
    <x:xf numFmtId="0" fontId="13" fillId="8" borderId="19" xfId="0" applyNumberFormat="1" applyFont="1" applyFill="1" applyBorder="1"/>
    <x:xf numFmtId="0" fontId="13" fillId="8" borderId="0" xfId="0" applyNumberFormat="1" applyFont="1" applyFill="1" applyBorder="1"/>
    <x:xf numFmtId="0" fontId="13" fillId="8" borderId="20" xfId="0" applyNumberFormat="1" applyFont="1" applyFill="1" applyBorder="1"/>
    <x:xf numFmtId="0" fontId="13" fillId="8" borderId="3" xfId="0" applyNumberFormat="1" applyFont="1" applyFill="1" applyBorder="1"/>
    <x:xf numFmtId="0" fontId="13" fillId="8" borderId="21" xfId="0" applyNumberFormat="1" applyFont="1" applyFill="1" applyBorder="1"/>
    <x:xf numFmtId="0" fontId="13" fillId="8" borderId="1" xfId="0" applyNumberFormat="1" applyFont="1" applyFill="1" applyBorder="1"/>
    <x:xf numFmtId="200" fontId="13" fillId="8" borderId="19" xfId="0" applyNumberFormat="1" applyFont="1" applyFill="1" applyBorder="1"/>
    <x:xf numFmtId="200" fontId="13" fillId="8" borderId="0" xfId="0" applyNumberFormat="1" applyFont="1" applyFill="1" applyBorder="1"/>
    <x:xf numFmtId="200" fontId="13" fillId="8" borderId="20" xfId="0" applyNumberFormat="1" applyFont="1" applyFill="1" applyBorder="1"/>
    <x:xf numFmtId="200" fontId="13" fillId="8" borderId="3" xfId="0" applyNumberFormat="1" applyFont="1" applyFill="1" applyBorder="1"/>
    <x:xf numFmtId="200" fontId="13" fillId="8" borderId="21" xfId="0" applyNumberFormat="1" applyFont="1" applyFill="1" applyBorder="1"/>
    <x:xf numFmtId="200" fontId="13" fillId="8" borderId="1" xfId="0" applyNumberFormat="1" applyFont="1" applyFill="1" applyBorder="1"/>
    <x:xf numFmtId="200" fontId="13" fillId="8" borderId="19" xfId="0" applyNumberFormat="1" applyFont="1" applyFill="1" applyBorder="1" applyAlignment="1">
      <x:alignment horizontal="center"/>
    </x:xf>
    <x:xf numFmtId="200" fontId="13" fillId="8" borderId="0" xfId="0" applyNumberFormat="1" applyFont="1" applyFill="1" applyBorder="1" applyAlignment="1">
      <x:alignment horizontal="center"/>
    </x:xf>
    <x:xf numFmtId="200" fontId="13" fillId="8" borderId="20" xfId="0" applyNumberFormat="1" applyFont="1" applyFill="1" applyBorder="1" applyAlignment="1">
      <x:alignment horizontal="center"/>
    </x:xf>
    <x:xf numFmtId="200" fontId="13" fillId="8" borderId="3" xfId="0" applyNumberFormat="1" applyFont="1" applyFill="1" applyBorder="1" applyAlignment="1">
      <x:alignment horizontal="center"/>
    </x:xf>
    <x:xf numFmtId="200" fontId="13" fillId="8" borderId="21" xfId="0" applyNumberFormat="1" applyFont="1" applyFill="1" applyBorder="1" applyAlignment="1">
      <x:alignment horizontal="center"/>
    </x:xf>
    <x:xf numFmtId="200" fontId="13" fillId="8" borderId="1" xfId="0" applyNumberFormat="1" applyFont="1" applyFill="1" applyBorder="1" applyAlignment="1">
      <x:alignment horizontal="center"/>
    </x:xf>
    <x:xf numFmtId="200" fontId="13" fillId="8" borderId="19" xfId="0" applyNumberFormat="1" applyFont="1" applyFill="1" applyBorder="1" applyAlignment="1">
      <x:alignment horizontal="center" vertical="center"/>
    </x:xf>
    <x:xf numFmtId="200" fontId="13" fillId="8" borderId="0" xfId="0" applyNumberFormat="1" applyFont="1" applyFill="1" applyBorder="1" applyAlignment="1">
      <x:alignment horizontal="center" vertical="center"/>
    </x:xf>
    <x:xf numFmtId="200" fontId="13" fillId="8" borderId="20" xfId="0" applyNumberFormat="1" applyFont="1" applyFill="1" applyBorder="1" applyAlignment="1">
      <x:alignment horizontal="center" vertical="center"/>
    </x:xf>
    <x:xf numFmtId="200" fontId="13" fillId="8" borderId="3" xfId="0" applyNumberFormat="1" applyFont="1" applyFill="1" applyBorder="1" applyAlignment="1">
      <x:alignment horizontal="center" vertical="center"/>
    </x:xf>
    <x:xf numFmtId="200" fontId="13" fillId="8" borderId="21" xfId="0" applyNumberFormat="1" applyFont="1" applyFill="1" applyBorder="1" applyAlignment="1">
      <x:alignment horizontal="center" vertical="center"/>
    </x:xf>
    <x:xf numFmtId="200" fontId="13" fillId="8" borderId="1" xfId="0" applyNumberFormat="1" applyFont="1" applyFill="1" applyBorder="1" applyAlignment="1">
      <x:alignment horizontal="center" vertical="center"/>
    </x:xf>
    <x:xf numFmtId="0" fontId="0" fillId="9" borderId="0" xfId="0" applyNumberFormat="1" applyFont="1" applyFill="1" applyBorder="1"/>
    <x:xf numFmtId="0" fontId="0" fillId="9" borderId="9" xfId="0" applyNumberFormat="1" applyFont="1" applyFill="1" applyBorder="1"/>
    <x:xf numFmtId="0" fontId="0" fillId="9" borderId="18" xfId="0" applyNumberFormat="1" applyFont="1" applyFill="1" applyBorder="1"/>
    <x:xf numFmtId="0" fontId="0" fillId="9" borderId="7" xfId="0" applyNumberFormat="1" applyFont="1" applyFill="1" applyBorder="1"/>
    <x:xf numFmtId="0" fontId="0" fillId="9" borderId="19" xfId="0" applyNumberFormat="1" applyFont="1" applyFill="1" applyBorder="1"/>
    <x:xf numFmtId="0" fontId="0" fillId="9" borderId="20" xfId="0" applyNumberFormat="1" applyFont="1" applyFill="1" applyBorder="1"/>
    <x:xf numFmtId="0" fontId="0" fillId="9" borderId="3" xfId="0" applyNumberFormat="1" applyFont="1" applyFill="1" applyBorder="1"/>
    <x:xf numFmtId="0" fontId="0" fillId="9" borderId="21" xfId="0" applyNumberFormat="1" applyFont="1" applyFill="1" applyBorder="1"/>
    <x:xf numFmtId="0" fontId="0" fillId="9" borderId="1" xfId="0" applyNumberFormat="1" applyFont="1" applyFill="1" applyBorder="1"/>
    <x:xf numFmtId="0" fontId="14" fillId="9" borderId="9" xfId="0" applyNumberFormat="1" applyFont="1" applyFill="1" applyBorder="1"/>
    <x:xf numFmtId="0" fontId="14" fillId="9" borderId="18" xfId="0" applyNumberFormat="1" applyFont="1" applyFill="1" applyBorder="1"/>
    <x:xf numFmtId="0" fontId="14" fillId="9" borderId="7" xfId="0" applyNumberFormat="1" applyFont="1" applyFill="1" applyBorder="1"/>
    <x:xf numFmtId="0" fontId="14" fillId="9" borderId="9" xfId="0" applyNumberFormat="1" applyFont="1" applyFill="1" applyBorder="1" applyAlignment="1">
      <x:alignment horizontal="center"/>
    </x:xf>
    <x:xf numFmtId="0" fontId="14" fillId="9" borderId="18" xfId="0" applyNumberFormat="1" applyFont="1" applyFill="1" applyBorder="1" applyAlignment="1">
      <x:alignment horizontal="center"/>
    </x:xf>
    <x:xf numFmtId="0" fontId="14" fillId="9" borderId="7" xfId="0" applyNumberFormat="1" applyFont="1" applyFill="1" applyBorder="1" applyAlignment="1">
      <x:alignment horizontal="center"/>
    </x:xf>
    <x:xf numFmtId="0" fontId="14" fillId="9" borderId="9" xfId="0" applyNumberFormat="1" applyFont="1" applyFill="1" applyBorder="1" applyAlignment="1">
      <x:alignment horizontal="center" vertical="center"/>
    </x:xf>
    <x:xf numFmtId="0" fontId="14" fillId="9" borderId="18" xfId="0" applyNumberFormat="1" applyFont="1" applyFill="1" applyBorder="1" applyAlignment="1">
      <x:alignment horizontal="center" vertical="center"/>
    </x:xf>
    <x:xf numFmtId="0" fontId="14" fillId="9" borderId="7" xfId="0" applyNumberFormat="1" applyFont="1" applyFill="1" applyBorder="1" applyAlignment="1">
      <x:alignment horizontal="center" vertical="center"/>
    </x:xf>
    <x:xf numFmtId="0" fontId="15" fillId="9" borderId="19" xfId="0" applyNumberFormat="1" applyFont="1" applyFill="1" applyBorder="1"/>
    <x:xf numFmtId="0" fontId="15" fillId="9" borderId="0" xfId="0" applyNumberFormat="1" applyFont="1" applyFill="1" applyBorder="1"/>
    <x:xf numFmtId="0" fontId="15" fillId="9" borderId="20" xfId="0" applyNumberFormat="1" applyFont="1" applyFill="1" applyBorder="1"/>
    <x:xf numFmtId="0" fontId="15" fillId="9" borderId="3" xfId="0" applyNumberFormat="1" applyFont="1" applyFill="1" applyBorder="1"/>
    <x:xf numFmtId="0" fontId="15" fillId="9" borderId="21" xfId="0" applyNumberFormat="1" applyFont="1" applyFill="1" applyBorder="1"/>
    <x:xf numFmtId="0" fontId="15" fillId="9" borderId="1" xfId="0" applyNumberFormat="1" applyFont="1" applyFill="1" applyBorder="1"/>
    <x:xf numFmtId="200" fontId="15" fillId="9" borderId="19" xfId="0" applyNumberFormat="1" applyFont="1" applyFill="1" applyBorder="1"/>
    <x:xf numFmtId="200" fontId="15" fillId="9" borderId="0" xfId="0" applyNumberFormat="1" applyFont="1" applyFill="1" applyBorder="1"/>
    <x:xf numFmtId="200" fontId="15" fillId="9" borderId="20" xfId="0" applyNumberFormat="1" applyFont="1" applyFill="1" applyBorder="1"/>
    <x:xf numFmtId="200" fontId="15" fillId="9" borderId="3" xfId="0" applyNumberFormat="1" applyFont="1" applyFill="1" applyBorder="1"/>
    <x:xf numFmtId="200" fontId="15" fillId="9" borderId="21" xfId="0" applyNumberFormat="1" applyFont="1" applyFill="1" applyBorder="1"/>
    <x:xf numFmtId="200" fontId="15" fillId="9" borderId="1" xfId="0" applyNumberFormat="1" applyFont="1" applyFill="1" applyBorder="1"/>
    <x:xf numFmtId="200" fontId="15" fillId="9" borderId="19" xfId="0" applyNumberFormat="1" applyFont="1" applyFill="1" applyBorder="1" applyAlignment="1">
      <x:alignment horizontal="center"/>
    </x:xf>
    <x:xf numFmtId="200" fontId="15" fillId="9" borderId="0" xfId="0" applyNumberFormat="1" applyFont="1" applyFill="1" applyBorder="1" applyAlignment="1">
      <x:alignment horizontal="center"/>
    </x:xf>
    <x:xf numFmtId="200" fontId="15" fillId="9" borderId="20" xfId="0" applyNumberFormat="1" applyFont="1" applyFill="1" applyBorder="1" applyAlignment="1">
      <x:alignment horizontal="center"/>
    </x:xf>
    <x:xf numFmtId="200" fontId="15" fillId="9" borderId="3" xfId="0" applyNumberFormat="1" applyFont="1" applyFill="1" applyBorder="1" applyAlignment="1">
      <x:alignment horizontal="center"/>
    </x:xf>
    <x:xf numFmtId="200" fontId="15" fillId="9" borderId="21" xfId="0" applyNumberFormat="1" applyFont="1" applyFill="1" applyBorder="1" applyAlignment="1">
      <x:alignment horizontal="center"/>
    </x:xf>
    <x:xf numFmtId="200" fontId="15" fillId="9" borderId="1" xfId="0" applyNumberFormat="1" applyFont="1" applyFill="1" applyBorder="1" applyAlignment="1">
      <x:alignment horizontal="center"/>
    </x:xf>
    <x:xf numFmtId="200" fontId="15" fillId="9" borderId="19" xfId="0" applyNumberFormat="1" applyFont="1" applyFill="1" applyBorder="1" applyAlignment="1">
      <x:alignment horizontal="center" vertical="center"/>
    </x:xf>
    <x:xf numFmtId="200" fontId="15" fillId="9" borderId="0" xfId="0" applyNumberFormat="1" applyFont="1" applyFill="1" applyBorder="1" applyAlignment="1">
      <x:alignment horizontal="center" vertical="center"/>
    </x:xf>
    <x:xf numFmtId="200" fontId="15" fillId="9" borderId="20" xfId="0" applyNumberFormat="1" applyFont="1" applyFill="1" applyBorder="1" applyAlignment="1">
      <x:alignment horizontal="center" vertical="center"/>
    </x:xf>
    <x:xf numFmtId="200" fontId="15" fillId="9" borderId="3" xfId="0" applyNumberFormat="1" applyFont="1" applyFill="1" applyBorder="1" applyAlignment="1">
      <x:alignment horizontal="center" vertical="center"/>
    </x:xf>
    <x:xf numFmtId="200" fontId="15" fillId="9" borderId="21" xfId="0" applyNumberFormat="1" applyFont="1" applyFill="1" applyBorder="1" applyAlignment="1">
      <x:alignment horizontal="center" vertical="center"/>
    </x:xf>
    <x:xf numFmtId="200" fontId="15" fillId="9" borderId="1" xfId="0" applyNumberFormat="1" applyFont="1" applyFill="1" applyBorder="1" applyAlignment="1">
      <x:alignment horizontal="center" vertical="center"/>
    </x:xf>
    <x:xf numFmtId="0" fontId="0" fillId="10" borderId="0" xfId="0" applyNumberFormat="1" applyFont="1" applyFill="1" applyBorder="1"/>
    <x:xf numFmtId="0" fontId="0" fillId="10" borderId="9" xfId="0" applyNumberFormat="1" applyFont="1" applyFill="1" applyBorder="1"/>
    <x:xf numFmtId="0" fontId="0" fillId="10" borderId="18" xfId="0" applyNumberFormat="1" applyFont="1" applyFill="1" applyBorder="1"/>
    <x:xf numFmtId="0" fontId="0" fillId="10" borderId="7" xfId="0" applyNumberFormat="1" applyFont="1" applyFill="1" applyBorder="1"/>
    <x:xf numFmtId="0" fontId="0" fillId="10" borderId="19" xfId="0" applyNumberFormat="1" applyFont="1" applyFill="1" applyBorder="1"/>
    <x:xf numFmtId="0" fontId="0" fillId="10" borderId="20" xfId="0" applyNumberFormat="1" applyFont="1" applyFill="1" applyBorder="1"/>
    <x:xf numFmtId="0" fontId="0" fillId="10" borderId="3" xfId="0" applyNumberFormat="1" applyFont="1" applyFill="1" applyBorder="1"/>
    <x:xf numFmtId="0" fontId="0" fillId="10" borderId="21" xfId="0" applyNumberFormat="1" applyFont="1" applyFill="1" applyBorder="1"/>
    <x:xf numFmtId="0" fontId="0" fillId="10" borderId="1" xfId="0" applyNumberFormat="1" applyFont="1" applyFill="1" applyBorder="1"/>
    <x:xf numFmtId="0" fontId="16" fillId="10" borderId="9" xfId="0" applyNumberFormat="1" applyFont="1" applyFill="1" applyBorder="1"/>
    <x:xf numFmtId="0" fontId="16" fillId="10" borderId="18" xfId="0" applyNumberFormat="1" applyFont="1" applyFill="1" applyBorder="1"/>
    <x:xf numFmtId="0" fontId="16" fillId="10" borderId="7" xfId="0" applyNumberFormat="1" applyFont="1" applyFill="1" applyBorder="1"/>
    <x:xf numFmtId="0" fontId="16" fillId="10" borderId="9" xfId="0" applyNumberFormat="1" applyFont="1" applyFill="1" applyBorder="1" applyAlignment="1">
      <x:alignment horizontal="center"/>
    </x:xf>
    <x:xf numFmtId="0" fontId="16" fillId="10" borderId="18" xfId="0" applyNumberFormat="1" applyFont="1" applyFill="1" applyBorder="1" applyAlignment="1">
      <x:alignment horizontal="center"/>
    </x:xf>
    <x:xf numFmtId="0" fontId="16" fillId="10" borderId="7" xfId="0" applyNumberFormat="1" applyFont="1" applyFill="1" applyBorder="1" applyAlignment="1">
      <x:alignment horizontal="center"/>
    </x:xf>
    <x:xf numFmtId="0" fontId="16" fillId="10" borderId="9" xfId="0" applyNumberFormat="1" applyFont="1" applyFill="1" applyBorder="1" applyAlignment="1">
      <x:alignment horizontal="center" vertical="center"/>
    </x:xf>
    <x:xf numFmtId="0" fontId="16" fillId="10" borderId="18" xfId="0" applyNumberFormat="1" applyFont="1" applyFill="1" applyBorder="1" applyAlignment="1">
      <x:alignment horizontal="center" vertical="center"/>
    </x:xf>
    <x:xf numFmtId="0" fontId="16" fillId="10" borderId="7" xfId="0" applyNumberFormat="1" applyFont="1" applyFill="1" applyBorder="1" applyAlignment="1">
      <x:alignment horizontal="center" vertical="center"/>
    </x:xf>
    <x:xf numFmtId="0" fontId="17" fillId="10" borderId="19" xfId="0" applyNumberFormat="1" applyFont="1" applyFill="1" applyBorder="1"/>
    <x:xf numFmtId="0" fontId="17" fillId="10" borderId="0" xfId="0" applyNumberFormat="1" applyFont="1" applyFill="1" applyBorder="1"/>
    <x:xf numFmtId="0" fontId="17" fillId="10" borderId="20" xfId="0" applyNumberFormat="1" applyFont="1" applyFill="1" applyBorder="1"/>
    <x:xf numFmtId="0" fontId="17" fillId="10" borderId="3" xfId="0" applyNumberFormat="1" applyFont="1" applyFill="1" applyBorder="1"/>
    <x:xf numFmtId="0" fontId="17" fillId="10" borderId="21" xfId="0" applyNumberFormat="1" applyFont="1" applyFill="1" applyBorder="1"/>
    <x:xf numFmtId="0" fontId="17" fillId="10" borderId="1" xfId="0" applyNumberFormat="1" applyFont="1" applyFill="1" applyBorder="1"/>
    <x:xf numFmtId="200" fontId="17" fillId="10" borderId="19" xfId="0" applyNumberFormat="1" applyFont="1" applyFill="1" applyBorder="1"/>
    <x:xf numFmtId="200" fontId="17" fillId="10" borderId="0" xfId="0" applyNumberFormat="1" applyFont="1" applyFill="1" applyBorder="1"/>
    <x:xf numFmtId="200" fontId="17" fillId="10" borderId="20" xfId="0" applyNumberFormat="1" applyFont="1" applyFill="1" applyBorder="1"/>
    <x:xf numFmtId="200" fontId="17" fillId="10" borderId="3" xfId="0" applyNumberFormat="1" applyFont="1" applyFill="1" applyBorder="1"/>
    <x:xf numFmtId="200" fontId="17" fillId="10" borderId="21" xfId="0" applyNumberFormat="1" applyFont="1" applyFill="1" applyBorder="1"/>
    <x:xf numFmtId="200" fontId="17" fillId="10" borderId="1" xfId="0" applyNumberFormat="1" applyFont="1" applyFill="1" applyBorder="1"/>
    <x:xf numFmtId="200" fontId="17" fillId="10" borderId="19" xfId="0" applyNumberFormat="1" applyFont="1" applyFill="1" applyBorder="1" applyAlignment="1">
      <x:alignment horizontal="center"/>
    </x:xf>
    <x:xf numFmtId="200" fontId="17" fillId="10" borderId="0" xfId="0" applyNumberFormat="1" applyFont="1" applyFill="1" applyBorder="1" applyAlignment="1">
      <x:alignment horizontal="center"/>
    </x:xf>
    <x:xf numFmtId="200" fontId="17" fillId="10" borderId="20" xfId="0" applyNumberFormat="1" applyFont="1" applyFill="1" applyBorder="1" applyAlignment="1">
      <x:alignment horizontal="center"/>
    </x:xf>
    <x:xf numFmtId="200" fontId="17" fillId="10" borderId="3" xfId="0" applyNumberFormat="1" applyFont="1" applyFill="1" applyBorder="1" applyAlignment="1">
      <x:alignment horizontal="center"/>
    </x:xf>
    <x:xf numFmtId="200" fontId="17" fillId="10" borderId="21" xfId="0" applyNumberFormat="1" applyFont="1" applyFill="1" applyBorder="1" applyAlignment="1">
      <x:alignment horizontal="center"/>
    </x:xf>
    <x:xf numFmtId="200" fontId="17" fillId="10" borderId="1" xfId="0" applyNumberFormat="1" applyFont="1" applyFill="1" applyBorder="1" applyAlignment="1">
      <x:alignment horizontal="center"/>
    </x:xf>
    <x:xf numFmtId="200" fontId="17" fillId="10" borderId="19" xfId="0" applyNumberFormat="1" applyFont="1" applyFill="1" applyBorder="1" applyAlignment="1">
      <x:alignment horizontal="center" vertical="center"/>
    </x:xf>
    <x:xf numFmtId="200" fontId="17" fillId="10" borderId="0" xfId="0" applyNumberFormat="1" applyFont="1" applyFill="1" applyBorder="1" applyAlignment="1">
      <x:alignment horizontal="center" vertical="center"/>
    </x:xf>
    <x:xf numFmtId="200" fontId="17" fillId="10" borderId="20" xfId="0" applyNumberFormat="1" applyFont="1" applyFill="1" applyBorder="1" applyAlignment="1">
      <x:alignment horizontal="center" vertical="center"/>
    </x:xf>
    <x:xf numFmtId="200" fontId="17" fillId="10" borderId="3" xfId="0" applyNumberFormat="1" applyFont="1" applyFill="1" applyBorder="1" applyAlignment="1">
      <x:alignment horizontal="center" vertical="center"/>
    </x:xf>
    <x:xf numFmtId="200" fontId="17" fillId="10" borderId="21" xfId="0" applyNumberFormat="1" applyFont="1" applyFill="1" applyBorder="1" applyAlignment="1">
      <x:alignment horizontal="center" vertical="center"/>
    </x:xf>
    <x:xf numFmtId="200" fontId="17" fillId="10" borderId="1" xfId="0" applyNumberFormat="1" applyFont="1" applyFill="1" applyBorder="1" applyAlignment="1">
      <x:alignment horizontal="center" vertical="center"/>
    </x:xf>
    <x:xf numFmtId="0" fontId="0" fillId="5" borderId="9" xfId="0" applyNumberFormat="1" applyFont="1" applyFill="1" applyBorder="1"/>
    <x:xf numFmtId="0" fontId="0" fillId="5" borderId="18" xfId="0" applyNumberFormat="1" applyFont="1" applyFill="1" applyBorder="1"/>
    <x:xf numFmtId="0" fontId="0" fillId="5" borderId="7" xfId="0" applyNumberFormat="1" applyFont="1" applyFill="1" applyBorder="1"/>
    <x:xf numFmtId="0" fontId="0" fillId="5" borderId="19" xfId="0" applyNumberFormat="1" applyFont="1" applyFill="1" applyBorder="1"/>
    <x:xf numFmtId="0" fontId="0" fillId="5" borderId="20" xfId="0" applyNumberFormat="1" applyFont="1" applyFill="1" applyBorder="1"/>
    <x:xf numFmtId="0" fontId="0" fillId="5" borderId="3" xfId="0" applyNumberFormat="1" applyFont="1" applyFill="1" applyBorder="1"/>
    <x:xf numFmtId="0" fontId="0" fillId="5" borderId="21" xfId="0" applyNumberFormat="1" applyFont="1" applyFill="1" applyBorder="1"/>
    <x:xf numFmtId="0" fontId="0" fillId="5" borderId="1" xfId="0" applyNumberFormat="1" applyFont="1" applyFill="1" applyBorder="1"/>
    <x:xf numFmtId="0" fontId="18" fillId="5" borderId="9" xfId="0" applyNumberFormat="1" applyFont="1" applyFill="1" applyBorder="1"/>
    <x:xf numFmtId="0" fontId="18" fillId="5" borderId="18" xfId="0" applyNumberFormat="1" applyFont="1" applyFill="1" applyBorder="1"/>
    <x:xf numFmtId="0" fontId="18" fillId="5" borderId="7" xfId="0" applyNumberFormat="1" applyFont="1" applyFill="1" applyBorder="1"/>
    <x:xf numFmtId="0" fontId="18" fillId="5" borderId="9" xfId="0" applyNumberFormat="1" applyFont="1" applyFill="1" applyBorder="1" applyAlignment="1">
      <x:alignment horizontal="center"/>
    </x:xf>
    <x:xf numFmtId="0" fontId="18" fillId="5" borderId="18" xfId="0" applyNumberFormat="1" applyFont="1" applyFill="1" applyBorder="1" applyAlignment="1">
      <x:alignment horizontal="center"/>
    </x:xf>
    <x:xf numFmtId="0" fontId="18" fillId="5" borderId="7" xfId="0" applyNumberFormat="1" applyFont="1" applyFill="1" applyBorder="1" applyAlignment="1">
      <x:alignment horizontal="center"/>
    </x:xf>
    <x:xf numFmtId="0" fontId="18" fillId="5" borderId="9" xfId="0" applyNumberFormat="1" applyFont="1" applyFill="1" applyBorder="1" applyAlignment="1">
      <x:alignment horizontal="center" vertical="center"/>
    </x:xf>
    <x:xf numFmtId="0" fontId="18" fillId="5" borderId="18" xfId="0" applyNumberFormat="1" applyFont="1" applyFill="1" applyBorder="1" applyAlignment="1">
      <x:alignment horizontal="center" vertical="center"/>
    </x:xf>
    <x:xf numFmtId="0" fontId="18" fillId="5" borderId="7" xfId="0" applyNumberFormat="1" applyFont="1" applyFill="1" applyBorder="1" applyAlignment="1">
      <x:alignment horizontal="center" vertical="center"/>
    </x:xf>
    <x:xf numFmtId="0" fontId="19" fillId="5" borderId="19" xfId="0" applyNumberFormat="1" applyFont="1" applyFill="1" applyBorder="1"/>
    <x:xf numFmtId="0" fontId="19" fillId="5" borderId="0" xfId="0" applyNumberFormat="1" applyFont="1" applyFill="1" applyBorder="1"/>
    <x:xf numFmtId="0" fontId="19" fillId="5" borderId="20" xfId="0" applyNumberFormat="1" applyFont="1" applyFill="1" applyBorder="1"/>
    <x:xf numFmtId="0" fontId="19" fillId="5" borderId="3" xfId="0" applyNumberFormat="1" applyFont="1" applyFill="1" applyBorder="1"/>
    <x:xf numFmtId="0" fontId="19" fillId="5" borderId="21" xfId="0" applyNumberFormat="1" applyFont="1" applyFill="1" applyBorder="1"/>
    <x:xf numFmtId="0" fontId="19" fillId="5" borderId="1" xfId="0" applyNumberFormat="1" applyFont="1" applyFill="1" applyBorder="1"/>
    <x:xf numFmtId="200" fontId="19" fillId="5" borderId="19" xfId="0" applyNumberFormat="1" applyFont="1" applyFill="1" applyBorder="1"/>
    <x:xf numFmtId="200" fontId="19" fillId="5" borderId="0" xfId="0" applyNumberFormat="1" applyFont="1" applyFill="1" applyBorder="1"/>
    <x:xf numFmtId="200" fontId="19" fillId="5" borderId="20" xfId="0" applyNumberFormat="1" applyFont="1" applyFill="1" applyBorder="1"/>
    <x:xf numFmtId="200" fontId="19" fillId="5" borderId="3" xfId="0" applyNumberFormat="1" applyFont="1" applyFill="1" applyBorder="1"/>
    <x:xf numFmtId="200" fontId="19" fillId="5" borderId="21" xfId="0" applyNumberFormat="1" applyFont="1" applyFill="1" applyBorder="1"/>
    <x:xf numFmtId="200" fontId="19" fillId="5" borderId="1" xfId="0" applyNumberFormat="1" applyFont="1" applyFill="1" applyBorder="1"/>
    <x:xf numFmtId="200" fontId="19" fillId="5" borderId="19" xfId="0" applyNumberFormat="1" applyFont="1" applyFill="1" applyBorder="1" applyAlignment="1">
      <x:alignment horizontal="center"/>
    </x:xf>
    <x:xf numFmtId="200" fontId="19" fillId="5" borderId="0" xfId="0" applyNumberFormat="1" applyFont="1" applyFill="1" applyBorder="1" applyAlignment="1">
      <x:alignment horizontal="center"/>
    </x:xf>
    <x:xf numFmtId="200" fontId="19" fillId="5" borderId="20" xfId="0" applyNumberFormat="1" applyFont="1" applyFill="1" applyBorder="1" applyAlignment="1">
      <x:alignment horizontal="center"/>
    </x:xf>
    <x:xf numFmtId="200" fontId="19" fillId="5" borderId="3" xfId="0" applyNumberFormat="1" applyFont="1" applyFill="1" applyBorder="1" applyAlignment="1">
      <x:alignment horizontal="center"/>
    </x:xf>
    <x:xf numFmtId="200" fontId="19" fillId="5" borderId="21" xfId="0" applyNumberFormat="1" applyFont="1" applyFill="1" applyBorder="1" applyAlignment="1">
      <x:alignment horizontal="center"/>
    </x:xf>
    <x:xf numFmtId="200" fontId="19" fillId="5" borderId="1" xfId="0" applyNumberFormat="1" applyFont="1" applyFill="1" applyBorder="1" applyAlignment="1">
      <x:alignment horizontal="center"/>
    </x:xf>
    <x:xf numFmtId="200" fontId="19" fillId="5" borderId="19" xfId="0" applyNumberFormat="1" applyFont="1" applyFill="1" applyBorder="1" applyAlignment="1">
      <x:alignment horizontal="center" vertical="center"/>
    </x:xf>
    <x:xf numFmtId="200" fontId="19" fillId="5" borderId="0" xfId="0" applyNumberFormat="1" applyFont="1" applyFill="1" applyBorder="1" applyAlignment="1">
      <x:alignment horizontal="center" vertical="center"/>
    </x:xf>
    <x:xf numFmtId="200" fontId="19" fillId="5" borderId="20" xfId="0" applyNumberFormat="1" applyFont="1" applyFill="1" applyBorder="1" applyAlignment="1">
      <x:alignment horizontal="center" vertical="center"/>
    </x:xf>
    <x:xf numFmtId="200" fontId="19" fillId="5" borderId="3" xfId="0" applyNumberFormat="1" applyFont="1" applyFill="1" applyBorder="1" applyAlignment="1">
      <x:alignment horizontal="center" vertical="center"/>
    </x:xf>
    <x:xf numFmtId="200" fontId="19" fillId="5" borderId="21" xfId="0" applyNumberFormat="1" applyFont="1" applyFill="1" applyBorder="1" applyAlignment="1">
      <x:alignment horizontal="center" vertical="center"/>
    </x:xf>
    <x:xf numFmtId="200" fontId="19" fillId="5" borderId="1" xfId="0" applyNumberFormat="1" applyFont="1" applyFill="1" applyBorder="1" applyAlignment="1">
      <x:alignment horizontal="center" vertical="center"/>
    </x:xf>
    <x:xf numFmtId="0" fontId="0" fillId="11" borderId="0" xfId="0" applyNumberFormat="1" applyFont="1" applyFill="1" applyBorder="1"/>
    <x:xf numFmtId="0" fontId="0" fillId="11" borderId="9" xfId="0" applyNumberFormat="1" applyFont="1" applyFill="1" applyBorder="1"/>
    <x:xf numFmtId="0" fontId="0" fillId="11" borderId="18" xfId="0" applyNumberFormat="1" applyFont="1" applyFill="1" applyBorder="1"/>
    <x:xf numFmtId="0" fontId="0" fillId="11" borderId="7" xfId="0" applyNumberFormat="1" applyFont="1" applyFill="1" applyBorder="1"/>
    <x:xf numFmtId="0" fontId="0" fillId="11" borderId="19" xfId="0" applyNumberFormat="1" applyFont="1" applyFill="1" applyBorder="1"/>
    <x:xf numFmtId="0" fontId="0" fillId="11" borderId="20" xfId="0" applyNumberFormat="1" applyFont="1" applyFill="1" applyBorder="1"/>
    <x:xf numFmtId="0" fontId="0" fillId="11" borderId="3" xfId="0" applyNumberFormat="1" applyFont="1" applyFill="1" applyBorder="1"/>
    <x:xf numFmtId="0" fontId="0" fillId="11" borderId="21" xfId="0" applyNumberFormat="1" applyFont="1" applyFill="1" applyBorder="1"/>
    <x:xf numFmtId="0" fontId="0" fillId="11" borderId="1" xfId="0" applyNumberFormat="1" applyFont="1" applyFill="1" applyBorder="1"/>
    <x:xf numFmtId="0" fontId="20" fillId="11" borderId="9" xfId="0" applyNumberFormat="1" applyFont="1" applyFill="1" applyBorder="1"/>
    <x:xf numFmtId="0" fontId="20" fillId="11" borderId="18" xfId="0" applyNumberFormat="1" applyFont="1" applyFill="1" applyBorder="1"/>
    <x:xf numFmtId="0" fontId="20" fillId="11" borderId="7" xfId="0" applyNumberFormat="1" applyFont="1" applyFill="1" applyBorder="1"/>
    <x:xf numFmtId="0" fontId="20" fillId="11" borderId="9" xfId="0" applyNumberFormat="1" applyFont="1" applyFill="1" applyBorder="1" applyAlignment="1">
      <x:alignment horizontal="center"/>
    </x:xf>
    <x:xf numFmtId="0" fontId="20" fillId="11" borderId="18" xfId="0" applyNumberFormat="1" applyFont="1" applyFill="1" applyBorder="1" applyAlignment="1">
      <x:alignment horizontal="center"/>
    </x:xf>
    <x:xf numFmtId="0" fontId="20" fillId="11" borderId="7" xfId="0" applyNumberFormat="1" applyFont="1" applyFill="1" applyBorder="1" applyAlignment="1">
      <x:alignment horizontal="center"/>
    </x:xf>
    <x:xf numFmtId="0" fontId="20" fillId="11" borderId="9" xfId="0" applyNumberFormat="1" applyFont="1" applyFill="1" applyBorder="1" applyAlignment="1">
      <x:alignment horizontal="center" vertical="center"/>
    </x:xf>
    <x:xf numFmtId="0" fontId="20" fillId="11" borderId="18" xfId="0" applyNumberFormat="1" applyFont="1" applyFill="1" applyBorder="1" applyAlignment="1">
      <x:alignment horizontal="center" vertical="center"/>
    </x:xf>
    <x:xf numFmtId="0" fontId="20" fillId="11" borderId="7" xfId="0" applyNumberFormat="1" applyFont="1" applyFill="1" applyBorder="1" applyAlignment="1">
      <x:alignment horizontal="center" vertical="center"/>
    </x:xf>
    <x:xf numFmtId="0" fontId="21" fillId="11" borderId="19" xfId="0" applyNumberFormat="1" applyFont="1" applyFill="1" applyBorder="1"/>
    <x:xf numFmtId="0" fontId="21" fillId="11" borderId="0" xfId="0" applyNumberFormat="1" applyFont="1" applyFill="1" applyBorder="1"/>
    <x:xf numFmtId="0" fontId="21" fillId="11" borderId="20" xfId="0" applyNumberFormat="1" applyFont="1" applyFill="1" applyBorder="1"/>
    <x:xf numFmtId="0" fontId="21" fillId="11" borderId="3" xfId="0" applyNumberFormat="1" applyFont="1" applyFill="1" applyBorder="1"/>
    <x:xf numFmtId="0" fontId="21" fillId="11" borderId="21" xfId="0" applyNumberFormat="1" applyFont="1" applyFill="1" applyBorder="1"/>
    <x:xf numFmtId="0" fontId="21" fillId="11" borderId="1" xfId="0" applyNumberFormat="1" applyFont="1" applyFill="1" applyBorder="1"/>
    <x:xf numFmtId="200" fontId="21" fillId="11" borderId="19" xfId="0" applyNumberFormat="1" applyFont="1" applyFill="1" applyBorder="1"/>
    <x:xf numFmtId="200" fontId="21" fillId="11" borderId="0" xfId="0" applyNumberFormat="1" applyFont="1" applyFill="1" applyBorder="1"/>
    <x:xf numFmtId="200" fontId="21" fillId="11" borderId="20" xfId="0" applyNumberFormat="1" applyFont="1" applyFill="1" applyBorder="1"/>
    <x:xf numFmtId="200" fontId="21" fillId="11" borderId="3" xfId="0" applyNumberFormat="1" applyFont="1" applyFill="1" applyBorder="1"/>
    <x:xf numFmtId="200" fontId="21" fillId="11" borderId="21" xfId="0" applyNumberFormat="1" applyFont="1" applyFill="1" applyBorder="1"/>
    <x:xf numFmtId="200" fontId="21" fillId="11" borderId="1" xfId="0" applyNumberFormat="1" applyFont="1" applyFill="1" applyBorder="1"/>
    <x:xf numFmtId="200" fontId="21" fillId="11" borderId="19" xfId="0" applyNumberFormat="1" applyFont="1" applyFill="1" applyBorder="1" applyAlignment="1">
      <x:alignment horizontal="center"/>
    </x:xf>
    <x:xf numFmtId="200" fontId="21" fillId="11" borderId="0" xfId="0" applyNumberFormat="1" applyFont="1" applyFill="1" applyBorder="1" applyAlignment="1">
      <x:alignment horizontal="center"/>
    </x:xf>
    <x:xf numFmtId="200" fontId="21" fillId="11" borderId="20" xfId="0" applyNumberFormat="1" applyFont="1" applyFill="1" applyBorder="1" applyAlignment="1">
      <x:alignment horizontal="center"/>
    </x:xf>
    <x:xf numFmtId="200" fontId="21" fillId="11" borderId="3" xfId="0" applyNumberFormat="1" applyFont="1" applyFill="1" applyBorder="1" applyAlignment="1">
      <x:alignment horizontal="center"/>
    </x:xf>
    <x:xf numFmtId="200" fontId="21" fillId="11" borderId="21" xfId="0" applyNumberFormat="1" applyFont="1" applyFill="1" applyBorder="1" applyAlignment="1">
      <x:alignment horizontal="center"/>
    </x:xf>
    <x:xf numFmtId="200" fontId="21" fillId="11" borderId="1" xfId="0" applyNumberFormat="1" applyFont="1" applyFill="1" applyBorder="1" applyAlignment="1">
      <x:alignment horizontal="center"/>
    </x:xf>
    <x:xf numFmtId="200" fontId="21" fillId="11" borderId="19" xfId="0" applyNumberFormat="1" applyFont="1" applyFill="1" applyBorder="1" applyAlignment="1">
      <x:alignment horizontal="center" vertical="center"/>
    </x:xf>
    <x:xf numFmtId="200" fontId="21" fillId="11" borderId="0" xfId="0" applyNumberFormat="1" applyFont="1" applyFill="1" applyBorder="1" applyAlignment="1">
      <x:alignment horizontal="center" vertical="center"/>
    </x:xf>
    <x:xf numFmtId="200" fontId="21" fillId="11" borderId="20" xfId="0" applyNumberFormat="1" applyFont="1" applyFill="1" applyBorder="1" applyAlignment="1">
      <x:alignment horizontal="center" vertical="center"/>
    </x:xf>
    <x:xf numFmtId="200" fontId="21" fillId="11" borderId="3" xfId="0" applyNumberFormat="1" applyFont="1" applyFill="1" applyBorder="1" applyAlignment="1">
      <x:alignment horizontal="center" vertical="center"/>
    </x:xf>
    <x:xf numFmtId="200" fontId="21" fillId="11" borderId="21" xfId="0" applyNumberFormat="1" applyFont="1" applyFill="1" applyBorder="1" applyAlignment="1">
      <x:alignment horizontal="center" vertical="center"/>
    </x:xf>
    <x:xf numFmtId="200" fontId="21" fillId="11" borderId="1" xfId="0" applyNumberFormat="1" applyFont="1" applyFill="1" applyBorder="1" applyAlignment="1">
      <x:alignment horizontal="center" vertical="center"/>
    </x:xf>
    <x:xf numFmtId="0" fontId="0" fillId="6" borderId="9" xfId="0" applyNumberFormat="1" applyFont="1" applyFill="1" applyBorder="1"/>
    <x:xf numFmtId="0" fontId="0" fillId="6" borderId="18" xfId="0" applyNumberFormat="1" applyFont="1" applyFill="1" applyBorder="1"/>
    <x:xf numFmtId="0" fontId="0" fillId="6" borderId="7" xfId="0" applyNumberFormat="1" applyFont="1" applyFill="1" applyBorder="1"/>
    <x:xf numFmtId="0" fontId="0" fillId="6" borderId="19" xfId="0" applyNumberFormat="1" applyFont="1" applyFill="1" applyBorder="1"/>
    <x:xf numFmtId="0" fontId="0" fillId="6" borderId="20" xfId="0" applyNumberFormat="1" applyFont="1" applyFill="1" applyBorder="1"/>
    <x:xf numFmtId="0" fontId="0" fillId="6" borderId="3" xfId="0" applyNumberFormat="1" applyFont="1" applyFill="1" applyBorder="1"/>
    <x:xf numFmtId="0" fontId="0" fillId="6" borderId="21" xfId="0" applyNumberFormat="1" applyFont="1" applyFill="1" applyBorder="1"/>
    <x:xf numFmtId="0" fontId="0" fillId="6" borderId="1" xfId="0" applyNumberFormat="1" applyFont="1" applyFill="1" applyBorder="1"/>
    <x:xf numFmtId="0" fontId="6" fillId="6" borderId="9" xfId="0" applyNumberFormat="1" applyFont="1" applyFill="1" applyBorder="1"/>
    <x:xf numFmtId="0" fontId="6" fillId="6" borderId="18" xfId="0" applyNumberFormat="1" applyFont="1" applyFill="1" applyBorder="1"/>
    <x:xf numFmtId="0" fontId="6" fillId="6" borderId="7" xfId="0" applyNumberFormat="1" applyFont="1" applyFill="1" applyBorder="1"/>
    <x:xf numFmtId="0" fontId="6" fillId="6" borderId="9" xfId="0" applyNumberFormat="1" applyFont="1" applyFill="1" applyBorder="1" applyAlignment="1">
      <x:alignment horizontal="center"/>
    </x:xf>
    <x:xf numFmtId="0" fontId="6" fillId="6" borderId="18" xfId="0" applyNumberFormat="1" applyFont="1" applyFill="1" applyBorder="1" applyAlignment="1">
      <x:alignment horizontal="center"/>
    </x:xf>
    <x:xf numFmtId="0" fontId="6" fillId="6" borderId="7" xfId="0" applyNumberFormat="1" applyFont="1" applyFill="1" applyBorder="1" applyAlignment="1">
      <x:alignment horizontal="center"/>
    </x:xf>
    <x:xf numFmtId="0" fontId="6" fillId="6" borderId="9" xfId="0" applyNumberFormat="1" applyFont="1" applyFill="1" applyBorder="1" applyAlignment="1">
      <x:alignment horizontal="center" vertical="center"/>
    </x:xf>
    <x:xf numFmtId="0" fontId="6" fillId="6" borderId="18" xfId="0" applyNumberFormat="1" applyFont="1" applyFill="1" applyBorder="1" applyAlignment="1">
      <x:alignment horizontal="center" vertical="center"/>
    </x:xf>
    <x:xf numFmtId="0" fontId="6" fillId="6" borderId="7" xfId="0" applyNumberFormat="1" applyFont="1" applyFill="1" applyBorder="1" applyAlignment="1">
      <x:alignment horizontal="center" vertical="center"/>
    </x:xf>
    <x:xf numFmtId="0" fontId="22" fillId="6" borderId="19" xfId="0" applyNumberFormat="1" applyFont="1" applyFill="1" applyBorder="1"/>
    <x:xf numFmtId="0" fontId="22" fillId="6" borderId="0" xfId="0" applyNumberFormat="1" applyFont="1" applyFill="1" applyBorder="1"/>
    <x:xf numFmtId="0" fontId="22" fillId="6" borderId="20" xfId="0" applyNumberFormat="1" applyFont="1" applyFill="1" applyBorder="1"/>
    <x:xf numFmtId="0" fontId="22" fillId="6" borderId="3" xfId="0" applyNumberFormat="1" applyFont="1" applyFill="1" applyBorder="1"/>
    <x:xf numFmtId="0" fontId="22" fillId="6" borderId="21" xfId="0" applyNumberFormat="1" applyFont="1" applyFill="1" applyBorder="1"/>
    <x:xf numFmtId="0" fontId="22" fillId="6" borderId="1" xfId="0" applyNumberFormat="1" applyFont="1" applyFill="1" applyBorder="1"/>
    <x:xf numFmtId="200" fontId="22" fillId="6" borderId="19" xfId="0" applyNumberFormat="1" applyFont="1" applyFill="1" applyBorder="1"/>
    <x:xf numFmtId="200" fontId="22" fillId="6" borderId="0" xfId="0" applyNumberFormat="1" applyFont="1" applyFill="1" applyBorder="1"/>
    <x:xf numFmtId="200" fontId="22" fillId="6" borderId="20" xfId="0" applyNumberFormat="1" applyFont="1" applyFill="1" applyBorder="1"/>
    <x:xf numFmtId="200" fontId="22" fillId="6" borderId="3" xfId="0" applyNumberFormat="1" applyFont="1" applyFill="1" applyBorder="1"/>
    <x:xf numFmtId="200" fontId="22" fillId="6" borderId="21" xfId="0" applyNumberFormat="1" applyFont="1" applyFill="1" applyBorder="1"/>
    <x:xf numFmtId="200" fontId="22" fillId="6" borderId="1" xfId="0" applyNumberFormat="1" applyFont="1" applyFill="1" applyBorder="1"/>
    <x:xf numFmtId="200" fontId="22" fillId="6" borderId="19" xfId="0" applyNumberFormat="1" applyFont="1" applyFill="1" applyBorder="1" applyAlignment="1">
      <x:alignment horizontal="center"/>
    </x:xf>
    <x:xf numFmtId="200" fontId="22" fillId="6" borderId="0" xfId="0" applyNumberFormat="1" applyFont="1" applyFill="1" applyBorder="1" applyAlignment="1">
      <x:alignment horizontal="center"/>
    </x:xf>
    <x:xf numFmtId="200" fontId="22" fillId="6" borderId="20" xfId="0" applyNumberFormat="1" applyFont="1" applyFill="1" applyBorder="1" applyAlignment="1">
      <x:alignment horizontal="center"/>
    </x:xf>
    <x:xf numFmtId="200" fontId="22" fillId="6" borderId="3" xfId="0" applyNumberFormat="1" applyFont="1" applyFill="1" applyBorder="1" applyAlignment="1">
      <x:alignment horizontal="center"/>
    </x:xf>
    <x:xf numFmtId="200" fontId="22" fillId="6" borderId="21" xfId="0" applyNumberFormat="1" applyFont="1" applyFill="1" applyBorder="1" applyAlignment="1">
      <x:alignment horizontal="center"/>
    </x:xf>
    <x:xf numFmtId="200" fontId="22" fillId="6" borderId="1" xfId="0" applyNumberFormat="1" applyFont="1" applyFill="1" applyBorder="1" applyAlignment="1">
      <x:alignment horizontal="center"/>
    </x:xf>
    <x:xf numFmtId="200" fontId="22" fillId="6" borderId="19" xfId="0" applyNumberFormat="1" applyFont="1" applyFill="1" applyBorder="1" applyAlignment="1">
      <x:alignment horizontal="center" vertical="center"/>
    </x:xf>
    <x:xf numFmtId="200" fontId="22" fillId="6" borderId="0" xfId="0" applyNumberFormat="1" applyFont="1" applyFill="1" applyBorder="1" applyAlignment="1">
      <x:alignment horizontal="center" vertical="center"/>
    </x:xf>
    <x:xf numFmtId="200" fontId="22" fillId="6" borderId="20" xfId="0" applyNumberFormat="1" applyFont="1" applyFill="1" applyBorder="1" applyAlignment="1">
      <x:alignment horizontal="center" vertical="center"/>
    </x:xf>
    <x:xf numFmtId="200" fontId="22" fillId="6" borderId="3" xfId="0" applyNumberFormat="1" applyFont="1" applyFill="1" applyBorder="1" applyAlignment="1">
      <x:alignment horizontal="center" vertical="center"/>
    </x:xf>
    <x:xf numFmtId="200" fontId="22" fillId="6" borderId="21" xfId="0" applyNumberFormat="1" applyFont="1" applyFill="1" applyBorder="1" applyAlignment="1">
      <x:alignment horizontal="center" vertical="center"/>
    </x:xf>
    <x:xf numFmtId="200" fontId="22" fillId="6" borderId="1" xfId="0" applyNumberFormat="1" applyFont="1" applyFill="1" applyBorder="1" applyAlignment="1">
      <x:alignment horizontal="center" vertical="center"/>
    </x:xf>
    <x:xf numFmtId="0" fontId="0" fillId="0" borderId="5" xfId="0" applyNumberFormat="1" applyFont="1" applyFill="1" applyBorder="1"/>
    <x:xf numFmtId="0" fontId="0" fillId="2" borderId="5" xfId="0" applyNumberFormat="1" applyFont="1" applyFill="1" applyBorder="1"/>
    <x:xf numFmtId="0" fontId="1" fillId="2" borderId="5" xfId="0" applyNumberFormat="1" applyFont="1" applyFill="1" applyBorder="1"/>
    <x:xf numFmtId="0" fontId="0" fillId="3" borderId="5" xfId="0" applyNumberFormat="1" applyFont="1" applyFill="1" applyBorder="1"/>
    <x:xf numFmtId="0" fontId="1" fillId="3" borderId="5" xfId="0" applyNumberFormat="1" applyFont="1" applyFill="1" applyBorder="1"/>
    <x:xf numFmtId="200" fontId="0" fillId="0" borderId="5" xfId="0" applyNumberFormat="1" applyFont="1" applyFill="1" applyBorder="1"/>
    <x:xf numFmtId="0" fontId="23" fillId="4" borderId="0" xfId="0" applyNumberFormat="1" applyFont="1" applyFill="1" applyBorder="1"/>
    <x:xf numFmtId="0" fontId="23" fillId="4" borderId="0" xfId="0" applyNumberFormat="1" applyFont="1" applyFill="1" applyBorder="1" applyAlignment="1">
      <x:alignment horizontal="center"/>
    </x:xf>
    <x:xf numFmtId="0" fontId="23" fillId="4" borderId="0" xfId="0" applyNumberFormat="1" applyFont="1" applyFill="1" applyBorder="1" applyAlignment="1">
      <x:alignment horizontal="center" vertical="center"/>
    </x:xf>
    <x:xf numFmtId="0" fontId="0" fillId="5" borderId="0" xfId="0" applyNumberFormat="1" applyFont="1" applyFill="1" applyBorder="1" applyAlignment="1">
      <x:alignment wrapText="1"/>
    </x:xf>
    <x:xf numFmtId="0" fontId="0" fillId="5" borderId="0" xfId="0" applyNumberFormat="1" applyFont="1" applyFill="1" applyBorder="1" applyAlignment="1">
      <x:alignment vertical="center" wrapText="1"/>
    </x:xf>
    <x:xf numFmtId="0" fontId="5" fillId="12" borderId="4" xfId="0" applyNumberFormat="1" applyFont="1" applyFill="1" applyBorder="1" applyAlignment="1">
      <x:alignment horizontal="center" vertical="center"/>
    </x:xf>
    <x:xf numFmtId="0" fontId="24" fillId="12" borderId="4" xfId="0" applyNumberFormat="1" applyFont="1" applyFill="1" applyBorder="1" applyAlignment="1">
      <x:alignment horizontal="center" vertical="center"/>
    </x:xf>
    <x:xf numFmtId="0" fontId="5" fillId="13" borderId="4" xfId="0" applyNumberFormat="1" applyFont="1" applyFill="1" applyBorder="1" applyAlignment="1">
      <x:alignment horizontal="center" vertical="center"/>
    </x:xf>
    <x:xf numFmtId="0" fontId="14" fillId="13" borderId="4" xfId="0" applyNumberFormat="1" applyFont="1" applyFill="1" applyBorder="1" applyAlignment="1">
      <x:alignment horizontal="center" vertical="center"/>
    </x:xf>
    <x:xf numFmtId="0" fontId="5" fillId="14" borderId="7" xfId="0" applyNumberFormat="1" applyFont="1" applyFill="1" applyBorder="1" applyAlignment="1">
      <x:alignment horizontal="center" vertical="center"/>
    </x:xf>
    <x:xf numFmtId="0" fontId="6" fillId="14" borderId="7" xfId="0" applyNumberFormat="1" applyFont="1" applyFill="1" applyBorder="1" applyAlignment="1">
      <x:alignment horizontal="center" vertical="center"/>
    </x:xf>
    <x:xf numFmtId="0" fontId="0" fillId="15" borderId="0" xfId="0" applyNumberFormat="1" applyFont="1" applyFill="1" applyBorder="1"/>
    <x:xf numFmtId="0" fontId="20" fillId="15" borderId="0" xfId="0" applyNumberFormat="1" applyFont="1" applyFill="1" applyBorder="1"/>
    <x:xf numFmtId="0" fontId="20" fillId="15" borderId="0" xfId="0" applyNumberFormat="1" applyFont="1" applyFill="1" applyBorder="1" applyAlignment="1">
      <x:alignment horizontal="center"/>
    </x:xf>
    <x:xf numFmtId="0" fontId="20" fillId="15" borderId="0" xfId="0" applyNumberFormat="1" applyFont="1" applyFill="1" applyBorder="1" applyAlignment="1">
      <x:alignment horizontal="center" vertical="center"/>
    </x:xf>
    <x:xf numFmtId="0" fontId="20" fillId="15" borderId="20" xfId="0" applyNumberFormat="1" applyFont="1" applyFill="1" applyBorder="1" applyAlignment="1">
      <x:alignment horizontal="center" vertical="center"/>
    </x:xf>
    <x:xf numFmtId="0" fontId="0" fillId="0" borderId="22" xfId="0" applyNumberFormat="1" applyFont="1" applyFill="1" applyBorder="1" applyAlignment="1">
      <x:alignment vertical="center" wrapText="1"/>
    </x:xf>
    <x:xf numFmtId="0" fontId="0" fillId="0" borderId="19" xfId="0" applyNumberFormat="1" applyFont="1" applyFill="1" applyBorder="1" applyAlignment="1">
      <x:alignment vertical="center" wrapText="1"/>
    </x:xf>
    <x:xf numFmtId="0" fontId="14" fillId="12" borderId="9" xfId="0" applyNumberFormat="1" applyFont="1" applyFill="1" applyBorder="1" applyAlignment="1">
      <x:alignment horizontal="center" vertical="center"/>
    </x:xf>
    <x:xf numFmtId="0" fontId="14" fillId="12" borderId="18" xfId="0" applyNumberFormat="1" applyFont="1" applyFill="1" applyBorder="1" applyAlignment="1">
      <x:alignment horizontal="center" vertical="center"/>
    </x:xf>
    <x:xf numFmtId="0" fontId="14" fillId="12" borderId="7" xfId="0" applyNumberFormat="1" applyFont="1" applyFill="1" applyBorder="1" applyAlignment="1">
      <x:alignment horizontal="center" vertical="center"/>
    </x:xf>
    <x:xf numFmtId="200" fontId="15" fillId="12" borderId="19" xfId="0" applyNumberFormat="1" applyFont="1" applyFill="1" applyBorder="1" applyAlignment="1">
      <x:alignment horizontal="center" vertical="center"/>
    </x:xf>
    <x:xf numFmtId="200" fontId="15" fillId="12" borderId="0" xfId="0" applyNumberFormat="1" applyFont="1" applyFill="1" applyBorder="1" applyAlignment="1">
      <x:alignment horizontal="center" vertical="center"/>
    </x:xf>
    <x:xf numFmtId="200" fontId="15" fillId="12" borderId="20" xfId="0" applyNumberFormat="1" applyFont="1" applyFill="1" applyBorder="1" applyAlignment="1">
      <x:alignment horizontal="center" vertical="center"/>
    </x:xf>
    <x:xf numFmtId="200" fontId="15" fillId="12" borderId="3" xfId="0" applyNumberFormat="1" applyFont="1" applyFill="1" applyBorder="1" applyAlignment="1">
      <x:alignment horizontal="center" vertical="center"/>
    </x:xf>
    <x:xf numFmtId="200" fontId="15" fillId="12" borderId="21" xfId="0" applyNumberFormat="1" applyFont="1" applyFill="1" applyBorder="1" applyAlignment="1">
      <x:alignment horizontal="center" vertical="center"/>
    </x:xf>
    <x:xf numFmtId="200" fontId="15" fillId="12" borderId="1" xfId="0" applyNumberFormat="1" applyFont="1" applyFill="1" applyBorder="1" applyAlignment="1">
      <x:alignment horizontal="center" vertical="center"/>
    </x:xf>
    <x:xf numFmtId="200" fontId="15" fillId="12" xfId="0" applyNumberFormat="1" applyFont="1" applyFill="1" applyBorder="0" applyAlignment="1">
      <x:alignment horizontal="center" vertical="center"/>
    </x:xf>
    <x:xf numFmtId="0" fontId="24" fillId="12" borderId="9" xfId="0" applyNumberFormat="1" applyFont="1" applyFill="1" applyBorder="1" applyAlignment="1">
      <x:alignment horizontal="center" vertical="center"/>
    </x:xf>
    <x:xf numFmtId="0" fontId="24" fillId="12" borderId="18" xfId="0" applyNumberFormat="1" applyFont="1" applyFill="1" applyBorder="1" applyAlignment="1">
      <x:alignment horizontal="center" vertical="center"/>
    </x:xf>
    <x:xf numFmtId="0" fontId="24" fillId="12" borderId="7" xfId="0" applyNumberFormat="1" applyFont="1" applyFill="1" applyBorder="1" applyAlignment="1">
      <x:alignment horizontal="center" vertical="center"/>
    </x:xf>
    <x:xf numFmtId="200" fontId="25" fillId="12" borderId="19" xfId="0" applyNumberFormat="1" applyFont="1" applyFill="1" applyBorder="1" applyAlignment="1">
      <x:alignment horizontal="center" vertical="center"/>
    </x:xf>
    <x:xf numFmtId="200" fontId="25" fillId="12" xfId="0" applyNumberFormat="1" applyFont="1" applyFill="1" applyBorder="0" applyAlignment="1">
      <x:alignment horizontal="center" vertical="center"/>
    </x:xf>
    <x:xf numFmtId="200" fontId="25" fillId="12" borderId="20" xfId="0" applyNumberFormat="1" applyFont="1" applyFill="1" applyBorder="1" applyAlignment="1">
      <x:alignment horizontal="center" vertical="center"/>
    </x:xf>
    <x:xf numFmtId="200" fontId="25" fillId="12" borderId="3" xfId="0" applyNumberFormat="1" applyFont="1" applyFill="1" applyBorder="1" applyAlignment="1">
      <x:alignment horizontal="center" vertical="center"/>
    </x:xf>
    <x:xf numFmtId="200" fontId="25" fillId="12" borderId="21" xfId="0" applyNumberFormat="1" applyFont="1" applyFill="1" applyBorder="1" applyAlignment="1">
      <x:alignment horizontal="center" vertical="center"/>
    </x:xf>
    <x:xf numFmtId="200" fontId="25" fillId="12" borderId="1" xfId="0" applyNumberFormat="1" applyFont="1" applyFill="1" applyBorder="1" applyAlignment="1">
      <x:alignment horizontal="center" vertical="center"/>
    </x:xf>
    <x:xf numFmtId="0" fontId="1" fillId="16" borderId="5" xfId="0" applyNumberFormat="1" applyFont="1" applyFill="1" applyBorder="1"/>
  </x:cellXfs>
  <x:cellStyles count="1">
    <x:cellStyle name="Normal" xfId="0"/>
  </x:cellStyles>
  <x:dxfs count="13">
    <x:dxf>
      <x:font>
        <x:b/>
        <x:color rgb="FF92400E"/>
      </x:font>
      <x:fill>
        <x:patternFill>
          <x:bgColor rgb="FFFEF3C7"/>
        </x:patternFill>
      </x:fill>
    </x:dxf>
    <x:dxf>
      <x:font>
        <x:b/>
        <x:color rgb="FF1D4ED8"/>
      </x:font>
      <x:fill>
        <x:patternFill>
          <x:bgColor rgb="FFDBEAFE"/>
        </x:patternFill>
      </x:fill>
    </x:dxf>
    <x:dxf>
      <x:font>
        <x:b/>
        <x:color rgb="FF7E22CE"/>
      </x:font>
      <x:fill>
        <x:patternFill>
          <x:bgColor rgb="FFF3E8FF"/>
        </x:patternFill>
      </x:fill>
    </x:dxf>
    <x:dxf>
      <x:font>
        <x:b/>
        <x:color rgb="FF166534"/>
      </x:font>
      <x:fill>
        <x:patternFill>
          <x:bgColor rgb="FFDCFCE7"/>
        </x:patternFill>
      </x:fill>
    </x:dxf>
    <x:dxf>
      <x:font>
        <x:b/>
        <x:color rgb="FFC2410C"/>
      </x:font>
      <x:fill>
        <x:patternFill>
          <x:bgColor rgb="FFFFEDD5"/>
        </x:patternFill>
      </x:fill>
    </x:dxf>
    <x:dxf>
      <x:font>
        <x:b/>
        <x:color rgb="FFB91C1C"/>
      </x:font>
      <x:fill>
        <x:patternFill>
          <x:bgColor rgb="FFFEE2E2"/>
        </x:patternFill>
      </x:fill>
    </x:dxf>
    <x:dxf>
      <x:font>
        <x:color rgb="FF92400E"/>
      </x:font>
      <x:fill>
        <x:patternFill>
          <x:bgColor rgb="FFFEF3C7"/>
        </x:patternFill>
      </x:fill>
    </x:dxf>
    <x:dxf>
      <x:font>
        <x:b/>
        <x:color rgb="FF92400E"/>
      </x:font>
      <x:fill>
        <x:patternFill patternType="solid">
          <x:bgColor rgb="FFFEF3C7"/>
        </x:patternFill>
      </x:fill>
    </x:dxf>
    <x:dxf>
      <x:font>
        <x:b/>
        <x:color rgb="FF0E7490"/>
      </x:font>
      <x:fill>
        <x:patternFill patternType="solid">
          <x:bgColor rgb="FFCFFAFE"/>
        </x:patternFill>
      </x:fill>
    </x:dxf>
    <x:dxf>
      <x:font>
        <x:b/>
        <x:color rgb="FF166534"/>
      </x:font>
      <x:fill>
        <x:patternFill patternType="solid">
          <x:bgColor rgb="FFDCFCE7"/>
        </x:patternFill>
      </x:fill>
    </x:dxf>
    <x:dxf>
      <x:font>
        <x:b/>
        <x:color rgb="FFC2410C"/>
      </x:font>
      <x:fill>
        <x:patternFill patternType="solid">
          <x:bgColor rgb="FFFFEDD5"/>
        </x:patternFill>
      </x:fill>
    </x:dxf>
    <x:dxf>
      <x:font>
        <x:b/>
        <x:color rgb="FFB91C1C"/>
      </x:font>
      <x:fill>
        <x:patternFill patternType="solid">
          <x:bgColor rgb="FFFEE2E2"/>
        </x:patternFill>
      </x:fill>
    </x:dxf>
    <x:dxf>
      <x:font>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2089addcca544b4" /><Relationship Type="http://schemas.openxmlformats.org/officeDocument/2006/relationships/theme" Target="/xl/theme/theme1.xml" Id="Re13f4f7796d04e8d" /><Relationship Type="http://schemas.openxmlformats.org/officeDocument/2006/relationships/sharedStrings" Target="/xl/sharedStrings.xml" Id="R9d0f841c4039499f" /><Relationship Type="http://schemas.openxmlformats.org/officeDocument/2006/relationships/worksheet" Target="/xl/worksheets/sheet1.xml" Id="R1e8abbdb926f4545" /><Relationship Type="http://schemas.openxmlformats.org/officeDocument/2006/relationships/worksheet" Target="/xl/worksheets/sheet2.xml" Id="Rb19d8bf2ab5d45f4" /><Relationship Type="http://schemas.openxmlformats.org/officeDocument/2006/relationships/worksheet" Target="/xl/worksheets/sheet3.xml" Id="R31a398420e2c424d" /><Relationship Type="http://schemas.openxmlformats.org/officeDocument/2006/relationships/worksheet" Target="/xl/worksheets/sheet4.xml" Id="Rbf1a1c9eda994271" /><Relationship Type="http://schemas.openxmlformats.org/officeDocument/2006/relationships/worksheet" Target="/xl/worksheets/sheet5.xml" Id="R6b5b3db79eee423d" /></Relationships>
</file>

<file path=xl/drawings/_rels/drawing1.xml.rels>&#65279;<?xml version="1.0" encoding="utf-8"?><Relationships xmlns="http://schemas.openxmlformats.org/package/2006/relationships"><Relationship Type="http://schemas.openxmlformats.org/officeDocument/2006/relationships/chart" Target="/xl/drawings/charts/chart1.xml" Id="Ra16f2331caaa4b9e" /><Relationship Type="http://schemas.openxmlformats.org/officeDocument/2006/relationships/chart" Target="/xl/drawings/charts/chart2.xml" Id="R17a7b31feb5a477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분야별 문항 균형</a:t>
            </a:r>
          </a:p>
        </c:rich>
      </c:tx>
    </c:title>
    <c:plotArea>
      <c:doughnutChart>
        <c:ser>
          <c:idx val="0"/>
          <c:order val="0"/>
          <c:tx>
            <c:v>문항 수</c:v>
          </c:tx>
          <c:cat>
            <c:strRef>
              <c:f>'한눈에 보기'!$A$30:$A$32</c:f>
              <c:strCache>
                <c:ptCount val="0"/>
              </c:strCache>
            </c:strRef>
          </c:cat>
          <c:val>
            <c:numRef>
              <c:f>'한눈에 보기'!$B$30:$B$32</c:f>
              <c:numCache>
                <c:formatCode>#,##0</c:formatCode>
                <c:ptCount val="0"/>
              </c:numCache>
            </c:numRef>
          </c:val>
        </c:ser>
      </c:doughnutChart>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난이도별 문항 수</a:t>
            </a:r>
          </a:p>
        </c:rich>
      </c:tx>
    </c:title>
    <c:plotArea>
      <c:barChart>
        <c:barDir val="col"/>
        <c:varyColors val="0"/>
        <c:ser>
          <c:idx val="0"/>
          <c:order val="0"/>
          <c:tx>
            <c:v>문항 수</c:v>
          </c:tx>
          <c:cat>
            <c:strRef>
              <c:f>'한눈에 보기'!$D$30:$D$32</c:f>
              <c:strCache>
                <c:ptCount val="0"/>
              </c:strCache>
            </c:strRef>
          </c:cat>
          <c:val>
            <c:numRef>
              <c:f>'한눈에 보기'!$E$30:$E$32</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13</xdr:row>
      <xdr:rowOff>0</xdr:rowOff>
    </xdr:from>
    <xdr:to>
      <xdr:col>6</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16f2331caaa4b9e"/>
        </a:graphicData>
      </a:graphic>
    </xdr:graphicFrame>
    <xdr:clientData/>
  </xdr:twoCellAnchor>
  <xdr:twoCellAnchor>
    <xdr:from>
      <xdr:col>6</xdr:col>
      <xdr:colOff>0</xdr:colOff>
      <xdr:row>13</xdr:row>
      <xdr:rowOff>0</xdr:rowOff>
    </xdr:from>
    <xdr:to>
      <xdr:col>12</xdr:col>
      <xdr:colOff>0</xdr:colOff>
      <xdr:row>27</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7a7b31feb5a4771"/>
        </a:graphicData>
      </a:graphic>
    </xdr:graphicFrame>
    <xdr:clientData/>
  </xdr:twoCellAnchor>
</xdr:wsDr>
</file>

<file path=xl/tables/table1.xml><?xml version="1.0" encoding="utf-8"?>
<x:table xmlns:x="http://schemas.openxmlformats.org/spreadsheetml/2006/main" id="1" name="QuestionViewTable" displayName="QuestionViewTable" ref="A1:K2291" headerRowCount="1" totalsRowCount="0" totalsRowShown="0">
  <x:autoFilter ref="A1:K2291"/>
  <x:tableColumns count="11">
    <x:tableColumn id="1" name="번호"/>
    <x:tableColumn id="2" name="평가 구간"/>
    <x:tableColumn id="3" name="분야"/>
    <x:tableColumn id="4" name="질문 유형"/>
    <x:tableColumn id="5" name="답변 가능 여부"/>
    <x:tableColumn id="6" name="난이도"/>
    <x:tableColumn id="7" name="사용자 질문"/>
    <x:tableColumn id="8" name="모범 답변"/>
    <x:tableColumn id="9" name="근거 내용"/>
    <x:tableColumn id="10" name="대상"/>
    <x:tableColumn id="11" name="근거 출처"/>
  </x:tableColumns>
  <x:tableStyleInfo name="TableStyleMedium2" showFirstColumn="0" showLastColumn="0" showRowStripes="1" showColumnStripes="0"/>
</x:table>
</file>

<file path=xl/tables/table2.xml><?xml version="1.0" encoding="utf-8"?>
<x:table xmlns:x="http://schemas.openxmlformats.org/spreadsheetml/2006/main" id="3" name="TypeStatusTable" displayName="TypeStatusTable" ref="A1:J38" headerRowCount="1" totalsRowCount="0" totalsRowShown="0">
  <x:tableColumns count="10">
    <x:tableColumn id="1" name="분야"/>
    <x:tableColumn id="2" name="질문 유형"/>
    <x:tableColumn id="3" name="전체"/>
    <x:tableColumn id="4" name="보정용"/>
    <x:tableColumn id="5" name="최종 평가"/>
    <x:tableColumn id="6" name="쉬움"/>
    <x:tableColumn id="7" name="보통"/>
    <x:tableColumn id="8" name="어려움"/>
    <x:tableColumn id="9" name="답변 가능"/>
    <x:tableColumn id="10" name="답변 거부"/>
  </x:tableColumns>
  <x:tableStyleInfo name="TableStyleMedium2" showFirstColumn="0" showLastColumn="0" showRowStripes="1" showColumnStripes="0"/>
</x:table>
</file>

<file path=xl/tables/table3.xml><?xml version="1.0" encoding="utf-8"?>
<x:table xmlns:x="http://schemas.openxmlformats.org/spreadsheetml/2006/main" id="2" name="TechnicalLinkTable" displayName="TechnicalLinkTable" ref="A1:H2291" headerRowCount="1" totalsRowCount="0" totalsRowShown="0">
  <x:autoFilter ref="A1:H2291"/>
  <x:tableColumns count="8">
    <x:tableColumn id="1" name="질문 ID"/>
    <x:tableColumn id="2" name="정답 문서 ID"/>
    <x:tableColumn id="3" name="검색 성공 인정 문서 ID"/>
    <x:tableColumn id="4" name="기대 동작"/>
    <x:tableColumn id="5" name="질의 임베딩 행 번호"/>
    <x:tableColumn id="6" name="모범 답변 생성 방식"/>
    <x:tableColumn id="7" name="출처 URL"/>
    <x:tableColumn id="8" name="대상 메타데이터"/>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1e07e5d87c4c4901" /></Relationships>
</file>

<file path=xl/worksheets/_rels/sheet3.xml.rels>&#65279;<?xml version="1.0" encoding="utf-8"?><Relationships xmlns="http://schemas.openxmlformats.org/package/2006/relationships"><Relationship Type="http://schemas.openxmlformats.org/officeDocument/2006/relationships/table" Target="/xl/tables/table1.xml" Id="R5260849a22124637" /></Relationships>
</file>

<file path=xl/worksheets/_rels/sheet4.xml.rels>&#65279;<?xml version="1.0" encoding="utf-8"?><Relationships xmlns="http://schemas.openxmlformats.org/package/2006/relationships"><Relationship Type="http://schemas.openxmlformats.org/officeDocument/2006/relationships/table" Target="/xl/tables/table2.xml" Id="R17791d3621e2448b" /></Relationships>
</file>

<file path=xl/worksheets/_rels/sheet5.xml.rels>&#65279;<?xml version="1.0" encoding="utf-8"?><Relationships xmlns="http://schemas.openxmlformats.org/package/2006/relationships"><Relationship Type="http://schemas.openxmlformats.org/officeDocument/2006/relationships/table" Target="/xl/tables/table3.xml" Id="R2619f8454f234834" /></Relationships>
</file>

<file path=xl/worksheets/sheet1.xml><?xml version="1.0" encoding="utf-8"?>
<x:worksheet xmlns:x="http://schemas.openxmlformats.org/spreadsheetml/2006/main">
  <x:sheetViews>
    <x:sheetView showGridLines="0" workbookViewId="0"/>
  </x:sheetViews>
  <x:sheetFormatPr defaultRowHeight="15"/>
  <x:cols>
    <x:col min="1" max="1" width="9.4399995803833" hidden="0" customWidth="1"/>
    <x:col min="2" max="2" width="9.4399995803833" hidden="0" customWidth="1"/>
    <x:col min="3" max="3" width="9.4399995803833" hidden="0" customWidth="1"/>
    <x:col min="4" max="4" width="9.4399995803833" hidden="0" customWidth="1"/>
    <x:col min="5" max="5" width="9.4399995803833" hidden="0" customWidth="1"/>
    <x:col min="6" max="6" width="9.4399995803833" hidden="0" customWidth="1"/>
    <x:col min="7" max="7" width="9.4399995803833" hidden="0" customWidth="1"/>
    <x:col min="8" max="8" width="9.4399995803833" hidden="0" customWidth="1"/>
    <x:col min="9" max="9" width="9.4399995803833" hidden="0" customWidth="1"/>
    <x:col min="10" max="10" width="9.4399995803833" hidden="0" customWidth="1"/>
    <x:col min="11" max="11" width="9.4399995803833" hidden="0" customWidth="1"/>
    <x:col min="12" max="12" width="9.4399995803833" hidden="0" customWidth="1"/>
  </x:cols>
  <x:sheetData>
    <x:row r="1">
      <x:c r="A1" s="79" t="str">
        <x:v>질병·복약·건강검진 RAG 평가 골든데이터셋</x:v>
      </x:c>
      <x:c r="B1" s="79"/>
      <x:c r="C1" s="79"/>
      <x:c r="D1" s="79"/>
      <x:c r="E1" s="79"/>
      <x:c r="F1" s="79"/>
      <x:c r="G1" s="79"/>
      <x:c r="H1" s="79"/>
      <x:c r="I1" s="79"/>
      <x:c r="J1" s="79"/>
      <x:c r="K1" s="79"/>
      <x:c r="L1" s="79"/>
    </x:row>
    <x:row r="2">
      <x:c r="A2" s="79"/>
      <x:c r="B2" s="79"/>
      <x:c r="C2" s="79"/>
      <x:c r="D2" s="79"/>
      <x:c r="E2" s="79"/>
      <x:c r="F2" s="79"/>
      <x:c r="G2" s="79"/>
      <x:c r="H2" s="79"/>
      <x:c r="I2" s="79"/>
      <x:c r="J2" s="79"/>
      <x:c r="K2" s="79"/>
      <x:c r="L2" s="79"/>
    </x:row>
    <x:row r="3" ht="28" customHeight="1">
      <x:c r="A3" s="80" t="str">
        <x:v>요약 · 질문 보기 시트에서 필터를 사용해 원하는 평가 항목만 확인할 수 있습니다.</x:v>
      </x:c>
      <x:c r="B3" s="80"/>
      <x:c r="C3" s="80"/>
      <x:c r="D3" s="80"/>
      <x:c r="E3" s="80"/>
      <x:c r="F3" s="80"/>
      <x:c r="G3" s="80"/>
      <x:c r="H3" s="80"/>
      <x:c r="I3" s="80"/>
      <x:c r="J3" s="80"/>
      <x:c r="K3" s="80"/>
      <x:c r="L3" s="80"/>
    </x:row>
    <x:row r="5">
      <x:c r="A5" s="95" t="str">
        <x:v>전체 문항</x:v>
      </x:c>
      <x:c r="B5" s="96"/>
      <x:c r="C5" s="97"/>
      <x:c r="D5" s="137" t="str">
        <x:v>질병</x:v>
      </x:c>
      <x:c r="E5" s="138"/>
      <x:c r="F5" s="139"/>
      <x:c r="G5" s="179" t="str">
        <x:v>복약</x:v>
      </x:c>
      <x:c r="H5" s="180"/>
      <x:c r="I5" s="181"/>
      <x:c r="J5" s="448" t="str">
        <x:v>건강검진</x:v>
      </x:c>
      <x:c r="K5" s="449"/>
      <x:c r="L5" s="450"/>
    </x:row>
    <x:row r="6">
      <x:c r="A6" s="116" t="n">
        <x:f>COUNTA('질문 보기'!$A$2:$A$2291)</x:f>
        <x:v>2290</x:v>
      </x:c>
      <x:c r="B6" s="117"/>
      <x:c r="C6" s="118"/>
      <x:c r="D6" s="158" t="n">
        <x:f>COUNTIF('질문 보기'!$C$2:$C$2291,"질병")</x:f>
        <x:v>1100</x:v>
      </x:c>
      <x:c r="E6" s="159"/>
      <x:c r="F6" s="160"/>
      <x:c r="G6" s="200" t="n">
        <x:f>COUNTIF('질문 보기'!$C$2:$C$2291,"복약")</x:f>
        <x:v>1100</x:v>
      </x:c>
      <x:c r="H6" s="201"/>
      <x:c r="I6" s="202"/>
      <x:c r="J6" s="451" t="n">
        <x:f>COUNTIF('질문 보기'!$C$2:$C$2291,"건강검진")</x:f>
        <x:v>90</x:v>
      </x:c>
      <x:c r="K6" s="452"/>
      <x:c r="L6" s="453"/>
    </x:row>
    <x:row r="7">
      <x:c r="A7" s="119"/>
      <x:c r="B7" s="120"/>
      <x:c r="C7" s="121"/>
      <x:c r="D7" s="161"/>
      <x:c r="E7" s="162"/>
      <x:c r="F7" s="163"/>
      <x:c r="G7" s="203"/>
      <x:c r="H7" s="204"/>
      <x:c r="I7" s="205"/>
      <x:c r="J7" s="454"/>
      <x:c r="K7" s="455"/>
      <x:c r="L7" s="456"/>
    </x:row>
    <x:row r="9">
      <x:c r="A9" s="263" t="str">
        <x:v>보정용</x:v>
      </x:c>
      <x:c r="B9" s="264"/>
      <x:c r="C9" s="265"/>
      <x:c r="D9" s="304" t="str">
        <x:v>최종 평가</x:v>
      </x:c>
      <x:c r="E9" s="305"/>
      <x:c r="F9" s="306"/>
      <x:c r="G9" s="346" t="str">
        <x:v>어려운 질문</x:v>
      </x:c>
      <x:c r="H9" s="347"/>
      <x:c r="I9" s="348"/>
      <x:c r="J9" s="387" t="str">
        <x:v>답변 거부</x:v>
      </x:c>
      <x:c r="K9" s="388"/>
      <x:c r="L9" s="389"/>
    </x:row>
    <x:row r="10">
      <x:c r="A10" s="284" t="n">
        <x:f>COUNTIF('질문 보기'!$B$2:$B$2291,"보정용")</x:f>
        <x:v>229</x:v>
      </x:c>
      <x:c r="B10" s="285"/>
      <x:c r="C10" s="286"/>
      <x:c r="D10" s="325" t="n">
        <x:f>COUNTIF('질문 보기'!$B$2:$B$2291,"최종 평가")</x:f>
        <x:v>2061</x:v>
      </x:c>
      <x:c r="E10" s="326"/>
      <x:c r="F10" s="327"/>
      <x:c r="G10" s="367" t="n">
        <x:f>COUNTIF('질문 보기'!$F$2:$F$2291,"어려움")</x:f>
        <x:v>440</x:v>
      </x:c>
      <x:c r="H10" s="368"/>
      <x:c r="I10" s="369"/>
      <x:c r="J10" s="408" t="n">
        <x:f>COUNTIF('질문 보기'!$E$2:$E$2291,"답변 거부")</x:f>
        <x:v>209</x:v>
      </x:c>
      <x:c r="K10" s="409"/>
      <x:c r="L10" s="410"/>
    </x:row>
    <x:row r="11">
      <x:c r="A11" s="287"/>
      <x:c r="B11" s="288"/>
      <x:c r="C11" s="289"/>
      <x:c r="D11" s="328"/>
      <x:c r="E11" s="329"/>
      <x:c r="F11" s="330"/>
      <x:c r="G11" s="370"/>
      <x:c r="H11" s="371"/>
      <x:c r="I11" s="372"/>
      <x:c r="J11" s="411"/>
      <x:c r="K11" s="412"/>
      <x:c r="L11" s="413"/>
    </x:row>
    <x:row r="29">
      <x:c r="A29" s="457" t="str">
        <x:v>분야</x:v>
      </x:c>
      <x:c r="B29" s="457" t="str">
        <x:v>문항 수</x:v>
      </x:c>
      <x:c r="D29" s="418" t="str">
        <x:v>난이도</x:v>
      </x:c>
      <x:c r="E29" s="418" t="str">
        <x:v>문항 수</x:v>
      </x:c>
    </x:row>
    <x:row r="30">
      <x:c r="A30" s="414" t="str">
        <x:v>질병</x:v>
      </x:c>
      <x:c r="B30" s="419" t="n">
        <x:f>COUNTIF('질문 보기'!$C$2:$C$2291,A30)</x:f>
        <x:v>1100</x:v>
      </x:c>
      <x:c r="D30" s="414" t="str">
        <x:v>쉬움</x:v>
      </x:c>
      <x:c r="E30" s="419" t="n">
        <x:f>COUNTIF('질문 보기'!$F$2:$F$2291,D30)</x:f>
        <x:v>1596</x:v>
      </x:c>
    </x:row>
    <x:row r="31">
      <x:c r="A31" s="414" t="str">
        <x:v>복약</x:v>
      </x:c>
      <x:c r="B31" s="419" t="n">
        <x:f>COUNTIF('질문 보기'!$C$2:$C$2291,A31)</x:f>
        <x:v>1100</x:v>
      </x:c>
      <x:c r="D31" s="414" t="str">
        <x:v>보통</x:v>
      </x:c>
      <x:c r="E31" s="419" t="n">
        <x:f>COUNTIF('질문 보기'!$F$2:$F$2291,D31)</x:f>
        <x:v>254</x:v>
      </x:c>
    </x:row>
    <x:row r="32">
      <x:c r="A32" s="414" t="str">
        <x:v>건강검진</x:v>
      </x:c>
      <x:c r="B32" s="419" t="n">
        <x:f>COUNTIF('질문 보기'!$C$2:$C$2291,A32)</x:f>
        <x:v>90</x:v>
      </x:c>
      <x:c r="D32" s="414" t="str">
        <x:v>어려움</x:v>
      </x:c>
      <x:c r="E32" s="419" t="n">
        <x:f>COUNTIF('질문 보기'!$F$2:$F$2291,D32)</x:f>
        <x:v>440</x:v>
      </x:c>
    </x:row>
    <x:row r="34" ht="28" customHeight="1">
      <x:c r="A34" s="25" t="str">
        <x:v>권장 평가 흐름</x:v>
      </x:c>
      <x:c r="B34" s="25"/>
      <x:c r="C34" s="25"/>
      <x:c r="D34" s="25"/>
      <x:c r="E34" s="25"/>
      <x:c r="F34" s="25"/>
      <x:c r="G34" s="25"/>
      <x:c r="H34" s="25"/>
      <x:c r="I34" s="25"/>
      <x:c r="J34" s="25"/>
      <x:c r="K34" s="25"/>
      <x:c r="L34" s="25"/>
    </x:row>
    <x:row r="35" ht="30" customHeight="1">
      <x:c r="A35" s="422" t="str">
        <x:v>1</x:v>
      </x:c>
      <x:c r="B35" s="422"/>
      <x:c r="C35" s="424" t="str">
        <x:v>보정용 229개로 검색 K값·유사도 임계값 조정</x:v>
      </x:c>
      <x:c r="D35" s="424"/>
      <x:c r="E35" s="424"/>
      <x:c r="F35" s="424"/>
      <x:c r="G35" s="424"/>
      <x:c r="H35" s="424"/>
      <x:c r="I35" s="424"/>
      <x:c r="J35" s="424"/>
      <x:c r="K35" s="424"/>
      <x:c r="L35" s="424"/>
    </x:row>
    <x:row r="36" ht="30" customHeight="1">
      <x:c r="A36" s="422" t="str">
        <x:v>2</x:v>
      </x:c>
      <x:c r="B36" s="422"/>
      <x:c r="C36" s="424" t="str">
        <x:v>설정 동결 후 최종 평가 2,061개 실행</x:v>
      </x:c>
      <x:c r="D36" s="424"/>
      <x:c r="E36" s="424"/>
      <x:c r="F36" s="424"/>
      <x:c r="G36" s="424"/>
      <x:c r="H36" s="424"/>
      <x:c r="I36" s="424"/>
      <x:c r="J36" s="424"/>
      <x:c r="K36" s="424"/>
      <x:c r="L36" s="424"/>
    </x:row>
    <x:row r="37" ht="30" customHeight="1">
      <x:c r="A37" s="422" t="str">
        <x:v>3</x:v>
      </x:c>
      <x:c r="B37" s="422"/>
      <x:c r="C37" s="424" t="str">
        <x:v>Hit@1·3·5, MRR@10, 답변거부 정확도 계산</x:v>
      </x:c>
      <x:c r="D37" s="424"/>
      <x:c r="E37" s="424"/>
      <x:c r="F37" s="424"/>
      <x:c r="G37" s="424"/>
      <x:c r="H37" s="424"/>
      <x:c r="I37" s="424"/>
      <x:c r="J37" s="424"/>
      <x:c r="K37" s="424"/>
      <x:c r="L37" s="424"/>
    </x:row>
    <x:row r="38" ht="30" customHeight="1">
      <x:c r="A38" s="422" t="str">
        <x:v>4</x:v>
      </x:c>
      <x:c r="B38" s="422"/>
      <x:c r="C38" s="424" t="str">
        <x:v>질병/복약/건강검진·질문 유형·난이도별 취약 구간 확인</x:v>
      </x:c>
      <x:c r="D38" s="424"/>
      <x:c r="E38" s="424"/>
      <x:c r="F38" s="424"/>
      <x:c r="G38" s="424"/>
      <x:c r="H38" s="424"/>
      <x:c r="I38" s="424"/>
      <x:c r="J38" s="424"/>
      <x:c r="K38" s="424"/>
      <x:c r="L38" s="424"/>
    </x:row>
  </x:sheetData>
  <x:mergeCells>
    <x:mergeCell ref="A1:L2"/>
    <x:mergeCell ref="A3:L3"/>
    <x:mergeCell ref="A5:C5"/>
    <x:mergeCell ref="A6:C7"/>
    <x:mergeCell ref="D5:F5"/>
    <x:mergeCell ref="D6:F7"/>
    <x:mergeCell ref="G5:I5"/>
    <x:mergeCell ref="G6:I7"/>
    <x:mergeCell ref="J5:L5"/>
    <x:mergeCell ref="J6:L7"/>
    <x:mergeCell ref="A9:C9"/>
    <x:mergeCell ref="A10:C11"/>
    <x:mergeCell ref="D9:F9"/>
    <x:mergeCell ref="D10:F11"/>
    <x:mergeCell ref="G9:I9"/>
    <x:mergeCell ref="G10:I11"/>
    <x:mergeCell ref="J9:L9"/>
    <x:mergeCell ref="J10:L11"/>
    <x:mergeCell ref="A34:L34"/>
    <x:mergeCell ref="A35:B35"/>
    <x:mergeCell ref="C35:L35"/>
    <x:mergeCell ref="A36:B36"/>
    <x:mergeCell ref="C36:L36"/>
    <x:mergeCell ref="A37:B37"/>
    <x:mergeCell ref="C37:L37"/>
    <x:mergeCell ref="A38:B38"/>
    <x:mergeCell ref="C38:L38"/>
  </x:mergeCells>
  <x:pageMargins left="0.7" right="0.7" top="0.75" bottom="0.75" header="0.3" footer="0.3"/>
  <x:drawing xmlns:r="http://schemas.openxmlformats.org/officeDocument/2006/relationships" r:id="R1e07e5d87c4c4901"/>
</x:worksheet>
</file>

<file path=xl/worksheets/sheet2.xml><?xml version="1.0" encoding="utf-8"?>
<x:worksheet xmlns:x="http://schemas.openxmlformats.org/spreadsheetml/2006/main">
  <x:sheetViews>
    <x:sheetView showGridLines="0" workbookViewId="0"/>
  </x:sheetViews>
  <x:sheetFormatPr defaultRowHeight="15"/>
  <x:cols>
    <x:col min="1" max="1" width="10.5600004196167" hidden="0" customWidth="1"/>
    <x:col min="2" max="2" width="11.670000076293945" hidden="0" customWidth="1"/>
    <x:col min="3" max="3" width="11.670000076293945" hidden="0" customWidth="1"/>
    <x:col min="4" max="4" width="11.670000076293945" hidden="0" customWidth="1"/>
    <x:col min="5" max="5" width="11.670000076293945" hidden="0" customWidth="1"/>
    <x:col min="6" max="6" width="11.670000076293945" hidden="0" customWidth="1"/>
    <x:col min="7" max="7" width="11.670000076293945" hidden="0" customWidth="1"/>
    <x:col min="8" max="8" width="11.670000076293945" hidden="0" customWidth="1"/>
  </x:cols>
  <x:sheetData>
    <x:row r="1">
      <x:c r="A1" s="21" t="str">
        <x:v>RAG 평가셋 사용 안내</x:v>
      </x:c>
      <x:c r="B1" s="21"/>
      <x:c r="C1" s="21"/>
      <x:c r="D1" s="21"/>
      <x:c r="E1" s="21"/>
      <x:c r="F1" s="21"/>
      <x:c r="G1" s="21"/>
      <x:c r="H1" s="21"/>
    </x:row>
    <x:row r="2">
      <x:c r="A2" s="21"/>
      <x:c r="B2" s="21"/>
      <x:c r="C2" s="21"/>
      <x:c r="D2" s="21"/>
      <x:c r="E2" s="21"/>
      <x:c r="F2" s="21"/>
      <x:c r="G2" s="21"/>
      <x:c r="H2" s="21"/>
    </x:row>
    <x:row r="3" ht="34" customHeight="1">
      <x:c r="A3" s="24" t="str">
        <x:v>앞의 '질문 보기' 시트에서 질문·모범 답변·근거를 확인하고, 기술 연결 정보는 필요할 때만 사용하세요.</x:v>
      </x:c>
      <x:c r="B3" s="24"/>
      <x:c r="C3" s="24"/>
      <x:c r="D3" s="24"/>
      <x:c r="E3" s="24"/>
      <x:c r="F3" s="24"/>
      <x:c r="G3" s="24"/>
      <x:c r="H3" s="24"/>
    </x:row>
    <x:row r="5" ht="28" customHeight="1">
      <x:c r="A5" s="25" t="str">
        <x:v>1. 가장 간단한 사용 순서</x:v>
      </x:c>
      <x:c r="B5" s="25"/>
      <x:c r="C5" s="25"/>
      <x:c r="D5" s="25"/>
      <x:c r="E5" s="25"/>
      <x:c r="F5" s="25"/>
      <x:c r="G5" s="25"/>
      <x:c r="H5" s="25"/>
    </x:row>
    <x:row r="6" ht="36" customHeight="1">
      <x:c r="A6" s="31" t="str">
        <x:v>①</x:v>
      </x:c>
      <x:c r="B6" s="32" t="str">
        <x:v>'질문 보기'에서 평가 구간이 '보정용'인 229개로 검색 설정을 조정합니다.</x:v>
      </x:c>
      <x:c r="C6" s="32"/>
      <x:c r="D6" s="32"/>
      <x:c r="E6" s="32"/>
      <x:c r="F6" s="32"/>
      <x:c r="G6" s="32"/>
      <x:c r="H6" s="33"/>
    </x:row>
    <x:row r="7" ht="36" customHeight="1">
      <x:c r="A7" s="34" t="str">
        <x:v>②</x:v>
      </x:c>
      <x:c r="B7" s="35" t="str">
        <x:v>설정을 확정한 뒤 '최종 평가' 2,061개에는 더 이상 기준을 맞추지 않습니다.</x:v>
      </x:c>
      <x:c r="C7" s="35"/>
      <x:c r="D7" s="35"/>
      <x:c r="E7" s="35"/>
      <x:c r="F7" s="35"/>
      <x:c r="G7" s="35"/>
      <x:c r="H7" s="36"/>
    </x:row>
    <x:row r="8" ht="36" customHeight="1">
      <x:c r="A8" s="34" t="str">
        <x:v>③</x:v>
      </x:c>
      <x:c r="B8" s="35" t="str">
        <x:v>RAG가 검색한 문서 ID와 생성 답변을 질문 ID별로 저장합니다.</x:v>
      </x:c>
      <x:c r="C8" s="35"/>
      <x:c r="D8" s="35"/>
      <x:c r="E8" s="35"/>
      <x:c r="F8" s="35"/>
      <x:c r="G8" s="35"/>
      <x:c r="H8" s="36"/>
    </x:row>
    <x:row r="9" ht="36" customHeight="1">
      <x:c r="A9" s="34" t="str">
        <x:v>④</x:v>
      </x:c>
      <x:c r="B9" s="35" t="str">
        <x:v>평가기 스크립트로 Hit@K·MRR·답변거부 정확도를 계산합니다.</x:v>
      </x:c>
      <x:c r="C9" s="35"/>
      <x:c r="D9" s="35"/>
      <x:c r="E9" s="35"/>
      <x:c r="F9" s="35"/>
      <x:c r="G9" s="35"/>
      <x:c r="H9" s="36"/>
    </x:row>
    <x:row r="10" ht="36" customHeight="1">
      <x:c r="A10" s="37" t="str">
        <x:v>⑤</x:v>
      </x:c>
      <x:c r="B10" s="38" t="str">
        <x:v>질병/복약/건강검진, 질문 유형, 난이도별로 결과를 나눠 취약 구간을 확인합니다.</x:v>
      </x:c>
      <x:c r="C10" s="38"/>
      <x:c r="D10" s="38"/>
      <x:c r="E10" s="38"/>
      <x:c r="F10" s="38"/>
      <x:c r="G10" s="38"/>
      <x:c r="H10" s="39"/>
    </x:row>
    <x:row r="14" ht="28" customHeight="1">
      <x:c r="A14" s="25" t="str">
        <x:v>2. 색상 의미</x:v>
      </x:c>
      <x:c r="B14" s="25"/>
      <x:c r="C14" s="25"/>
      <x:c r="D14" s="25"/>
      <x:c r="E14" s="25"/>
      <x:c r="F14" s="25"/>
      <x:c r="G14" s="25"/>
      <x:c r="H14" s="25"/>
    </x:row>
    <x:row r="15" ht="36" customHeight="1">
      <x:c r="A15" s="31" t="str">
        <x:v>파란색</x:v>
      </x:c>
      <x:c r="B15" s="32" t="str">
        <x:v>질병 질문</x:v>
      </x:c>
      <x:c r="C15" s="32"/>
      <x:c r="D15" s="32"/>
      <x:c r="E15" s="32"/>
      <x:c r="F15" s="32"/>
      <x:c r="G15" s="32"/>
      <x:c r="H15" s="33"/>
    </x:row>
    <x:row r="16" ht="36" customHeight="1">
      <x:c r="A16" s="34" t="str">
        <x:v>보라색</x:v>
      </x:c>
      <x:c r="B16" s="35" t="str">
        <x:v>복약 질문</x:v>
      </x:c>
      <x:c r="C16" s="35"/>
      <x:c r="D16" s="35"/>
      <x:c r="E16" s="35"/>
      <x:c r="F16" s="35"/>
      <x:c r="G16" s="35"/>
      <x:c r="H16" s="36"/>
    </x:row>
    <x:row r="17" ht="36" customHeight="1">
      <x:c r="A17" s="426" t="str">
        <x:v>청록색</x:v>
      </x:c>
      <x:c r="B17" s="35" t="str">
        <x:v>건강검진 질문</x:v>
      </x:c>
      <x:c r="C17" s="35"/>
      <x:c r="D17" s="35"/>
      <x:c r="E17" s="35"/>
      <x:c r="F17" s="35"/>
      <x:c r="G17" s="35"/>
      <x:c r="H17" s="35"/>
    </x:row>
    <x:row r="18" ht="36" customHeight="1">
      <x:c r="A18" s="428" t="str">
        <x:v>초록색</x:v>
      </x:c>
      <x:c r="B18" s="35" t="str">
        <x:v>VDB 근거로 답변해야 하는 질문</x:v>
      </x:c>
      <x:c r="C18" s="35"/>
      <x:c r="D18" s="35"/>
      <x:c r="E18" s="35"/>
      <x:c r="F18" s="35"/>
      <x:c r="G18" s="35"/>
      <x:c r="H18" s="35"/>
    </x:row>
    <x:row r="19" ht="36" customHeight="1">
      <x:c r="A19" s="430" t="str">
        <x:v>주황색</x:v>
      </x:c>
      <x:c r="B19" s="38" t="str">
        <x:v>근거가 없으므로 답변을 거부하거나 추가 정보를 요청해야 하는 질문</x:v>
      </x:c>
      <x:c r="C19" s="38"/>
      <x:c r="D19" s="38"/>
      <x:c r="E19" s="38"/>
      <x:c r="F19" s="38"/>
      <x:c r="G19" s="38"/>
      <x:c r="H19" s="38"/>
    </x:row>
    <x:row r="20" ht="36" customHeight="1">
      <x:c r="A20" s="435" t="str">
        <x:v>빨간색</x:v>
      </x:c>
      <x:c r="B20" s="436" t="str">
        <x:v>단일 증상·검진값으로 질환·약을 확정하거나 답변거부를 판단해야 하는 어려운 질문</x:v>
      </x:c>
      <x:c r="C20" s="436"/>
      <x:c r="D20" s="436"/>
      <x:c r="E20" s="436"/>
      <x:c r="F20" s="436"/>
      <x:c r="G20" s="436"/>
      <x:c r="H20" s="437"/>
    </x:row>
    <x:row r="23" ht="28" customHeight="1">
      <x:c r="A23" s="25" t="str">
        <x:v>3. 핵심 평가 지표</x:v>
      </x:c>
      <x:c r="B23" s="25"/>
      <x:c r="C23" s="25"/>
      <x:c r="D23" s="25"/>
      <x:c r="E23" s="25"/>
      <x:c r="F23" s="25"/>
      <x:c r="G23" s="25"/>
      <x:c r="H23" s="25"/>
    </x:row>
    <x:row r="24" ht="36" customHeight="1">
      <x:c r="A24" s="31" t="str">
        <x:v>Hit@1 / 3 / 5</x:v>
      </x:c>
      <x:c r="B24" s="32" t="str">
        <x:v>정답으로 인정되는 문서가 검색 결과 상위 1·3·5개 안에 포함된 비율</x:v>
      </x:c>
      <x:c r="C24" s="32"/>
      <x:c r="D24" s="32"/>
      <x:c r="E24" s="32"/>
      <x:c r="F24" s="32"/>
      <x:c r="G24" s="32"/>
      <x:c r="H24" s="33"/>
    </x:row>
    <x:row r="25" ht="36" customHeight="1">
      <x:c r="A25" s="34" t="str">
        <x:v>MRR@10</x:v>
      </x:c>
      <x:c r="B25" s="35" t="str">
        <x:v>정답 문서가 더 높은 순위에 나올수록 높은 검색 순위 점수</x:v>
      </x:c>
      <x:c r="C25" s="35"/>
      <x:c r="D25" s="35"/>
      <x:c r="E25" s="35"/>
      <x:c r="F25" s="35"/>
      <x:c r="G25" s="35"/>
      <x:c r="H25" s="36"/>
    </x:row>
    <x:row r="26" ht="36" customHeight="1">
      <x:c r="A26" s="34" t="str">
        <x:v>답변 정확성</x:v>
      </x:c>
      <x:c r="B26" s="35" t="str">
        <x:v>모델 답변이 모범 답변의 핵심 내용을 제대로 포함하는지</x:v>
      </x:c>
      <x:c r="C26" s="35"/>
      <x:c r="D26" s="35"/>
      <x:c r="E26" s="35"/>
      <x:c r="F26" s="35"/>
      <x:c r="G26" s="35"/>
      <x:c r="H26" s="36"/>
    </x:row>
    <x:row r="27" ht="36" customHeight="1">
      <x:c r="A27" s="34" t="str">
        <x:v>근거 충실성</x:v>
      </x:c>
      <x:c r="B27" s="35" t="str">
        <x:v>모델 답변이 검색된 근거에 없는 내용을 만들어내지 않았는지</x:v>
      </x:c>
      <x:c r="C27" s="35"/>
      <x:c r="D27" s="35"/>
      <x:c r="E27" s="35"/>
      <x:c r="F27" s="35"/>
      <x:c r="G27" s="35"/>
      <x:c r="H27" s="36"/>
    </x:row>
    <x:row r="28" ht="36" customHeight="1">
      <x:c r="A28" s="37" t="str">
        <x:v>답변거부 정확도</x:v>
      </x:c>
      <x:c r="B28" s="38" t="str">
        <x:v>가격·재고·개인 진단처럼 VDB로 답할 수 없는 질문을 거부했는지</x:v>
      </x:c>
      <x:c r="C28" s="38"/>
      <x:c r="D28" s="38"/>
      <x:c r="E28" s="38"/>
      <x:c r="F28" s="38"/>
      <x:c r="G28" s="38"/>
      <x:c r="H28" s="39"/>
    </x:row>
    <x:row r="32">
      <x:c r="A32" s="68" t="str">
        <x:v>중요: 이 파일은 RAG 시스템 평가용입니다. 개인의 진단·치료·복용량 변경을 결정하는 의료 도구로 사용하면 안 되며, 건강검진 판정과 단일 수치도 확정 진단으로 해석하면 안 됩니다. '답변 거부' 질문은 시스템이 근거 없는 개인별 판단을 만들지 않는지 확인하기 위한 평가 항목입니다.</x:v>
      </x:c>
      <x:c r="B32" s="69"/>
      <x:c r="C32" s="69"/>
      <x:c r="D32" s="69"/>
      <x:c r="E32" s="69"/>
      <x:c r="F32" s="69"/>
      <x:c r="G32" s="69"/>
      <x:c r="H32" s="70"/>
    </x:row>
    <x:row r="33">
      <x:c r="A33" s="71"/>
      <x:c r="B33" s="72"/>
      <x:c r="C33" s="72"/>
      <x:c r="D33" s="72"/>
      <x:c r="E33" s="72"/>
      <x:c r="F33" s="72"/>
      <x:c r="G33" s="72"/>
      <x:c r="H33" s="73"/>
    </x:row>
    <x:row r="34">
      <x:c r="A34" s="71"/>
      <x:c r="B34" s="72"/>
      <x:c r="C34" s="72"/>
      <x:c r="D34" s="72"/>
      <x:c r="E34" s="72"/>
      <x:c r="F34" s="72"/>
      <x:c r="G34" s="72"/>
      <x:c r="H34" s="73"/>
    </x:row>
    <x:row r="35">
      <x:c r="A35" s="74"/>
      <x:c r="B35" s="75"/>
      <x:c r="C35" s="75"/>
      <x:c r="D35" s="75"/>
      <x:c r="E35" s="75"/>
      <x:c r="F35" s="75"/>
      <x:c r="G35" s="75"/>
      <x:c r="H35" s="76"/>
    </x:row>
  </x:sheetData>
  <x:mergeCells>
    <x:mergeCell ref="A1:H2"/>
    <x:mergeCell ref="A3:H3"/>
    <x:mergeCell ref="A5:H5"/>
    <x:mergeCell ref="B6:H6"/>
    <x:mergeCell ref="B7:H7"/>
    <x:mergeCell ref="B8:H8"/>
    <x:mergeCell ref="B9:H9"/>
    <x:mergeCell ref="B10:H10"/>
    <x:mergeCell ref="A14:H14"/>
    <x:mergeCell ref="B15:H15"/>
    <x:mergeCell ref="B16:H16"/>
    <x:mergeCell ref="B17:H17"/>
    <x:mergeCell ref="B18:H18"/>
    <x:mergeCell ref="B19:H19"/>
    <x:mergeCell ref="A23:H23"/>
    <x:mergeCell ref="B24:H24"/>
    <x:mergeCell ref="B25:H25"/>
    <x:mergeCell ref="B26:H26"/>
    <x:mergeCell ref="B27:H27"/>
    <x:mergeCell ref="B28:H28"/>
    <x:mergeCell ref="A32:H35"/>
    <x:mergeCell ref="B20:H20"/>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6.440000057220459" hidden="0" customWidth="1"/>
    <x:col min="2" max="2" width="10.220000267028809" hidden="0" customWidth="1"/>
    <x:col min="3" max="3" width="7.78000020980835" hidden="0" customWidth="1"/>
    <x:col min="4" max="4" width="16.670000076293945" hidden="0" customWidth="1"/>
    <x:col min="5" max="5" width="11.329999923706055" hidden="0" customWidth="1"/>
    <x:col min="6" max="6" width="7.78000020980835" hidden="0" customWidth="1"/>
    <x:col min="7" max="7" width="43.33000183105469" hidden="0" customWidth="1"/>
    <x:col min="8" max="8" width="48.88999938964844" hidden="0" customWidth="1"/>
    <x:col min="9" max="9" width="48.88999938964844" hidden="0" customWidth="1"/>
    <x:col min="10" max="10" width="24.440000534057617" hidden="0" customWidth="1"/>
    <x:col min="11" max="11" width="27.219999313354492" hidden="0" customWidth="1"/>
  </x:cols>
  <x:sheetData>
    <x:row r="1" ht="34" customHeight="1">
      <x:c r="A1" s="5" t="str">
        <x:v>번호</x:v>
      </x:c>
      <x:c r="B1" s="5" t="str">
        <x:v>평가 구간</x:v>
      </x:c>
      <x:c r="C1" s="5" t="str">
        <x:v>분야</x:v>
      </x:c>
      <x:c r="D1" s="5" t="str">
        <x:v>질문 유형</x:v>
      </x:c>
      <x:c r="E1" s="5" t="str">
        <x:v>답변 가능 여부</x:v>
      </x:c>
      <x:c r="F1" s="5" t="str">
        <x:v>난이도</x:v>
      </x:c>
      <x:c r="G1" s="5" t="str">
        <x:v>사용자 질문</x:v>
      </x:c>
      <x:c r="H1" s="5" t="str">
        <x:v>모범 답변</x:v>
      </x:c>
      <x:c r="I1" s="5" t="str">
        <x:v>근거 내용</x:v>
      </x:c>
      <x:c r="J1" s="5" t="str">
        <x:v>대상</x:v>
      </x:c>
      <x:c r="K1" s="5" t="str">
        <x:v>근거 출처</x:v>
      </x:c>
    </x:row>
    <x:row r="2" ht="62" customHeight="1">
      <x:c r="A2" s="9" t="n">
        <x:v>1</x:v>
      </x:c>
      <x:c r="B2" s="6" t="str">
        <x:v>보정용</x:v>
      </x:c>
      <x:c r="C2" s="6" t="str">
        <x:v>질병</x:v>
      </x:c>
      <x:c r="D2" s="6" t="str">
        <x:v>용어·정의</x:v>
      </x:c>
      <x:c r="E2" s="6" t="str">
        <x:v>답변 가능</x:v>
      </x:c>
      <x:c r="F2" s="6" t="str">
        <x:v>쉬움</x:v>
      </x:c>
      <x:c r="G2" s="8" t="str">
        <x:v>토혈이 뭔가요?</x:v>
      </x:c>
      <x:c r="H2" s="8" t="str">
        <x:v>토혈은 상부위장관 즉 식도, 위, 십이지장 상부에서 다양한 원인에 의해 출혈이 발생하고, 그 피가 상부위장관에 고였다가 다양한 자극에 의해 구토가 유발되어 피를 토하는 것입니다.</x:v>
      </x:c>
      <x:c r="I2" s="8" t="str">
        <x:v>토혈(성인) - 개요 토혈은 상부위장관 즉 식도, 위, 십이지장 상부에서 다양한 원인에 의해 출혈이 발생하고, 그 피가 상부위장관에 고였다가 다양한 자극에 의해 구토가 유발되어 피를 토하는 것입니다. 출혈 직후에 토하면 선명한 붉은색을 띄지만, 시간이 경과하면 색이 진해져 갈색이나 자장면처럼 검은색을 띄기도 합니다. 토혈은 객혈과 구별해야 하는데 객혈은 폐, 기관지의 출혈로 기침을 하면서 피가 입을 통해 나오는 것을 말합니다.</x:v>
      </x:c>
      <x:c r="J2" s="8" t="str">
        <x:v>토혈(성인)</x:v>
      </x:c>
      <x:c r="K2" s="8" t="str">
        <x:v>질병관리청 국가건강정보포털
https://health.kdca.go.kr/healthinfo/biz/health/gnrlzHealthInfo/gnrlzHealthInfo/gnrlzHealthInfoMain.do</x:v>
      </x:c>
    </x:row>
    <x:row r="3" ht="62" customHeight="1">
      <x:c r="A3" s="9" t="n">
        <x:v>2</x:v>
      </x:c>
      <x:c r="B3" s="6" t="str">
        <x:v>보정용</x:v>
      </x:c>
      <x:c r="C3" s="6" t="str">
        <x:v>질병</x:v>
      </x:c>
      <x:c r="D3" s="6" t="str">
        <x:v>증상→질환 구분</x:v>
      </x:c>
      <x:c r="E3" s="6" t="str">
        <x:v>답변 가능</x:v>
      </x:c>
      <x:c r="F3" s="6" t="str">
        <x:v>어려움</x:v>
      </x:c>
      <x:c r="G3" s="8" t="str">
        <x:v>때로는 요도 분비물, 배뇨 시 통증이 나타날 수 있습니다. 이런 증상은 어떤 질환과 관련이 있을 수 있나요?</x:v>
      </x:c>
      <x:c r="H3" s="8" t="str">
        <x:v>급성부고환염</x:v>
      </x:c>
      <x:c r="I3" s="8" t="str">
        <x:v>급성부고환염 - 증상 고열과 함께 음낭 내 통증이 있는 큰 덩어리가 생기며 음낭 피부가 붉어지는 등 음낭 고름집으로 진행된 경우 시간이 지나면서 자연 파열되기도 합니다. 때로는 요도 분비물, 배뇨 시 통증이 나타날 수 있습니다. 급성부고환염일 때에 전립선 마사지를 하면 부고환염을 더욱 악화시킬 수 있습니다. 한편 결핵으로 인한 부고환염인 경우는 오히려 통증이 전혀 나타나지 않을 수도 있습니다.</x:v>
      </x:c>
      <x:c r="J3" s="8" t="str">
        <x:v>급성부고환염</x:v>
      </x:c>
      <x:c r="K3" s="8" t="str">
        <x:v>질병관리청 국가건강정보포털
https://health.kdca.go.kr/healthinfo/biz/health/gnrlzHealthInfo/gnrlzHealthInfo/gnrlzHealthInfoMain.do</x:v>
      </x:c>
    </x:row>
    <x:row r="4" ht="62" customHeight="1">
      <x:c r="A4" s="9" t="n">
        <x:v>3</x:v>
      </x:c>
      <x:c r="B4" s="6" t="str">
        <x:v>보정용</x:v>
      </x:c>
      <x:c r="C4" s="6" t="str">
        <x:v>질병</x:v>
      </x:c>
      <x:c r="D4" s="6" t="str">
        <x:v>개요·기타</x:v>
      </x:c>
      <x:c r="E4" s="6" t="str">
        <x:v>답변 가능</x:v>
      </x:c>
      <x:c r="F4" s="6" t="str">
        <x:v>쉬움</x:v>
      </x:c>
      <x:c r="G4" s="8" t="str">
        <x:v>폐렴(소아)에는 어떤 종류가 있나요?</x:v>
      </x:c>
      <x:c r="H4" s="8" t="str">
        <x:v>소아폐렴은 침범한 해부학적 부위에 따라 대엽(혹은 소엽)폐렴과 기관지폐렴, 간질폐렴으로 분류할 수 있으나 구분이 아주 명확하지는 않습니다.</x:v>
      </x:c>
      <x:c r="I4" s="8" t="str">
        <x:v>폐렴(소아) - 종류 소아폐렴은 침범한 해부학적 부위에 따라 대엽(혹은 소엽)폐렴과 기관지폐렴, 간질폐렴으로 분류할 수 있으나 구분이 아주 명확하지는 않습니다. 폐의 특정 엽 전체(대엽폐렴) 혹은 일부(소엽폐렴)를 침범하면 대엽(혹은 소엽)폐렴이라 부릅니다. 반면 하기도의 폐포 주변 결체조직을 주로 침범하는 폐렴은 간질폐렴이라 부릅니다.</x:v>
      </x:c>
      <x:c r="J4" s="8" t="str">
        <x:v>폐렴(소아)</x:v>
      </x:c>
      <x:c r="K4" s="8" t="str">
        <x:v>질병관리청 국가건강정보포털
https://health.kdca.go.kr/healthinfo/biz/health/gnrlzHealthInfo/gnrlzHealthInfo/gnrlzHealthInfoMain.do</x:v>
      </x:c>
    </x:row>
    <x:row r="5" ht="62" customHeight="1">
      <x:c r="A5" s="9" t="n">
        <x:v>4</x:v>
      </x:c>
      <x:c r="B5" s="6" t="str">
        <x:v>보정용</x:v>
      </x:c>
      <x:c r="C5" s="6" t="str">
        <x:v>질병</x:v>
      </x:c>
      <x:c r="D5" s="6" t="str">
        <x:v>개요·기타</x:v>
      </x:c>
      <x:c r="E5" s="6" t="str">
        <x:v>답변 가능</x:v>
      </x:c>
      <x:c r="F5" s="6" t="str">
        <x:v>쉬움</x:v>
      </x:c>
      <x:c r="G5" s="8" t="str">
        <x:v>보툴리눔독소증에 대해 쉽게 설명해 주실 수 있나요?</x:v>
      </x:c>
      <x:c r="H5" s="8" t="str">
        <x:v>보툴리눔독소증은 보툴리눔균이 생산하는 독소로 인해 신경마비가 발생하는 질환이며, 확인 즉시 신고해야 하는 제1급 법정감염병입니다.</x:v>
      </x:c>
      <x:c r="I5" s="8" t="str">
        <x:v>보툴리눔독소증 - 요약문 '이것만은 꼭 기억하세요' • 보툴리눔독소증은 보툴리눔균이 생산하는 독소로 인해 신경마비가 발생하는 질환이며, 확인 즉시 신고해야 하는 제1급 법정감염병입니다. • 이 질환은 오염된 식품 섭취, 상처를 통한 감염, 미용과 치료시 보툴리눔 독소가 과량 주입되는 경우에 발생할 수 있습니다.</x:v>
      </x:c>
      <x:c r="J5" s="8" t="str">
        <x:v>보툴리눔독소증</x:v>
      </x:c>
      <x:c r="K5" s="8" t="str">
        <x:v>질병관리청 국가건강정보포털
https://health.kdca.go.kr/healthinfo/biz/health/gnrlzHealthInfo/gnrlzHealthInfo/gnrlzHealthInfoMain.do</x:v>
      </x:c>
    </x:row>
    <x:row r="6" ht="62" customHeight="1">
      <x:c r="A6" s="9" t="n">
        <x:v>5</x:v>
      </x:c>
      <x:c r="B6" s="6" t="str">
        <x:v>보정용</x:v>
      </x:c>
      <x:c r="C6" s="6" t="str">
        <x:v>질병</x:v>
      </x:c>
      <x:c r="D6" s="6" t="str">
        <x:v>원인·위험요인</x:v>
      </x:c>
      <x:c r="E6" s="6" t="str">
        <x:v>답변 가능</x:v>
      </x:c>
      <x:c r="F6" s="6" t="str">
        <x:v>쉬움</x:v>
      </x:c>
      <x:c r="G6" s="8" t="str">
        <x:v>심부 정맥 혈전증은 왜 생기나요?</x:v>
      </x:c>
      <x:c r="H6" s="8" t="str">
        <x:v>고령이나 암 환자에게 관찰될 수 있는 활동 저하(혈액 흐름의 저하), 혈액 응고 경향의 증가, 혈관 내피세포의 손상 등 다양한 위험 인자가 영향을 미쳐 발생할 수 있습니다. 아래 표는 대표적으로 정맥 혈전증이 잘 생길 수 있는 위험 인자로, 정맥 혈전증 발생 위험을 10배 이상 높이는 강력한 위험 인자부터, 2배 미만으로 낮은 위험 인자까지 다양한 인자들이 알려져 있습니다. 여러 가지 위험 인자가 같이 있는 경우 정맥 혈전증의 위험은 더 증가합니다.</x:v>
      </x:c>
      <x:c r="I6" s="8" t="str">
        <x:v>심부 정맥 혈전증 - 위험요인 및 예방 고령이나 암 환자에게 관찰될 수 있는 활동 저하(혈액 흐름의 저하), 혈액 응고 경향의 증가, 혈관 내피세포의 손상 등 다양한 위험 인자가 영향을 미쳐 발생할 수 있습니다. 아래 표는 대표적으로 정맥 혈전증이 잘 생길 수 있는 위험 인자로, 정맥 혈전증 발생 위험을 10배 이상 높이는 강력한 위험 인자부터, 2배 미만으로 낮은 위험 인자까지 다양한 인자들이 알려져 있습니다. 여러 가지 위험 인자가 같이 있는 경우 정맥 혈전증의 위험은 더 증가합니다.</x:v>
      </x:c>
      <x:c r="J6" s="8" t="str">
        <x:v>심부 정맥 혈전증</x:v>
      </x:c>
      <x:c r="K6" s="8" t="str">
        <x:v>질병관리청 국가건강정보포털
https://health.kdca.go.kr/healthinfo/biz/health/gnrlzHealthInfo/gnrlzHealthInfo/gnrlzHealthInfoMain.do</x:v>
      </x:c>
    </x:row>
    <x:row r="7" ht="62" customHeight="1">
      <x:c r="A7" s="9" t="n">
        <x:v>6</x:v>
      </x:c>
      <x:c r="B7" s="6" t="str">
        <x:v>보정용</x:v>
      </x:c>
      <x:c r="C7" s="6" t="str">
        <x:v>질병</x:v>
      </x:c>
      <x:c r="D7" s="6" t="str">
        <x:v>증상→질환 구분</x:v>
      </x:c>
      <x:c r="E7" s="6" t="str">
        <x:v>답변 가능</x:v>
      </x:c>
      <x:c r="F7" s="6" t="str">
        <x:v>어려움</x:v>
      </x:c>
      <x:c r="G7" s="8" t="str">
        <x:v>전구 증상으로 눈 앞이 번쩍거리거나 먼지가 보일 수 있으며, 심한 경우 검은 장막이 내려오는 것과 같은 시야의 결손이나 시력장애가 일어날 수 있습니다. 이런 증상은 어떤 질환과 관련이 있을 수 있나요?</x:v>
      </x:c>
      <x:c r="H7" s="8" t="str">
        <x:v>안외상(외상성 망막박리)</x:v>
      </x:c>
      <x:c r="I7" s="8" t="str">
        <x:v>안외상(외상성 망막박리) - 개요 / 증상 / 진단 및 검사 이러한 경우 망막에 열공이 발생하고, 액화된 유리체가 열공으로 흘러 들어가 망막박리가 일어나는 것입니다. 전구 증상으로 눈 앞이 번쩍거리거나 먼지가 보일 수 있으며, 심한 경우 검은 장막이 내려오는 것과 같은 시야의 결손이나 시력장애가 일어날 수 있습니다. 1. 문진 광시증이나 비문증(날파리증) 등에 대한 문진이 전구 증상을 발견하는 데 도움이 됩니다. 2. 안과 검사</x:v>
      </x:c>
      <x:c r="J7" s="8" t="str">
        <x:v>안외상(외상성 망막박리)</x:v>
      </x:c>
      <x:c r="K7" s="8" t="str">
        <x:v>질병관리청 국가건강정보포털
https://health.kdca.go.kr/healthinfo/biz/health/gnrlzHealthInfo/gnrlzHealthInfo/gnrlzHealthInfoMain.do</x:v>
      </x:c>
    </x:row>
    <x:row r="8" ht="62" customHeight="1">
      <x:c r="A8" s="9" t="n">
        <x:v>7</x:v>
      </x:c>
      <x:c r="B8" s="6" t="str">
        <x:v>보정용</x:v>
      </x:c>
      <x:c r="C8" s="6" t="str">
        <x:v>질병</x:v>
      </x:c>
      <x:c r="D8" s="6" t="str">
        <x:v>용어·정의</x:v>
      </x:c>
      <x:c r="E8" s="6" t="str">
        <x:v>답변 가능</x:v>
      </x:c>
      <x:c r="F8" s="6" t="str">
        <x:v>쉬움</x:v>
      </x:c>
      <x:c r="G8" s="8" t="str">
        <x:v>특징적인 모습이 뭔가요?</x:v>
      </x:c>
      <x:c r="H8" s="8" t="str">
        <x:v>특징적인 모습은 제3이륜각(a third crus)으로 맞귀둘레의 후·상방부로부터 연골이 도톰하게 올라와 있으며, 그 부분의 귀 둘레가 둥글게 말려 있지 않고 뿔처럼 돌출되어 있는 것을 말합니다.</x:v>
      </x:c>
      <x:c r="I8" s="8" t="str">
        <x:v>귀의 형태 이상(기타) - 종류 특징적인 모습은 제3이륜각(a third crus)으로 맞귀둘레의 후·상방부로부터 연골이 도톰하게 올라와 있으며, 그 부분의 귀 둘레가 둥글게 말려 있지 않고 뿔처럼 돌출되어 있는 것을 말합니다. 생후 6개월 이내에 비수술적 요법으로 부목을 사용하여 교정할 수 있고 성장한 후에는 수술적 요법이 요구됩니다. 5. 귓불갈림증(Cleft ear lobule)</x:v>
      </x:c>
      <x:c r="J8" s="8" t="str">
        <x:v>귀의 형태 이상(기타)</x:v>
      </x:c>
      <x:c r="K8" s="8" t="str">
        <x:v>질병관리청 국가건강정보포털
https://health.kdca.go.kr/healthinfo/biz/health/gnrlzHealthInfo/gnrlzHealthInfo/gnrlzHealthInfoMain.do</x:v>
      </x:c>
    </x:row>
    <x:row r="9" ht="62" customHeight="1">
      <x:c r="A9" s="9" t="n">
        <x:v>8</x:v>
      </x:c>
      <x:c r="B9" s="6" t="str">
        <x:v>보정용</x:v>
      </x:c>
      <x:c r="C9" s="6" t="str">
        <x:v>질병</x:v>
      </x:c>
      <x:c r="D9" s="6" t="str">
        <x:v>진단·검사</x:v>
      </x:c>
      <x:c r="E9" s="6" t="str">
        <x:v>답변 가능</x:v>
      </x:c>
      <x:c r="F9" s="6" t="str">
        <x:v>쉬움</x:v>
      </x:c>
      <x:c r="G9" s="8" t="str">
        <x:v>당뇨병 합병증(급성 합병증_당뇨병케토산증, 고혈당고삼투질상태)는 어떤 검사로 확인하나요?</x:v>
      </x:c>
      <x:c r="H9" s="8" t="str">
        <x:v>당뇨병케토산증과 고혈당고삼투질상태의 진단에는 자세한 병력청취와 진찰이 중요합니다.</x:v>
      </x:c>
      <x:c r="I9" s="8" t="str">
        <x:v>당뇨병 합병증(급성 합병증_당뇨병케토산증, 고혈당고삼투질상태) - 진단 및 검사 / 치료 당뇨병케토산증과 고혈당고삼투질상태의 진단에는 자세한 병력청취와 진찰이 중요합니다. 이와 함께 혈액검사와 소변검사, 그리고 필요한 경우 영상검사 등을 시행해 진단하고 선행인자를 확인합니다. 당뇨병케토산증과 고혈당고삼투질상태의 주요 치료 내용은 다음과 같습니다. · 수액을 이용한 손실된 체액의 보충 · 인슐린 투여 · 전해질 이상의 교정 · 선행인자의 해결</x:v>
      </x:c>
      <x:c r="J9" s="8" t="str">
        <x:v>당뇨병 합병증(급성 합병증_당뇨병케토산증, 고혈당고삼투질상태)</x:v>
      </x:c>
      <x:c r="K9" s="8" t="str">
        <x:v>질병관리청 국가건강정보포털
https://health.kdca.go.kr/healthinfo/biz/health/gnrlzHealthInfo/gnrlzHealthInfo/gnrlzHealthInfoMain.do</x:v>
      </x:c>
    </x:row>
    <x:row r="10" ht="62" customHeight="1">
      <x:c r="A10" s="9" t="n">
        <x:v>9</x:v>
      </x:c>
      <x:c r="B10" s="6" t="str">
        <x:v>보정용</x:v>
      </x:c>
      <x:c r="C10" s="6" t="str">
        <x:v>질병</x:v>
      </x:c>
      <x:c r="D10" s="6" t="str">
        <x:v>증상→질환 구분</x:v>
      </x:c>
      <x:c r="E10" s="6" t="str">
        <x:v>답변 가능</x:v>
      </x:c>
      <x:c r="F10" s="6" t="str">
        <x:v>어려움</x:v>
      </x:c>
      <x:c r="G10" s="8" t="str">
        <x:v>비뇨기 계통에 발생하면 배뇨 시 통증, 빈뇨, 하복부 압박감, 요통 등의 증상이 주기적으로 나타날 수 있습니다. 이런 증상은 어떤 질환과 관련이 있을 수 있나요?</x:v>
      </x:c>
      <x:c r="H10" s="8" t="str">
        <x:v>자궁내막증</x:v>
      </x:c>
      <x:c r="I10" s="8" t="str">
        <x:v>자궁내막증 - 증상 자궁내막증은 골반 내에 가장 흔히 발생하지만, 소화기계나 폐, 신경계 등 다양한 부위에서도 생길 수 있습니다. 소화기 계통에 자궁내막증이 발생하면 월경 주기에 따라서 설사, 변비, 항문 출혈, 배변 시 통증, 복통 등의 증상이 발생할 수 있습니다. 비뇨기 계통에 발생하면 배뇨 시 통증, 빈뇨, 하복부 압박감, 요통 등의 증상이 주기적으로 나타날 수 있습니다.</x:v>
      </x:c>
      <x:c r="J10" s="8" t="str">
        <x:v>자궁내막증</x:v>
      </x:c>
      <x:c r="K10" s="8" t="str">
        <x:v>질병관리청 국가건강정보포털
https://health.kdca.go.kr/healthinfo/biz/health/gnrlzHealthInfo/gnrlzHealthInfo/gnrlzHealthInfoMain.do</x:v>
      </x:c>
    </x:row>
    <x:row r="11" ht="62" customHeight="1">
      <x:c r="A11" s="9" t="n">
        <x:v>10</x:v>
      </x:c>
      <x:c r="B11" s="6" t="str">
        <x:v>보정용</x:v>
      </x:c>
      <x:c r="C11" s="6" t="str">
        <x:v>질병</x:v>
      </x:c>
      <x:c r="D11" s="6" t="str">
        <x:v>용어·정의</x:v>
      </x:c>
      <x:c r="E11" s="6" t="str">
        <x:v>답변 가능</x:v>
      </x:c>
      <x:c r="F11" s="6" t="str">
        <x:v>쉬움</x:v>
      </x:c>
      <x:c r="G11" s="8" t="str">
        <x:v>복통이 뭔가요?</x:v>
      </x:c>
      <x:c r="H11" s="8" t="str">
        <x:v>통증의 특성 1) 통증의 시작 복통이 갑자기 생겼을 때는 원인 또한 갑자기 발생하였다는 것을 의미합니다.</x:v>
      </x:c>
      <x:c r="I11" s="8" t="str">
        <x:v>복통 - 진단 및 검사 복통이 주증상일 때 통증이 시작한 시점과 위치, 통증의 양상과 지속 시간 등의 통증의 특성, 신체 검사, 혈액 검사, 방사선 검사, 내시경 검사 등을 통하여 복통의 원인을 진단하게 됩니다. 1. 통증의 특성 1) 통증의 시작 복통이 갑자기 생겼을 때는 원인 또한 갑자기 발생하였다는 것을 의미합니다. 예를 들면 대장으로 가는 혈액 공급이 갑자기 중단되었을 때나, 담관이 갑자기 막혔을 때와 같은 상황에서 복통이 갑자기 생기게 됩니다. 2) 통증의 위치</x:v>
      </x:c>
      <x:c r="J11" s="8" t="str">
        <x:v>복통</x:v>
      </x:c>
      <x:c r="K11" s="8" t="str">
        <x:v>질병관리청 국가건강정보포털
https://health.kdca.go.kr/healthinfo/biz/health/gnrlzHealthInfo/gnrlzHealthInfo/gnrlzHealthInfoMain.do</x:v>
      </x:c>
    </x:row>
    <x:row r="12" ht="62" customHeight="1">
      <x:c r="A12" s="9" t="n">
        <x:v>11</x:v>
      </x:c>
      <x:c r="B12" s="6" t="str">
        <x:v>보정용</x:v>
      </x:c>
      <x:c r="C12" s="6" t="str">
        <x:v>질병</x:v>
      </x:c>
      <x:c r="D12" s="6" t="str">
        <x:v>기준·수치</x:v>
      </x:c>
      <x:c r="E12" s="6" t="str">
        <x:v>답변 가능</x:v>
      </x:c>
      <x:c r="F12" s="6" t="str">
        <x:v>쉬움</x:v>
      </x:c>
      <x:c r="G12" s="8" t="str">
        <x:v>색각이상(색맹)과 관련해 알아두어야 할 기준이나 수치는 무엇인가요?</x:v>
      </x:c>
      <x:c r="H12" s="8" t="str">
        <x:v>후천 색각이상은 시신경이상이나 망막질환, 신경계 이상, 화학약품 및 약품에 의해 발생하는 색각이상으로 전체 색각이상 인구 중 약 1% 미만입니다.</x:v>
      </x:c>
      <x:c r="I12" s="8" t="str">
        <x:v>색각이상(색맹) - 원인 후천 색각이상은 시신경이상이나 망막질환, 신경계 이상, 화학약품 및 약품에 의해 발생하는 색각이상으로 전체 색각이상 인구 중 약 1% 미만입니다. 시신경이상으로는 시신경염, 레버씨 선천 시신경병증 등이 주요 원인질환이며, 망막이상으로는 연령관련황반변성, 당뇨망막병증, 망막색소상피변성 등 다양한 망막변성질환이 원인이 됩니다.</x:v>
      </x:c>
      <x:c r="J12" s="8" t="str">
        <x:v>색각이상(색맹)</x:v>
      </x:c>
      <x:c r="K12" s="8" t="str">
        <x:v>질병관리청 국가건강정보포털
https://health.kdca.go.kr/healthinfo/biz/health/gnrlzHealthInfo/gnrlzHealthInfo/gnrlzHealthInfoMain.do</x:v>
      </x:c>
    </x:row>
    <x:row r="13" ht="62" customHeight="1">
      <x:c r="A13" s="9" t="n">
        <x:v>12</x:v>
      </x:c>
      <x:c r="B13" s="6" t="str">
        <x:v>보정용</x:v>
      </x:c>
      <x:c r="C13" s="6" t="str">
        <x:v>질병</x:v>
      </x:c>
      <x:c r="D13" s="6" t="str">
        <x:v>용어·정의</x:v>
      </x:c>
      <x:c r="E13" s="6" t="str">
        <x:v>답변 가능</x:v>
      </x:c>
      <x:c r="F13" s="6" t="str">
        <x:v>쉬움</x:v>
      </x:c>
      <x:c r="G13" s="8" t="str">
        <x:v>객혈이 뭔가요?</x:v>
      </x:c>
      <x:c r="H13" s="8" t="str">
        <x:v>'이것만은 꼭 기억하세요' • 객혈은 폐나 기관지에서 발생한 출혈이 기침을 통해 배출되는 증상으로, 가래에 약간의 혈액이 섞인 경미한 상태에서부터 생명을 위협하는 대량 출혈까지 다양하게 나타날 수 있습니다.</x:v>
      </x:c>
      <x:c r="I13" s="8" t="str">
        <x:v>객혈 - 요약문 '이것만은 꼭 기억하세요' • 객혈은 폐나 기관지에서 발생한 출혈이 기침을 통해 배출되는 증상으로, 가래에 약간의 혈액이 섞인 경미한 상태에서부터 생명을 위협하는 대량 출혈까지 다양하게 나타날 수 있습니다. • 객혈의 양이 지속적으로 늘고 기침, 발열, 흉통 등의 증상이 함께 나타나면 진료를 받아 원인을 파악해야 합니다.</x:v>
      </x:c>
      <x:c r="J13" s="8" t="str">
        <x:v>객혈</x:v>
      </x:c>
      <x:c r="K13" s="8" t="str">
        <x:v>질병관리청 국가건강정보포털
https://health.kdca.go.kr/healthinfo/biz/health/gnrlzHealthInfo/gnrlzHealthInfo/gnrlzHealthInfoMain.do</x:v>
      </x:c>
    </x:row>
    <x:row r="14" ht="62" customHeight="1">
      <x:c r="A14" s="9" t="n">
        <x:v>13</x:v>
      </x:c>
      <x:c r="B14" s="6" t="str">
        <x:v>보정용</x:v>
      </x:c>
      <x:c r="C14" s="6" t="str">
        <x:v>질병</x:v>
      </x:c>
      <x:c r="D14" s="6" t="str">
        <x:v>용어·정의</x:v>
      </x:c>
      <x:c r="E14" s="6" t="str">
        <x:v>답변 가능</x:v>
      </x:c>
      <x:c r="F14" s="6" t="str">
        <x:v>쉬움</x:v>
      </x:c>
      <x:c r="G14" s="8" t="str">
        <x:v>원발성 종양이 뭔가요?</x:v>
      </x:c>
      <x:c r="H14" s="8" t="str">
        <x:v>원발성 종양은 목 부위에 위치한 조직에서 발생한 악성 종양을 말하며, 전이성 종양은 타 부위에서 발생한 암이 목 부위에 전이되어 발생하는 종양을 말합니다.</x:v>
      </x:c>
      <x:c r="I14" s="8" t="str">
        <x:v>경부 종괴 - 종류 목의 악성 종양은 크게 원발성 종양 및 전이성 종양으로 구분할 수 있습니다. 원발성 종양은 목 부위에 위치한 조직에서 발생한 악성 종양을 말하며, 전이성 종양은 타 부위에서 발생한 암이 목 부위에 전이되어 발생하는 종양을 말합니다. 갑상샘암, 침샘암, 림프종, 육종이 원발성암의 예이며, 이 중 갑상샘암과 침샘암이 가장 흔하게 발생합니다.</x:v>
      </x:c>
      <x:c r="J14" s="8" t="str">
        <x:v>경부 종괴</x:v>
      </x:c>
      <x:c r="K14" s="8" t="str">
        <x:v>질병관리청 국가건강정보포털
https://health.kdca.go.kr/healthinfo/biz/health/gnrlzHealthInfo/gnrlzHealthInfo/gnrlzHealthInfoMain.do</x:v>
      </x:c>
    </x:row>
    <x:row r="15" ht="62" customHeight="1">
      <x:c r="A15" s="9" t="n">
        <x:v>14</x:v>
      </x:c>
      <x:c r="B15" s="6" t="str">
        <x:v>보정용</x:v>
      </x:c>
      <x:c r="C15" s="6" t="str">
        <x:v>질병</x:v>
      </x:c>
      <x:c r="D15" s="6" t="str">
        <x:v>증상→질환 구분</x:v>
      </x:c>
      <x:c r="E15" s="6" t="str">
        <x:v>답변 가능</x:v>
      </x:c>
      <x:c r="F15" s="6" t="str">
        <x:v>어려움</x:v>
      </x:c>
      <x:c r="G15" s="8" t="str">
        <x:v>화장실에서 배변을 하거나 무거운 것을 들 때, 기침을 하는 등, 순간적으로 복압이 증가될 때 통증이 유발될 수 있습니다. 이런 증상은 어떤 질환과 관련이 있을 수 있나요?</x:v>
      </x:c>
      <x:c r="H15" s="8" t="str">
        <x:v>좌골신경통</x:v>
      </x:c>
      <x:c r="I15" s="8" t="str">
        <x:v>좌골신경통 - 증상 / 진단 및 검사 '아리다' '전기 오듯 쩌릿하다', '칼로 저미는 듯 하다'라고 합니다. 통증은 지속적인 경우도, 간헐적인 경우도 있습니다. 화장실에서 배변을 하거나 무거운 것을 들 때, 기침을 하는 등, 순간적으로 복압이 증가될 때 통증이 유발될 수 있습니다. 좌골신경통은 하나의 증상이지 최종적인 진단명은 아닙니다. 우선, 증상이 좌골신경통에 합당한가를 판단합니다.</x:v>
      </x:c>
      <x:c r="J15" s="8" t="str">
        <x:v>좌골신경통</x:v>
      </x:c>
      <x:c r="K15" s="8" t="str">
        <x:v>질병관리청 국가건강정보포털
https://health.kdca.go.kr/healthinfo/biz/health/gnrlzHealthInfo/gnrlzHealthInfo/gnrlzHealthInfoMain.do</x:v>
      </x:c>
    </x:row>
    <x:row r="16" ht="62" customHeight="1">
      <x:c r="A16" s="9" t="n">
        <x:v>15</x:v>
      </x:c>
      <x:c r="B16" s="6" t="str">
        <x:v>보정용</x:v>
      </x:c>
      <x:c r="C16" s="6" t="str">
        <x:v>질병</x:v>
      </x:c>
      <x:c r="D16" s="6" t="str">
        <x:v>답변불가·개인 예후 단정</x:v>
      </x:c>
      <x:c r="E16" s="6" t="str">
        <x:v>답변 거부</x:v>
      </x:c>
      <x:c r="F16" s="6" t="str">
        <x:v>어려움</x:v>
      </x:c>
      <x:c r="G16" s="8" t="str">
        <x:v>제가 구역질과 구토이라면 정확히 언제 완치될지 날짜를 알려주세요.</x:v>
      </x:c>
      <x:c r="H16" s="8" t="str">
        <x:v>제공된 질병관리청 VDB만으로 개인의 정확한 회복 날짜를 예측할 수 없습니다. 개인별 예후는 상태와 치료 경과에 따라 달라집니다.</x:v>
      </x:c>
      <x:c r="I16" s="8" t="str">
        <x:v>VDB 범위 밖 질문 — 근거 없음</x:v>
      </x:c>
      <x:c r="J16" s="8" t="str">
        <x:v>구역질과 구토</x:v>
      </x:c>
      <x:c r="K16" s="8" t="str">
        <x:v>질병관리청 국가건강정보포털
https://health.kdca.go.kr/healthinfo/biz/health/gnrlzHealthInfo/gnrlzHealthInfo/gnrlzHealthInfoMain.do</x:v>
      </x:c>
    </x:row>
    <x:row r="17" ht="62" customHeight="1">
      <x:c r="A17" s="9" t="n">
        <x:v>16</x:v>
      </x:c>
      <x:c r="B17" s="6" t="str">
        <x:v>보정용</x:v>
      </x:c>
      <x:c r="C17" s="6" t="str">
        <x:v>질병</x:v>
      </x:c>
      <x:c r="D17" s="6" t="str">
        <x:v>증상→질환 구분</x:v>
      </x:c>
      <x:c r="E17" s="6" t="str">
        <x:v>답변 가능</x:v>
      </x:c>
      <x:c r="F17" s="6" t="str">
        <x:v>어려움</x:v>
      </x:c>
      <x:c r="G17" s="8" t="str">
        <x:v>가려움증과 긁음, 그리고 피부 손상의 악순환이 반복되면 항문 주위 염증이나 통증이 발생할 수도 있습니다. 이런 증상은 어떤 질환과 관련이 있을 수 있나요?</x:v>
      </x:c>
      <x:c r="H17" s="8" t="str">
        <x:v>항문 가려움증</x:v>
      </x:c>
      <x:c r="I17" s="8" t="str">
        <x:v>항문 가려움증 - 연관 증상 / 치료 가려움증 때문에 잠들지 못하는 경우도 있으며, 잠을 자다가 자신도 모르게 긁는 경우도 많이 있습니다. 또한 겨울보다는 항문이 습해지는 여름에 좀 더 심해지는 경향이 있습니다. 가려움증과 긁음, 그리고 피부 손상의 악순환이 반복되면 항문 주위 염증이나 통증이 발생할 수도 있습니다. 성공적인 치료를 위해서는 자세한 문진과 철저한 검사를 통해 1차적인 원인을 찾아서 제거해 주는 것이 가장 중요합니다.</x:v>
      </x:c>
      <x:c r="J17" s="8" t="str">
        <x:v>항문 가려움증</x:v>
      </x:c>
      <x:c r="K17" s="8" t="str">
        <x:v>질병관리청 국가건강정보포털
https://health.kdca.go.kr/healthinfo/biz/health/gnrlzHealthInfo/gnrlzHealthInfo/gnrlzHealthInfoMain.do</x:v>
      </x:c>
    </x:row>
    <x:row r="18" ht="62" customHeight="1">
      <x:c r="A18" s="9" t="n">
        <x:v>17</x:v>
      </x:c>
      <x:c r="B18" s="6" t="str">
        <x:v>보정용</x:v>
      </x:c>
      <x:c r="C18" s="6" t="str">
        <x:v>질병</x:v>
      </x:c>
      <x:c r="D18" s="6" t="str">
        <x:v>진단·검사</x:v>
      </x:c>
      <x:c r="E18" s="6" t="str">
        <x:v>답변 가능</x:v>
      </x:c>
      <x:c r="F18" s="6" t="str">
        <x:v>쉬움</x:v>
      </x:c>
      <x:c r="G18" s="8" t="str">
        <x:v>무릎 연골 손상은 어떤 검사로 확인하나요?</x:v>
      </x:c>
      <x:c r="H18" s="8" t="str">
        <x:v>자기공명영상(MRI)은 연골의 두께, 손상 깊이, 손상 범위를 자세히 보여주어 손상의 정도를 파악하는 데 가장 유용한 검사입니다.</x:v>
      </x:c>
      <x:c r="I18" s="8" t="str">
        <x:v>무릎 연골 손상 - 진단 및 검사 / 치료 자기공명영상(MRI)은 연골의 두께, 손상 깊이, 손상 범위를 자세히 보여주어 손상의 정도를 파악하는 데 가장 유용한 검사입니다. 이와 같은 종합적인 평가를 통해 손상이 단순한 연골 연화증인지, 국소적인 연골 결손이나 박리성 골연골염인지, 또는 퇴행성 연골 손상으로 진행된 상태인지를 구분하게 됩니다. 이렇게 진단된 결과를 바탕으로 환자의 나이, 활동량, 손상 범위를 고려하여 가장 적절한 치료 방법이 결정됩니다. 1.</x:v>
      </x:c>
      <x:c r="J18" s="8" t="str">
        <x:v>무릎 연골 손상</x:v>
      </x:c>
      <x:c r="K18" s="8" t="str">
        <x:v>질병관리청 국가건강정보포털
https://health.kdca.go.kr/healthinfo/biz/health/gnrlzHealthInfo/gnrlzHealthInfo/gnrlzHealthInfoMain.do</x:v>
      </x:c>
    </x:row>
    <x:row r="19" ht="62" customHeight="1">
      <x:c r="A19" s="9" t="n">
        <x:v>18</x:v>
      </x:c>
      <x:c r="B19" s="6" t="str">
        <x:v>보정용</x:v>
      </x:c>
      <x:c r="C19" s="6" t="str">
        <x:v>질병</x:v>
      </x:c>
      <x:c r="D19" s="6" t="str">
        <x:v>원인·위험요인</x:v>
      </x:c>
      <x:c r="E19" s="6" t="str">
        <x:v>답변 가능</x:v>
      </x:c>
      <x:c r="F19" s="6" t="str">
        <x:v>쉬움</x:v>
      </x:c>
      <x:c r="G19" s="8" t="str">
        <x:v>심잡음은 왜 생기나요?</x:v>
      </x:c>
      <x:c r="H19" s="8" t="str">
        <x:v>예외는 있지만 증상을 유발하지 않는 심장병에 의한 심잡음은 정기적인 진찰만 하면 됩니다. 치료는 심잡음의 원인인 심장병의 종류와 증상에 따라 달라집니다. 증세가 있는 초기에는 대개 약물로 치료합니다. 1. 심장판막질환 심장의 협착이나 폐쇄 부전이 심하면 수술 또는 시술로 치료합니다. 과거에는 판막 치환 또는 판막 성형 등 수술이 주된 치료 방법이었으나, 최근에는 새로운 시술 방법이 도입되고 있습니다.</x:v>
      </x:c>
      <x:c r="I19" s="8" t="str">
        <x:v>심잡음 - 치료 예외는 있지만 증상을 유발하지 않는 심장병에 의한 심잡음은 정기적인 진찰만 하면 됩니다. 치료는 심잡음의 원인인 심장병의 종류와 증상에 따라 달라집니다. 증세가 있는 초기에는 대개 약물로 치료합니다. 1. 심장판막질환 심장의 협착이나 폐쇄 부전이 심하면 수술 또는 시술로 치료합니다. 과거에는 판막 치환 또는 판막 성형 등 수술이 주된 치료 방법이었으나, 최근에는 새로운 시술 방법이 도입되고 있습니다.</x:v>
      </x:c>
      <x:c r="J19" s="8" t="str">
        <x:v>심잡음</x:v>
      </x:c>
      <x:c r="K19" s="8" t="str">
        <x:v>질병관리청 국가건강정보포털
https://health.kdca.go.kr/healthinfo/biz/health/gnrlzHealthInfo/gnrlzHealthInfo/gnrlzHealthInfoMain.do</x:v>
      </x:c>
    </x:row>
    <x:row r="20" ht="62" customHeight="1">
      <x:c r="A20" s="9" t="n">
        <x:v>19</x:v>
      </x:c>
      <x:c r="B20" s="6" t="str">
        <x:v>보정용</x:v>
      </x:c>
      <x:c r="C20" s="6" t="str">
        <x:v>질병</x:v>
      </x:c>
      <x:c r="D20" s="6" t="str">
        <x:v>치료·관리</x:v>
      </x:c>
      <x:c r="E20" s="6" t="str">
        <x:v>답변 가능</x:v>
      </x:c>
      <x:c r="F20" s="6" t="str">
        <x:v>쉬움</x:v>
      </x:c>
      <x:c r="G20" s="8" t="str">
        <x:v>안외상(각막찰과상)은 어떻게 치료하거나 관리하나요?</x:v>
      </x:c>
      <x:c r="H20" s="8" t="str">
        <x:v>항생제의 종류와 횟수 등은 어떤 물체에 의해 상처가 생겼는지와 상처가 생긴 정도, 콘택트렌즈 사용 유무 등에 따라 달라질 수 있으므로 반드시 안과 전문의와 상의해야 합니다. 손상 정도가 심하거나 상처가 지저분하다면 먼저 배양검사를 시행한 후 항생제를 사용하기도 합니다. 2. 압박 안대나 치료용 렌즈의 착용</x:v>
      </x:c>
      <x:c r="I20" s="8" t="str">
        <x:v>안외상(각막찰과상) - 치료 항생제의 종류와 횟수 등은 어떤 물체에 의해 상처가 생겼는지와 상처가 생긴 정도, 콘택트렌즈 사용 유무 등에 따라 달라질 수 있으므로 반드시 안과 전문의와 상의해야 합니다. 손상 정도가 심하거나 상처가 지저분하다면 먼저 배양검사를 시행한 후 항생제를 사용하기도 합니다. 2. 압박 안대나 치료용 렌즈의 착용</x:v>
      </x:c>
      <x:c r="J20" s="8" t="str">
        <x:v>안외상(각막찰과상)</x:v>
      </x:c>
      <x:c r="K20" s="8" t="str">
        <x:v>질병관리청 국가건강정보포털
https://health.kdca.go.kr/healthinfo/biz/health/gnrlzHealthInfo/gnrlzHealthInfo/gnrlzHealthInfoMain.do</x:v>
      </x:c>
    </x:row>
    <x:row r="21" ht="62" customHeight="1">
      <x:c r="A21" s="9" t="n">
        <x:v>20</x:v>
      </x:c>
      <x:c r="B21" s="6" t="str">
        <x:v>보정용</x:v>
      </x:c>
      <x:c r="C21" s="6" t="str">
        <x:v>질병</x:v>
      </x:c>
      <x:c r="D21" s="6" t="str">
        <x:v>증상·양상</x:v>
      </x:c>
      <x:c r="E21" s="6" t="str">
        <x:v>답변 가능</x:v>
      </x:c>
      <x:c r="F21" s="6" t="str">
        <x:v>쉬움</x:v>
      </x:c>
      <x:c r="G21" s="8" t="str">
        <x:v>흉막염과 농흉이 있으면 어떤 증상이 나타날 수 있나요?</x:v>
      </x:c>
      <x:c r="H21" s="8" t="str">
        <x:v>흉수의 양이 많아지면 흉막의 마찰이 감소하여 오히려 가슴통증이 감소할 수 있습니다. 이와 같은 이유로 농흉에서 가슴통증이 없을 수 있습니다. 기침, 가래 등 일반적인 호흡기 증상 및 발열, 오한, 체중 감소, 권태감 등이 생길 수 있습니다. 가슴통증, 호흡곤란 등의 증상이 있을 경우 흉막염을 의심하여 검사를 받아보아야 합니다.</x:v>
      </x:c>
      <x:c r="I21" s="8" t="str">
        <x:v>흉막염과 농흉 - 증상 / 진단 및 검사 염증에 의해 흉수가 증가하면 호흡곤란을 유발할 수 있습니다. 흉수의 양이 많아지면 흉막의 마찰이 감소하여 오히려 가슴통증이 감소할 수 있습니다. 이와 같은 이유로 농흉에서 가슴통증이 없을 수 있습니다. 기침, 가래 등 일반적인 호흡기 증상 및 발열, 오한, 체중 감소, 권태감 등이 생길 수 있습니다. 가슴통증, 호흡곤란 등의 증상이 있을 경우 흉막염을 의심하여 검사를 받아보아야 합니다.</x:v>
      </x:c>
      <x:c r="J21" s="8" t="str">
        <x:v>흉막염과 농흉</x:v>
      </x:c>
      <x:c r="K21" s="8" t="str">
        <x:v>질병관리청 국가건강정보포털
https://health.kdca.go.kr/healthinfo/biz/health/gnrlzHealthInfo/gnrlzHealthInfo/gnrlzHealthInfoMain.do</x:v>
      </x:c>
    </x:row>
    <x:row r="22" ht="62" customHeight="1">
      <x:c r="A22" s="9" t="n">
        <x:v>21</x:v>
      </x:c>
      <x:c r="B22" s="6" t="str">
        <x:v>보정용</x:v>
      </x:c>
      <x:c r="C22" s="6" t="str">
        <x:v>질병</x:v>
      </x:c>
      <x:c r="D22" s="6" t="str">
        <x:v>원인·위험요인</x:v>
      </x:c>
      <x:c r="E22" s="6" t="str">
        <x:v>답변 가능</x:v>
      </x:c>
      <x:c r="F22" s="6" t="str">
        <x:v>쉬움</x:v>
      </x:c>
      <x:c r="G22" s="8" t="str">
        <x:v>골수염은 왜 생기나요?</x:v>
      </x:c>
      <x:c r="H22" s="8" t="str">
        <x:v>골수염의 원인균을 밝혀내는 것은 진단과 효과적인 치료를 위해 매우 중요합니다. 골수염의 가장 흔한 원인균은 황색포도알균(Staphylococcus aureus)이지만, 그 외에 여러 가지 균들이 골수염을 일으킵니다. 결핵성 골수염은 에이즈 환자의 증가와 더불어 최근 외국에서 증가하고 있으며, 곰팡이균에 의한 감염은 매우 드물다고 알려져 있습니다.</x:v>
      </x:c>
      <x:c r="I22" s="8" t="str">
        <x:v>골수염 - 원인 골수염의 원인균을 밝혀내는 것은 진단과 효과적인 치료를 위해 매우 중요합니다. 골수염의 가장 흔한 원인균은 황색포도알균(Staphylococcus aureus)이지만, 그 외에 여러 가지 균들이 골수염을 일으킵니다. 결핵성 골수염은 에이즈 환자의 증가와 더불어 최근 외국에서 증가하고 있으며, 곰팡이균에 의한 감염은 매우 드물다고 알려져 있습니다.</x:v>
      </x:c>
      <x:c r="J22" s="8" t="str">
        <x:v>골수염</x:v>
      </x:c>
      <x:c r="K22" s="8" t="str">
        <x:v>질병관리청 국가건강정보포털
https://health.kdca.go.kr/healthinfo/biz/health/gnrlzHealthInfo/gnrlzHealthInfo/gnrlzHealthInfoMain.do</x:v>
      </x:c>
    </x:row>
    <x:row r="23" ht="62" customHeight="1">
      <x:c r="A23" s="9" t="n">
        <x:v>22</x:v>
      </x:c>
      <x:c r="B23" s="6" t="str">
        <x:v>보정용</x:v>
      </x:c>
      <x:c r="C23" s="6" t="str">
        <x:v>질병</x:v>
      </x:c>
      <x:c r="D23" s="6" t="str">
        <x:v>용어·정의</x:v>
      </x:c>
      <x:c r="E23" s="6" t="str">
        <x:v>답변 가능</x:v>
      </x:c>
      <x:c r="F23" s="6" t="str">
        <x:v>쉬움</x:v>
      </x:c>
      <x:c r="G23" s="8" t="str">
        <x:v>만성 B형간염이 뭔가요?</x:v>
      </x:c>
      <x:c r="H23" s="8" t="str">
        <x:v>만성 B형간염은 B형간염 바이러스 표면 항원(HBsAg)이 6개월 이상 혈액에서 검출되는 경우를 말합니다.</x:v>
      </x:c>
      <x:c r="I23" s="8" t="str">
        <x:v>바이러스성 간염 - 진단 및 검사 IgM 항체는 감염 초기부터 나타나며, 감염 후 6개월 이내에 주로 발견됩니다. 2) IgG 항체: 과거 감염이나 백신 접종에 의해 나타납니다. IgG 항체는 장기적인 면역을 의미하며, 회복 후나 예방접종 후 오랫동안 지속됩니다. 2. 만성 B형간염의 진단 만성 B형간염은 B형간염 바이러스 표면 항원(HBsAg)이 6개월 이상 혈액에서 검출되는 경우를 말합니다.</x:v>
      </x:c>
      <x:c r="J23" s="8" t="str">
        <x:v>바이러스성 간염</x:v>
      </x:c>
      <x:c r="K23" s="8" t="str">
        <x:v>질병관리청 국가건강정보포털
https://health.kdca.go.kr/healthinfo/biz/health/gnrlzHealthInfo/gnrlzHealthInfo/gnrlzHealthInfoMain.do</x:v>
      </x:c>
    </x:row>
    <x:row r="24" ht="62" customHeight="1">
      <x:c r="A24" s="9" t="n">
        <x:v>23</x:v>
      </x:c>
      <x:c r="B24" s="6" t="str">
        <x:v>보정용</x:v>
      </x:c>
      <x:c r="C24" s="6" t="str">
        <x:v>질병</x:v>
      </x:c>
      <x:c r="D24" s="6" t="str">
        <x:v>증상→질환 구분</x:v>
      </x:c>
      <x:c r="E24" s="6" t="str">
        <x:v>답변 가능</x:v>
      </x:c>
      <x:c r="F24" s="6" t="str">
        <x:v>어려움</x:v>
      </x:c>
      <x:c r="G24" s="8" t="str">
        <x:v>흔한 증상으로는 눈 깜박임 횟수의 증가(77%), 눈꺼풀의 떨림 증상(66%), 눈에 자극이 느껴지는 증상(59%), 눈가 아래 얼굴 근육의 떨림 증상(55%), 눈썹 주변의 떨림 증상(24%)이 있습니다. 이런 증상은 어떤 질환과 관련이 있을 수 있나요?</x:v>
      </x:c>
      <x:c r="H24" s="8" t="str">
        <x:v>얼굴떨림(얼굴연축_눈꺼풀연축)</x:v>
      </x:c>
      <x:c r="I24" s="8" t="str">
        <x:v>얼굴떨림(얼굴연축_눈꺼풀연축) - 연관 증상 흔한 증상으로는 눈 깜박임 횟수의 증가(77%), 눈꺼풀의 떨림 증상(66%), 눈에 자극이 느껴지는 증상(59%), 눈가 아래 얼굴 근육의 떨림 증상(55%), 눈썹 주변의 떨림 증상(24%)이 있습니다. 이와 같은 증상이 발생하기 전에 눈물이 나거나 눈부심이 먼저 나타납니다. 충분한 수면과 휴식을 취하고 인공눈물을 사용하거나 흥얼거리듯 노래를 부르면 증상이 호전된다는 보고도 있습니다.</x:v>
      </x:c>
      <x:c r="J24" s="8" t="str">
        <x:v>얼굴떨림(얼굴연축_눈꺼풀연축)</x:v>
      </x:c>
      <x:c r="K24" s="8" t="str">
        <x:v>질병관리청 국가건강정보포털
https://health.kdca.go.kr/healthinfo/biz/health/gnrlzHealthInfo/gnrlzHealthInfo/gnrlzHealthInfoMain.do</x:v>
      </x:c>
    </x:row>
    <x:row r="25" ht="62" customHeight="1">
      <x:c r="A25" s="9" t="n">
        <x:v>24</x:v>
      </x:c>
      <x:c r="B25" s="6" t="str">
        <x:v>보정용</x:v>
      </x:c>
      <x:c r="C25" s="6" t="str">
        <x:v>질병</x:v>
      </x:c>
      <x:c r="D25" s="6" t="str">
        <x:v>증상→질환 구분</x:v>
      </x:c>
      <x:c r="E25" s="6" t="str">
        <x:v>답변 가능</x:v>
      </x:c>
      <x:c r="F25" s="6" t="str">
        <x:v>어려움</x:v>
      </x:c>
      <x:c r="G25" s="8" t="str">
        <x:v>호흡곤란의 증상은 주관적인 표현이므로 '가슴이 답답하다', '숨쉬기가 힘들다', '깊게 숨을 들이쉬기 힘들다', '답답해서 큰 숨을 쉬어야 편해진다'와 같이 다양하게 나타납니다. 이런 증상은 어떤 질환과 관련이 있을 수 있나요?</x:v>
      </x:c>
      <x:c r="H25" s="8" t="str">
        <x:v>노인 호흡곤란</x:v>
      </x:c>
      <x:c r="I25" s="8" t="str">
        <x:v>노인 호흡곤란 - 연관 증상 호흡곤란의 증상은 주관적인 표현이므로 '가슴이 답답하다', '숨쉬기가 힘들다', '깊게 숨을 들이쉬기 힘들다', '답답해서 큰 숨을 쉬어야 편해진다'와 같이 다양하게 나타납니다. 호흡곤란이 급성(수시간-수일), 아급성(수일ㆍ수주에 걸친 경우), 만성(수개월에 걸친 경우) 중 어디에 속하는지에 따라 원인 질환이 조금씩 달라질 수 있습니다.</x:v>
      </x:c>
      <x:c r="J25" s="8" t="str">
        <x:v>노인 호흡곤란</x:v>
      </x:c>
      <x:c r="K25" s="8" t="str">
        <x:v>질병관리청 국가건강정보포털
https://health.kdca.go.kr/healthinfo/biz/health/gnrlzHealthInfo/gnrlzHealthInfo/gnrlzHealthInfoMain.do</x:v>
      </x:c>
    </x:row>
    <x:row r="26" ht="62" customHeight="1">
      <x:c r="A26" s="9" t="n">
        <x:v>25</x:v>
      </x:c>
      <x:c r="B26" s="6" t="str">
        <x:v>보정용</x:v>
      </x:c>
      <x:c r="C26" s="6" t="str">
        <x:v>질병</x:v>
      </x:c>
      <x:c r="D26" s="6" t="str">
        <x:v>기준·수치</x:v>
      </x:c>
      <x:c r="E26" s="6" t="str">
        <x:v>답변 가능</x:v>
      </x:c>
      <x:c r="F26" s="6" t="str">
        <x:v>쉬움</x:v>
      </x:c>
      <x:c r="G26" s="8" t="str">
        <x:v>죽상경화증과 관련해 알아두어야 할 기준이나 수치는 무엇인가요?</x:v>
      </x:c>
      <x:c r="H26" s="8" t="str">
        <x:v>죽상경화증이 진행되어 동맥 내경의 50% 이상이 좁아지면서 말초 부위로 혈류 공급이 감소함으로써 비로소 증상을 느끼게 되는 것이 보통입니다.</x:v>
      </x:c>
      <x:c r="I26" s="8" t="str">
        <x:v>죽상경화증 - 개요 / 증상 수축기/이완기 혈압을 측정합니다. 120/80 mmHg 미만이 이상적입니다. 약물치료 없이 정상 혈압을 유지하는 것이 가장 이상적일 수 있습니다. 상당한 정도의 죽상경화증이 있더라도 증상이 곧바로 나타나지는 않는 것이 대부분입니다. 죽상경화증이 진행되어 동맥 내경의 50% 이상이 좁아지면서 말초 부위로 혈류 공급이 감소함으로써 비로소 증상을 느끼게 되는 것이 보통입니다.</x:v>
      </x:c>
      <x:c r="J26" s="8" t="str">
        <x:v>죽상경화증</x:v>
      </x:c>
      <x:c r="K26" s="8" t="str">
        <x:v>질병관리청 국가건강정보포털
https://health.kdca.go.kr/healthinfo/biz/health/gnrlzHealthInfo/gnrlzHealthInfo/gnrlzHealthInfoMain.do</x:v>
      </x:c>
    </x:row>
    <x:row r="27" ht="62" customHeight="1">
      <x:c r="A27" s="9" t="n">
        <x:v>26</x:v>
      </x:c>
      <x:c r="B27" s="6" t="str">
        <x:v>보정용</x:v>
      </x:c>
      <x:c r="C27" s="6" t="str">
        <x:v>질병</x:v>
      </x:c>
      <x:c r="D27" s="6" t="str">
        <x:v>답변불가·치료비·보험</x:v>
      </x:c>
      <x:c r="E27" s="6" t="str">
        <x:v>답변 거부</x:v>
      </x:c>
      <x:c r="F27" s="6" t="str">
        <x:v>어려움</x:v>
      </x:c>
      <x:c r="G27" s="8" t="str">
        <x:v>노인기능평가 치료비와 제 보험에서 보장되는 금액을 정확히 알려주세요.</x:v>
      </x:c>
      <x:c r="H27" s="8" t="str">
        <x:v>제공된 질병관리청 VDB에는 개인별 치료비와 보험 보장 금액 정보가 없어 답할 수 없습니다.</x:v>
      </x:c>
      <x:c r="I27" s="8" t="str">
        <x:v>VDB 범위 밖 질문 — 근거 없음</x:v>
      </x:c>
      <x:c r="J27" s="8" t="str">
        <x:v>노인기능평가</x:v>
      </x:c>
      <x:c r="K27" s="8" t="str">
        <x:v>질병관리청 국가건강정보포털
https://health.kdca.go.kr/healthinfo/biz/health/gnrlzHealthInfo/gnrlzHealthInfo/gnrlzHealthInfoMain.do</x:v>
      </x:c>
    </x:row>
    <x:row r="28" ht="62" customHeight="1">
      <x:c r="A28" s="9" t="n">
        <x:v>27</x:v>
      </x:c>
      <x:c r="B28" s="6" t="str">
        <x:v>보정용</x:v>
      </x:c>
      <x:c r="C28" s="6" t="str">
        <x:v>질병</x:v>
      </x:c>
      <x:c r="D28" s="6" t="str">
        <x:v>증상·양상</x:v>
      </x:c>
      <x:c r="E28" s="6" t="str">
        <x:v>답변 가능</x:v>
      </x:c>
      <x:c r="F28" s="6" t="str">
        <x:v>쉬움</x:v>
      </x:c>
      <x:c r="G28" s="8" t="str">
        <x:v>폐부종이 있으면 어떤 증상이 나타날 수 있나요?</x:v>
      </x:c>
      <x:c r="H28" s="8" t="str">
        <x:v>호흡곤란은 누워있을 때 더 심할 수 있어 호흡곤란으로 인해 잠에서 깨는 야간 호흡 곤란 발작이 나타나기도 합니다. 숨을 쉴 때 쌕쌕거리는 천명음이 들리는 경우도 있어 천식과의 감별이 필요하기도 합니다. 또한 폐부종의 초기에는 신체 피로감, 발 부종으로만 증상이 나타날 수 있습니다.</x:v>
      </x:c>
      <x:c r="I28" s="8" t="str">
        <x:v>폐부종 - 증상 호흡곤란은 누워있을 때 더 심할 수 있어 호흡곤란으로 인해 잠에서 깨는 야간 호흡 곤란 발작이 나타나기도 합니다. 숨을 쉴 때 쌕쌕거리는 천명음이 들리는 경우도 있어 천식과의 감별이 필요하기도 합니다. 또한 폐부종의 초기에는 신체 피로감, 발 부종으로만 증상이 나타날 수 있습니다.</x:v>
      </x:c>
      <x:c r="J28" s="8" t="str">
        <x:v>폐부종</x:v>
      </x:c>
      <x:c r="K28" s="8" t="str">
        <x:v>질병관리청 국가건강정보포털
https://health.kdca.go.kr/healthinfo/biz/health/gnrlzHealthInfo/gnrlzHealthInfo/gnrlzHealthInfoMain.do</x:v>
      </x:c>
    </x:row>
    <x:row r="29" ht="62" customHeight="1">
      <x:c r="A29" s="9" t="n">
        <x:v>28</x:v>
      </x:c>
      <x:c r="B29" s="6" t="str">
        <x:v>보정용</x:v>
      </x:c>
      <x:c r="C29" s="6" t="str">
        <x:v>질병</x:v>
      </x:c>
      <x:c r="D29" s="6" t="str">
        <x:v>답변불가·실시간 의료기관</x:v>
      </x:c>
      <x:c r="E29" s="6" t="str">
        <x:v>답변 거부</x:v>
      </x:c>
      <x:c r="F29" s="6" t="str">
        <x:v>어려움</x:v>
      </x:c>
      <x:c r="G29" s="8" t="str">
        <x:v>지금 제 위치에서 당뇨병 합병증(만성 합병증) 진료가 가능한 병원 중 대기 시간이 가장 짧은 곳은 어디인가요?</x:v>
      </x:c>
      <x:c r="H29" s="8" t="str">
        <x:v>제공된 질병관리청 VDB에는 실시간 병원 위치와 대기 시간 정보가 없어 답할 수 없습니다.</x:v>
      </x:c>
      <x:c r="I29" s="8" t="str">
        <x:v>VDB 범위 밖 질문 — 근거 없음</x:v>
      </x:c>
      <x:c r="J29" s="8" t="str">
        <x:v>당뇨병 합병증(만성 합병증)</x:v>
      </x:c>
      <x:c r="K29" s="8" t="str">
        <x:v>질병관리청 국가건강정보포털
https://health.kdca.go.kr/healthinfo/biz/health/gnrlzHealthInfo/gnrlzHealthInfo/gnrlzHealthInfoMain.do</x:v>
      </x:c>
    </x:row>
    <x:row r="30" ht="62" customHeight="1">
      <x:c r="A30" s="9" t="n">
        <x:v>29</x:v>
      </x:c>
      <x:c r="B30" s="6" t="str">
        <x:v>보정용</x:v>
      </x:c>
      <x:c r="C30" s="6" t="str">
        <x:v>질병</x:v>
      </x:c>
      <x:c r="D30" s="6" t="str">
        <x:v>기준·수치</x:v>
      </x:c>
      <x:c r="E30" s="6" t="str">
        <x:v>답변 가능</x:v>
      </x:c>
      <x:c r="F30" s="6" t="str">
        <x:v>쉬움</x:v>
      </x:c>
      <x:c r="G30" s="8" t="str">
        <x:v>만성폐쇄성폐질환과 관련해 알아두어야 할 기준이나 수치는 무엇인가요?</x:v>
      </x:c>
      <x:c r="H30" s="8" t="str">
        <x:v>방사선 노출이 적은 저선량 CT가 보급되면서, 50세 이상의 만성폐쇄성폐질환 환자는 매년 CT 검사를 받는 것이 권장됩니다.</x:v>
      </x:c>
      <x:c r="I30" s="8" t="str">
        <x:v>만성폐쇄성폐질환 - 진단 및 검사 / 약물 치료 또한, 만성폐쇄성폐질환 환자에서 폐암 발생률이 높기 때문에 CT는 폐암 검진 목적으로도 중요한 역할을 합니다. 방사선 노출이 적은 저선량 CT가 보급되면서, 50세 이상의 만성폐쇄성폐질환 환자는 매년 CT 검사를 받는 것이 권장됩니다. 기관지 확장제 (★) 만성폐쇄성폐질환 치료의 핵심은 흡입 기관지 확장제입니다. 기관지 확장제를 효과적으로 사용하는 방법은 알약으로 삼키는 것보다 흡입기를 이용해서 들이마시는 것입니다.</x:v>
      </x:c>
      <x:c r="J30" s="8" t="str">
        <x:v>만성폐쇄성폐질환</x:v>
      </x:c>
      <x:c r="K30" s="8" t="str">
        <x:v>질병관리청 국가건강정보포털
https://health.kdca.go.kr/healthinfo/biz/health/gnrlzHealthInfo/gnrlzHealthInfo/gnrlzHealthInfoMain.do</x:v>
      </x:c>
    </x:row>
    <x:row r="31" ht="62" customHeight="1">
      <x:c r="A31" s="9" t="n">
        <x:v>30</x:v>
      </x:c>
      <x:c r="B31" s="6" t="str">
        <x:v>보정용</x:v>
      </x:c>
      <x:c r="C31" s="6" t="str">
        <x:v>질병</x:v>
      </x:c>
      <x:c r="D31" s="6" t="str">
        <x:v>증상→질환 구분</x:v>
      </x:c>
      <x:c r="E31" s="6" t="str">
        <x:v>답변 가능</x:v>
      </x:c>
      <x:c r="F31" s="6" t="str">
        <x:v>어려움</x:v>
      </x:c>
      <x:c r="G31" s="8" t="str">
        <x:v>특히 청각장애의 가족력이 있거나, 태내 감염, 두개 및 경부의 선천성 기형, 출생 당시 체중이 1,500g 미만, 세균성 뇌막염 및 핵황달과 같은 병력이 있는 경우에 발생 가능성이 높습니다. 이런 증상은 어떤 질환과 관련이 있을 수 있나요?</x:v>
      </x:c>
      <x:c r="H31" s="8" t="str">
        <x:v>뇌성마비</x:v>
      </x:c>
      <x:c r="I31" s="8" t="str">
        <x:v>뇌성마비 - 증상 약 5~15%의 뇌성마비 아동에서 감각신경성 난청이 동반됩니다. 특히 청각장애의 가족력이 있거나, 태내 감염, 두개 및 경부의 선천성 기형, 출생 당시 체중이 1,500g 미만, 세균성 뇌막염 및 핵황달과 같은 병력이 있는 경우에 발생 가능성이 높습니다. 5) 구강운동 및 삼킴장애 구강운동 장애는 중증 뇌성마비에서 흔합니다.</x:v>
      </x:c>
      <x:c r="J31" s="8" t="str">
        <x:v>뇌성마비</x:v>
      </x:c>
      <x:c r="K31" s="8" t="str">
        <x:v>질병관리청 국가건강정보포털
https://health.kdca.go.kr/healthinfo/biz/health/gnrlzHealthInfo/gnrlzHealthInfo/gnrlzHealthInfoMain.do</x:v>
      </x:c>
    </x:row>
    <x:row r="32" ht="62" customHeight="1">
      <x:c r="A32" s="9" t="n">
        <x:v>31</x:v>
      </x:c>
      <x:c r="B32" s="6" t="str">
        <x:v>보정용</x:v>
      </x:c>
      <x:c r="C32" s="6" t="str">
        <x:v>질병</x:v>
      </x:c>
      <x:c r="D32" s="6" t="str">
        <x:v>치료·관리</x:v>
      </x:c>
      <x:c r="E32" s="6" t="str">
        <x:v>답변 가능</x:v>
      </x:c>
      <x:c r="F32" s="6" t="str">
        <x:v>쉬움</x:v>
      </x:c>
      <x:c r="G32" s="8" t="str">
        <x:v>자연분만과정은 어떻게 치료하거나 관리하나요?</x:v>
      </x:c>
      <x:c r="H32" s="8" t="str">
        <x:v>드물게 태반이 잘 분리되지 않아 의사의 손을 이용해 제거하는 경우도 있습니다. 태반이 만출된 후 회음절개 부위를 봉합하고, 1시간 정도 자궁 출혈 여부를 지켜봅니다. 분만 후 신체 변화와 주의 사항 1. 오로 오로는 산후에 자궁에서 나오는 분비물을 말합니다. 임신 중 증식했던 자궁내막이 천천히 떨어져 나오는 것입니다. 오로의 양은 탈락막이 남아 있는 정도나 자궁의 상태에 따라 개인적인 차이가 큽니다.</x:v>
      </x:c>
      <x:c r="I32" s="8" t="str">
        <x:v>자연분만과정 - 치료 / 자가 관리 드물게 태반이 잘 분리되지 않아 의사의 손을 이용해 제거하는 경우도 있습니다. 태반이 만출된 후 회음절개 부위를 봉합하고, 1시간 정도 자궁 출혈 여부를 지켜봅니다. 분만 후 신체 변화와 주의 사항 1. 오로 오로는 산후에 자궁에서 나오는 분비물을 말합니다. 임신 중 증식했던 자궁내막이 천천히 떨어져 나오는 것입니다. 오로의 양은 탈락막이 남아 있는 정도나 자궁의 상태에 따라 개인적인 차이가 큽니다.</x:v>
      </x:c>
      <x:c r="J32" s="8" t="str">
        <x:v>자연분만과정</x:v>
      </x:c>
      <x:c r="K32" s="8" t="str">
        <x:v>질병관리청 국가건강정보포털
https://health.kdca.go.kr/healthinfo/biz/health/gnrlzHealthInfo/gnrlzHealthInfo/gnrlzHealthInfoMain.do</x:v>
      </x:c>
    </x:row>
    <x:row r="33" ht="62" customHeight="1">
      <x:c r="A33" s="9" t="n">
        <x:v>32</x:v>
      </x:c>
      <x:c r="B33" s="6" t="str">
        <x:v>보정용</x:v>
      </x:c>
      <x:c r="C33" s="6" t="str">
        <x:v>질병</x:v>
      </x:c>
      <x:c r="D33" s="6" t="str">
        <x:v>증상→질환 구분</x:v>
      </x:c>
      <x:c r="E33" s="6" t="str">
        <x:v>답변 가능</x:v>
      </x:c>
      <x:c r="F33" s="6" t="str">
        <x:v>어려움</x:v>
      </x:c>
      <x:c r="G33" s="8" t="str">
        <x:v>가슴 부위에 느껴지는 다양한 원인의 통증으로, 심각한 질환부터 일시적인 증상까지 폭넓은 원인이 있습니다. 이런 증상은 어떤 질환과 관련이 있을 수 있나요?</x:v>
      </x:c>
      <x:c r="H33" s="8" t="str">
        <x:v>흉통</x:v>
      </x:c>
      <x:c r="I33" s="8" t="str">
        <x:v>흉통 - 요약문 '이것만은 꼭 기억하세요' • 흉통은 가슴 부위에 느껴지는 다양한 원인의 통증으로, 심각한 질환부터 일시적인 증상까지 폭넓은 원인이 있습니다. • 가장 흔한 원인은 근육·인대 손상 등 근골격계 문제이며, 스트레스 같은 심리적 원인도 많습니다. • 그러나 심근경색, 대동맥박리 등 생명을 위협하는 심장·폐 질환이 원인일 경우 즉시 치료가 필요합니다.</x:v>
      </x:c>
      <x:c r="J33" s="8" t="str">
        <x:v>흉통</x:v>
      </x:c>
      <x:c r="K33" s="8" t="str">
        <x:v>질병관리청 국가건강정보포털
https://health.kdca.go.kr/healthinfo/biz/health/gnrlzHealthInfo/gnrlzHealthInfo/gnrlzHealthInfoMain.do</x:v>
      </x:c>
    </x:row>
    <x:row r="34" ht="62" customHeight="1">
      <x:c r="A34" s="9" t="n">
        <x:v>33</x:v>
      </x:c>
      <x:c r="B34" s="6" t="str">
        <x:v>보정용</x:v>
      </x:c>
      <x:c r="C34" s="6" t="str">
        <x:v>질병</x:v>
      </x:c>
      <x:c r="D34" s="6" t="str">
        <x:v>원인·위험요인</x:v>
      </x:c>
      <x:c r="E34" s="6" t="str">
        <x:v>답변 가능</x:v>
      </x:c>
      <x:c r="F34" s="6" t="str">
        <x:v>쉬움</x:v>
      </x:c>
      <x:c r="G34" s="8" t="str">
        <x:v>이명은 왜 생기나요?</x:v>
      </x:c>
      <x:c r="H34" s="8" t="str">
        <x:v>더 흔하게는, 달팽이관이라고 하는 청각기관내에 소리를 감지하는 유모세포의 손상이나 청신경의 기능 저하로 인해 이명이 발생할 수 있습니다. 다양한 원인에 의해 대뇌로 전달되는 청각 신호가 감소하면, 대뇌에서는 이에 대한 반응으로 비정상적인 신경반응이 나타나 이명 증상으로 발현됩니다.</x:v>
      </x:c>
      <x:c r="I34" s="8" t="str">
        <x:v>이명 - 원인 더 흔하게는, 달팽이관이라고 하는 청각기관내에 소리를 감지하는 유모세포의 손상이나 청신경의 기능 저하로 인해 이명이 발생할 수 있습니다. 다양한 원인에 의해 대뇌로 전달되는 청각 신호가 감소하면, 대뇌에서는 이에 대한 반응으로 비정상적인 신경반응이 나타나 이명 증상으로 발현됩니다.</x:v>
      </x:c>
      <x:c r="J34" s="8" t="str">
        <x:v>이명</x:v>
      </x:c>
      <x:c r="K34" s="8" t="str">
        <x:v>질병관리청 국가건강정보포털
https://health.kdca.go.kr/healthinfo/biz/health/gnrlzHealthInfo/gnrlzHealthInfo/gnrlzHealthInfoMain.do</x:v>
      </x:c>
    </x:row>
    <x:row r="35" ht="62" customHeight="1">
      <x:c r="A35" s="9" t="n">
        <x:v>34</x:v>
      </x:c>
      <x:c r="B35" s="6" t="str">
        <x:v>보정용</x:v>
      </x:c>
      <x:c r="C35" s="6" t="str">
        <x:v>질병</x:v>
      </x:c>
      <x:c r="D35" s="6" t="str">
        <x:v>증상·양상</x:v>
      </x:c>
      <x:c r="E35" s="6" t="str">
        <x:v>답변 가능</x:v>
      </x:c>
      <x:c r="F35" s="6" t="str">
        <x:v>쉬움</x:v>
      </x:c>
      <x:c r="G35" s="8" t="str">
        <x:v>주혈흡충증이 있으면 어떤 증상이 나타날 수 있나요?</x:v>
      </x:c>
      <x:c r="H35" s="8" t="str">
        <x:v>대부분 증상이 없거나 경미하게 나타날 수 있으며, 증상과 관계없이 호산구증가증이 나타납니다.가벼운 감염 환자는 피로, 복통, 설사를 호소할 수 있으며, 초기 징후로 간비대가 나타납니다.방광주혈흡충증에서는 염증으로 인한 혈뇨, 배뇨곤란, 방광 점막의 궤양이 나타날 수 있으며, 일본주혈흡충, 만손주혈흡충에서는 혈변, 복수, 부종, 소화장애, 폐질환 등을 유발할 수 있습니다.</x:v>
      </x:c>
      <x:c r="I35" s="8" t="str">
        <x:v>주혈흡충증 - 증상 대부분 증상이 없거나 경미하게 나타날 수 있으며, 증상과 관계없이 호산구증가증이 나타납니다.가벼운 감염 환자는 피로, 복통, 설사를 호소할 수 있으며, 초기 징후로 간비대가 나타납니다.방광주혈흡충증에서는 염증으로 인한 혈뇨, 배뇨곤란, 방광 점막의 궤양이 나타날 수 있으며, 일본주혈흡충, 만손주혈흡충에서는 혈변, 복수, 부종, 소화장애, 폐질환 등을 유발할 수 있습니다.</x:v>
      </x:c>
      <x:c r="J35" s="8" t="str">
        <x:v>주혈흡충증</x:v>
      </x:c>
      <x:c r="K35" s="8" t="str">
        <x:v>질병관리청 국가건강정보포털
https://health.kdca.go.kr/healthinfo/biz/health/gnrlzHealthInfo/gnrlzHealthInfo/gnrlzHealthInfoMain.do</x:v>
      </x:c>
    </x:row>
    <x:row r="36" ht="62" customHeight="1">
      <x:c r="A36" s="9" t="n">
        <x:v>35</x:v>
      </x:c>
      <x:c r="B36" s="6" t="str">
        <x:v>보정용</x:v>
      </x:c>
      <x:c r="C36" s="6" t="str">
        <x:v>질병</x:v>
      </x:c>
      <x:c r="D36" s="6" t="str">
        <x:v>예방·생활수칙</x:v>
      </x:c>
      <x:c r="E36" s="6" t="str">
        <x:v>답변 가능</x:v>
      </x:c>
      <x:c r="F36" s="6" t="str">
        <x:v>쉬움</x:v>
      </x:c>
      <x:c r="G36" s="8" t="str">
        <x:v>임신당뇨병을 예방하려면 어떻게 해야 하나요?</x:v>
      </x:c>
      <x:c r="H36" s="8" t="str">
        <x:v>1형 당뇨병 임신부는 저혈당 위험을 줄이고 혈당을 안정적으로 관리하기 위해 실시간 연속혈당측정 장치를 지속적으로 사용합니다. - 임신당뇨병의 경우에는 일반적으로 연속혈당측정이 권장하고 있지 않으나, 개인 상황에 맞게 사용합니다.</x:v>
      </x:c>
      <x:c r="I36" s="8" t="str">
        <x:v>임신당뇨병 - 자가 관리 - 1형 당뇨병 임신부는 저혈당 위험을 줄이고 혈당을 안정적으로 관리하기 위해 실시간 연속혈당측정 장치를 지속적으로 사용합니다. - 임신당뇨병의 경우에는 일반적으로 연속혈당측정이 권장하고 있지 않으나, 개인 상황에 맞게 사용합니다.</x:v>
      </x:c>
      <x:c r="J36" s="8" t="str">
        <x:v>임신당뇨병</x:v>
      </x:c>
      <x:c r="K36" s="8" t="str">
        <x:v>질병관리청 국가건강정보포털
https://health.kdca.go.kr/healthinfo/biz/health/gnrlzHealthInfo/gnrlzHealthInfo/gnrlzHealthInfoMain.do</x:v>
      </x:c>
    </x:row>
    <x:row r="37" ht="62" customHeight="1">
      <x:c r="A37" s="9" t="n">
        <x:v>36</x:v>
      </x:c>
      <x:c r="B37" s="6" t="str">
        <x:v>보정용</x:v>
      </x:c>
      <x:c r="C37" s="6" t="str">
        <x:v>질병</x:v>
      </x:c>
      <x:c r="D37" s="6" t="str">
        <x:v>증상·양상</x:v>
      </x:c>
      <x:c r="E37" s="6" t="str">
        <x:v>답변 가능</x:v>
      </x:c>
      <x:c r="F37" s="6" t="str">
        <x:v>쉬움</x:v>
      </x:c>
      <x:c r="G37" s="8" t="str">
        <x:v>간의 양성종양(간낭종)이 있으면 어떤 증상이 나타날 수 있나요?</x:v>
      </x:c>
      <x:c r="H37" s="8" t="str">
        <x:v>드물게 낭종 내 출혈이나 감염이 발생할 수 있는데, 합병증의 유병률은 알려져 있지 않습니다. 증상을 동반하는 경우는 거의 없으나, 크기가 큰 경우는 드물게 복부 통증이나 팽만을 동반할 수 있습니다. 출혈이 있으면 갑작스러운 심한 통증이 발생하고 수일에서 수주에 걸쳐 점차 통증이 호전됩니다.</x:v>
      </x:c>
      <x:c r="I37" s="8" t="str">
        <x:v>간의 양성종양(간낭종) - 역학 및 통계 / 증상 2022년 유럽 간학회 가이드라인에 따르면 영상 검사에서 우연히 발견되는 유병률이 2.5~18%입니다. 드물게 낭종 내 출혈이나 감염이 발생할 수 있는데, 합병증의 유병률은 알려져 있지 않습니다. 증상을 동반하는 경우는 거의 없으나, 크기가 큰 경우는 드물게 복부 통증이나 팽만을 동반할 수 있습니다. 출혈이 있으면 갑작스러운 심한 통증이 발생하고 수일에서 수주에 걸쳐 점차 통증이 호전됩니다.</x:v>
      </x:c>
      <x:c r="J37" s="8" t="str">
        <x:v>간의 양성종양(간낭종)</x:v>
      </x:c>
      <x:c r="K37" s="8" t="str">
        <x:v>질병관리청 국가건강정보포털
https://health.kdca.go.kr/healthinfo/biz/health/gnrlzHealthInfo/gnrlzHealthInfo/gnrlzHealthInfoMain.do</x:v>
      </x:c>
    </x:row>
    <x:row r="38" ht="62" customHeight="1">
      <x:c r="A38" s="9" t="n">
        <x:v>37</x:v>
      </x:c>
      <x:c r="B38" s="6" t="str">
        <x:v>보정용</x:v>
      </x:c>
      <x:c r="C38" s="6" t="str">
        <x:v>질병</x:v>
      </x:c>
      <x:c r="D38" s="6" t="str">
        <x:v>답변불가·치료비·보험</x:v>
      </x:c>
      <x:c r="E38" s="6" t="str">
        <x:v>답변 거부</x:v>
      </x:c>
      <x:c r="F38" s="6" t="str">
        <x:v>어려움</x:v>
      </x:c>
      <x:c r="G38" s="8" t="str">
        <x:v>척추의 형태 이상(척추후만증) 치료비와 제 보험에서 보장되는 금액을 정확히 알려주세요.</x:v>
      </x:c>
      <x:c r="H38" s="8" t="str">
        <x:v>제공된 질병관리청 VDB에는 개인별 치료비와 보험 보장 금액 정보가 없어 답할 수 없습니다.</x:v>
      </x:c>
      <x:c r="I38" s="8" t="str">
        <x:v>VDB 범위 밖 질문 — 근거 없음</x:v>
      </x:c>
      <x:c r="J38" s="8" t="str">
        <x:v>척추의 형태 이상(척추후만증)</x:v>
      </x:c>
      <x:c r="K38" s="8" t="str">
        <x:v>질병관리청 국가건강정보포털
https://health.kdca.go.kr/healthinfo/biz/health/gnrlzHealthInfo/gnrlzHealthInfo/gnrlzHealthInfoMain.do</x:v>
      </x:c>
    </x:row>
    <x:row r="39" ht="62" customHeight="1">
      <x:c r="A39" s="9" t="n">
        <x:v>38</x:v>
      </x:c>
      <x:c r="B39" s="6" t="str">
        <x:v>보정용</x:v>
      </x:c>
      <x:c r="C39" s="6" t="str">
        <x:v>질병</x:v>
      </x:c>
      <x:c r="D39" s="6" t="str">
        <x:v>증상·양상</x:v>
      </x:c>
      <x:c r="E39" s="6" t="str">
        <x:v>답변 가능</x:v>
      </x:c>
      <x:c r="F39" s="6" t="str">
        <x:v>쉬움</x:v>
      </x:c>
      <x:c r="G39" s="8" t="str">
        <x:v>포충증이 있으면 어떤 증상이 나타날 수 있나요?</x:v>
      </x:c>
      <x:c r="H39" s="8" t="str">
        <x:v>포충 낭종은 매우 천천히 자라기 때문에 낭종이 커져 증상을 일으킬 때까지 매우 오랜 시간이 걸리고, 그 사이에는 증상이 없어서 정기적인 X선 검사나 초음파 검사에서 우연히 발견되는 경우가 많습니다.</x:v>
      </x:c>
      <x:c r="I39" s="8" t="str">
        <x:v>포충증 - 증상 포충증에 감염된 경우 12개월에서 수 년간의 잠복기를 거친 후 감염된 부위에 따라 다양한 증상을 나타나게 됩니다. 포충 낭종은 매우 천천히 자라기 때문에 낭종이 커져 증상을 일으킬 때까지 매우 오랜 시간이 걸리고, 그 사이에는 증상이 없어서 정기적인 X선 검사나 초음파 검사에서 우연히 발견되는 경우가 많습니다.</x:v>
      </x:c>
      <x:c r="J39" s="8" t="str">
        <x:v>포충증</x:v>
      </x:c>
      <x:c r="K39" s="8" t="str">
        <x:v>질병관리청 국가건강정보포털
https://health.kdca.go.kr/healthinfo/biz/health/gnrlzHealthInfo/gnrlzHealthInfo/gnrlzHealthInfoMain.do</x:v>
      </x:c>
    </x:row>
    <x:row r="40" ht="62" customHeight="1">
      <x:c r="A40" s="9" t="n">
        <x:v>39</x:v>
      </x:c>
      <x:c r="B40" s="6" t="str">
        <x:v>보정용</x:v>
      </x:c>
      <x:c r="C40" s="6" t="str">
        <x:v>질병</x:v>
      </x:c>
      <x:c r="D40" s="6" t="str">
        <x:v>예방·생활수칙</x:v>
      </x:c>
      <x:c r="E40" s="6" t="str">
        <x:v>답변 가능</x:v>
      </x:c>
      <x:c r="F40" s="6" t="str">
        <x:v>쉬움</x:v>
      </x:c>
      <x:c r="G40" s="8" t="str">
        <x:v>급성 세균성 장염을 예방하려면 어떻게 해야 하나요?</x:v>
      </x:c>
      <x:c r="H40" s="8" t="str">
        <x:v>장티푸스의 예방을 위해서는 개인위생과 철저한 환경 위생 외에도 만성 보균자에 대한 관리(2년간 보균 검사 실시)가 중요합니다. 또한 고위험군에 대해서는 예방접종을 실시하기도 합니다. [장티푸스 예방접종 대상 고위험군(표준 예방접종 지침)]</x:v>
      </x:c>
      <x:c r="I40" s="8" t="str">
        <x:v>급성 세균성 장염 - 예방 및 예방접종 콜레라의 경우 위험지역 방문 시에 예방백신 투여를 고려할 수 있으나, 아직 콜레라 백신의 효과가 기대에 미치지 못하고 있기 때문에 투여 여부에 대해서는 전문의와 충분한 상담이 필요합니다. 장티푸스의 예방을 위해서는 개인위생과 철저한 환경 위생 외에도 만성 보균자에 대한 관리(2년간 보균 검사 실시)가 중요합니다. 또한 고위험군에 대해서는 예방접종을 실시하기도 합니다. [장티푸스 예방접종 대상 고위험군(표준 예방접종 지침)]</x:v>
      </x:c>
      <x:c r="J40" s="8" t="str">
        <x:v>급성 세균성 장염</x:v>
      </x:c>
      <x:c r="K40" s="8" t="str">
        <x:v>질병관리청 국가건강정보포털
https://health.kdca.go.kr/healthinfo/biz/health/gnrlzHealthInfo/gnrlzHealthInfo/gnrlzHealthInfoMain.do</x:v>
      </x:c>
    </x:row>
    <x:row r="41" ht="62" customHeight="1">
      <x:c r="A41" s="9" t="n">
        <x:v>40</x:v>
      </x:c>
      <x:c r="B41" s="6" t="str">
        <x:v>보정용</x:v>
      </x:c>
      <x:c r="C41" s="6" t="str">
        <x:v>질병</x:v>
      </x:c>
      <x:c r="D41" s="6" t="str">
        <x:v>개요·기타</x:v>
      </x:c>
      <x:c r="E41" s="6" t="str">
        <x:v>답변 가능</x:v>
      </x:c>
      <x:c r="F41" s="6" t="str">
        <x:v>쉬움</x:v>
      </x:c>
      <x:c r="G41" s="8" t="str">
        <x:v>창자겹침증에 대해 쉽게 설명해 주실 수 있나요?</x:v>
      </x:c>
      <x:c r="H41" s="8" t="str">
        <x:v>창자겹침증은 장이 안으로 말려들어가 막히는 병으로, 주로 2세 이하 아기에게 생깁니다.</x:v>
      </x:c>
      <x:c r="I41" s="8" t="str">
        <x:v>창자겹침증 - 요약문 '이것만은 꼭 기억하세요' • 창자겹침증은 장이 안으로 말려들어가 막히는 병으로, 주로 2세 이하 아기에게 생깁니다. • 갑자기 심한 복통으로 아기가 자지러지게 울다가 멈추는 증상이 반복되고, 토하거나 끈적하고 피가 섞인 변을 보기도 합니다. • 복부 초음파로 진단하며, 도넛 모양의 장 겹침이 보이면 치료를 시작합니다.</x:v>
      </x:c>
      <x:c r="J41" s="8" t="str">
        <x:v>창자겹침증</x:v>
      </x:c>
      <x:c r="K41" s="8" t="str">
        <x:v>질병관리청 국가건강정보포털
https://health.kdca.go.kr/healthinfo/biz/health/gnrlzHealthInfo/gnrlzHealthInfo/gnrlzHealthInfoMain.do</x:v>
      </x:c>
    </x:row>
    <x:row r="42" ht="62" customHeight="1">
      <x:c r="A42" s="9" t="n">
        <x:v>41</x:v>
      </x:c>
      <x:c r="B42" s="6" t="str">
        <x:v>보정용</x:v>
      </x:c>
      <x:c r="C42" s="6" t="str">
        <x:v>질병</x:v>
      </x:c>
      <x:c r="D42" s="6" t="str">
        <x:v>증상→질환 구분</x:v>
      </x:c>
      <x:c r="E42" s="6" t="str">
        <x:v>답변 가능</x:v>
      </x:c>
      <x:c r="F42" s="6" t="str">
        <x:v>어려움</x:v>
      </x:c>
      <x:c r="G42" s="8" t="str">
        <x:v>심한 경우 안구 통증, 작열감, 충혈과 눈부심 등을 동반할 수 있으며, 경증인 경우에도 약한 통증 등이 있을 수 있습니다. 이런 증상은 어떤 질환과 관련이 있을 수 있나요?</x:v>
      </x:c>
      <x:c r="H42" s="8" t="str">
        <x:v>안외상(각막화상)</x:v>
      </x:c>
      <x:c r="I42" s="8" t="str">
        <x:v>안외상(각막화상) - 원인 / 증상 / 진단 및 검사 최근에는 뜨거운 불가마나 스키장의 자외선 등에 의하여 화상을 입기도 합니다. 심한 경우 안구 통증, 작열감, 충혈과 눈부심 등을 동반할 수 있으며, 경증인 경우에도 약한 통증 등이 있을 수 있습니다. 손상 직후에 증상이 바로 나타나기도 하지만, 며칠이 지나고 난 후에 증상이 생기는 경우도 있습니다. 1. 문진 뜨거운 열이나 화학 물질에 가까이 간 적이 있는지, 화학 물질이 눈에 튄 적이 있는지, 어떤 종류의 화학 물질인지 등을 확인합니다.</x:v>
      </x:c>
      <x:c r="J42" s="8" t="str">
        <x:v>안외상(각막화상)</x:v>
      </x:c>
      <x:c r="K42" s="8" t="str">
        <x:v>질병관리청 국가건강정보포털
https://health.kdca.go.kr/healthinfo/biz/health/gnrlzHealthInfo/gnrlzHealthInfo/gnrlzHealthInfoMain.do</x:v>
      </x:c>
    </x:row>
    <x:row r="43" ht="62" customHeight="1">
      <x:c r="A43" s="9" t="n">
        <x:v>42</x:v>
      </x:c>
      <x:c r="B43" s="6" t="str">
        <x:v>보정용</x:v>
      </x:c>
      <x:c r="C43" s="6" t="str">
        <x:v>질병</x:v>
      </x:c>
      <x:c r="D43" s="6" t="str">
        <x:v>치료·관리</x:v>
      </x:c>
      <x:c r="E43" s="6" t="str">
        <x:v>답변 가능</x:v>
      </x:c>
      <x:c r="F43" s="6" t="str">
        <x:v>쉬움</x:v>
      </x:c>
      <x:c r="G43" s="8" t="str">
        <x:v>근 손실은 어떻게 치료하거나 관리하나요?</x:v>
      </x:c>
      <x:c r="H43" s="8" t="str">
        <x:v>근위축증은 근육의 크기와 기능이 감소하는 상태로, 비사용(disuse)과 신경성(neurogenic) 위축으로 나눕니다. 비사용 위축은 근육 사용의 감소로 인해 발생하며, 장기간의 침상 안정, 부목 고정 등에서 관찰됩니다. 신경성 위축은 신경 손상이나 신경계 질환으로 인해 근육에 대한 신경 전달이 차단될 때 발생합니다. 근감소증은 노화와 관련되어 근 손실과 근력 감소가 나타나는 질환입니다.</x:v>
      </x:c>
      <x:c r="I43" s="8" t="str">
        <x:v>근 손실 - 종류 근위축증은 근육의 크기와 기능이 감소하는 상태로, 비사용(disuse)과 신경성(neurogenic) 위축으로 나눕니다. 비사용 위축은 근육 사용의 감소로 인해 발생하며, 장기간의 침상 안정, 부목 고정 등에서 관찰됩니다. 신경성 위축은 신경 손상이나 신경계 질환으로 인해 근육에 대한 신경 전달이 차단될 때 발생합니다. 근감소증은 노화와 관련되어 근 손실과 근력 감소가 나타나는 질환입니다.</x:v>
      </x:c>
      <x:c r="J43" s="8" t="str">
        <x:v>근 손실</x:v>
      </x:c>
      <x:c r="K43" s="8" t="str">
        <x:v>질병관리청 국가건강정보포털
https://health.kdca.go.kr/healthinfo/biz/health/gnrlzHealthInfo/gnrlzHealthInfo/gnrlzHealthInfoMain.do</x:v>
      </x:c>
    </x:row>
    <x:row r="44" ht="62" customHeight="1">
      <x:c r="A44" s="9" t="n">
        <x:v>43</x:v>
      </x:c>
      <x:c r="B44" s="6" t="str">
        <x:v>보정용</x:v>
      </x:c>
      <x:c r="C44" s="6" t="str">
        <x:v>질병</x:v>
      </x:c>
      <x:c r="D44" s="6" t="str">
        <x:v>치료·관리</x:v>
      </x:c>
      <x:c r="E44" s="6" t="str">
        <x:v>답변 가능</x:v>
      </x:c>
      <x:c r="F44" s="6" t="str">
        <x:v>쉬움</x:v>
      </x:c>
      <x:c r="G44" s="8" t="str">
        <x:v>사시는 어떻게 치료하거나 관리하나요?</x:v>
      </x:c>
      <x:c r="H44" s="8" t="str">
        <x:v>융합 기능이 완성되기 전에 사시를 일찍 발견하고 치료하면 시력이 좋아지고 시각 기능 손상도 예방할 수 있습니다. 특히, 영아내사시나 영아외사시는 생후 4~5개월부터 수술이 가능하며, 늦어도 2세 이전에는 수술을 받아야 효과적입니다. 간헐성 외사시는 사시가 나타나는 빈도, 입체시력의 정도, 사시각의 정도에 따라 수술 시기를 결정합니다. 1) 비수술적 치료 비수술적 치료는 수술 없이 치료하는 방법입니다.</x:v>
      </x:c>
      <x:c r="I44" s="8" t="str">
        <x:v>사시 - 치료 융합 기능이 완성되기 전에 사시를 일찍 발견하고 치료하면 시력이 좋아지고 시각 기능 손상도 예방할 수 있습니다. 특히, 영아내사시나 영아외사시는 생후 4~5개월부터 수술이 가능하며, 늦어도 2세 이전에는 수술을 받아야 효과적입니다. 간헐성 외사시는 사시가 나타나는 빈도, 입체시력의 정도, 사시각의 정도에 따라 수술 시기를 결정합니다. 1) 비수술적 치료 비수술적 치료는 수술 없이 치료하는 방법입니다.</x:v>
      </x:c>
      <x:c r="J44" s="8" t="str">
        <x:v>사시</x:v>
      </x:c>
      <x:c r="K44" s="8" t="str">
        <x:v>질병관리청 국가건강정보포털
https://health.kdca.go.kr/healthinfo/biz/health/gnrlzHealthInfo/gnrlzHealthInfo/gnrlzHealthInfoMain.do</x:v>
      </x:c>
    </x:row>
    <x:row r="45" ht="62" customHeight="1">
      <x:c r="A45" s="9" t="n">
        <x:v>44</x:v>
      </x:c>
      <x:c r="B45" s="6" t="str">
        <x:v>보정용</x:v>
      </x:c>
      <x:c r="C45" s="6" t="str">
        <x:v>질병</x:v>
      </x:c>
      <x:c r="D45" s="6" t="str">
        <x:v>용어·정의</x:v>
      </x:c>
      <x:c r="E45" s="6" t="str">
        <x:v>답변 가능</x:v>
      </x:c>
      <x:c r="F45" s="6" t="str">
        <x:v>쉬움</x:v>
      </x:c>
      <x:c r="G45" s="8" t="str">
        <x:v>객관적인 구취가 뭔가요?</x:v>
      </x:c>
      <x:c r="H45" s="8" t="str">
        <x:v>망상 구취 객관적인 구취가 없는데도 불구하고 입 뿐만 아니라 코나 귀 등에서 악취가 난다고 호소하는 경우를 말합니다.</x:v>
      </x:c>
      <x:c r="I45" s="8" t="str">
        <x:v>구취 - 종류 2) 병리적 구취: 세균의 부패작용에 의한 휘발성 황화합물이 지속적으로 배출되는 악취 2. 망상 구취 객관적인 구취가 없는데도 불구하고 입 뿐만 아니라 코나 귀 등에서 악취가 난다고 호소하는 경우를 말합니다. 1) 가성 구취: 본인 만이 느끼는 구취 2) 구취 공포증(halitophobia): 신체 악취 공포증의 일종으로 자신의 신체 냄새가 불결하거나 불쾌하다고 느끼는 심리적 장애</x:v>
      </x:c>
      <x:c r="J45" s="8" t="str">
        <x:v>구취</x:v>
      </x:c>
      <x:c r="K45" s="8" t="str">
        <x:v>질병관리청 국가건강정보포털
https://health.kdca.go.kr/healthinfo/biz/health/gnrlzHealthInfo/gnrlzHealthInfo/gnrlzHealthInfoMain.do</x:v>
      </x:c>
    </x:row>
    <x:row r="46" ht="62" customHeight="1">
      <x:c r="A46" s="9" t="n">
        <x:v>45</x:v>
      </x:c>
      <x:c r="B46" s="6" t="str">
        <x:v>보정용</x:v>
      </x:c>
      <x:c r="C46" s="6" t="str">
        <x:v>질병</x:v>
      </x:c>
      <x:c r="D46" s="6" t="str">
        <x:v>진단·검사</x:v>
      </x:c>
      <x:c r="E46" s="6" t="str">
        <x:v>답변 가능</x:v>
      </x:c>
      <x:c r="F46" s="6" t="str">
        <x:v>쉬움</x:v>
      </x:c>
      <x:c r="G46" s="8" t="str">
        <x:v>레지오넬라증은 어떤 검사로 확인하나요?</x:v>
      </x:c>
      <x:c r="H46" s="8" t="str">
        <x:v>급성기 항체가 높은 수치로 확인되면 레지오넬라증을 의심하고 진단에 참고할 수 있습니다.</x:v>
      </x:c>
      <x:c r="I46" s="8" t="str">
        <x:v>레지오넬라증 - 진단 및 검사 / 예방 및 예방접종 급성기 항체가 높은 수치로 확인되면 레지오넬라증을 의심하고 진단에 참고할 수 있습니다. - 그 외에 호흡기 검체에서 레지오넬라 항원이나 유전자를 검출하는 검사법도 사용할 수 있습니다. 실제 진료 시 레지오넬라를 진단할 때는 호흡기 검체의 배양과 소변 검체의 항원 검사를 동시에 시행하는 것이 좋은 방법입니다. 현재까지 레지오넬라증에 대한 예방접종은 개발되지 않았습니다.</x:v>
      </x:c>
      <x:c r="J46" s="8" t="str">
        <x:v>레지오넬라증</x:v>
      </x:c>
      <x:c r="K46" s="8" t="str">
        <x:v>질병관리청 국가건강정보포털
https://health.kdca.go.kr/healthinfo/biz/health/gnrlzHealthInfo/gnrlzHealthInfo/gnrlzHealthInfoMain.do</x:v>
      </x:c>
    </x:row>
    <x:row r="47" ht="62" customHeight="1">
      <x:c r="A47" s="9" t="n">
        <x:v>46</x:v>
      </x:c>
      <x:c r="B47" s="6" t="str">
        <x:v>보정용</x:v>
      </x:c>
      <x:c r="C47" s="6" t="str">
        <x:v>질병</x:v>
      </x:c>
      <x:c r="D47" s="6" t="str">
        <x:v>증상→질환 구분</x:v>
      </x:c>
      <x:c r="E47" s="6" t="str">
        <x:v>답변 가능</x:v>
      </x:c>
      <x:c r="F47" s="6" t="str">
        <x:v>어려움</x:v>
      </x:c>
      <x:c r="G47" s="8" t="str">
        <x:v>출혈은 대개 통증 없이 일시적으로 나타나지만, 때때로 대량 출혈이 발생할 수도 있습니다. 이런 증상은 어떤 질환과 관련이 있을 수 있나요?</x:v>
      </x:c>
      <x:c r="H47" s="8" t="str">
        <x:v>메켈 게실</x:v>
      </x:c>
      <x:c r="I47" s="8" t="str">
        <x:v>메켈 게실 - 증상 궤양은 회장과 게실 내 이소성 위 점막의 경계에서 종종 발견되나, 이소성 점막 내 또는 게실 반대편 장막쪽의 정상적인 회장에도 있을 수도 있습니다. 이 궤양들은 작아서 현미경으로 검사를 해야만 발견할 수 있습니다. 성인 메켈 게실 환자는 염증성 또는 폐쇄성 증상이 많습니다. 출혈은 대개 통증 없이 일시적으로 나타나지만, 때때로 대량 출혈이 발생할 수도 있습니다.</x:v>
      </x:c>
      <x:c r="J47" s="8" t="str">
        <x:v>메켈 게실</x:v>
      </x:c>
      <x:c r="K47" s="8" t="str">
        <x:v>질병관리청 국가건강정보포털
https://health.kdca.go.kr/healthinfo/biz/health/gnrlzHealthInfo/gnrlzHealthInfo/gnrlzHealthInfoMain.do</x:v>
      </x:c>
    </x:row>
    <x:row r="48" ht="62" customHeight="1">
      <x:c r="A48" s="9" t="n">
        <x:v>47</x:v>
      </x:c>
      <x:c r="B48" s="6" t="str">
        <x:v>보정용</x:v>
      </x:c>
      <x:c r="C48" s="6" t="str">
        <x:v>질병</x:v>
      </x:c>
      <x:c r="D48" s="6" t="str">
        <x:v>치료·관리</x:v>
      </x:c>
      <x:c r="E48" s="6" t="str">
        <x:v>답변 가능</x:v>
      </x:c>
      <x:c r="F48" s="6" t="str">
        <x:v>쉬움</x:v>
      </x:c>
      <x:c r="G48" s="8" t="str">
        <x:v>족저근막염은 어떻게 치료하거나 관리하나요?</x:v>
      </x:c>
      <x:c r="H48" s="8" t="str">
        <x:v>족저근막염에서 체외충격파 치료의 정확한 원리는 밝혀지지 않았지만, 조직에 미세한 손상을 주고 치유 과정과 신생 혈관 생성을 유도하며, 말단부 신경 자극을 통해 통증을 둔화시킨다는 가설이 제시됩니다. 만성 족저근막염에서 3주 정도 간격으로 2~3회 체외충격파 치료를 시행해 증상 호전을 기대해 볼 수 있습니다.</x:v>
      </x:c>
      <x:c r="I48" s="8" t="str">
        <x:v>족저근막염 - 치료 체외충격파는 비침습적이며 회복 기간이 짧으면서도 60~80%에서 만족스러운 결과가 보고됩니다. 족저근막염에서 체외충격파 치료의 정확한 원리는 밝혀지지 않았지만, 조직에 미세한 손상을 주고 치유 과정과 신생 혈관 생성을 유도하며, 말단부 신경 자극을 통해 통증을 둔화시킨다는 가설이 제시됩니다. 만성 족저근막염에서 3주 정도 간격으로 2~3회 체외충격파 치료를 시행해 증상 호전을 기대해 볼 수 있습니다.</x:v>
      </x:c>
      <x:c r="J48" s="8" t="str">
        <x:v>족저근막염</x:v>
      </x:c>
      <x:c r="K48" s="8" t="str">
        <x:v>질병관리청 국가건강정보포털
https://health.kdca.go.kr/healthinfo/biz/health/gnrlzHealthInfo/gnrlzHealthInfo/gnrlzHealthInfoMain.do</x:v>
      </x:c>
    </x:row>
    <x:row r="49" ht="62" customHeight="1">
      <x:c r="A49" s="9" t="n">
        <x:v>48</x:v>
      </x:c>
      <x:c r="B49" s="6" t="str">
        <x:v>보정용</x:v>
      </x:c>
      <x:c r="C49" s="6" t="str">
        <x:v>질병</x:v>
      </x:c>
      <x:c r="D49" s="6" t="str">
        <x:v>진단·검사</x:v>
      </x:c>
      <x:c r="E49" s="6" t="str">
        <x:v>답변 가능</x:v>
      </x:c>
      <x:c r="F49" s="6" t="str">
        <x:v>쉬움</x:v>
      </x:c>
      <x:c r="G49" s="8" t="str">
        <x:v>얼굴떨림(얼굴연축_눈꺼풀연축)은 어떤 검사로 확인하나요?</x:v>
      </x:c>
      <x:c r="H49" s="8" t="str">
        <x:v>눈꺼풀연축 검사 시에는 병력과 진찰 소견이 가장 중요하며, 안면신경과 눈 깜박임 반사상태를 알아보는 신경생리학적 검사도 진단에 도움을 줍니다.</x:v>
      </x:c>
      <x:c r="I49" s="8" t="str">
        <x:v>얼굴떨림(얼굴연축_눈꺼풀연축) - 진단 및 검사 눈꺼풀연축 검사 시에는 병력과 진찰 소견이 가장 중요하며, 안면신경과 눈 깜박임 반사상태를 알아보는 신경생리학적 검사도 진단에 도움을 줍니다. 정상적인 눈 깜박임은 눈가 주변 근육이 수축과 함께 위쪽 눈꺼풀 당김 근육과 이마의 근육이 이완되어야 합니다. 하지만 눈꺼풀연축 환자의 경우, 다른 작용을 하는 두 가지 근육 그룹의 유기적인 수축 이완 작용이 잘 이루어지지 않는 것이 관찰됩니다.</x:v>
      </x:c>
      <x:c r="J49" s="8" t="str">
        <x:v>얼굴떨림(얼굴연축_눈꺼풀연축)</x:v>
      </x:c>
      <x:c r="K49" s="8" t="str">
        <x:v>질병관리청 국가건강정보포털
https://health.kdca.go.kr/healthinfo/biz/health/gnrlzHealthInfo/gnrlzHealthInfo/gnrlzHealthInfoMain.do</x:v>
      </x:c>
    </x:row>
    <x:row r="50" ht="62" customHeight="1">
      <x:c r="A50" s="9" t="n">
        <x:v>49</x:v>
      </x:c>
      <x:c r="B50" s="6" t="str">
        <x:v>보정용</x:v>
      </x:c>
      <x:c r="C50" s="6" t="str">
        <x:v>질병</x:v>
      </x:c>
      <x:c r="D50" s="6" t="str">
        <x:v>치료·관리</x:v>
      </x:c>
      <x:c r="E50" s="6" t="str">
        <x:v>답변 가능</x:v>
      </x:c>
      <x:c r="F50" s="6" t="str">
        <x:v>쉬움</x:v>
      </x:c>
      <x:c r="G50" s="8" t="str">
        <x:v>급성 충수염은 어떻게 치료하거나 관리하나요?</x:v>
      </x:c>
      <x:c r="H50" s="8" t="str">
        <x:v>복막염이 생겨 수술을 하게 되면 수술이 커질 뿐 아니라 회복 기간이 길어지고 수술 후 패혈증, 장유착 등의 합병증이 생길 수도 있습니다. 최근 수술 흉터를 작게 남기고 빠른 회복을 위해 복강경을 이용한 수술을 하는 경우도 있습니다.</x:v>
      </x:c>
      <x:c r="I50" s="8" t="str">
        <x:v>급성 충수염 - 비약물 치료 그러면 터진 충수 주위로 고름이 고이는 농양으로 발전해 복강 내 전체로 고름이 퍼지는 복막염이 생기게 됩니다. 복막염이 생겨 수술을 하게 되면 수술이 커질 뿐 아니라 회복 기간이 길어지고 수술 후 패혈증, 장유착 등의 합병증이 생길 수도 있습니다. 최근 수술 흉터를 작게 남기고 빠른 회복을 위해 복강경을 이용한 수술을 하는 경우도 있습니다.</x:v>
      </x:c>
      <x:c r="J50" s="8" t="str">
        <x:v>급성 충수염</x:v>
      </x:c>
      <x:c r="K50" s="8" t="str">
        <x:v>질병관리청 국가건강정보포털
https://health.kdca.go.kr/healthinfo/biz/health/gnrlzHealthInfo/gnrlzHealthInfo/gnrlzHealthInfoMain.do</x:v>
      </x:c>
    </x:row>
    <x:row r="51" ht="62" customHeight="1">
      <x:c r="A51" s="9" t="n">
        <x:v>50</x:v>
      </x:c>
      <x:c r="B51" s="6" t="str">
        <x:v>보정용</x:v>
      </x:c>
      <x:c r="C51" s="6" t="str">
        <x:v>질병</x:v>
      </x:c>
      <x:c r="D51" s="6" t="str">
        <x:v>진단·검사</x:v>
      </x:c>
      <x:c r="E51" s="6" t="str">
        <x:v>답변 가능</x:v>
      </x:c>
      <x:c r="F51" s="6" t="str">
        <x:v>쉬움</x:v>
      </x:c>
      <x:c r="G51" s="8" t="str">
        <x:v>조산은 어떤 검사로 확인하나요?</x:v>
      </x:c>
      <x:c r="H51" s="8" t="str">
        <x:v>질 내에 고인 분비물을 채취해 양막이 파수(양막이 터져 양수가 새어 나옴)되지 않았는지 확인합니다.</x:v>
      </x:c>
      <x:c r="I51" s="8" t="str">
        <x:v>조산 - 진단 및 검사 또한 오리주둥이 모양의 질경을 질 내에 삽입한 후 살짝 벌려 자궁경부가 열려 있는지, 출혈이 있는지, 양수가 새어 나오는지를 육안으로 확인합니다. 질 내에 고인 분비물을 채취해 양막이 파수(양막이 터져 양수가 새어 나옴)되지 않았는지 확인합니다. 3. 초음파 검사 태아의 체중과 위치, 자세 및 태아의 건강을 평가하고, 태반의 위치와 양수량 등을 확인합니다.</x:v>
      </x:c>
      <x:c r="J51" s="8" t="str">
        <x:v>조산</x:v>
      </x:c>
      <x:c r="K51" s="8" t="str">
        <x:v>질병관리청 국가건강정보포털
https://health.kdca.go.kr/healthinfo/biz/health/gnrlzHealthInfo/gnrlzHealthInfo/gnrlzHealthInfoMain.do</x:v>
      </x:c>
    </x:row>
    <x:row r="52" ht="62" customHeight="1">
      <x:c r="A52" s="9" t="n">
        <x:v>51</x:v>
      </x:c>
      <x:c r="B52" s="6" t="str">
        <x:v>보정용</x:v>
      </x:c>
      <x:c r="C52" s="6" t="str">
        <x:v>질병</x:v>
      </x:c>
      <x:c r="D52" s="6" t="str">
        <x:v>용어·정의</x:v>
      </x:c>
      <x:c r="E52" s="6" t="str">
        <x:v>답변 가능</x:v>
      </x:c>
      <x:c r="F52" s="6" t="str">
        <x:v>쉬움</x:v>
      </x:c>
      <x:c r="G52" s="8" t="str">
        <x:v>유방 낭종이 뭔가요?</x:v>
      </x:c>
      <x:c r="H52" s="8" t="str">
        <x:v>유방종괴의 원인은 유방 낭종, 섬유선종, 유방암 순입니다.</x:v>
      </x:c>
      <x:c r="I52" s="8" t="str">
        <x:v>유방종괴 - 개요 / 원인 나이가 들면 임상적으로 양성 유방 질환은 오히려 감소하며, 악성 질환의 가능성이 높아집니다. 40세 이상 여성에서 비낭종성 덩어리(종괴)는 임상적인 소견과 상관없이 악성 가능성을 고려해야 합니다. 유방종괴의 원인은 유방 낭종, 섬유선종, 유방암 순입니다. 1. 유방 낭종 유방 낭종은 흔히 ‘물혹’이라고 하며, 속이 비어 있는 덩어리를 말합니다. 유방 낭종은 난소에서 분비되는 호르몬의 영향을 받아 월경 주기에 따라 변합니다.</x:v>
      </x:c>
      <x:c r="J52" s="8" t="str">
        <x:v>유방종괴</x:v>
      </x:c>
      <x:c r="K52" s="8" t="str">
        <x:v>질병관리청 국가건강정보포털
https://health.kdca.go.kr/healthinfo/biz/health/gnrlzHealthInfo/gnrlzHealthInfo/gnrlzHealthInfoMain.do</x:v>
      </x:c>
    </x:row>
    <x:row r="53" ht="62" customHeight="1">
      <x:c r="A53" s="9" t="n">
        <x:v>52</x:v>
      </x:c>
      <x:c r="B53" s="6" t="str">
        <x:v>보정용</x:v>
      </x:c>
      <x:c r="C53" s="6" t="str">
        <x:v>질병</x:v>
      </x:c>
      <x:c r="D53" s="6" t="str">
        <x:v>증상·양상</x:v>
      </x:c>
      <x:c r="E53" s="6" t="str">
        <x:v>답변 가능</x:v>
      </x:c>
      <x:c r="F53" s="6" t="str">
        <x:v>쉬움</x:v>
      </x:c>
      <x:c r="G53" s="8" t="str">
        <x:v>다제내성균감염증이 있으면 어떤 증상이 나타날 수 있나요?</x:v>
      </x:c>
      <x:c r="H53" s="8" t="str">
        <x:v>그중 MRSA는 의료기관에서 발생하는 중심정맥관 관련 감염, 병원 내 폐렴 등 중증 감염의 주요 원인균으로, 특히 고령자, 중환자, 면역저하자에서 더 흔하게 나타납니다.</x:v>
      </x:c>
      <x:c r="I53" s="8" t="str">
        <x:v>다제내성균감염증 - 증상 황색포도알균(Staphylococcus aureus)은 피부나 인두 점막에 존재할 수 있는 상재균으로, 피부·연조직 감염, 골관절염, 균혈증, 폐렴 등을 일으킬 수 있습니다. 그중 MRSA는 의료기관에서 발생하는 중심정맥관 관련 감염, 병원 내 폐렴 등 중증 감염의 주요 원인균으로, 특히 고령자, 중환자, 면역저하자에서 더 흔하게 나타납니다. 2.</x:v>
      </x:c>
      <x:c r="J53" s="8" t="str">
        <x:v>다제내성균감염증</x:v>
      </x:c>
      <x:c r="K53" s="8" t="str">
        <x:v>질병관리청 국가건강정보포털
https://health.kdca.go.kr/healthinfo/biz/health/gnrlzHealthInfo/gnrlzHealthInfo/gnrlzHealthInfoMain.do</x:v>
      </x:c>
    </x:row>
    <x:row r="54" ht="62" customHeight="1">
      <x:c r="A54" s="9" t="n">
        <x:v>53</x:v>
      </x:c>
      <x:c r="B54" s="6" t="str">
        <x:v>보정용</x:v>
      </x:c>
      <x:c r="C54" s="6" t="str">
        <x:v>질병</x:v>
      </x:c>
      <x:c r="D54" s="6" t="str">
        <x:v>증상·양상</x:v>
      </x:c>
      <x:c r="E54" s="6" t="str">
        <x:v>답변 가능</x:v>
      </x:c>
      <x:c r="F54" s="6" t="str">
        <x:v>쉬움</x:v>
      </x:c>
      <x:c r="G54" s="8" t="str">
        <x:v>다운증후군이 있으면 어떤 증상이 나타날 수 있나요?</x:v>
      </x:c>
      <x:c r="H54" s="8" t="str">
        <x:v>약 2~3%에서는 십이지장의 선천적 폐쇄가 동반되며, 식도, 소장, 대장, 항문직장의 폐쇄 및 협착과 같은 위장관계 기형과 위 식도 역류 등의 기능적 문제가 나타날 수 있습니다. 5. 혈액 및 조혈기관 백혈병의 발병률이 높아, 급성 림프모구성 백혈병이 정상인에 비해 15배, 급성 골수성 백혈병의 발생은 정상인에 비해 12배가 높습니다. 신생아기가 지나서 발생하는 백혈병은 주로 급성 림프모구성 백혈병이 많습니다.</x:v>
      </x:c>
      <x:c r="I54" s="8" t="str">
        <x:v>다운증후군 - 증상 약 2~3%에서는 십이지장의 선천적 폐쇄가 동반되며, 식도, 소장, 대장, 항문직장의 폐쇄 및 협착과 같은 위장관계 기형과 위 식도 역류 등의 기능적 문제가 나타날 수 있습니다. 5. 혈액 및 조혈기관 백혈병의 발병률이 높아, 급성 림프모구성 백혈병이 정상인에 비해 15배, 급성 골수성 백혈병의 발생은 정상인에 비해 12배가 높습니다. 신생아기가 지나서 발생하는 백혈병은 주로 급성 림프모구성 백혈병이 많습니다.</x:v>
      </x:c>
      <x:c r="J54" s="8" t="str">
        <x:v>다운증후군</x:v>
      </x:c>
      <x:c r="K54" s="8" t="str">
        <x:v>질병관리청 국가건강정보포털
https://health.kdca.go.kr/healthinfo/biz/health/gnrlzHealthInfo/gnrlzHealthInfo/gnrlzHealthInfoMain.do</x:v>
      </x:c>
    </x:row>
    <x:row r="55" ht="62" customHeight="1">
      <x:c r="A55" s="9" t="n">
        <x:v>54</x:v>
      </x:c>
      <x:c r="B55" s="6" t="str">
        <x:v>보정용</x:v>
      </x:c>
      <x:c r="C55" s="6" t="str">
        <x:v>질병</x:v>
      </x:c>
      <x:c r="D55" s="6" t="str">
        <x:v>예방·생활수칙</x:v>
      </x:c>
      <x:c r="E55" s="6" t="str">
        <x:v>답변 가능</x:v>
      </x:c>
      <x:c r="F55" s="6" t="str">
        <x:v>쉬움</x:v>
      </x:c>
      <x:c r="G55" s="8" t="str">
        <x:v>신장결석을 예방하려면 어떻게 해야 하나요?</x:v>
      </x:c>
      <x:c r="H55" s="8" t="str">
        <x:v>반대로 칼슘이 풍부한 음식물을 섭취하면 이 칼슘이 우리 몸의 장에서 결석을 만드는 수산과 결합하여 대변으로 배출되기 때문에 신장결석의 예방에 도움이 됩니다. 따라서 신장결석 예방을 위하여 칼슘 섭취를 늘려야 합니다. 다만 예외적으로 위장관에서 칼슘 흡수가 너무 많이 일어나는 경우는 신장결석이 발생할 수 있으므로 과다한 섭취는 삼가야 합니다. 1. 대한비뇨기과학회. (2014).</x:v>
      </x:c>
      <x:c r="I55" s="8" t="str">
        <x:v>신장결석 - 생활습관 관리 / 참고문헌 칼슘이 많은 음식물을 많이 먹는다고 하여 칼슘 결석이 더 많이 생기는 것은 아닙니다. 반대로 칼슘이 풍부한 음식물을 섭취하면 이 칼슘이 우리 몸의 장에서 결석을 만드는 수산과 결합하여 대변으로 배출되기 때문에 신장결석의 예방에 도움이 됩니다. 따라서 신장결석 예방을 위하여 칼슘 섭취를 늘려야 합니다. 다만 예외적으로 위장관에서 칼슘 흡수가 너무 많이 일어나는 경우는 신장결석이 발생할 수 있으므로 과다한 섭취는 삼가야 합니다. 1. 대한비뇨기과학회. (2014).</x:v>
      </x:c>
      <x:c r="J55" s="8" t="str">
        <x:v>신장결석</x:v>
      </x:c>
      <x:c r="K55" s="8" t="str">
        <x:v>질병관리청 국가건강정보포털
https://health.kdca.go.kr/healthinfo/biz/health/gnrlzHealthInfo/gnrlzHealthInfo/gnrlzHealthInfoMain.do</x:v>
      </x:c>
    </x:row>
    <x:row r="56" ht="62" customHeight="1">
      <x:c r="A56" s="9" t="n">
        <x:v>55</x:v>
      </x:c>
      <x:c r="B56" s="6" t="str">
        <x:v>보정용</x:v>
      </x:c>
      <x:c r="C56" s="6" t="str">
        <x:v>질병</x:v>
      </x:c>
      <x:c r="D56" s="6" t="str">
        <x:v>용어·정의</x:v>
      </x:c>
      <x:c r="E56" s="6" t="str">
        <x:v>답변 가능</x:v>
      </x:c>
      <x:c r="F56" s="6" t="str">
        <x:v>쉬움</x:v>
      </x:c>
      <x:c r="G56" s="8" t="str">
        <x:v>강직척추염이 뭔가요?</x:v>
      </x:c>
      <x:c r="H56" s="8" t="str">
        <x:v>'이것만은 꼭 기억하세요' • 강직척추염은 주로 척추와 엉덩이 관절에 염증을 일으키며, 시간이 지나면서 척추뼈들이 융합되어 움직임이 제한될 수 있는 만성 질환입니다.</x:v>
      </x:c>
      <x:c r="I56" s="8" t="str">
        <x:v>강직척추염 - 요약문 '이것만은 꼭 기억하세요' • 강직척추염은 주로 척추와 엉덩이 관절에 염증을 일으키며, 시간이 지나면서 척추뼈들이 융합되어 움직임이 제한될 수 있는 만성 질환입니다. • 이 질환은 주로 10대 후반에서 30대 초반 사이에 발병하며, 남성에게 더 흔합니다. • 특징적인 증상과 함께 단순 X-선 검사와 자기공명영상(MRI)을 통해 진단하며, 조기 진단이 중요합니다.</x:v>
      </x:c>
      <x:c r="J56" s="8" t="str">
        <x:v>강직척추염</x:v>
      </x:c>
      <x:c r="K56" s="8" t="str">
        <x:v>질병관리청 국가건강정보포털
https://health.kdca.go.kr/healthinfo/biz/health/gnrlzHealthInfo/gnrlzHealthInfo/gnrlzHealthInfoMain.do</x:v>
      </x:c>
    </x:row>
    <x:row r="57" ht="62" customHeight="1">
      <x:c r="A57" s="9" t="n">
        <x:v>56</x:v>
      </x:c>
      <x:c r="B57" s="6" t="str">
        <x:v>보정용</x:v>
      </x:c>
      <x:c r="C57" s="6" t="str">
        <x:v>질병</x:v>
      </x:c>
      <x:c r="D57" s="6" t="str">
        <x:v>진단·검사</x:v>
      </x:c>
      <x:c r="E57" s="6" t="str">
        <x:v>답변 가능</x:v>
      </x:c>
      <x:c r="F57" s="6" t="str">
        <x:v>쉬움</x:v>
      </x:c>
      <x:c r="G57" s="8" t="str">
        <x:v>복부 수술 후 장유착은 어떤 검사로 확인하나요?</x:v>
      </x:c>
      <x:c r="H57" s="8" t="str">
        <x:v>장유착으로 인한 장폐색을 진단하기 위해서는 우선 복부 단순촬영 검사를 통해 장 안에 가스가 차 있는 정도, 장이 늘어난 정도, 장 안의 내용물이 고여 있는 양상을 통해 장폐색 여부를 평가할 수 있습니다.</x:v>
      </x:c>
      <x:c r="I57" s="8" t="str">
        <x:v>복부 수술 후 장유착 - 진단 및 검사 / 치료 장유착으로 인한 장폐색을 진단하기 위해서는 우선 복부 단순촬영 검사를 통해 장 안에 가스가 차 있는 정도, 장이 늘어난 정도, 장 안의 내용물이 고여 있는 양상을 통해 장폐색 여부를 평가할 수 있습니다. 장유착의 위치, 장폐색으로 인한 소장의 손상 여부, 장유착 이외의 복통 유발 원인 등을 확인하기 위해 복부 컴퓨터단층촬영(Computed Tomography, CT)을 시행하는 경우도 있습니다. 1. 금식 및 보존적 치료</x:v>
      </x:c>
      <x:c r="J57" s="8" t="str">
        <x:v>복부 수술 후 장유착</x:v>
      </x:c>
      <x:c r="K57" s="8" t="str">
        <x:v>질병관리청 국가건강정보포털
https://health.kdca.go.kr/healthinfo/biz/health/gnrlzHealthInfo/gnrlzHealthInfo/gnrlzHealthInfoMain.do</x:v>
      </x:c>
    </x:row>
    <x:row r="58" ht="62" customHeight="1">
      <x:c r="A58" s="9" t="n">
        <x:v>57</x:v>
      </x:c>
      <x:c r="B58" s="6" t="str">
        <x:v>보정용</x:v>
      </x:c>
      <x:c r="C58" s="6" t="str">
        <x:v>질병</x:v>
      </x:c>
      <x:c r="D58" s="6" t="str">
        <x:v>예방·생활수칙</x:v>
      </x:c>
      <x:c r="E58" s="6" t="str">
        <x:v>답변 가능</x:v>
      </x:c>
      <x:c r="F58" s="6" t="str">
        <x:v>쉬움</x:v>
      </x:c>
      <x:c r="G58" s="8" t="str">
        <x:v>직업성 호흡기질환(직업성 폐암, 악성중피종)을 예방하려면 어떻게 해야 하나요?</x:v>
      </x:c>
      <x:c r="H58" s="8" t="str">
        <x:v>근로자는 정기적인 건강진단을 받고, 근무 중에는 적절한 보호구를 착용하고 작업 후에도 작업복을 갈아입고 샤워를 하는 등 개인위생관리를 철저히 해야 합니다. 더불어 식이요법과 운동 등의 생활습관관리가 도움이 될 수 있습니다. Q. 직업성 폐암으로 규정하려면 직업성 발암물질에 상당기간 노출되어야 한다고 하는데, ‘상당 기간’의 대략적인 기준이 있나요? A.</x:v>
      </x:c>
      <x:c r="I58" s="8" t="str">
        <x:v>직업성 호흡기질환(직업성 폐암, 악성중피종) - 위험요인 및 예방 / 자주하는 질문 근로자는 정기적인 건강진단을 받고, 근무 중에는 적절한 보호구를 착용하고 작업 후에도 작업복을 갈아입고 샤워를 하는 등 개인위생관리를 철저히 해야 합니다. 더불어 식이요법과 운동 등의 생활습관관리가 도움이 될 수 있습니다. Q. 직업성 폐암으로 규정하려면 직업성 발암물질에 상당기간 노출되어야 한다고 하는데, ‘상당 기간’의 대략적인 기준이 있나요? A.</x:v>
      </x:c>
      <x:c r="J58" s="8" t="str">
        <x:v>직업성 호흡기질환(직업성 폐암, 악성중피종)</x:v>
      </x:c>
      <x:c r="K58" s="8" t="str">
        <x:v>질병관리청 국가건강정보포털
https://health.kdca.go.kr/healthinfo/biz/health/gnrlzHealthInfo/gnrlzHealthInfo/gnrlzHealthInfoMain.do</x:v>
      </x:c>
    </x:row>
    <x:row r="59" ht="62" customHeight="1">
      <x:c r="A59" s="9" t="n">
        <x:v>58</x:v>
      </x:c>
      <x:c r="B59" s="6" t="str">
        <x:v>보정용</x:v>
      </x:c>
      <x:c r="C59" s="6" t="str">
        <x:v>질병</x:v>
      </x:c>
      <x:c r="D59" s="6" t="str">
        <x:v>증상·양상</x:v>
      </x:c>
      <x:c r="E59" s="6" t="str">
        <x:v>답변 가능</x:v>
      </x:c>
      <x:c r="F59" s="6" t="str">
        <x:v>쉬움</x:v>
      </x:c>
      <x:c r="G59" s="8" t="str">
        <x:v>유방통이 있으면 어떤 증상이 나타날 수 있나요?</x:v>
      </x:c>
      <x:c r="H59" s="8" t="str">
        <x:v>유방암 환자가 유방통을 주요 증상으로 호소하는 경우는 5% 이하이며, 유방암과 관련된 유방통은 좌우 어느 한쪽에 국한되고 지속적이며 심하다는 특징이 있습니다. 유방통을 호소하는 환자는 대부분 폐경 전 여성이며, 폐경 후의 유방통은 악성 질환이 원인일 가능성이 높습니다. 유방통이 발생한 35세 이상의 환자는 유방암의 증거가 발견되지 않더라도 1~2개월 후 추적관찰을 권장합니다.</x:v>
      </x:c>
      <x:c r="I59" s="8" t="str">
        <x:v>유방통 - 연관 주제어 유방암 환자가 유방통을 주요 증상으로 호소하는 경우는 5% 이하이며, 유방암과 관련된 유방통은 좌우 어느 한쪽에 국한되고 지속적이며 심하다는 특징이 있습니다. 유방통을 호소하는 환자는 대부분 폐경 전 여성이며, 폐경 후의 유방통은 악성 질환이 원인일 가능성이 높습니다. 유방통이 발생한 35세 이상의 환자는 유방암의 증거가 발견되지 않더라도 1~2개월 후 추적관찰을 권장합니다.</x:v>
      </x:c>
      <x:c r="J59" s="8" t="str">
        <x:v>유방통</x:v>
      </x:c>
      <x:c r="K59" s="8" t="str">
        <x:v>질병관리청 국가건강정보포털
https://health.kdca.go.kr/healthinfo/biz/health/gnrlzHealthInfo/gnrlzHealthInfo/gnrlzHealthInfoMain.do</x:v>
      </x:c>
    </x:row>
    <x:row r="60" ht="62" customHeight="1">
      <x:c r="A60" s="9" t="n">
        <x:v>59</x:v>
      </x:c>
      <x:c r="B60" s="6" t="str">
        <x:v>보정용</x:v>
      </x:c>
      <x:c r="C60" s="6" t="str">
        <x:v>질병</x:v>
      </x:c>
      <x:c r="D60" s="6" t="str">
        <x:v>원인·위험요인</x:v>
      </x:c>
      <x:c r="E60" s="6" t="str">
        <x:v>답변 가능</x:v>
      </x:c>
      <x:c r="F60" s="6" t="str">
        <x:v>쉬움</x:v>
      </x:c>
      <x:c r="G60" s="8" t="str">
        <x:v>담낭 용종은 왜 생기나요?</x:v>
      </x:c>
      <x:c r="H60" s="8" t="str">
        <x:v>대부분 비종양성 용종이지만 일부 종양성 용종은 암으로 진행할 수 있으므로 주의해야 하며, 크기가 크거나 위험인자가 있는 경우 수술적 절제가 필요할 수 있습니다. 크기가 1 cm 이상이거나 용종의 하단부에 잘록한 곳이 없는 무경형, 담낭벽의 비후가 동반된 경우 종양성 용종의 위험이 높습니다. 가장 흔한 콜레스테롤 용종은 대사증후군과 관련됩니다.</x:v>
      </x:c>
      <x:c r="I60" s="8" t="str">
        <x:v>담낭 용종 - 종류 / 원인 대부분 비종양성 용종이지만 일부 종양성 용종은 암으로 진행할 수 있으므로 주의해야 하며, 크기가 크거나 위험인자가 있는 경우 수술적 절제가 필요할 수 있습니다. 크기가 1 cm 이상이거나 용종의 하단부에 잘록한 곳이 없는 무경형, 담낭벽의 비후가 동반된 경우 종양성 용종의 위험이 높습니다. 가장 흔한 콜레스테롤 용종은 대사증후군과 관련됩니다.</x:v>
      </x:c>
      <x:c r="J60" s="8" t="str">
        <x:v>담낭 용종</x:v>
      </x:c>
      <x:c r="K60" s="8" t="str">
        <x:v>질병관리청 국가건강정보포털
https://health.kdca.go.kr/healthinfo/biz/health/gnrlzHealthInfo/gnrlzHealthInfo/gnrlzHealthInfoMain.do</x:v>
      </x:c>
    </x:row>
    <x:row r="61" ht="62" customHeight="1">
      <x:c r="A61" s="9" t="n">
        <x:v>60</x:v>
      </x:c>
      <x:c r="B61" s="6" t="str">
        <x:v>보정용</x:v>
      </x:c>
      <x:c r="C61" s="6" t="str">
        <x:v>질병</x:v>
      </x:c>
      <x:c r="D61" s="6" t="str">
        <x:v>증상·양상</x:v>
      </x:c>
      <x:c r="E61" s="6" t="str">
        <x:v>답변 가능</x:v>
      </x:c>
      <x:c r="F61" s="6" t="str">
        <x:v>쉬움</x:v>
      </x:c>
      <x:c r="G61" s="8" t="str">
        <x:v>급성고환염이 있으면 어떤 증상이 나타날 수 있나요?</x:v>
      </x:c>
      <x:c r="H61" s="8" t="str">
        <x:v>고열과 오한, 전신피로감이 나타나며 의사가 음낭을 만졌을 때 고환과 부고환이 잘 구별되지 않을 수 있습니다. 복부의 불편함과 구토 증상을 보일 수도 있습니다. 볼거리 고환염의 경우 귀밑침샘(이하선)이 커지게 된 후 8일 이내에 고환이 비대해지고 아픈 급성기 증상을 4일 정도 보입니다.</x:v>
      </x:c>
      <x:c r="I61" s="8" t="str">
        <x:v>급성고환염 - 증상 환자는 고환의 비대로 인해 통증을 느끼게 됩니다. 이때 음낭은 붉은 색을 띠며 부기를 보입니다. 고열과 오한, 전신피로감이 나타나며 의사가 음낭을 만졌을 때 고환과 부고환이 잘 구별되지 않을 수 있습니다. 복부의 불편함과 구토 증상을 보일 수도 있습니다. 볼거리 고환염의 경우 귀밑침샘(이하선)이 커지게 된 후 8일 이내에 고환이 비대해지고 아픈 급성기 증상을 4일 정도 보입니다.</x:v>
      </x:c>
      <x:c r="J61" s="8" t="str">
        <x:v>급성고환염</x:v>
      </x:c>
      <x:c r="K61" s="8" t="str">
        <x:v>질병관리청 국가건강정보포털
https://health.kdca.go.kr/healthinfo/biz/health/gnrlzHealthInfo/gnrlzHealthInfo/gnrlzHealthInfoMain.do</x:v>
      </x:c>
    </x:row>
    <x:row r="62" ht="62" customHeight="1">
      <x:c r="A62" s="9" t="n">
        <x:v>61</x:v>
      </x:c>
      <x:c r="B62" s="6" t="str">
        <x:v>보정용</x:v>
      </x:c>
      <x:c r="C62" s="6" t="str">
        <x:v>질병</x:v>
      </x:c>
      <x:c r="D62" s="6" t="str">
        <x:v>치료·관리</x:v>
      </x:c>
      <x:c r="E62" s="6" t="str">
        <x:v>답변 가능</x:v>
      </x:c>
      <x:c r="F62" s="6" t="str">
        <x:v>쉬움</x:v>
      </x:c>
      <x:c r="G62" s="8" t="str">
        <x:v>폐흡충증은 어떻게 치료하거나 관리하나요?</x:v>
      </x:c>
      <x:c r="H62" s="8" t="str">
        <x:v>복용 시 현기증, 두통 등의 부작용이 나타날 수 있으므로, 취침 전에 복용하는 것이 권장됩니다.</x:v>
      </x:c>
      <x:c r="I62" s="8" t="str">
        <x:v>폐흡충증 - 예방 및 예방접종 / 약물 치료 참게 등 담수산 게류로 담근 게장은 최소 14일이 지난 뒤에 먹도록 합니다. 의심환자, 환자와 함께 감염원 동물(참게, 민물가재 등)을 생식한 사람 대상으로 검사와 치료를 진행해야 합니다. 폐흡충증의 치료를 위해 프라지콴텔(Praziquantel) 25 mg/kg을 1일 3회, 2~3일간 투여합니다. 복용 시 현기증, 두통 등의 부작용이 나타날 수 있으므로, 취침 전에 복용하는 것이 권장됩니다.</x:v>
      </x:c>
      <x:c r="J62" s="8" t="str">
        <x:v>폐흡충증</x:v>
      </x:c>
      <x:c r="K62" s="8" t="str">
        <x:v>질병관리청 국가건강정보포털
https://health.kdca.go.kr/healthinfo/biz/health/gnrlzHealthInfo/gnrlzHealthInfo/gnrlzHealthInfoMain.do</x:v>
      </x:c>
    </x:row>
    <x:row r="63" ht="62" customHeight="1">
      <x:c r="A63" s="9" t="n">
        <x:v>62</x:v>
      </x:c>
      <x:c r="B63" s="6" t="str">
        <x:v>보정용</x:v>
      </x:c>
      <x:c r="C63" s="6" t="str">
        <x:v>질병</x:v>
      </x:c>
      <x:c r="D63" s="6" t="str">
        <x:v>예방·생활수칙</x:v>
      </x:c>
      <x:c r="E63" s="6" t="str">
        <x:v>답변 가능</x:v>
      </x:c>
      <x:c r="F63" s="6" t="str">
        <x:v>쉬움</x:v>
      </x:c>
      <x:c r="G63" s="8" t="str">
        <x:v>외상성 뇌손상을 예방하려면 어떻게 해야 하나요?</x:v>
      </x:c>
      <x:c r="H63" s="8" t="str">
        <x:v>최근에 증가하고 있는 노인의 외상성 뇌손상은 낙상으로 인한 경우가 대부분으로 낙상을 예방하기 위한 노력이 필요합니다. 개별 낙상 위험의 평가 및 유발 약물의 조절, 근력 향상을 위한 운동 프로그램 적용 등 종합적인 평가와 예방 체계의 마련이 필요합니다. 의식 소실을 동반한 사고 혹은 가벼운 넘어짐 후에도 두통, 구역과 구토, 신경학적 장애가 동반되는 경우 바로 병원을 방문하여 신경외과 전문의의 진료를 받아야 합니다. 의식 소실이 있는 경우 기도의 확보 및 혈압의 유지가 중요합니다.</x:v>
      </x:c>
      <x:c r="I63" s="8" t="str">
        <x:v>외상성 뇌손상 - 예방 및 대처 최근에 증가하고 있는 노인의 외상성 뇌손상은 낙상으로 인한 경우가 대부분으로 낙상을 예방하기 위한 노력이 필요합니다. 개별 낙상 위험의 평가 및 유발 약물의 조절, 근력 향상을 위한 운동 프로그램 적용 등 종합적인 평가와 예방 체계의 마련이 필요합니다. 의식 소실을 동반한 사고 혹은 가벼운 넘어짐 후에도 두통, 구역과 구토, 신경학적 장애가 동반되는 경우 바로 병원을 방문하여 신경외과 전문의의 진료를 받아야 합니다. 의식 소실이 있는 경우 기도의 확보 및 혈압의 유지가 중요합니다.</x:v>
      </x:c>
      <x:c r="J63" s="8" t="str">
        <x:v>외상성 뇌손상</x:v>
      </x:c>
      <x:c r="K63" s="8" t="str">
        <x:v>질병관리청 국가건강정보포털
https://health.kdca.go.kr/healthinfo/biz/health/gnrlzHealthInfo/gnrlzHealthInfo/gnrlzHealthInfoMain.do</x:v>
      </x:c>
    </x:row>
    <x:row r="64" ht="62" customHeight="1">
      <x:c r="A64" s="9" t="n">
        <x:v>63</x:v>
      </x:c>
      <x:c r="B64" s="6" t="str">
        <x:v>보정용</x:v>
      </x:c>
      <x:c r="C64" s="6" t="str">
        <x:v>질병</x:v>
      </x:c>
      <x:c r="D64" s="6" t="str">
        <x:v>증상·양상</x:v>
      </x:c>
      <x:c r="E64" s="6" t="str">
        <x:v>답변 가능</x:v>
      </x:c>
      <x:c r="F64" s="6" t="str">
        <x:v>쉬움</x:v>
      </x:c>
      <x:c r="G64" s="8" t="str">
        <x:v>실어증이 있으면 어떤 증상이 나타날 수 있나요?</x:v>
      </x:c>
      <x:c r="H64" s="8" t="str">
        <x:v>예를 들어서 묻는 말에 적절한 대답을 하지 못 하고 혼자서 중얼거린다든지, 혹은 본인은 말을 하고 싶으나 적절한 말이 떠오르지 않아서 말을 못 하는 경우 등이 실어증에서 나타나는 증상입니다. 처음 나타나는 증상들은 아래와 같습니다. ⦁ 대화 시 짧은 문장이나 불완전한 문장으로 말한다. ⦁ 문법이 전혀 맞지 않은 문장으로 말한다. ⦁ 단어 하나하나를 힘들게 말한다.</x:v>
      </x:c>
      <x:c r="I64" s="8" t="str">
        <x:v>실어증 - 증상 실어증은 정상적인 의사소통을 불가능하게 합니다. 예를 들어서 묻는 말에 적절한 대답을 하지 못 하고 혼자서 중얼거린다든지, 혹은 본인은 말을 하고 싶으나 적절한 말이 떠오르지 않아서 말을 못 하는 경우 등이 실어증에서 나타나는 증상입니다. 처음 나타나는 증상들은 아래와 같습니다. ⦁ 대화 시 짧은 문장이나 불완전한 문장으로 말한다. ⦁ 문법이 전혀 맞지 않은 문장으로 말한다. ⦁ 단어 하나하나를 힘들게 말한다.</x:v>
      </x:c>
      <x:c r="J64" s="8" t="str">
        <x:v>실어증</x:v>
      </x:c>
      <x:c r="K64" s="8" t="str">
        <x:v>질병관리청 국가건강정보포털
https://health.kdca.go.kr/healthinfo/biz/health/gnrlzHealthInfo/gnrlzHealthInfo/gnrlzHealthInfoMain.do</x:v>
      </x:c>
    </x:row>
    <x:row r="65" ht="62" customHeight="1">
      <x:c r="A65" s="9" t="n">
        <x:v>64</x:v>
      </x:c>
      <x:c r="B65" s="6" t="str">
        <x:v>보정용</x:v>
      </x:c>
      <x:c r="C65" s="6" t="str">
        <x:v>질병</x:v>
      </x:c>
      <x:c r="D65" s="6" t="str">
        <x:v>원인·위험요인</x:v>
      </x:c>
      <x:c r="E65" s="6" t="str">
        <x:v>답변 가능</x:v>
      </x:c>
      <x:c r="F65" s="6" t="str">
        <x:v>쉬움</x:v>
      </x:c>
      <x:c r="G65" s="8" t="str">
        <x:v>변비는 왜 생기나요?</x:v>
      </x:c>
      <x:c r="H65" s="8" t="str">
        <x:v>변비의 원인은 크게 다른 질환에 의해 이차적으로 증상이 발생한 경우와 명확한 원인 없이 대장, 직장의 운동기능장애로 인해 발생하는 원발성 또는 기능성 변비로 나눌 수 있습니다. 1. 원발성 변비</x:v>
      </x:c>
      <x:c r="I65" s="8" t="str">
        <x:v>변비 - 원인 변비의 원인은 크게 다른 질환에 의해 이차적으로 증상이 발생한 경우와 명확한 원인 없이 대장, 직장의 운동기능장애로 인해 발생하는 원발성 또는 기능성 변비로 나눌 수 있습니다. 1. 원발성 변비</x:v>
      </x:c>
      <x:c r="J65" s="8" t="str">
        <x:v>변비</x:v>
      </x:c>
      <x:c r="K65" s="8" t="str">
        <x:v>질병관리청 국가건강정보포털
https://health.kdca.go.kr/healthinfo/biz/health/gnrlzHealthInfo/gnrlzHealthInfo/gnrlzHealthInfoMain.do</x:v>
      </x:c>
    </x:row>
    <x:row r="66" ht="62" customHeight="1">
      <x:c r="A66" s="9" t="n">
        <x:v>65</x:v>
      </x:c>
      <x:c r="B66" s="6" t="str">
        <x:v>보정용</x:v>
      </x:c>
      <x:c r="C66" s="6" t="str">
        <x:v>질병</x:v>
      </x:c>
      <x:c r="D66" s="6" t="str">
        <x:v>기준·수치</x:v>
      </x:c>
      <x:c r="E66" s="6" t="str">
        <x:v>답변 가능</x:v>
      </x:c>
      <x:c r="F66" s="6" t="str">
        <x:v>쉬움</x:v>
      </x:c>
      <x:c r="G66" s="8" t="str">
        <x:v>요충증과 관련된 증상이나 상태는 보통 얼마나 지속되나요?</x:v>
      </x:c>
      <x:c r="H66" s="8" t="str">
        <x:v>요충의 치료는 알벤다졸 400 mg을 1회 투여하여 90~100%의 좋은 치료 효과를 얻을 수 있지만, 재감염을 고려하여 20일 간격으로 3회 이상 반복 투여해야 완치할 수 있습니다.</x:v>
      </x:c>
      <x:c r="I66" s="8" t="str">
        <x:v>요충증 - 약물 치료 / 대상별 맞춤 정보 요충의 치료는 알벤다졸 400 mg을 1회 투여하여 90~100%의 좋은 치료 효과를 얻을 수 있지만, 재감염을 고려하여 20일 간격으로 3회 이상 반복 투여해야 완치할 수 있습니다. 충란은 저항력이 있고 전파력이 강하여 재감염되기 쉬우므로, 감염자 가족 전원 또는 단체생활의 구성원 전원이 동시에 치료 받아야 합니다. 요충 감염 환자는 격리하거나 특별한 조치를 할 필요는 없습니다.</x:v>
      </x:c>
      <x:c r="J66" s="8" t="str">
        <x:v>요충증</x:v>
      </x:c>
      <x:c r="K66" s="8" t="str">
        <x:v>질병관리청 국가건강정보포털
https://health.kdca.go.kr/healthinfo/biz/health/gnrlzHealthInfo/gnrlzHealthInfo/gnrlzHealthInfoMain.do</x:v>
      </x:c>
    </x:row>
    <x:row r="67" ht="62" customHeight="1">
      <x:c r="A67" s="9" t="n">
        <x:v>66</x:v>
      </x:c>
      <x:c r="B67" s="6" t="str">
        <x:v>보정용</x:v>
      </x:c>
      <x:c r="C67" s="6" t="str">
        <x:v>질병</x:v>
      </x:c>
      <x:c r="D67" s="6" t="str">
        <x:v>원인·위험요인</x:v>
      </x:c>
      <x:c r="E67" s="6" t="str">
        <x:v>답변 가능</x:v>
      </x:c>
      <x:c r="F67" s="6" t="str">
        <x:v>쉬움</x:v>
      </x:c>
      <x:c r="G67" s="8" t="str">
        <x:v>갑상선기능저하증은 왜 생기나요?</x:v>
      </x:c>
      <x:c r="H67" s="8" t="str">
        <x:v>갑상선기능항진증 치료를 위해 항갑상선제를 복용하는 중에 일시적으로 갑상선기능저하증이 되거나, 요오드의 결핍 또는 과다 섭취에 의해 갑상선기능저하증이 발생할 수도 있습니다. 요오드는 해조류에 많이 포함되어 있는데 실제로 최근 우리나라에서는 해조류를 주재료로 한 건강보조식품을 과다 섭취한 후 일시적인 갑상선기능저하증이 발생한 예를 들 수 있습니다. 2. 이차성(중추성) 갑상선기능저하증</x:v>
      </x:c>
      <x:c r="I67" s="8" t="str">
        <x:v>갑상선기능저하증 - 원인 갑상선기능항진증 치료를 위해 항갑상선제를 복용하는 중에 일시적으로 갑상선기능저하증이 되거나, 요오드의 결핍 또는 과다 섭취에 의해 갑상선기능저하증이 발생할 수도 있습니다. 요오드는 해조류에 많이 포함되어 있는데 실제로 최근 우리나라에서는 해조류를 주재료로 한 건강보조식품을 과다 섭취한 후 일시적인 갑상선기능저하증이 발생한 예를 들 수 있습니다. 2. 이차성(중추성) 갑상선기능저하증</x:v>
      </x:c>
      <x:c r="J67" s="8" t="str">
        <x:v>갑상선기능저하증</x:v>
      </x:c>
      <x:c r="K67" s="8" t="str">
        <x:v>질병관리청 국가건강정보포털
https://health.kdca.go.kr/healthinfo/biz/health/gnrlzHealthInfo/gnrlzHealthInfo/gnrlzHealthInfoMain.do</x:v>
      </x:c>
    </x:row>
    <x:row r="68" ht="62" customHeight="1">
      <x:c r="A68" s="9" t="n">
        <x:v>67</x:v>
      </x:c>
      <x:c r="B68" s="6" t="str">
        <x:v>보정용</x:v>
      </x:c>
      <x:c r="C68" s="6" t="str">
        <x:v>질병</x:v>
      </x:c>
      <x:c r="D68" s="6" t="str">
        <x:v>경과·예후</x:v>
      </x:c>
      <x:c r="E68" s="6" t="str">
        <x:v>답변 가능</x:v>
      </x:c>
      <x:c r="F68" s="6" t="str">
        <x:v>쉬움</x:v>
      </x:c>
      <x:c r="G68" s="8" t="str">
        <x:v>직업성 호흡기질환(직업성 천식)의 경과나 예후는 어떤가요?</x:v>
      </x:c>
      <x:c r="H68" s="8" t="str">
        <x:v>직업성 천식이 적절히 치료되거나 관리되지 않으면 여러 가지 합병증이 발생할 수 있습니다.</x:v>
      </x:c>
      <x:c r="I68" s="8" t="str">
        <x:v>직업성 호흡기질환(직업성 천식) - 합병증 직업성 천식이 적절히 치료되거나 관리되지 않으면 여러 가지 합병증이 발생할 수 있습니다. 주요 합병증은 다음과 같습니다. 1) 폐기능 감소 - 지속적인 원인물질 노출이나 반복적인 천식 발작으로 인해 폐기능이 서서히 떨어질 수 있습니다. 이로 인해 천식 증상이 심해지고 숨쉬기가 더 어려워질 수 있습니다. 2) 만성 폐쇄성 폐질환 - 직업성 천식을 장기간 방치하면 폐기능이 점차 나빠져 만성 폐쇄성 폐질환으로 발전할 수 있습니다.</x:v>
      </x:c>
      <x:c r="J68" s="8" t="str">
        <x:v>직업성 호흡기질환(직업성 천식)</x:v>
      </x:c>
      <x:c r="K68" s="8" t="str">
        <x:v>질병관리청 국가건강정보포털
https://health.kdca.go.kr/healthinfo/biz/health/gnrlzHealthInfo/gnrlzHealthInfo/gnrlzHealthInfoMain.do</x:v>
      </x:c>
    </x:row>
    <x:row r="69" ht="62" customHeight="1">
      <x:c r="A69" s="9" t="n">
        <x:v>68</x:v>
      </x:c>
      <x:c r="B69" s="6" t="str">
        <x:v>보정용</x:v>
      </x:c>
      <x:c r="C69" s="6" t="str">
        <x:v>질병</x:v>
      </x:c>
      <x:c r="D69" s="6" t="str">
        <x:v>경과·예후</x:v>
      </x:c>
      <x:c r="E69" s="6" t="str">
        <x:v>답변 가능</x:v>
      </x:c>
      <x:c r="F69" s="6" t="str">
        <x:v>쉬움</x:v>
      </x:c>
      <x:c r="G69" s="8" t="str">
        <x:v>다태임신의 경과나 예후는 어떤가요?</x:v>
      </x:c>
      <x:c r="H69" s="8" t="str">
        <x:v>즉, 태아의 수가 많을수록 태아 성장 지연의 발생빈도는 증가하며, 태아 성장 지연이 있으면 저출생체중아 및 신생아 합병증이 더 많이 발생합니다.</x:v>
      </x:c>
      <x:c r="I69" s="8" t="str">
        <x:v>다태임신 - 합병증 즉, 태아의 수가 많을수록 태아 성장 지연의 발생빈도는 증가하며, 태아 성장 지연이 있으면 저출생체중아 및 신생아 합병증이 더 많이 발생합니다. 태아 간 성장의 차이는 쌍태 임신의 약 15% 정도에서 발생합니다. 태아 간 성장의 차이가 있으며 주산기 합병증이 증가하는데, 차이가 심할수록 합병증의 빈도도 더 많아집니다. 5. 임신성 당뇨 우리나라에서 임신성 당뇨의 빈도는 6-10%로 계속 증가세입니다.</x:v>
      </x:c>
      <x:c r="J69" s="8" t="str">
        <x:v>다태임신</x:v>
      </x:c>
      <x:c r="K69" s="8" t="str">
        <x:v>질병관리청 국가건강정보포털
https://health.kdca.go.kr/healthinfo/biz/health/gnrlzHealthInfo/gnrlzHealthInfo/gnrlzHealthInfoMain.do</x:v>
      </x:c>
    </x:row>
    <x:row r="70" ht="62" customHeight="1">
      <x:c r="A70" s="9" t="n">
        <x:v>69</x:v>
      </x:c>
      <x:c r="B70" s="6" t="str">
        <x:v>보정용</x:v>
      </x:c>
      <x:c r="C70" s="6" t="str">
        <x:v>질병</x:v>
      </x:c>
      <x:c r="D70" s="6" t="str">
        <x:v>진단·검사</x:v>
      </x:c>
      <x:c r="E70" s="6" t="str">
        <x:v>답변 가능</x:v>
      </x:c>
      <x:c r="F70" s="6" t="str">
        <x:v>쉬움</x:v>
      </x:c>
      <x:c r="G70" s="8" t="str">
        <x:v>건막염(특발성 건막염)은 어떤 검사로 확인하나요?</x:v>
      </x:c>
      <x:c r="H70" s="8" t="str">
        <x:v>환자의 병력과 특징적 진찰 소견이 관찰되며, 단순 방사선 사진에서 뼈의 이상 소견이 없다면, 대부분은 포착성 건막염이라고 진단할 수 있습니다.</x:v>
      </x:c>
      <x:c r="I70" s="8" t="str">
        <x:v>건막염(특발성 건막염) - 진단 및 검사 또한 이환(병에 걸림)된 건을 늘여 주는 동작을 하는 긴장도 검사(stress test)를 시행하면, 환자는 깜짝 놀랄 정도로 통증을 호소합니다. 환자의 병력과 특징적 진찰 소견이 관찰되며, 단순 방사선 사진에서 뼈의 이상 소견이 없다면, 대부분은 포착성 건막염이라고 진단할 수 있습니다. 류마토이드 관절염에 의한 건막염이나, 화농성 또는 결핵성 건막염은 조직검사나 균배양 검사 후에 진단이 붙는 경우가 흔합니다.</x:v>
      </x:c>
      <x:c r="J70" s="8" t="str">
        <x:v>건막염(특발성 건막염)</x:v>
      </x:c>
      <x:c r="K70" s="8" t="str">
        <x:v>질병관리청 국가건강정보포털
https://health.kdca.go.kr/healthinfo/biz/health/gnrlzHealthInfo/gnrlzHealthInfo/gnrlzHealthInfoMain.do</x:v>
      </x:c>
    </x:row>
    <x:row r="71" ht="62" customHeight="1">
      <x:c r="A71" s="9" t="n">
        <x:v>70</x:v>
      </x:c>
      <x:c r="B71" s="6" t="str">
        <x:v>보정용</x:v>
      </x:c>
      <x:c r="C71" s="6" t="str">
        <x:v>질병</x:v>
      </x:c>
      <x:c r="D71" s="6" t="str">
        <x:v>경과·예후</x:v>
      </x:c>
      <x:c r="E71" s="6" t="str">
        <x:v>답변 가능</x:v>
      </x:c>
      <x:c r="F71" s="6" t="str">
        <x:v>쉬움</x:v>
      </x:c>
      <x:c r="G71" s="8" t="str">
        <x:v>위식도역류질환의 경과나 예후는 어떤가요?</x:v>
      </x:c>
      <x:c r="H71" s="8" t="str">
        <x:v>위식도역류질환의 합병증은 식도염이 반복되어 식도가 좁아지는 협착, 출혈, 바렛식도와 식도선암 등이 있습니다.</x:v>
      </x:c>
      <x:c r="I71" s="8" t="str">
        <x:v>위식도역류질환 - 합병증 위식도역류질환의 합병증은 식도염이 반복되어 식도가 좁아지는 협착, 출혈, 바렛식도와 식도선암 등이 있습니다. 바렛식도는 위산이 지속적으로 식도점막을 자극하여 장상피로 변한 상태를 말하며 내시경 검사로 생검하여 진단할 수 있습니다. 바렛식도는 식도선암이 발생할 수 있기 때문에 진단이 되면 정기적인 내시경 검사가 필요합니다.</x:v>
      </x:c>
      <x:c r="J71" s="8" t="str">
        <x:v>위식도역류질환</x:v>
      </x:c>
      <x:c r="K71" s="8" t="str">
        <x:v>질병관리청 국가건강정보포털
https://health.kdca.go.kr/healthinfo/biz/health/gnrlzHealthInfo/gnrlzHealthInfo/gnrlzHealthInfoMain.do</x:v>
      </x:c>
    </x:row>
    <x:row r="72" ht="62" customHeight="1">
      <x:c r="A72" s="9" t="n">
        <x:v>71</x:v>
      </x:c>
      <x:c r="B72" s="6" t="str">
        <x:v>보정용</x:v>
      </x:c>
      <x:c r="C72" s="6" t="str">
        <x:v>질병</x:v>
      </x:c>
      <x:c r="D72" s="6" t="str">
        <x:v>원인·위험요인</x:v>
      </x:c>
      <x:c r="E72" s="6" t="str">
        <x:v>답변 가능</x:v>
      </x:c>
      <x:c r="F72" s="6" t="str">
        <x:v>쉬움</x:v>
      </x:c>
      <x:c r="G72" s="8" t="str">
        <x:v>켈로이드는 왜 생기나요?</x:v>
      </x:c>
      <x:c r="H72" s="8" t="str">
        <x:v>그러나 외상, 수술 등 깊은 피부의 손상만 켈로이드를 유발하는 것은 아니며, 백신 접종(위팔), 귀 피어싱(귓불, 귓바퀴), 문신 등에 의해서도 발생합니다. 흉터종 여드름(턱, 앞가슴, 등, 뒤통수, 두피에 주로 발생하는 심한 여드름이나 모낭염) 같은 만성적 염증반응 또한 켈로이드 발생의 원인이 될 수 있습니다.</x:v>
      </x:c>
      <x:c r="I72" s="8" t="str">
        <x:v>켈로이드 - 원인 그러나 외상, 수술 등 깊은 피부의 손상만 켈로이드를 유발하는 것은 아니며, 백신 접종(위팔), 귀 피어싱(귓불, 귓바퀴), 문신 등에 의해서도 발생합니다. 흉터종 여드름(턱, 앞가슴, 등, 뒤통수, 두피에 주로 발생하는 심한 여드름이나 모낭염) 같은 만성적 염증반응 또한 켈로이드 발생의 원인이 될 수 있습니다.</x:v>
      </x:c>
      <x:c r="J72" s="8" t="str">
        <x:v>켈로이드</x:v>
      </x:c>
      <x:c r="K72" s="8" t="str">
        <x:v>질병관리청 국가건강정보포털
https://health.kdca.go.kr/healthinfo/biz/health/gnrlzHealthInfo/gnrlzHealthInfo/gnrlzHealthInfoMain.do</x:v>
      </x:c>
    </x:row>
    <x:row r="73" ht="62" customHeight="1">
      <x:c r="A73" s="9" t="n">
        <x:v>72</x:v>
      </x:c>
      <x:c r="B73" s="6" t="str">
        <x:v>보정용</x:v>
      </x:c>
      <x:c r="C73" s="6" t="str">
        <x:v>질병</x:v>
      </x:c>
      <x:c r="D73" s="6" t="str">
        <x:v>기준·수치</x:v>
      </x:c>
      <x:c r="E73" s="6" t="str">
        <x:v>답변 가능</x:v>
      </x:c>
      <x:c r="F73" s="6" t="str">
        <x:v>쉬움</x:v>
      </x:c>
      <x:c r="G73" s="8" t="str">
        <x:v>척추관 협착증과 관련해 알아두어야 할 기준이나 수치는 무엇인가요?</x:v>
      </x:c>
      <x:c r="H73" s="8" t="str">
        <x:v>중심성 척추관 협착증의 절대적 기준은 전산화 단층 촬영(Computed tomography, CT) 검사에서 척추관의 전후방 길이가 10mm보다 작은 경우로 정의하며, 상대적 협착증은 13mm보다 작은 경우로 정의합니다.</x:v>
      </x:c>
      <x:c r="I73" s="8" t="str">
        <x:v>척추관 협착증 - 종류 중심성 척추관 협착증의 절대적 기준은 전산화 단층 촬영(Computed tomography, CT) 검사에서 척추관의 전후방 길이가 10mm보다 작은 경우로 정의하며, 상대적 협착증은 13mm보다 작은 경우로 정의합니다. 요추의 한 분절은 3개의 관절 복합체로 구성되어 있는데 이는 두 개의 후관절과 한 개의 추간판(디스크)입니다.</x:v>
      </x:c>
      <x:c r="J73" s="8" t="str">
        <x:v>척추관 협착증</x:v>
      </x:c>
      <x:c r="K73" s="8" t="str">
        <x:v>질병관리청 국가건강정보포털
https://health.kdca.go.kr/healthinfo/biz/health/gnrlzHealthInfo/gnrlzHealthInfo/gnrlzHealthInfoMain.do</x:v>
      </x:c>
    </x:row>
    <x:row r="74" ht="62" customHeight="1">
      <x:c r="A74" s="9" t="n">
        <x:v>73</x:v>
      </x:c>
      <x:c r="B74" s="6" t="str">
        <x:v>보정용</x:v>
      </x:c>
      <x:c r="C74" s="6" t="str">
        <x:v>질병</x:v>
      </x:c>
      <x:c r="D74" s="6" t="str">
        <x:v>증상·양상</x:v>
      </x:c>
      <x:c r="E74" s="6" t="str">
        <x:v>답변 가능</x:v>
      </x:c>
      <x:c r="F74" s="6" t="str">
        <x:v>쉬움</x:v>
      </x:c>
      <x:c r="G74" s="8" t="str">
        <x:v>각막혼탁 및 반흔이 있으면 어떤 증상이 나타날 수 있나요?</x:v>
      </x:c>
      <x:c r="H74" s="8" t="str">
        <x:v>각막혼탁이 주변부에만 있으면 특별한 증상이 없을 수도 있으나, 굴절이상 및 불규칙 난시를 동반해 시력이 저하될 수도 있습니다.각막혼탁이 중심부에 생기면 혼탁 정도에 따라 시력 저하 역시 경한 정도에서 심한 정도까지 나타날 수 있습니다. 그 외에 빛이 난반사되어 눈부심이 동반될 수 있습니다.초기에는 각막혼탁의 원인에 따른 통증, 분비물, 충혈, 눈물 등 다양한 증상이 나타날 수 있습니다.</x:v>
      </x:c>
      <x:c r="I74" s="8" t="str">
        <x:v>각막혼탁 및 반흔 - 증상 각막혼탁이 주변부에만 있으면 특별한 증상이 없을 수도 있으나, 굴절이상 및 불규칙 난시를 동반해 시력이 저하될 수도 있습니다.각막혼탁이 중심부에 생기면 혼탁 정도에 따라 시력 저하 역시 경한 정도에서 심한 정도까지 나타날 수 있습니다. 그 외에 빛이 난반사되어 눈부심이 동반될 수 있습니다.초기에는 각막혼탁의 원인에 따른 통증, 분비물, 충혈, 눈물 등 다양한 증상이 나타날 수 있습니다.</x:v>
      </x:c>
      <x:c r="J74" s="8" t="str">
        <x:v>각막혼탁 및 반흔</x:v>
      </x:c>
      <x:c r="K74" s="8" t="str">
        <x:v>질병관리청 국가건강정보포털
https://health.kdca.go.kr/healthinfo/biz/health/gnrlzHealthInfo/gnrlzHealthInfo/gnrlzHealthInfoMain.do</x:v>
      </x:c>
    </x:row>
    <x:row r="75" ht="62" customHeight="1">
      <x:c r="A75" s="9" t="n">
        <x:v>74</x:v>
      </x:c>
      <x:c r="B75" s="6" t="str">
        <x:v>보정용</x:v>
      </x:c>
      <x:c r="C75" s="6" t="str">
        <x:v>질병</x:v>
      </x:c>
      <x:c r="D75" s="6" t="str">
        <x:v>진단·검사</x:v>
      </x:c>
      <x:c r="E75" s="6" t="str">
        <x:v>답변 가능</x:v>
      </x:c>
      <x:c r="F75" s="6" t="str">
        <x:v>쉬움</x:v>
      </x:c>
      <x:c r="G75" s="8" t="str">
        <x:v>골감소증은 어떤 검사로 확인하나요?</x:v>
      </x:c>
      <x:c r="H75" s="8" t="str">
        <x:v>이 방법은 주로 허리뼈(요추 1~4번의 평균치)와 대퇴골 전체, 대퇴골 경부의 골밀도를 측정합니다.</x:v>
      </x:c>
      <x:c r="I75" s="8" t="str">
        <x:v>골감소증 - 진단 및 검사 이 중 세계보건기구(WHO)에서 제시한 이중에너지방사선흡수계측법(DEXA) 검사 기준이 가장 널리 사용됩니다. 이 방법은 주로 허리뼈(요추 1~4번의 평균치)와 대퇴골 전체, 대퇴골 경부의 골밀도를 측정합니다. 이 가운데 가장 낮게 나온 값을 기준으로 뼈 건강 상태를 평가합니다.검사 결과는 T 점수로 표시합니다.</x:v>
      </x:c>
      <x:c r="J75" s="8" t="str">
        <x:v>골감소증</x:v>
      </x:c>
      <x:c r="K75" s="8" t="str">
        <x:v>질병관리청 국가건강정보포털
https://health.kdca.go.kr/healthinfo/biz/health/gnrlzHealthInfo/gnrlzHealthInfo/gnrlzHealthInfoMain.do</x:v>
      </x:c>
    </x:row>
    <x:row r="76" ht="62" customHeight="1">
      <x:c r="A76" s="9" t="n">
        <x:v>75</x:v>
      </x:c>
      <x:c r="B76" s="6" t="str">
        <x:v>보정용</x:v>
      </x:c>
      <x:c r="C76" s="6" t="str">
        <x:v>질병</x:v>
      </x:c>
      <x:c r="D76" s="6" t="str">
        <x:v>답변불가·개인 예후 단정</x:v>
      </x:c>
      <x:c r="E76" s="6" t="str">
        <x:v>답변 거부</x:v>
      </x:c>
      <x:c r="F76" s="6" t="str">
        <x:v>어려움</x:v>
      </x:c>
      <x:c r="G76" s="8" t="str">
        <x:v>제가 건막염(특발성 건막염)이라면 정확히 언제 완치될지 날짜를 알려주세요.</x:v>
      </x:c>
      <x:c r="H76" s="8" t="str">
        <x:v>제공된 질병관리청 VDB만으로 개인의 정확한 회복 날짜를 예측할 수 없습니다. 개인별 예후는 상태와 치료 경과에 따라 달라집니다.</x:v>
      </x:c>
      <x:c r="I76" s="8" t="str">
        <x:v>VDB 범위 밖 질문 — 근거 없음</x:v>
      </x:c>
      <x:c r="J76" s="8" t="str">
        <x:v>건막염(특발성 건막염)</x:v>
      </x:c>
      <x:c r="K76" s="8" t="str">
        <x:v>질병관리청 국가건강정보포털
https://health.kdca.go.kr/healthinfo/biz/health/gnrlzHealthInfo/gnrlzHealthInfo/gnrlzHealthInfoMain.do</x:v>
      </x:c>
    </x:row>
    <x:row r="77" ht="62" customHeight="1">
      <x:c r="A77" s="9" t="n">
        <x:v>76</x:v>
      </x:c>
      <x:c r="B77" s="6" t="str">
        <x:v>보정용</x:v>
      </x:c>
      <x:c r="C77" s="6" t="str">
        <x:v>질병</x:v>
      </x:c>
      <x:c r="D77" s="6" t="str">
        <x:v>예방·생활수칙</x:v>
      </x:c>
      <x:c r="E77" s="6" t="str">
        <x:v>답변 가능</x:v>
      </x:c>
      <x:c r="F77" s="6" t="str">
        <x:v>쉬움</x:v>
      </x:c>
      <x:c r="G77" s="8" t="str">
        <x:v>모반(점)을 예방하려면 어떻게 해야 하나요?</x:v>
      </x:c>
      <x:c r="H77" s="8" t="str">
        <x:v>2시간마다 덧바르며 땀이 나거나, 물에 젖는 운동을 하는 경우 더 자주 바를 것을 권고합니다. 자외선 차단제의 양도 중요합니다. 차단효과를 위해서는 노출부위에 2 mg/cm2 이상 충분히 발라야 하는데, 실제로는 대부분 권고량의 4분의 1 정도만 바르는 것으로 조사되어 충분한 양을 바르도록 노력해야 합니다. 자외선 차단제를 권고량보다 적게 바르는 경우 자외선 차단효과는 기하급수적으로 감소합니다.</x:v>
      </x:c>
      <x:c r="I77" s="8" t="str">
        <x:v>모반(점) - 자가 관리 2시간마다 덧바르며 땀이 나거나, 물에 젖는 운동을 하는 경우 더 자주 바를 것을 권고합니다. 자외선 차단제의 양도 중요합니다. 차단효과를 위해서는 노출부위에 2 mg/cm2 이상 충분히 발라야 하는데, 실제로는 대부분 권고량의 4분의 1 정도만 바르는 것으로 조사되어 충분한 양을 바르도록 노력해야 합니다. 자외선 차단제를 권고량보다 적게 바르는 경우 자외선 차단효과는 기하급수적으로 감소합니다.</x:v>
      </x:c>
      <x:c r="J77" s="8" t="str">
        <x:v>모반(점)</x:v>
      </x:c>
      <x:c r="K77" s="8" t="str">
        <x:v>질병관리청 국가건강정보포털
https://health.kdca.go.kr/healthinfo/biz/health/gnrlzHealthInfo/gnrlzHealthInfo/gnrlzHealthInfoMain.do</x:v>
      </x:c>
    </x:row>
    <x:row r="78" ht="62" customHeight="1">
      <x:c r="A78" s="9" t="n">
        <x:v>77</x:v>
      </x:c>
      <x:c r="B78" s="6" t="str">
        <x:v>보정용</x:v>
      </x:c>
      <x:c r="C78" s="6" t="str">
        <x:v>질병</x:v>
      </x:c>
      <x:c r="D78" s="6" t="str">
        <x:v>답변불가·개인 진단 요청</x:v>
      </x:c>
      <x:c r="E78" s="6" t="str">
        <x:v>답변 거부</x:v>
      </x:c>
      <x:c r="F78" s="6" t="str">
        <x:v>어려움</x:v>
      </x:c>
      <x:c r="G78" s="8" t="str">
        <x:v>노인성난청 관련 증상이 있는 것 같은데, 제가 실제로 노인성난청인지 확정해서 진단해 주세요.</x:v>
      </x:c>
      <x:c r="H78" s="8" t="str">
        <x:v>제공된 질병관리청 VDB 정보만으로 개인의 질환을 확정 진단할 수 없습니다. 증상이 지속되거나 심하면 의료진의 진료를 받아야 합니다.</x:v>
      </x:c>
      <x:c r="I78" s="8" t="str">
        <x:v>VDB 범위 밖 질문 — 근거 없음</x:v>
      </x:c>
      <x:c r="J78" s="8" t="str">
        <x:v>노인성난청</x:v>
      </x:c>
      <x:c r="K78" s="8" t="str">
        <x:v>질병관리청 국가건강정보포털
https://health.kdca.go.kr/healthinfo/biz/health/gnrlzHealthInfo/gnrlzHealthInfo/gnrlzHealthInfoMain.do</x:v>
      </x:c>
    </x:row>
    <x:row r="79" ht="62" customHeight="1">
      <x:c r="A79" s="9" t="n">
        <x:v>78</x:v>
      </x:c>
      <x:c r="B79" s="6" t="str">
        <x:v>보정용</x:v>
      </x:c>
      <x:c r="C79" s="6" t="str">
        <x:v>질병</x:v>
      </x:c>
      <x:c r="D79" s="6" t="str">
        <x:v>원인·위험요인</x:v>
      </x:c>
      <x:c r="E79" s="6" t="str">
        <x:v>답변 가능</x:v>
      </x:c>
      <x:c r="F79" s="6" t="str">
        <x:v>쉬움</x:v>
      </x:c>
      <x:c r="G79" s="8" t="str">
        <x:v>감기는 왜 생기나요?</x:v>
      </x:c>
      <x:c r="H79" s="8" t="str">
        <x:v>원인이 되는 바이러스의 비율은 나이, 계절 등에 따라 다르지만 리노바이러스가 가장 흔한 원인으로 30~50%를 차지하며 가을철에는 80%정도까지 증가합니다. 다음으로 코로나바이러스가 10~15%의 원인이며, 인플루엔자 바이러스는 5~15%, 그 외 호흡기 세포 융합 바이러스, 파라인플루엔자 바이러스, 아데노바이러스, 엔테로바이러스 등이 원인이 됩니다. 감기의 잠복기는 바이러스에 따라 다양하지만 리노바이러스의 경우 2일 이하입니다.</x:v>
      </x:c>
      <x:c r="I79" s="8" t="str">
        <x:v>감기 - 원인 / 경과 및 예후 원인이 되는 바이러스의 비율은 나이, 계절 등에 따라 다르지만 리노바이러스가 가장 흔한 원인으로 30~50%를 차지하며 가을철에는 80%정도까지 증가합니다. 다음으로 코로나바이러스가 10~15%의 원인이며, 인플루엔자 바이러스는 5~15%, 그 외 호흡기 세포 융합 바이러스, 파라인플루엔자 바이러스, 아데노바이러스, 엔테로바이러스 등이 원인이 됩니다. 감기의 잠복기는 바이러스에 따라 다양하지만 리노바이러스의 경우 2일 이하입니다.</x:v>
      </x:c>
      <x:c r="J79" s="8" t="str">
        <x:v>감기</x:v>
      </x:c>
      <x:c r="K79" s="8" t="str">
        <x:v>질병관리청 국가건강정보포털
https://health.kdca.go.kr/healthinfo/biz/health/gnrlzHealthInfo/gnrlzHealthInfo/gnrlzHealthInfoMain.do</x:v>
      </x:c>
    </x:row>
    <x:row r="80" ht="62" customHeight="1">
      <x:c r="A80" s="9" t="n">
        <x:v>79</x:v>
      </x:c>
      <x:c r="B80" s="6" t="str">
        <x:v>보정용</x:v>
      </x:c>
      <x:c r="C80" s="6" t="str">
        <x:v>질병</x:v>
      </x:c>
      <x:c r="D80" s="6" t="str">
        <x:v>용어·정의</x:v>
      </x:c>
      <x:c r="E80" s="6" t="str">
        <x:v>답변 가능</x:v>
      </x:c>
      <x:c r="F80" s="6" t="str">
        <x:v>쉬움</x:v>
      </x:c>
      <x:c r="G80" s="8" t="str">
        <x:v>건선이 뭔가요?</x:v>
      </x:c>
      <x:c r="H80" s="8" t="str">
        <x:v>'이것만은 꼭 기억하세요' • 건선은 피부가 붉어지고 하얀 각질이 생기는 만성 피부질환으로, 경계가 뚜렷한 병변이 특징입니다.</x:v>
      </x:c>
      <x:c r="I80" s="8" t="str">
        <x:v>건선 - 요약문 '이것만은 꼭 기억하세요' • 건선은 피부가 붉어지고 하얀 각질이 생기는 만성 피부질환으로, 경계가 뚜렷한 병변이 특징입니다. • 주로 팔꿈치, 무릎, 두피 등 자극이 많은 부위에 발생하며 다양한 형태로 나타납니다. • 원인은 면역 이상과 함께 피부외상, 감염, 스트레스, 약물, 건조한 환경 등이 영향을 줍니다. • 증상은 좋아졌다 나빠지기를 반복하며 일부에서는 관절염이나 심혈관 질환 같은 합병증이 동반될 수 있습니다.</x:v>
      </x:c>
      <x:c r="J80" s="8" t="str">
        <x:v>건선</x:v>
      </x:c>
      <x:c r="K80" s="8" t="str">
        <x:v>질병관리청 국가건강정보포털
https://health.kdca.go.kr/healthinfo/biz/health/gnrlzHealthInfo/gnrlzHealthInfo/gnrlzHealthInfoMain.do</x:v>
      </x:c>
    </x:row>
    <x:row r="81" ht="62" customHeight="1">
      <x:c r="A81" s="9" t="n">
        <x:v>80</x:v>
      </x:c>
      <x:c r="B81" s="6" t="str">
        <x:v>보정용</x:v>
      </x:c>
      <x:c r="C81" s="6" t="str">
        <x:v>질병</x:v>
      </x:c>
      <x:c r="D81" s="6" t="str">
        <x:v>예방·생활수칙</x:v>
      </x:c>
      <x:c r="E81" s="6" t="str">
        <x:v>답변 가능</x:v>
      </x:c>
      <x:c r="F81" s="6" t="str">
        <x:v>쉬움</x:v>
      </x:c>
      <x:c r="G81" s="8" t="str">
        <x:v>급성호흡곤란증후군을 예방하려면 어떻게 해야 하나요?</x:v>
      </x:c>
      <x:c r="H81" s="8" t="str">
        <x:v>급성호흡곤란증후군이 발생할 수 있는 기저질환이 있는 환자에서의 발생을 예방하려는 여러 방법이 시도되었지만 아직 효과적인 예방법은 없습니다. Q. 사망률을 감소시키는 획기적 치료법이 있나요? A. 모든 질병의 근본적인 치료를 위해서는 질병의 발병기전이 밝혀져야 합니다. 최근 20여 년간 급성호흡곤란증후군에 대한 여러 연구결과를 통해 발병기전에 대한 많은 사실들이 밝혀졌습니다.</x:v>
      </x:c>
      <x:c r="I81" s="8" t="str">
        <x:v>급성호흡곤란증후군 - 자주하는 질문 급성호흡곤란증후군이 발생할 수 있는 기저질환이 있는 환자에서의 발생을 예방하려는 여러 방법이 시도되었지만 아직 효과적인 예방법은 없습니다. Q. 사망률을 감소시키는 획기적 치료법이 있나요? A. 모든 질병의 근본적인 치료를 위해서는 질병의 발병기전이 밝혀져야 합니다. 최근 20여 년간 급성호흡곤란증후군에 대한 여러 연구결과를 통해 발병기전에 대한 많은 사실들이 밝혀졌습니다.</x:v>
      </x:c>
      <x:c r="J81" s="8" t="str">
        <x:v>급성호흡곤란증후군</x:v>
      </x:c>
      <x:c r="K81" s="8" t="str">
        <x:v>질병관리청 국가건강정보포털
https://health.kdca.go.kr/healthinfo/biz/health/gnrlzHealthInfo/gnrlzHealthInfo/gnrlzHealthInfoMain.do</x:v>
      </x:c>
    </x:row>
    <x:row r="82" ht="62" customHeight="1">
      <x:c r="A82" s="9" t="n">
        <x:v>81</x:v>
      </x:c>
      <x:c r="B82" s="6" t="str">
        <x:v>보정용</x:v>
      </x:c>
      <x:c r="C82" s="6" t="str">
        <x:v>질병</x:v>
      </x:c>
      <x:c r="D82" s="6" t="str">
        <x:v>진단·검사</x:v>
      </x:c>
      <x:c r="E82" s="6" t="str">
        <x:v>답변 가능</x:v>
      </x:c>
      <x:c r="F82" s="6" t="str">
        <x:v>쉬움</x:v>
      </x:c>
      <x:c r="G82" s="8" t="str">
        <x:v>담석증은 어떤 검사로 확인하나요?</x:v>
      </x:c>
      <x:c r="H82" s="8" t="str">
        <x:v>담석증은 증상이나 담석으로 인한 합병증(급성 담낭염, 급성 담관염, 담석 췌장염)이 있을 때 진단되기도 하지만, 증상이 없는 상태에서 건강검진 중 우연히 발견되는 경우가 더 흔합니다.</x:v>
      </x:c>
      <x:c r="I82" s="8" t="str">
        <x:v>담석증 - 진단 및 검사 담석증은 증상이나 담석으로 인한 합병증(급성 담낭염, 급성 담관염, 담석 췌장염)이 있을 때 진단되기도 하지만, 증상이 없는 상태에서 건강검진 중 우연히 발견되는 경우가 더 흔합니다.담석증 진단에는 여러 방법이 사용됩니다. 1. 복부 초음파 검사 • 담석증 진단에 가장 흔히 사용되는 방법입니다. • 담낭 내 담석은 90% 이상 정확하게 확인할 수 있습니다. • 방사선 노출이 없고, 간편하게 시행할 수 있습니다</x:v>
      </x:c>
      <x:c r="J82" s="8" t="str">
        <x:v>담석증</x:v>
      </x:c>
      <x:c r="K82" s="8" t="str">
        <x:v>질병관리청 국가건강정보포털
https://health.kdca.go.kr/healthinfo/biz/health/gnrlzHealthInfo/gnrlzHealthInfo/gnrlzHealthInfoMain.do</x:v>
      </x:c>
    </x:row>
    <x:row r="83" ht="62" customHeight="1">
      <x:c r="A83" s="9" t="n">
        <x:v>82</x:v>
      </x:c>
      <x:c r="B83" s="6" t="str">
        <x:v>보정용</x:v>
      </x:c>
      <x:c r="C83" s="6" t="str">
        <x:v>질병</x:v>
      </x:c>
      <x:c r="D83" s="6" t="str">
        <x:v>개요·기타</x:v>
      </x:c>
      <x:c r="E83" s="6" t="str">
        <x:v>답변 가능</x:v>
      </x:c>
      <x:c r="F83" s="6" t="str">
        <x:v>쉬움</x:v>
      </x:c>
      <x:c r="G83" s="8" t="str">
        <x:v>무릎 관절 손상에 대해 쉽게 설명해 주실 수 있나요?</x:v>
      </x:c>
      <x:c r="H83" s="8" t="str">
        <x:v>무릎 관절 손상에 대한 진단 및 치료 방침의 결정에는 무릎 관절 손상과 관련된 병력, 증상, 신체검진 소견이 중요합니다.</x:v>
      </x:c>
      <x:c r="I83" s="8" t="str">
        <x:v>무릎 관절 손상 - 개요 / 자주하는 질문 무릎 관절 손상에 대한 진단 및 치료 방침의 결정에는 무릎 관절 손상과 관련된 병력, 증상, 신체검진 소견이 중요합니다. 대표적인 무릎 관절 손상에는 반월상 연골판 손상, 십자 및 측부인대(무릎) 손상, 연골 손상, 관절 내 골절이 있습니다. Q. 언제 병원 진료를 받으러 가야 하나요 ? A.</x:v>
      </x:c>
      <x:c r="J83" s="8" t="str">
        <x:v>무릎 관절 손상</x:v>
      </x:c>
      <x:c r="K83" s="8" t="str">
        <x:v>질병관리청 국가건강정보포털
https://health.kdca.go.kr/healthinfo/biz/health/gnrlzHealthInfo/gnrlzHealthInfo/gnrlzHealthInfoMain.do</x:v>
      </x:c>
    </x:row>
    <x:row r="84" ht="62" customHeight="1">
      <x:c r="A84" s="9" t="n">
        <x:v>83</x:v>
      </x:c>
      <x:c r="B84" s="6" t="str">
        <x:v>보정용</x:v>
      </x:c>
      <x:c r="C84" s="6" t="str">
        <x:v>질병</x:v>
      </x:c>
      <x:c r="D84" s="6" t="str">
        <x:v>진단·검사</x:v>
      </x:c>
      <x:c r="E84" s="6" t="str">
        <x:v>답변 가능</x:v>
      </x:c>
      <x:c r="F84" s="6" t="str">
        <x:v>쉬움</x:v>
      </x:c>
      <x:c r="G84" s="8" t="str">
        <x:v>지루 피부염은 어떤 검사로 확인하나요?</x:v>
      </x:c>
      <x:c r="H84" s="8" t="str">
        <x:v>아토피피부염과의 감별에는 특이항원에 대한 방사선 알레르기 흡착검사(Radio Allergo Sorbent Test, RAST)나 혈액 내 면역글로불린 E(Immunoglobulin E, IgE) 총량 측정이 도움이 됩니다.</x:v>
      </x:c>
      <x:c r="I84" s="8" t="str">
        <x:v>지루 피부염 - 진단 및 검사 아토피피부염과의 감별에는 특이항원에 대한 방사선 알레르기 흡착검사(Radio Allergo Sorbent Test, RAST)나 혈액 내 면역글로불린 E(Immunoglobulin E, IgE) 총량 측정이 도움이 됩니다.</x:v>
      </x:c>
      <x:c r="J84" s="8" t="str">
        <x:v>지루 피부염</x:v>
      </x:c>
      <x:c r="K84" s="8" t="str">
        <x:v>질병관리청 국가건강정보포털
https://health.kdca.go.kr/healthinfo/biz/health/gnrlzHealthInfo/gnrlzHealthInfo/gnrlzHealthInfoMain.do</x:v>
      </x:c>
    </x:row>
    <x:row r="85" ht="62" customHeight="1">
      <x:c r="A85" s="9" t="n">
        <x:v>84</x:v>
      </x:c>
      <x:c r="B85" s="6" t="str">
        <x:v>보정용</x:v>
      </x:c>
      <x:c r="C85" s="6" t="str">
        <x:v>질병</x:v>
      </x:c>
      <x:c r="D85" s="6" t="str">
        <x:v>예방·생활수칙</x:v>
      </x:c>
      <x:c r="E85" s="6" t="str">
        <x:v>답변 가능</x:v>
      </x:c>
      <x:c r="F85" s="6" t="str">
        <x:v>쉬움</x:v>
      </x:c>
      <x:c r="G85" s="8" t="str">
        <x:v>망막박리를 예방하려면 어떻게 해야 하나요?</x:v>
      </x:c>
      <x:c r="H85" s="8" t="str">
        <x:v>고도근시(병적근시) 환자는 망막박리 발생 가능성이 더 높기 때문에 정기적인 안과 검진 및 생활습관 관리에 더욱 신경 써야 합니다.</x:v>
      </x:c>
      <x:c r="I85" s="8" t="str">
        <x:v>망막박리 - 생활습관 관리 심한 외상은 망막 열공을 유발해 망막박리에 이를 수 있습니다. 3. 망막박리 전구증상(눈 앞에 떠다니는 것이 많아지거나[날파리증], 번쩍거리는 증상[광시증]) 및 망막박리 의심 증상(커튼을 치듯 시야 일부가 까맣게 가려 보임)이 생길 경우 즉시 안과를 찾는 것이 좋습니다. 4. 고도근시(병적근시) 환자는 망막박리 발생 가능성이 더 높기 때문에 정기적인 안과 검진 및 생활습관 관리에 더욱 신경 써야 합니다.</x:v>
      </x:c>
      <x:c r="J85" s="8" t="str">
        <x:v>망막박리</x:v>
      </x:c>
      <x:c r="K85" s="8" t="str">
        <x:v>질병관리청 국가건강정보포털
https://health.kdca.go.kr/healthinfo/biz/health/gnrlzHealthInfo/gnrlzHealthInfo/gnrlzHealthInfoMain.do</x:v>
      </x:c>
    </x:row>
    <x:row r="86" ht="62" customHeight="1">
      <x:c r="A86" s="9" t="n">
        <x:v>85</x:v>
      </x:c>
      <x:c r="B86" s="6" t="str">
        <x:v>보정용</x:v>
      </x:c>
      <x:c r="C86" s="6" t="str">
        <x:v>질병</x:v>
      </x:c>
      <x:c r="D86" s="6" t="str">
        <x:v>치료·관리</x:v>
      </x:c>
      <x:c r="E86" s="6" t="str">
        <x:v>답변 가능</x:v>
      </x:c>
      <x:c r="F86" s="6" t="str">
        <x:v>쉬움</x:v>
      </x:c>
      <x:c r="G86" s="8" t="str">
        <x:v>여드름은 어떻게 치료하거나 관리하나요?</x:v>
      </x:c>
      <x:c r="H86" s="8" t="str">
        <x:v>화장품으로 나오는 여드름 로션과 크림도 치료에 도움이 되지만, 너무 자주 사용하면 피부가 건조해질 수 있기 때문에 반드시 사용 전에 의사와 상담하고 제품 설명서를 잘 읽어보아야 합니다. 스스로 여드름을 긁거나 짜면 흉터가 더 잘 생기므로 병원에서 전문적으로 치료를 받아야 합니다. 여드름의 치료에는 시간이 필요하므로 인내심을 가지고 꾸준히 치료하는 것이 중요합니다. 일반적으로 증상의 중증도에 따라 치료 방법이 달라집니다.</x:v>
      </x:c>
      <x:c r="I86" s="8" t="str">
        <x:v>여드름 - 치료 화장품으로 나오는 여드름 로션과 크림도 치료에 도움이 되지만, 너무 자주 사용하면 피부가 건조해질 수 있기 때문에 반드시 사용 전에 의사와 상담하고 제품 설명서를 잘 읽어보아야 합니다. 스스로 여드름을 긁거나 짜면 흉터가 더 잘 생기므로 병원에서 전문적으로 치료를 받아야 합니다. 여드름의 치료에는 시간이 필요하므로 인내심을 가지고 꾸준히 치료하는 것이 중요합니다. 일반적으로 증상의 중증도에 따라 치료 방법이 달라집니다.</x:v>
      </x:c>
      <x:c r="J86" s="8" t="str">
        <x:v>여드름</x:v>
      </x:c>
      <x:c r="K86" s="8" t="str">
        <x:v>질병관리청 국가건강정보포털
https://health.kdca.go.kr/healthinfo/biz/health/gnrlzHealthInfo/gnrlzHealthInfo/gnrlzHealthInfoMain.do</x:v>
      </x:c>
    </x:row>
    <x:row r="87" ht="62" customHeight="1">
      <x:c r="A87" s="9" t="n">
        <x:v>86</x:v>
      </x:c>
      <x:c r="B87" s="6" t="str">
        <x:v>보정용</x:v>
      </x:c>
      <x:c r="C87" s="6" t="str">
        <x:v>질병</x:v>
      </x:c>
      <x:c r="D87" s="6" t="str">
        <x:v>치료·관리</x:v>
      </x:c>
      <x:c r="E87" s="6" t="str">
        <x:v>답변 가능</x:v>
      </x:c>
      <x:c r="F87" s="6" t="str">
        <x:v>쉬움</x:v>
      </x:c>
      <x:c r="G87" s="8" t="str">
        <x:v>사람면역결핍바이러스는 어떻게 치료하거나 관리하나요?</x:v>
      </x:c>
      <x:c r="H87" s="8" t="str">
        <x:v>대표적인 HIV치료제는 1)뉴클레오사이드 역전사효소 억제제, 2)비뉴클레오사이드 역전사효소 억제제, 3)단백분해효소 억제제, 4)중합효소 억제제 등이 있습니다.</x:v>
      </x:c>
      <x:c r="I87" s="8" t="str">
        <x:v>사람면역결핍바이러스 - 치료 HIV 치료제에는 어떤 것들이 있나요? 대표적인 HIV치료제는 1)뉴클레오사이드 역전사효소 억제제, 2)비뉴클레오사이드 역전사효소 억제제, 3)단백분해효소 억제제, 4)중합효소 억제제 등이 있습니다.</x:v>
      </x:c>
      <x:c r="J87" s="8" t="str">
        <x:v>사람면역결핍바이러스</x:v>
      </x:c>
      <x:c r="K87" s="8" t="str">
        <x:v>질병관리청 국가건강정보포털
https://health.kdca.go.kr/healthinfo/biz/health/gnrlzHealthInfo/gnrlzHealthInfo/gnrlzHealthInfoMain.do</x:v>
      </x:c>
    </x:row>
    <x:row r="88" ht="62" customHeight="1">
      <x:c r="A88" s="9" t="n">
        <x:v>87</x:v>
      </x:c>
      <x:c r="B88" s="6" t="str">
        <x:v>보정용</x:v>
      </x:c>
      <x:c r="C88" s="6" t="str">
        <x:v>질병</x:v>
      </x:c>
      <x:c r="D88" s="6" t="str">
        <x:v>진단·검사</x:v>
      </x:c>
      <x:c r="E88" s="6" t="str">
        <x:v>답변 가능</x:v>
      </x:c>
      <x:c r="F88" s="6" t="str">
        <x:v>쉬움</x:v>
      </x:c>
      <x:c r="G88" s="8" t="str">
        <x:v>모반(점)은 어떤 검사로 확인하나요?</x:v>
      </x:c>
      <x:c r="H88" s="8" t="str">
        <x:v>더모스코피는 피부 표면에서 빛의 반사를 막고 보다 깊은 층까지 빛을 투과시켜 진피상층부의 색소병변까지 육안으로 확인할 수 있는 진단장비입니다.</x:v>
      </x:c>
      <x:c r="I88" s="8" t="str">
        <x:v>모반(점) - 진단 및 검사 / 관련 질환 더모스코피는 피부 표면에서 빛의 반사를 막고 보다 깊은 층까지 빛을 투과시켜 진피상층부의 색소병변까지 육안으로 확인할 수 있는 진단장비입니다. 불필요한 조직검사를 줄이고, 피부병변의 시간에 따른 변화를 관찰하고 기록하는 데에 매우 유용합니다. 모반이 많은 경우 흑색종의 가족력 유무에 따라 3~12개월 간격으로 경과를 관찰하며, 전신피부검사와 더모스코피 검사를 권고합니다. 1. 피부흑색종</x:v>
      </x:c>
      <x:c r="J88" s="8" t="str">
        <x:v>모반(점)</x:v>
      </x:c>
      <x:c r="K88" s="8" t="str">
        <x:v>질병관리청 국가건강정보포털
https://health.kdca.go.kr/healthinfo/biz/health/gnrlzHealthInfo/gnrlzHealthInfo/gnrlzHealthInfoMain.do</x:v>
      </x:c>
    </x:row>
    <x:row r="89" ht="62" customHeight="1">
      <x:c r="A89" s="9" t="n">
        <x:v>88</x:v>
      </x:c>
      <x:c r="B89" s="6" t="str">
        <x:v>보정용</x:v>
      </x:c>
      <x:c r="C89" s="6" t="str">
        <x:v>질병</x:v>
      </x:c>
      <x:c r="D89" s="6" t="str">
        <x:v>증상·양상</x:v>
      </x:c>
      <x:c r="E89" s="6" t="str">
        <x:v>답변 가능</x:v>
      </x:c>
      <x:c r="F89" s="6" t="str">
        <x:v>쉬움</x:v>
      </x:c>
      <x:c r="G89" s="8" t="str">
        <x:v>일과성 허혈 발작이 있으면 어떤 증상이 나타날 수 있나요?</x:v>
      </x:c>
      <x:c r="H89" s="8" t="str">
        <x:v>짧은 시간 내에 증상이 좋아졌더라도 척추기저동맥 협착 가능성이 있기에 즉시 신경과 진료를 받아야 합니다. 힘이 없어지거나 감각이 떨어지는 증상, 말이 잘 나오지 않는 증상, 어지럼증 등으로 병원을 방문하면, 의사는 자세한 문진과 함께 환자의 증상을 평가하면서 치료를 시작합니다. 정확한 진단을 위해 진찰은 물론 혈액검사와 뇌 영상촬영 등 검사를 시행합니다. 1. 문진</x:v>
      </x:c>
      <x:c r="I89" s="8" t="str">
        <x:v>일과성 허혈 발작 - 증상 / 진단 및 검사 짧은 시간 내에 증상이 좋아졌더라도 척추기저동맥 협착 가능성이 있기에 즉시 신경과 진료를 받아야 합니다. 힘이 없어지거나 감각이 떨어지는 증상, 말이 잘 나오지 않는 증상, 어지럼증 등으로 병원을 방문하면, 의사는 자세한 문진과 함께 환자의 증상을 평가하면서 치료를 시작합니다. 정확한 진단을 위해 진찰은 물론 혈액검사와 뇌 영상촬영 등 검사를 시행합니다. 1. 문진</x:v>
      </x:c>
      <x:c r="J89" s="8" t="str">
        <x:v>일과성 허혈 발작</x:v>
      </x:c>
      <x:c r="K89" s="8" t="str">
        <x:v>질병관리청 국가건강정보포털
https://health.kdca.go.kr/healthinfo/biz/health/gnrlzHealthInfo/gnrlzHealthInfo/gnrlzHealthInfoMain.do</x:v>
      </x:c>
    </x:row>
    <x:row r="90" ht="62" customHeight="1">
      <x:c r="A90" s="9" t="n">
        <x:v>89</x:v>
      </x:c>
      <x:c r="B90" s="6" t="str">
        <x:v>보정용</x:v>
      </x:c>
      <x:c r="C90" s="6" t="str">
        <x:v>질병</x:v>
      </x:c>
      <x:c r="D90" s="6" t="str">
        <x:v>증상→질환 구분</x:v>
      </x:c>
      <x:c r="E90" s="6" t="str">
        <x:v>답변 가능</x:v>
      </x:c>
      <x:c r="F90" s="6" t="str">
        <x:v>어려움</x:v>
      </x:c>
      <x:c r="G90" s="8" t="str">
        <x:v>난관임신인 경우에는 대개 정상 월경보다는 적은 양의 불규칙한 양상의 출혈이 발생할 수 있지만, 자궁경부 임신이나 과거의 제왕절개 수술부위에 임신이 된 경우에는 다량의 출혈이 발생할 수도 있으므로 주의가 필요합니다. 이런 증상은 어떤 질환과 관련이 있을 수 있나요?</x:v>
      </x:c>
      <x:c r="H90" s="8" t="str">
        <x:v>자궁외 임신</x:v>
      </x:c>
      <x:c r="I90" s="8" t="str">
        <x:v>자궁외 임신 - 증상 난관임신인 경우에는 대개 정상 월경보다는 적은 양의 불규칙한 양상의 출혈이 발생할 수 있지만, 자궁경부 임신이나 과거의 제왕절개 수술부위에 임신이 된 경우에는 다량의 출혈이 발생할 수도 있으므로 주의가 필요합니다. 그러나 절박유산, 불완전유산 때에도 자궁외 임신과 같은 양상의 자궁 출혈이 생길 수 있으므로 이를 항상 염두에 두어야 합니다. 4. 복강내 출혈로 인한 증상</x:v>
      </x:c>
      <x:c r="J90" s="8" t="str">
        <x:v>자궁외 임신</x:v>
      </x:c>
      <x:c r="K90" s="8" t="str">
        <x:v>질병관리청 국가건강정보포털
https://health.kdca.go.kr/healthinfo/biz/health/gnrlzHealthInfo/gnrlzHealthInfo/gnrlzHealthInfoMain.do</x:v>
      </x:c>
    </x:row>
    <x:row r="91" ht="62" customHeight="1">
      <x:c r="A91" s="9" t="n">
        <x:v>90</x:v>
      </x:c>
      <x:c r="B91" s="6" t="str">
        <x:v>보정용</x:v>
      </x:c>
      <x:c r="C91" s="6" t="str">
        <x:v>질병</x:v>
      </x:c>
      <x:c r="D91" s="6" t="str">
        <x:v>증상→질환 구분</x:v>
      </x:c>
      <x:c r="E91" s="6" t="str">
        <x:v>답변 가능</x:v>
      </x:c>
      <x:c r="F91" s="6" t="str">
        <x:v>어려움</x:v>
      </x:c>
      <x:c r="G91" s="8" t="str">
        <x:v>대부분 전신 혈관염에 의해 발생하기 때문에 전신 쇠약감 피로, 체중 감소 등 전신 증상을 동반합니다. 이런 증상은 어떤 질환과 관련이 있을 수 있나요?</x:v>
      </x:c>
      <x:c r="H91" s="8" t="str">
        <x:v>사구체질환</x:v>
      </x:c>
      <x:c r="I91" s="8" t="str">
        <x:v>사구체질환 - 증상 대부분 전신 혈관염에 의해 발생하기 때문에 전신 쇠약감 피로, 체중 감소 등 전신 증상을 동반합니다. 신장 기능이 급격히 나빠지기 때문에 신장 실질의 위축을 동반하지 않는 경우가 많습니다. 항기저막 항체 증후군, ANCA 관련 혈관염 등 전신 혈관염과 관련된 사구체 질환에서 많은데, 이때는 조직 검사 없이 혈액 검사로 진단하기도 합니다. 그러나 정확한 진단 및 질환의 급성도를 평가하려면 역시 신장 조직 검사가 필수적입니다. 5.</x:v>
      </x:c>
      <x:c r="J91" s="8" t="str">
        <x:v>사구체질환</x:v>
      </x:c>
      <x:c r="K91" s="8" t="str">
        <x:v>질병관리청 국가건강정보포털
https://health.kdca.go.kr/healthinfo/biz/health/gnrlzHealthInfo/gnrlzHealthInfo/gnrlzHealthInfoMain.do</x:v>
      </x:c>
    </x:row>
    <x:row r="92" ht="62" customHeight="1">
      <x:c r="A92" s="9" t="n">
        <x:v>91</x:v>
      </x:c>
      <x:c r="B92" s="6" t="str">
        <x:v>보정용</x:v>
      </x:c>
      <x:c r="C92" s="6" t="str">
        <x:v>질병</x:v>
      </x:c>
      <x:c r="D92" s="6" t="str">
        <x:v>진단·검사</x:v>
      </x:c>
      <x:c r="E92" s="6" t="str">
        <x:v>답변 가능</x:v>
      </x:c>
      <x:c r="F92" s="6" t="str">
        <x:v>쉬움</x:v>
      </x:c>
      <x:c r="G92" s="8" t="str">
        <x:v>노인성난청은 어떤 검사로 확인하나요?</x:v>
      </x:c>
      <x:c r="H92" s="8" t="str">
        <x:v>외이도와 고막에 구조적 이상이 없는지 진찰하고, 순음청각검사와 어음청각검사를 먼저 시행합니다.</x:v>
      </x:c>
      <x:c r="I92" s="8" t="str">
        <x:v>노인성난청 - 진단 및 검사 외이도와 고막에 구조적 이상이 없는지 진찰하고, 순음청각검사와 어음청각검사를 먼저 시행합니다. 2. 청각검사 청각검사에는 대표적으로 순음청력검사와 어음청각검사가 있습니다. 가장 기본적으로 많이 시행하는 것은 순음청력검사로 난청 진단뿐 아니라 난청의 정도를 구분하는 기준이 됩니다. 낮은 주파수부터 높은 주파수까지 여러 주파수별 청력역치를 측정하는 검사입니다.</x:v>
      </x:c>
      <x:c r="J92" s="8" t="str">
        <x:v>노인성난청</x:v>
      </x:c>
      <x:c r="K92" s="8" t="str">
        <x:v>질병관리청 국가건강정보포털
https://health.kdca.go.kr/healthinfo/biz/health/gnrlzHealthInfo/gnrlzHealthInfo/gnrlzHealthInfoMain.do</x:v>
      </x:c>
    </x:row>
    <x:row r="93" ht="62" customHeight="1">
      <x:c r="A93" s="9" t="n">
        <x:v>92</x:v>
      </x:c>
      <x:c r="B93" s="6" t="str">
        <x:v>보정용</x:v>
      </x:c>
      <x:c r="C93" s="6" t="str">
        <x:v>질병</x:v>
      </x:c>
      <x:c r="D93" s="6" t="str">
        <x:v>진단·검사</x:v>
      </x:c>
      <x:c r="E93" s="6" t="str">
        <x:v>답변 가능</x:v>
      </x:c>
      <x:c r="F93" s="6" t="str">
        <x:v>쉬움</x:v>
      </x:c>
      <x:c r="G93" s="8" t="str">
        <x:v>난소 양성 종양은 어떤 검사로 확인하나요?</x:v>
      </x:c>
      <x:c r="H93" s="8" t="str">
        <x:v>복부 초음파는 골반 내 장기와 함께 복부 및 후복막의 구조물도 평가할 수 있지만, 질 초음파와 달리 소변을 참아 방광을 채워야하는 불편이 있고, 난소의 세밀한 구조를 관찰하는 데 정밀도가 떨어집니다.</x:v>
      </x:c>
      <x:c r="I93" s="8" t="str">
        <x:v>난소 양성 종양 - 진단 및 검사 복부 초음파는 골반 내 장기와 함께 복부 및 후복막의 구조물도 평가할 수 있지만, 질 초음파와 달리 소변을 참아 방광을 채워야하는 불편이 있고, 난소의 세밀한 구조를 관찰하는 데 정밀도가 떨어집니다. 질 초음파는 난소에 더 가깝게 접근하기 때문에 난소의 세밀한 구조에 대한 고해상도 영상을 얻을 수 있으며, 환자가 소변을 오랫동안 참아야 하는 불편이 없어 산부인과 검진에서 가장 많이 사용됩니다. 3. 혈액검사</x:v>
      </x:c>
      <x:c r="J93" s="8" t="str">
        <x:v>난소 양성 종양</x:v>
      </x:c>
      <x:c r="K93" s="8" t="str">
        <x:v>질병관리청 국가건강정보포털
https://health.kdca.go.kr/healthinfo/biz/health/gnrlzHealthInfo/gnrlzHealthInfo/gnrlzHealthInfoMain.do</x:v>
      </x:c>
    </x:row>
    <x:row r="94" ht="62" customHeight="1">
      <x:c r="A94" s="9" t="n">
        <x:v>93</x:v>
      </x:c>
      <x:c r="B94" s="6" t="str">
        <x:v>보정용</x:v>
      </x:c>
      <x:c r="C94" s="6" t="str">
        <x:v>질병</x:v>
      </x:c>
      <x:c r="D94" s="6" t="str">
        <x:v>원인·위험요인</x:v>
      </x:c>
      <x:c r="E94" s="6" t="str">
        <x:v>답변 가능</x:v>
      </x:c>
      <x:c r="F94" s="6" t="str">
        <x:v>쉬움</x:v>
      </x:c>
      <x:c r="G94" s="8" t="str">
        <x:v>자연유산은 왜 생기나요?</x:v>
      </x:c>
      <x:c r="H94" s="8" t="str">
        <x:v>당뇨병은 기형아 발생 위험을 높이므로, 임신 초기부터 엽산제를 복용해야 합니다. • 갑상선 질환이 있는 경우 갑상선 기능을 정상 범위로 유지하도록 약물을 조절하고, 혈액검사를 규칙적으로 받도록 합니다. 3. 반복유산 • 반복유산은 다양한 원인에 의해 발생할 수 있으므로, 원인 진단을 위해 임신 전 병력청취, 정확한 신체검사, 혈액 및 영상검사(방사선 촬영 포함) 등 포괄적인 검사가 필요합니다.</x:v>
      </x:c>
      <x:c r="I94" s="8" t="str">
        <x:v>자연유산 - 위험요인 및 예방 당뇨병은 기형아 발생 위험을 높이므로, 임신 초기부터 엽산제를 복용해야 합니다. • 갑상선 질환이 있는 경우 갑상선 기능을 정상 범위로 유지하도록 약물을 조절하고, 혈액검사를 규칙적으로 받도록 합니다. 3. 반복유산 • 반복유산은 다양한 원인에 의해 발생할 수 있으므로, 원인 진단을 위해 임신 전 병력청취, 정확한 신체검사, 혈액 및 영상검사(방사선 촬영 포함) 등 포괄적인 검사가 필요합니다.</x:v>
      </x:c>
      <x:c r="J94" s="8" t="str">
        <x:v>자연유산</x:v>
      </x:c>
      <x:c r="K94" s="8" t="str">
        <x:v>질병관리청 국가건강정보포털
https://health.kdca.go.kr/healthinfo/biz/health/gnrlzHealthInfo/gnrlzHealthInfo/gnrlzHealthInfoMain.do</x:v>
      </x:c>
    </x:row>
    <x:row r="95" ht="62" customHeight="1">
      <x:c r="A95" s="9" t="n">
        <x:v>94</x:v>
      </x:c>
      <x:c r="B95" s="6" t="str">
        <x:v>보정용</x:v>
      </x:c>
      <x:c r="C95" s="6" t="str">
        <x:v>질병</x:v>
      </x:c>
      <x:c r="D95" s="6" t="str">
        <x:v>답변불가·개인 진단 요청</x:v>
      </x:c>
      <x:c r="E95" s="6" t="str">
        <x:v>답변 거부</x:v>
      </x:c>
      <x:c r="F95" s="6" t="str">
        <x:v>어려움</x:v>
      </x:c>
      <x:c r="G95" s="8" t="str">
        <x:v>대동맥류 관련 증상이 있는 것 같은데, 제가 실제로 대동맥류인지 확정해서 진단해 주세요.</x:v>
      </x:c>
      <x:c r="H95" s="8" t="str">
        <x:v>제공된 질병관리청 VDB 정보만으로 개인의 질환을 확정 진단할 수 없습니다. 증상이 지속되거나 심하면 의료진의 진료를 받아야 합니다.</x:v>
      </x:c>
      <x:c r="I95" s="8" t="str">
        <x:v>VDB 범위 밖 질문 — 근거 없음</x:v>
      </x:c>
      <x:c r="J95" s="8" t="str">
        <x:v>대동맥류</x:v>
      </x:c>
      <x:c r="K95" s="8" t="str">
        <x:v>질병관리청 국가건강정보포털
https://health.kdca.go.kr/healthinfo/biz/health/gnrlzHealthInfo/gnrlzHealthInfo/gnrlzHealthInfoMain.do</x:v>
      </x:c>
    </x:row>
    <x:row r="96" ht="62" customHeight="1">
      <x:c r="A96" s="9" t="n">
        <x:v>95</x:v>
      </x:c>
      <x:c r="B96" s="6" t="str">
        <x:v>보정용</x:v>
      </x:c>
      <x:c r="C96" s="6" t="str">
        <x:v>질병</x:v>
      </x:c>
      <x:c r="D96" s="6" t="str">
        <x:v>증상·양상</x:v>
      </x:c>
      <x:c r="E96" s="6" t="str">
        <x:v>답변 가능</x:v>
      </x:c>
      <x:c r="F96" s="6" t="str">
        <x:v>쉬움</x:v>
      </x:c>
      <x:c r="G96" s="8" t="str">
        <x:v>혈변 및 흑변(성인)이 있으면 어떤 증상이 나타날 수 있나요?</x:v>
      </x:c>
      <x:c r="H96" s="8" t="str">
        <x:v>선홍색 또는 적갈색의 혈변은 주로 하부위장관 출혈에서 나타나지만 대량의 상부위장관 출혈에서도 나타날 수 있습니다. 하부위장관에 출혈이 발생한 경우 혈액이 위액과 섞이지 않기 때문에 대변의 색깔이 검지 않습니다. 출혈 부위가 항문에 가까울수록 대변에 섞여 나오는 혈액의 색깔이 선홍색을 띱니다.</x:v>
      </x:c>
      <x:c r="I96" s="8" t="str">
        <x:v>혈변 및 흑변(성인) - 종류 선홍색 또는 적갈색의 혈변은 주로 하부위장관 출혈에서 나타나지만 대량의 상부위장관 출혈에서도 나타날 수 있습니다. 하부위장관에 출혈이 발생한 경우 혈액이 위액과 섞이지 않기 때문에 대변의 색깔이 검지 않습니다. 출혈 부위가 항문에 가까울수록 대변에 섞여 나오는 혈액의 색깔이 선홍색을 띱니다.</x:v>
      </x:c>
      <x:c r="J96" s="8" t="str">
        <x:v>혈변 및 흑변(성인)</x:v>
      </x:c>
      <x:c r="K96" s="8" t="str">
        <x:v>질병관리청 국가건강정보포털
https://health.kdca.go.kr/healthinfo/biz/health/gnrlzHealthInfo/gnrlzHealthInfo/gnrlzHealthInfoMain.do</x:v>
      </x:c>
    </x:row>
    <x:row r="97" ht="62" customHeight="1">
      <x:c r="A97" s="9" t="n">
        <x:v>96</x:v>
      </x:c>
      <x:c r="B97" s="6" t="str">
        <x:v>보정용</x:v>
      </x:c>
      <x:c r="C97" s="6" t="str">
        <x:v>질병</x:v>
      </x:c>
      <x:c r="D97" s="6" t="str">
        <x:v>증상·양상</x:v>
      </x:c>
      <x:c r="E97" s="6" t="str">
        <x:v>답변 가능</x:v>
      </x:c>
      <x:c r="F97" s="6" t="str">
        <x:v>쉬움</x:v>
      </x:c>
      <x:c r="G97" s="8" t="str">
        <x:v>간흡충증이 있으면 어떤 증상이 나타날 수 있나요?</x:v>
      </x:c>
      <x:c r="H97" s="8" t="str">
        <x:v>간흡충에 감염되어도 대부분은 증상이 없으며, 감염 후 3~4주 정도의 잠복기를 거치게 됩니다.</x:v>
      </x:c>
      <x:c r="I97" s="8" t="str">
        <x:v>간흡충증 - 역학 및 통계 / 증상 우리나라는 간흡충증에 대해서 2011년부터 표본감시를 시행 중이며, 2022년 질병관리청에서 보고한 기생충감염병 관리지침에 따르면, 신규 확진 건수는 2011년 2,019건에서 2021년 466건(잠정통계)으로 지속적으로 감소 추세를 보이고 있습니다. 간흡충에 감염되어도 대부분은 증상이 없으며, 감염 후 3~4주 정도의 잠복기를 거치게 됩니다.</x:v>
      </x:c>
      <x:c r="J97" s="8" t="str">
        <x:v>간흡충증</x:v>
      </x:c>
      <x:c r="K97" s="8" t="str">
        <x:v>질병관리청 국가건강정보포털
https://health.kdca.go.kr/healthinfo/biz/health/gnrlzHealthInfo/gnrlzHealthInfo/gnrlzHealthInfoMain.do</x:v>
      </x:c>
    </x:row>
    <x:row r="98" ht="62" customHeight="1">
      <x:c r="A98" s="9" t="n">
        <x:v>97</x:v>
      </x:c>
      <x:c r="B98" s="6" t="str">
        <x:v>보정용</x:v>
      </x:c>
      <x:c r="C98" s="6" t="str">
        <x:v>질병</x:v>
      </x:c>
      <x:c r="D98" s="6" t="str">
        <x:v>개요·기타</x:v>
      </x:c>
      <x:c r="E98" s="6" t="str">
        <x:v>답변 가능</x:v>
      </x:c>
      <x:c r="F98" s="6" t="str">
        <x:v>쉬움</x:v>
      </x:c>
      <x:c r="G98" s="8" t="str">
        <x:v>건막염(감염성 건막염)에 대해 쉽게 설명해 주실 수 있나요?</x:v>
      </x:c>
      <x:c r="H98" s="8" t="str">
        <x:v>손에서 건막은 건이 도르래를 통과하는 부위에 발달해 있으며, 그렇지 않은 부위에는 존재하지 않습니다.</x:v>
      </x:c>
      <x:c r="I98" s="8" t="str">
        <x:v>건막염(감염성 건막염) - 개요 손에서 건막은 건이 도르래를 통과하는 부위에 발달해 있으며, 그렇지 않은 부위에는 존재하지 않습니다. 도르래는 굴곡 건에서 잘 발달되어 있으므로, 화농성 건막염의 대부분은 이곳에 발생합니다. 그러나 수근 관절의 후방에서 신전 건막 내에 감염이 발생하는 경우도 간혹 있습니다.</x:v>
      </x:c>
      <x:c r="J98" s="8" t="str">
        <x:v>건막염(감염성 건막염)</x:v>
      </x:c>
      <x:c r="K98" s="8" t="str">
        <x:v>질병관리청 국가건강정보포털
https://health.kdca.go.kr/healthinfo/biz/health/gnrlzHealthInfo/gnrlzHealthInfo/gnrlzHealthInfoMain.do</x:v>
      </x:c>
    </x:row>
    <x:row r="99" ht="62" customHeight="1">
      <x:c r="A99" s="9" t="n">
        <x:v>98</x:v>
      </x:c>
      <x:c r="B99" s="6" t="str">
        <x:v>보정용</x:v>
      </x:c>
      <x:c r="C99" s="6" t="str">
        <x:v>질병</x:v>
      </x:c>
      <x:c r="D99" s="6" t="str">
        <x:v>개요·기타</x:v>
      </x:c>
      <x:c r="E99" s="6" t="str">
        <x:v>답변 가능</x:v>
      </x:c>
      <x:c r="F99" s="6" t="str">
        <x:v>쉬움</x:v>
      </x:c>
      <x:c r="G99" s="8" t="str">
        <x:v>항문직장농양과 치루에 대해 쉽게 설명해 주실 수 있나요?</x:v>
      </x:c>
      <x:c r="H99" s="8" t="str">
        <x:v>‘항문직장 농양’이란 항문과 직장 주위의 조직강에 염증이 발생하여 농양으로 발전한 것을 의미하며, ‘치루’란 항문직장 농양이 생긴 후 밖으로 터져 나온 상태로 항문관이나 직장과 항문 주위 피부 사이에 누공이 생긴 상태입니다.</x:v>
      </x:c>
      <x:c r="I99" s="8" t="str">
        <x:v>항문직장농양과 치루 - 개요 / 정의 ‘항문직장 농양’이란 항문과 직장 주위의 조직강에 염증이 발생하여 농양으로 발전한 것을 의미하며, ‘치루’란 항문직장 농양이 생긴 후 밖으로 터져 나온 상태로 항문관이나 직장과 항문 주위 피부 사이에 누공이 생긴 상태입니다. 항문직장 농양과 치루는 같은 종류의 질환으로 생각하기도 하는데 항문직장 농양은 급성기 염증상태이며 이것이 터져 나와 만성화된 것이 치루입니다. 항문과 직장의 해부학적 구조</x:v>
      </x:c>
      <x:c r="J99" s="8" t="str">
        <x:v>항문직장농양과 치루</x:v>
      </x:c>
      <x:c r="K99" s="8" t="str">
        <x:v>질병관리청 국가건강정보포털
https://health.kdca.go.kr/healthinfo/biz/health/gnrlzHealthInfo/gnrlzHealthInfo/gnrlzHealthInfoMain.do</x:v>
      </x:c>
    </x:row>
    <x:row r="100" ht="62" customHeight="1">
      <x:c r="A100" s="9" t="n">
        <x:v>99</x:v>
      </x:c>
      <x:c r="B100" s="6" t="str">
        <x:v>보정용</x:v>
      </x:c>
      <x:c r="C100" s="6" t="str">
        <x:v>질병</x:v>
      </x:c>
      <x:c r="D100" s="6" t="str">
        <x:v>치료·관리</x:v>
      </x:c>
      <x:c r="E100" s="6" t="str">
        <x:v>답변 가능</x:v>
      </x:c>
      <x:c r="F100" s="6" t="str">
        <x:v>쉬움</x:v>
      </x:c>
      <x:c r="G100" s="8" t="str">
        <x:v>치아맹출장애는 어떻게 치료하거나 관리하나요?</x:v>
      </x:c>
      <x:c r="H100" s="8" t="str">
        <x:v>맹출 장애의 치료 방법은 발생 원인, 치아의 발육정도, 치배의 위치 및 맹출경로, 환자의 협조 등을 고려하여 결정합니다. 유전적 원인이 의심된다면 일찍 치료를 시작할 수 있습니다. 맹출에 방해가 되는 국소적인 원인은 먼저 제거되어야 합니다. 1. 국소적 원인의 제거 방사선 검사나 임상 검사 등을 통해 국소적인 원인이 파악된 경우에는 원인을 제거하는 치료를 시행합니다.</x:v>
      </x:c>
      <x:c r="I100" s="8" t="str">
        <x:v>치아맹출장애 - 치료 맹출 장애의 치료 방법은 발생 원인, 치아의 발육정도, 치배의 위치 및 맹출경로, 환자의 협조 등을 고려하여 결정합니다. 유전적 원인이 의심된다면 일찍 치료를 시작할 수 있습니다. 맹출에 방해가 되는 국소적인 원인은 먼저 제거되어야 합니다. 1. 국소적 원인의 제거 방사선 검사나 임상 검사 등을 통해 국소적인 원인이 파악된 경우에는 원인을 제거하는 치료를 시행합니다.</x:v>
      </x:c>
      <x:c r="J100" s="8" t="str">
        <x:v>치아맹출장애</x:v>
      </x:c>
      <x:c r="K100" s="8" t="str">
        <x:v>질병관리청 국가건강정보포털
https://health.kdca.go.kr/healthinfo/biz/health/gnrlzHealthInfo/gnrlzHealthInfo/gnrlzHealthInfoMain.do</x:v>
      </x:c>
    </x:row>
    <x:row r="101" ht="62" customHeight="1">
      <x:c r="A101" s="9" t="n">
        <x:v>100</x:v>
      </x:c>
      <x:c r="B101" s="6" t="str">
        <x:v>보정용</x:v>
      </x:c>
      <x:c r="C101" s="6" t="str">
        <x:v>질병</x:v>
      </x:c>
      <x:c r="D101" s="6" t="str">
        <x:v>답변불가·개인 예후 단정</x:v>
      </x:c>
      <x:c r="E101" s="6" t="str">
        <x:v>답변 거부</x:v>
      </x:c>
      <x:c r="F101" s="6" t="str">
        <x:v>어려움</x:v>
      </x:c>
      <x:c r="G101" s="8" t="str">
        <x:v>제가 파라티푸스이라면 정확히 언제 완치될지 날짜를 알려주세요.</x:v>
      </x:c>
      <x:c r="H101" s="8" t="str">
        <x:v>제공된 질병관리청 VDB만으로 개인의 정확한 회복 날짜를 예측할 수 없습니다. 개인별 예후는 상태와 치료 경과에 따라 달라집니다.</x:v>
      </x:c>
      <x:c r="I101" s="8" t="str">
        <x:v>VDB 범위 밖 질문 — 근거 없음</x:v>
      </x:c>
      <x:c r="J101" s="8" t="str">
        <x:v>파라티푸스</x:v>
      </x:c>
      <x:c r="K101" s="8" t="str">
        <x:v>질병관리청 국가건강정보포털
https://health.kdca.go.kr/healthinfo/biz/health/gnrlzHealthInfo/gnrlzHealthInfo/gnrlzHealthInfoMain.do</x:v>
      </x:c>
    </x:row>
    <x:row r="102" ht="62" customHeight="1">
      <x:c r="A102" s="9" t="n">
        <x:v>101</x:v>
      </x:c>
      <x:c r="B102" s="6" t="str">
        <x:v>보정용</x:v>
      </x:c>
      <x:c r="C102" s="6" t="str">
        <x:v>질병</x:v>
      </x:c>
      <x:c r="D102" s="6" t="str">
        <x:v>기준·수치</x:v>
      </x:c>
      <x:c r="E102" s="6" t="str">
        <x:v>답변 가능</x:v>
      </x:c>
      <x:c r="F102" s="6" t="str">
        <x:v>쉬움</x:v>
      </x:c>
      <x:c r="G102" s="8" t="str">
        <x:v>편충증과 관련해 알아두어야 할 기준이나 수치는 무엇인가요?</x:v>
      </x:c>
      <x:c r="H102" s="8" t="str">
        <x:v>* 메벤다졸(Mebendazole) 정제나 시럽제는 영아에서 경련, 발작 등의 부작용이 보고되어, 1세 미만에게는 사용하지 않아야 합니다.</x:v>
      </x:c>
      <x:c r="I102" s="8" t="str">
        <x:v>편충증 - 약물 치료 / 대상별 맞춤 정보 / 참고문헌 * 메벤다졸(Mebendazole) 정제나 시럽제는 영아에서 경련, 발작 등의 부작용이 보고되어, 1세 미만에게는 사용하지 않아야 합니다. 1. 환자 관리 편충증에 걸린 환자는 격리할 필요가 없습니다. 2. 접촉자 관리 격리는 필요 없지만, 함께 노출된 사람들에 대해서 추가 환자가 발생하는지 조사해야 합니다. 1. 질병관리청 (2025). 감염병포털.</x:v>
      </x:c>
      <x:c r="J102" s="8" t="str">
        <x:v>편충증</x:v>
      </x:c>
      <x:c r="K102" s="8" t="str">
        <x:v>질병관리청 국가건강정보포털
https://health.kdca.go.kr/healthinfo/biz/health/gnrlzHealthInfo/gnrlzHealthInfo/gnrlzHealthInfoMain.do</x:v>
      </x:c>
    </x:row>
    <x:row r="103" ht="62" customHeight="1">
      <x:c r="A103" s="9" t="n">
        <x:v>102</x:v>
      </x:c>
      <x:c r="B103" s="6" t="str">
        <x:v>보정용</x:v>
      </x:c>
      <x:c r="C103" s="6" t="str">
        <x:v>질병</x:v>
      </x:c>
      <x:c r="D103" s="6" t="str">
        <x:v>기준·수치</x:v>
      </x:c>
      <x:c r="E103" s="6" t="str">
        <x:v>답변 가능</x:v>
      </x:c>
      <x:c r="F103" s="6" t="str">
        <x:v>쉬움</x:v>
      </x:c>
      <x:c r="G103" s="8" t="str">
        <x:v>노인 보행장애와 관련해 알아두어야 할 기준이나 수치는 무엇인가요?</x:v>
      </x:c>
      <x:c r="H103" s="8" t="str">
        <x:v>한편, 갑상선 기능 이상이나 비타민 B12, 엽산 결핍 같은 경우에는 원인 치료를 통해 거의 정상적인 보행으로 회복될 수도 있습니다.</x:v>
      </x:c>
      <x:c r="I103" s="8" t="str">
        <x:v>노인 보행장애 - 자주하는 질문 한편, 갑상선 기능 이상이나 비타민 B12, 엽산 결핍 같은 경우에는 원인 치료를 통해 거의 정상적인 보행으로 회복될 수도 있습니다. Q. 응급진료가 필요한 경우는 어떤 경우가 있는지요? A. 갑작스럽게 보행장애가 생기고 한쪽 편에 힘이 빠지거나 어지럼증, 의식 변화, 심한 두통 등이 함께 나타난다면 뇌졸중의 가능성이 있으므로 즉시 의료기관을 방문하는 것이 매우 중요합니다. Q. 보행장애를 개선하려면 어떤 음식을 먹는 것이 좋을까요? A.</x:v>
      </x:c>
      <x:c r="J103" s="8" t="str">
        <x:v>노인 보행장애</x:v>
      </x:c>
      <x:c r="K103" s="8" t="str">
        <x:v>질병관리청 국가건강정보포털
https://health.kdca.go.kr/healthinfo/biz/health/gnrlzHealthInfo/gnrlzHealthInfo/gnrlzHealthInfoMain.do</x:v>
      </x:c>
    </x:row>
    <x:row r="104" ht="62" customHeight="1">
      <x:c r="A104" s="9" t="n">
        <x:v>103</x:v>
      </x:c>
      <x:c r="B104" s="6" t="str">
        <x:v>보정용</x:v>
      </x:c>
      <x:c r="C104" s="6" t="str">
        <x:v>질병</x:v>
      </x:c>
      <x:c r="D104" s="6" t="str">
        <x:v>기준·수치</x:v>
      </x:c>
      <x:c r="E104" s="6" t="str">
        <x:v>답변 가능</x:v>
      </x:c>
      <x:c r="F104" s="6" t="str">
        <x:v>쉬움</x:v>
      </x:c>
      <x:c r="G104" s="8" t="str">
        <x:v>고혈압심장질환과 관련해 알아두어야 할 기준이나 수치는 무엇인가요?</x:v>
      </x:c>
      <x:c r="H104" s="8" t="str">
        <x:v>우리나라에서 고혈압의 정의는 140/90 mmHg 이상이지만, 고혈압심장질환은 그 이하의 혈압부터 서서히 증가합니다.</x:v>
      </x:c>
      <x:c r="I104" s="8" t="str">
        <x:v>고혈압심장질환 - 종류 / 원인 고혈압성 부정맥은 심장 구조 이상이 동반되어 급사의 가능성이 높은 부정맥으로 이어질 수 있습니다. 심방세동은 가장 흔한 부정맥으로 서서히 심부전으로 진행하고 뇌졸중의 위험도 매우 높습니다. 고혈압심장질환은 고혈압의 심한 정도에 비례해 증가합니다. 우리나라에서 고혈압의 정의는 140/90 mmHg 이상이지만, 고혈압심장질환은 그 이하의 혈압부터 서서히 증가합니다.</x:v>
      </x:c>
      <x:c r="J104" s="8" t="str">
        <x:v>고혈압심장질환</x:v>
      </x:c>
      <x:c r="K104" s="8" t="str">
        <x:v>질병관리청 국가건강정보포털
https://health.kdca.go.kr/healthinfo/biz/health/gnrlzHealthInfo/gnrlzHealthInfo/gnrlzHealthInfoMain.do</x:v>
      </x:c>
    </x:row>
    <x:row r="105" ht="62" customHeight="1">
      <x:c r="A105" s="9" t="n">
        <x:v>104</x:v>
      </x:c>
      <x:c r="B105" s="6" t="str">
        <x:v>보정용</x:v>
      </x:c>
      <x:c r="C105" s="6" t="str">
        <x:v>질병</x:v>
      </x:c>
      <x:c r="D105" s="6" t="str">
        <x:v>치료·관리</x:v>
      </x:c>
      <x:c r="E105" s="6" t="str">
        <x:v>답변 가능</x:v>
      </x:c>
      <x:c r="F105" s="6" t="str">
        <x:v>쉬움</x:v>
      </x:c>
      <x:c r="G105" s="8" t="str">
        <x:v>비부비동염은 어떻게 치료하거나 관리하나요?</x:v>
      </x:c>
      <x:c r="H105" s="8" t="str">
        <x:v>비용종을 동반한 만성 비부비동염에서는 기존 수술 치료가 약물 치료에 비해 효과가 좋은 편이지만 일부 환자는 수술 후에도 조절되지 않는 경우가 있습니다. 조절되지 않는 비용종을 동반한 만성 부비동염은 2년 이내의 국소용 스테로이드제 장기 사용과 최소 1회 이상의 전신 스테로이드제 치료를 받았거나, 수술 치료를 받아도 증상이 지속되거나 재발하는 경우로 정의합니다.</x:v>
      </x:c>
      <x:c r="I105" s="8" t="str">
        <x:v>비부비동염 - 치료 비용종을 동반한 만성 비부비동염에서는 기존 수술 치료가 약물 치료에 비해 효과가 좋은 편이지만 일부 환자는 수술 후에도 조절되지 않는 경우가 있습니다. 조절되지 않는 비용종을 동반한 만성 부비동염은 2년 이내의 국소용 스테로이드제 장기 사용과 최소 1회 이상의 전신 스테로이드제 치료를 받았거나, 수술 치료를 받아도 증상이 지속되거나 재발하는 경우로 정의합니다.</x:v>
      </x:c>
      <x:c r="J105" s="8" t="str">
        <x:v>비부비동염</x:v>
      </x:c>
      <x:c r="K105" s="8" t="str">
        <x:v>질병관리청 국가건강정보포털
https://health.kdca.go.kr/healthinfo/biz/health/gnrlzHealthInfo/gnrlzHealthInfo/gnrlzHealthInfoMain.do</x:v>
      </x:c>
    </x:row>
    <x:row r="106" ht="62" customHeight="1">
      <x:c r="A106" s="9" t="n">
        <x:v>105</x:v>
      </x:c>
      <x:c r="B106" s="6" t="str">
        <x:v>보정용</x:v>
      </x:c>
      <x:c r="C106" s="6" t="str">
        <x:v>질병</x:v>
      </x:c>
      <x:c r="D106" s="6" t="str">
        <x:v>경과·예후</x:v>
      </x:c>
      <x:c r="E106" s="6" t="str">
        <x:v>답변 가능</x:v>
      </x:c>
      <x:c r="F106" s="6" t="str">
        <x:v>쉬움</x:v>
      </x:c>
      <x:c r="G106" s="8" t="str">
        <x:v>메니에르병의 경과나 예후는 어떤가요?</x:v>
      </x:c>
      <x:c r="H106" s="8" t="str">
        <x:v>메니에르병 환자 중 절반가량은 어지럼이 시작된 지 2년 정도가 경과한 뒤 증상이 없어지거나 완화되며, 시간이 더 지나면 대부분의 환자가 어지럼을 느끼지 않습니다.</x:v>
      </x:c>
      <x:c r="I106" s="8" t="str">
        <x:v>메니에르병 - 경과 및 예후 메니에르병 환자 중 절반가량은 어지럼이 시작된 지 2년 정도가 경과한 뒤 증상이 없어지거나 완화되며, 시간이 더 지나면 대부분의 환자가 어지럼을 느끼지 않습니다. 이것은 내이의 기능이 회복되었기 때문이 아니라, 더 이상 손상될 기능이 없기 때문인 것으로 추정됩니다. 다만 심한 어지럼증이 없더라도 내이의 기능 저하로 인해 가벼운 어지럼증은 느낄 수 있습니다.</x:v>
      </x:c>
      <x:c r="J106" s="8" t="str">
        <x:v>메니에르병</x:v>
      </x:c>
      <x:c r="K106" s="8" t="str">
        <x:v>질병관리청 국가건강정보포털
https://health.kdca.go.kr/healthinfo/biz/health/gnrlzHealthInfo/gnrlzHealthInfo/gnrlzHealthInfoMain.do</x:v>
      </x:c>
    </x:row>
    <x:row r="107" ht="62" customHeight="1">
      <x:c r="A107" s="9" t="n">
        <x:v>106</x:v>
      </x:c>
      <x:c r="B107" s="6" t="str">
        <x:v>보정용</x:v>
      </x:c>
      <x:c r="C107" s="6" t="str">
        <x:v>질병</x:v>
      </x:c>
      <x:c r="D107" s="6" t="str">
        <x:v>치료·관리</x:v>
      </x:c>
      <x:c r="E107" s="6" t="str">
        <x:v>답변 가능</x:v>
      </x:c>
      <x:c r="F107" s="6" t="str">
        <x:v>쉬움</x:v>
      </x:c>
      <x:c r="G107" s="8" t="str">
        <x:v>혈관종은 어떻게 치료하거나 관리하나요?</x:v>
      </x:c>
      <x:c r="H107" s="8" t="str">
        <x:v>베타차단제인 프로프라놀롤(propranolol)은 2008년 유아 혈관종의 치료로 사용되기 시작한 약물로, 빠르게 분열하는 혈관세포에 작용하여 혈관종의 크기를 감소시키는데 효과적이며 안전한 약물입니다. 국소 베타차단제인 티모롤(timolol)은 표재성의 작은 혈관종에 바르는 국소 치료제인데 경구 투여보다 효과가 나타나는데 시간이 더 걸립니다. 2. 스테로이드</x:v>
      </x:c>
      <x:c r="I107" s="8" t="str">
        <x:v>혈관종 - 약물 치료 베타차단제인 프로프라놀롤(propranolol)은 2008년 유아 혈관종의 치료로 사용되기 시작한 약물로, 빠르게 분열하는 혈관세포에 작용하여 혈관종의 크기를 감소시키는데 효과적이며 안전한 약물입니다. 국소 베타차단제인 티모롤(timolol)은 표재성의 작은 혈관종에 바르는 국소 치료제인데 경구 투여보다 효과가 나타나는데 시간이 더 걸립니다. 2. 스테로이드</x:v>
      </x:c>
      <x:c r="J107" s="8" t="str">
        <x:v>혈관종</x:v>
      </x:c>
      <x:c r="K107" s="8" t="str">
        <x:v>질병관리청 국가건강정보포털
https://health.kdca.go.kr/healthinfo/biz/health/gnrlzHealthInfo/gnrlzHealthInfo/gnrlzHealthInfoMain.do</x:v>
      </x:c>
    </x:row>
    <x:row r="108" ht="62" customHeight="1">
      <x:c r="A108" s="9" t="n">
        <x:v>107</x:v>
      </x:c>
      <x:c r="B108" s="6" t="str">
        <x:v>보정용</x:v>
      </x:c>
      <x:c r="C108" s="6" t="str">
        <x:v>질병</x:v>
      </x:c>
      <x:c r="D108" s="6" t="str">
        <x:v>답변불가·실시간 의료기관</x:v>
      </x:c>
      <x:c r="E108" s="6" t="str">
        <x:v>답변 거부</x:v>
      </x:c>
      <x:c r="F108" s="6" t="str">
        <x:v>어려움</x:v>
      </x:c>
      <x:c r="G108" s="8" t="str">
        <x:v>지금 제 위치에서 무릎 연골 손상 진료가 가능한 병원 중 대기 시간이 가장 짧은 곳은 어디인가요?</x:v>
      </x:c>
      <x:c r="H108" s="8" t="str">
        <x:v>제공된 질병관리청 VDB에는 실시간 병원 위치와 대기 시간 정보가 없어 답할 수 없습니다.</x:v>
      </x:c>
      <x:c r="I108" s="8" t="str">
        <x:v>VDB 범위 밖 질문 — 근거 없음</x:v>
      </x:c>
      <x:c r="J108" s="8" t="str">
        <x:v>무릎 연골 손상</x:v>
      </x:c>
      <x:c r="K108" s="8" t="str">
        <x:v>질병관리청 국가건강정보포털
https://health.kdca.go.kr/healthinfo/biz/health/gnrlzHealthInfo/gnrlzHealthInfo/gnrlzHealthInfoMain.do</x:v>
      </x:c>
    </x:row>
    <x:row r="109" ht="62" customHeight="1">
      <x:c r="A109" s="9" t="n">
        <x:v>108</x:v>
      </x:c>
      <x:c r="B109" s="6" t="str">
        <x:v>보정용</x:v>
      </x:c>
      <x:c r="C109" s="6" t="str">
        <x:v>질병</x:v>
      </x:c>
      <x:c r="D109" s="6" t="str">
        <x:v>답변불가·실시간 의료기관</x:v>
      </x:c>
      <x:c r="E109" s="6" t="str">
        <x:v>답변 거부</x:v>
      </x:c>
      <x:c r="F109" s="6" t="str">
        <x:v>어려움</x:v>
      </x:c>
      <x:c r="G109" s="8" t="str">
        <x:v>지금 제 위치에서 공수병(광견병) 진료가 가능한 병원 중 대기 시간이 가장 짧은 곳은 어디인가요?</x:v>
      </x:c>
      <x:c r="H109" s="8" t="str">
        <x:v>제공된 질병관리청 VDB에는 실시간 병원 위치와 대기 시간 정보가 없어 답할 수 없습니다.</x:v>
      </x:c>
      <x:c r="I109" s="8" t="str">
        <x:v>VDB 범위 밖 질문 — 근거 없음</x:v>
      </x:c>
      <x:c r="J109" s="8" t="str">
        <x:v>공수병(광견병)</x:v>
      </x:c>
      <x:c r="K109" s="8" t="str">
        <x:v>질병관리청 국가건강정보포털
https://health.kdca.go.kr/healthinfo/biz/health/gnrlzHealthInfo/gnrlzHealthInfo/gnrlzHealthInfoMain.do</x:v>
      </x:c>
    </x:row>
    <x:row r="110" ht="62" customHeight="1">
      <x:c r="A110" s="9" t="n">
        <x:v>109</x:v>
      </x:c>
      <x:c r="B110" s="6" t="str">
        <x:v>보정용</x:v>
      </x:c>
      <x:c r="C110" s="6" t="str">
        <x:v>질병</x:v>
      </x:c>
      <x:c r="D110" s="6" t="str">
        <x:v>대상별 정보</x:v>
      </x:c>
      <x:c r="E110" s="6" t="str">
        <x:v>답변 가능</x:v>
      </x:c>
      <x:c r="F110" s="6" t="str">
        <x:v>쉬움</x:v>
      </x:c>
      <x:c r="G110" s="8" t="str">
        <x:v>비부비동염은 대상에 따라 어떤 점을 알아두면 좋나요?</x:v>
      </x:c>
      <x:c r="H110" s="8" t="str">
        <x:v>아데노이드 절제 수술은 가장 우선적으로 고려해볼 수 있는 낮은 연령의 어린이 만성 비부비동염의 수술 치료법이며 부비동 세척을 병행할 수 있습니다.</x:v>
      </x:c>
      <x:c r="I110" s="8" t="str">
        <x:v>비부비동염 - 대상별 맞춤 정보 알레르기 비염이나 위-식도역류질환이 있는 경우를 제외하고는 보조 치료가 권고되지 않습니다. 아데노이드 절제 수술은 가장 우선적으로 고려해볼 수 있는 낮은 연령의 어린이 만성 비부비동염의 수술 치료법이며 부비동 세척을 병행할 수 있습니다. 부비동 내시경 수술은 아데노이드 절제 수술 이후에도 약물 치료에 반응이 없는 어린이에게 안전하고 효과적인 수술 치료법입니다.</x:v>
      </x:c>
      <x:c r="J110" s="8" t="str">
        <x:v>비부비동염</x:v>
      </x:c>
      <x:c r="K110" s="8" t="str">
        <x:v>질병관리청 국가건강정보포털
https://health.kdca.go.kr/healthinfo/biz/health/gnrlzHealthInfo/gnrlzHealthInfo/gnrlzHealthInfoMain.do</x:v>
      </x:c>
    </x:row>
    <x:row r="111" ht="62" customHeight="1">
      <x:c r="A111" s="9" t="n">
        <x:v>110</x:v>
      </x:c>
      <x:c r="B111" s="6" t="str">
        <x:v>보정용</x:v>
      </x:c>
      <x:c r="C111" s="6" t="str">
        <x:v>복약</x:v>
      </x:c>
      <x:c r="D111" s="6" t="str">
        <x:v>보관·관리</x:v>
      </x:c>
      <x:c r="E111" s="6" t="str">
        <x:v>답변 가능</x:v>
      </x:c>
      <x:c r="F111" s="6" t="str">
        <x:v>쉬움</x:v>
      </x:c>
      <x:c r="G111" s="8" t="str">
        <x:v>파탁정10밀리그램(파모티딘)은 어떻게 보관해야 하나요?</x:v>
      </x:c>
      <x:c r="H111" s="8" t="str">
        <x:v>실온에서 보관하십시오. 어린이의 손이 닿지 않는 곳에 보관하십시오.</x:v>
      </x:c>
      <x:c r="I111" s="8" t="str">
        <x:v>실온에서 보관하십시오. 어린이의 손이 닿지 않는 곳에 보관하십시오.</x:v>
      </x:c>
      <x:c r="J111" s="8" t="str">
        <x:v>파탁정10밀리그램(파모티딘) [품목기준코드 202000598]</x:v>
      </x:c>
      <x:c r="K111" s="8" t="str">
        <x:v>식품의약품안전처 의약품개요정보(e약은요) OpenAPI
https://apis.data.go.kr/1471000/DrbEasyDrugInfoService/getDrbEasyDrugList</x:v>
      </x:c>
    </x:row>
    <x:row r="112" ht="62" customHeight="1">
      <x:c r="A112" s="9" t="n">
        <x:v>111</x:v>
      </x:c>
      <x:c r="B112" s="6" t="str">
        <x:v>보정용</x:v>
      </x:c>
      <x:c r="C112" s="6" t="str">
        <x:v>복약</x:v>
      </x:c>
      <x:c r="D112" s="6" t="str">
        <x:v>효능·사용목적</x:v>
      </x:c>
      <x:c r="E112" s="6" t="str">
        <x:v>답변 가능</x:v>
      </x:c>
      <x:c r="F112" s="6" t="str">
        <x:v>쉬움</x:v>
      </x:c>
      <x:c r="G112" s="8" t="str">
        <x:v>목시딜액5%(미녹시딜)은 어떤 증상이나 질환에 사용하는 약인가요?</x:v>
      </x:c>
      <x:c r="H112" s="8" t="str">
        <x:v>이 약은 남성형 탈모증(안드로젠탈모증)의 치료에 사용합니다.</x:v>
      </x:c>
      <x:c r="I112" s="8" t="str">
        <x:v>이 약은 남성형 탈모증(안드로젠탈모증)의 치료에 사용합니다.</x:v>
      </x:c>
      <x:c r="J112" s="8" t="str">
        <x:v>목시딜액5%(미녹시딜) [품목기준코드 199902702]</x:v>
      </x:c>
      <x:c r="K112" s="8" t="str">
        <x:v>식품의약품안전처 의약품개요정보(e약은요) OpenAPI
https://apis.data.go.kr/1471000/DrbEasyDrugInfoService/getDrbEasyDrugList</x:v>
      </x:c>
    </x:row>
    <x:row r="113" ht="62" customHeight="1">
      <x:c r="A113" s="9" t="n">
        <x:v>112</x:v>
      </x:c>
      <x:c r="B113" s="6" t="str">
        <x:v>보정용</x:v>
      </x:c>
      <x:c r="C113" s="6" t="str">
        <x:v>복약</x:v>
      </x:c>
      <x:c r="D113" s="6" t="str">
        <x:v>대상별 정보</x:v>
      </x:c>
      <x:c r="E113" s="6" t="str">
        <x:v>답변 가능</x:v>
      </x:c>
      <x:c r="F113" s="6" t="str">
        <x:v>쉬움</x:v>
      </x:c>
      <x:c r="G113" s="8" t="str">
        <x:v>임신 또는 수유 중에 베베락스액을 사용해도 되나요?</x:v>
      </x:c>
      <x:c r="H113" s="8" t="str">
        <x:v>e약은요에서 임신 또는 수유 중인 사람과 관련해 안내한 내용은 다음과 같습니다. 임부 또는 임신하고 있을 가능성이 있는 여성, 고령자, 심한 복통, 오심, 구토, 치질출혈, 심장병 환자는 이 약을 사용하지 마십시오.이 약을 사용하기 전에 프로필렌글리콜에 과민증 환자 또는 경험자는 의사 또는 약사와 상의하십시오.정해진 용법과 용량을 잘 지키십시오.어린이에게 투여할 경우 보호자의 지도 감독하에 투여하십시오.계속하여 사용하지 마십시오.관장용으로만 사용하십시오.</x:v>
      </x:c>
      <x:c r="I113" s="8" t="str">
        <x:v>임부 또는 임신하고 있을 가능성이 있는 여성, 고령자, 심한 복통, 오심, 구토, 치질출혈, 심장병 환자는 이 약을 사용하지 마십시오.이 약을 사용하기 전에 프로필렌글리콜에 과민증 환자 또는 경험자는 의사 또는 약사와 상의하십시오.정해진 용법과 용량을 잘 지키십시오.어린이에게 투여할 경우 보호자의 지도 감독하에 투여하십시오.계속하여 사용하지 마십시오.관장용으로만 사용하십시오.</x:v>
      </x:c>
      <x:c r="J113" s="8" t="str">
        <x:v>베베락스액 [품목기준코드 200902331]</x:v>
      </x:c>
      <x:c r="K113" s="8" t="str">
        <x:v>식품의약품안전처 의약품개요정보(e약은요) OpenAPI
https://apis.data.go.kr/1471000/DrbEasyDrugInfoService/getDrbEasyDrugList</x:v>
      </x:c>
    </x:row>
    <x:row r="114" ht="62" customHeight="1">
      <x:c r="A114" s="9" t="n">
        <x:v>113</x:v>
      </x:c>
      <x:c r="B114" s="6" t="str">
        <x:v>보정용</x:v>
      </x:c>
      <x:c r="C114" s="6" t="str">
        <x:v>복약</x:v>
      </x:c>
      <x:c r="D114" s="6" t="str">
        <x:v>효능·사용목적</x:v>
      </x:c>
      <x:c r="E114" s="6" t="str">
        <x:v>답변 가능</x:v>
      </x:c>
      <x:c r="F114" s="6" t="str">
        <x:v>쉬움</x:v>
      </x:c>
      <x:c r="G114" s="8" t="str">
        <x:v>대화이부프로펜정400밀리그램(수출명:UPRO400,IBUFEN)은 어떤 증상이나 질환에 사용하는 약인가요?</x:v>
      </x:c>
      <x:c r="H114" s="8" t="str">
        <x:v>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x:v>
      </x:c>
      <x:c r="I114" s="8" t="str">
        <x:v>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x:v>
      </x:c>
      <x:c r="J114" s="8" t="str">
        <x:v>대화이부프로펜정400밀리그램(수출명:UPRO400,IBUFEN) [품목기준코드 198801657]</x:v>
      </x:c>
      <x:c r="K114" s="8" t="str">
        <x:v>식품의약품안전처 의약품개요정보(e약은요) OpenAPI
https://apis.data.go.kr/1471000/DrbEasyDrugInfoService/getDrbEasyDrugList</x:v>
      </x:c>
    </x:row>
    <x:row r="115" ht="62" customHeight="1">
      <x:c r="A115" s="9" t="n">
        <x:v>114</x:v>
      </x:c>
      <x:c r="B115" s="6" t="str">
        <x:v>보정용</x:v>
      </x:c>
      <x:c r="C115" s="6" t="str">
        <x:v>복약</x:v>
      </x:c>
      <x:c r="D115" s="6" t="str">
        <x:v>효능·사용목적</x:v>
      </x:c>
      <x:c r="E115" s="6" t="str">
        <x:v>답변 가능</x:v>
      </x:c>
      <x:c r="F115" s="6" t="str">
        <x:v>쉬움</x:v>
      </x:c>
      <x:c r="G115" s="8" t="str">
        <x:v>덱시로펜정(덱시부프로펜)은 어떤 증상이나 질환에 사용하는 약인가요?</x:v>
      </x:c>
      <x:c r="H115" s="8" t="str">
        <x:v>이 약은 만성 다발성 관절염, 류마티스관절염, 관절증, 강직척추염, 외상 및 수술 후 통증성 부종 또는 염증, 염증·통증 및 발열을 수반하는 감염증의 치료보조에 사용합니다.</x:v>
      </x:c>
      <x:c r="I115" s="8" t="str">
        <x:v>이 약은 만성 다발성 관절염, 류마티스관절염, 관절증, 강직척추염, 외상 및 수술 후 통증성 부종 또는 염증, 염증·통증 및 발열을 수반하는 감염증의 치료보조에 사용합니다.</x:v>
      </x:c>
      <x:c r="J115" s="8" t="str">
        <x:v>덱시로펜정(덱시부프로펜) [품목기준코드 200400135]</x:v>
      </x:c>
      <x:c r="K115" s="8" t="str">
        <x:v>식품의약품안전처 의약품개요정보(e약은요) OpenAPI
https://apis.data.go.kr/1471000/DrbEasyDrugInfoService/getDrbEasyDrugList</x:v>
      </x:c>
    </x:row>
    <x:row r="116" ht="62" customHeight="1">
      <x:c r="A116" s="9" t="n">
        <x:v>115</x:v>
      </x:c>
      <x:c r="B116" s="6" t="str">
        <x:v>보정용</x:v>
      </x:c>
      <x:c r="C116" s="6" t="str">
        <x:v>복약</x:v>
      </x:c>
      <x:c r="D116" s="6" t="str">
        <x:v>실용·응급대처</x:v>
      </x:c>
      <x:c r="E116" s="6" t="str">
        <x:v>답변 가능</x:v>
      </x:c>
      <x:c r="F116" s="6" t="str">
        <x:v>보통</x:v>
      </x:c>
      <x:c r="G116" s="8" t="str">
        <x:v>리액타민연질캡슐 사용 후 심한 이상반응이 나타나면 어떻게 해야 하나요?</x:v>
      </x:c>
      <x:c r="H116" s="8" t="str">
        <x:v>구역, 구토, 설사, 묽은 변, 위장관장애, 소화장애, 상복부통증, 저혈압, 폐부종 등이 나타나는 경우 복용을 즉각 중지하고 의사 또는 약사와 상의하십시오.</x:v>
      </x:c>
      <x:c r="I116" s="8" t="str">
        <x:v>구역, 구토, 설사, 묽은 변, 위장관장애, 소화장애, 상복부통증, 저혈압, 폐부종 등이 나타나는 경우 복용을 즉각 중지하고 의사 또는 약사와 상의하십시오.</x:v>
      </x:c>
      <x:c r="J116" s="8" t="str">
        <x:v>리액타민연질캡슐 [품목기준코드 201801922]</x:v>
      </x:c>
      <x:c r="K116" s="8" t="str">
        <x:v>식품의약품안전처 의약품개요정보(e약은요) OpenAPI
https://apis.data.go.kr/1471000/DrbEasyDrugInfoService/getDrbEasyDrugList</x:v>
      </x:c>
    </x:row>
    <x:row r="117" ht="62" customHeight="1">
      <x:c r="A117" s="9" t="n">
        <x:v>116</x:v>
      </x:c>
      <x:c r="B117" s="6" t="str">
        <x:v>보정용</x:v>
      </x:c>
      <x:c r="C117" s="6" t="str">
        <x:v>복약</x:v>
      </x:c>
      <x:c r="D117" s="6" t="str">
        <x:v>용어·정의</x:v>
      </x:c>
      <x:c r="E117" s="6" t="str">
        <x:v>답변 가능</x:v>
      </x:c>
      <x:c r="F117" s="6" t="str">
        <x:v>쉬움</x:v>
      </x:c>
      <x:c r="G117" s="8" t="str">
        <x:v>훼로바프리미엄캡슐은 어떤 약인가요?</x:v>
      </x:c>
      <x:c r="H117" s="8" t="str">
        <x:v>훼로바프리미엄캡슐은 부광약품(주)의 의약품으로, e약은요에는 다음과 같이 안내되어 있습니다. 이 약은 철 결핍성 빈혈의 예방 및 치료에 사용합니다.</x:v>
      </x:c>
      <x:c r="I117" s="8" t="str">
        <x:v>제품명: 훼로바프리미엄캡슐 업체명: 부광약품(주) 효능: 이 약은 철 결핍성 빈혈의 예방 및 치료에 사용합니다.</x:v>
      </x:c>
      <x:c r="J117" s="8" t="str">
        <x:v>훼로바프리미엄캡슐 [품목기준코드 200400925]</x:v>
      </x:c>
      <x:c r="K117" s="8" t="str">
        <x:v>식품의약품안전처 의약품개요정보(e약은요) OpenAPI
https://apis.data.go.kr/1471000/DrbEasyDrugInfoService/getDrbEasyDrugList</x:v>
      </x:c>
    </x:row>
    <x:row r="118" ht="62" customHeight="1">
      <x:c r="A118" s="9" t="n">
        <x:v>117</x:v>
      </x:c>
      <x:c r="B118" s="6" t="str">
        <x:v>보정용</x:v>
      </x:c>
      <x:c r="C118" s="6" t="str">
        <x:v>복약</x:v>
      </x:c>
      <x:c r="D118" s="6" t="str">
        <x:v>증상→대상 구분</x:v>
      </x:c>
      <x:c r="E118" s="6" t="str">
        <x:v>답변 가능</x:v>
      </x:c>
      <x:c r="F118" s="6" t="str">
        <x:v>어려움</x:v>
      </x:c>
      <x:c r="G118" s="8" t="str">
        <x:v>큐어콜플러스연질캡슐을 사용한 뒤 발진이 생겼는데, 이 약의 부작용으로 안내되어 있나요?</x:v>
      </x:c>
      <x:c r="H118" s="8" t="str">
        <x:v>발진은 이 제품의 e약은요 부작용 항목에 기재되어 있습니다. 다만 이 정보만으로 현재 증상의 원인이 해당 약이라고 확정할 수는 없습니다.</x:v>
      </x:c>
      <x:c r="I118" s="8" t="str">
        <x:v>발진 및 충혈되어 붉어지는 발적, 가려움, 구역 및 구토, 식욕부진, 변비, 부종, 배뇨곤란, (지속적이거나 심한) 목마름, 어지러움, 불안, 떨림, 불면 등이 나타나는 경우 이 약의 복용을 즉각 중지하고 의사 또는 약사와 상의하십시오.</x:v>
      </x:c>
      <x:c r="J118" s="8" t="str">
        <x:v>큐어콜플러스연질캡슐 [품목기준코드 202301193]</x:v>
      </x:c>
      <x:c r="K118" s="8" t="str">
        <x:v>식품의약품안전처 의약품개요정보(e약은요) OpenAPI
https://apis.data.go.kr/1471000/DrbEasyDrugInfoService/getDrbEasyDrugList</x:v>
      </x:c>
    </x:row>
    <x:row r="119" ht="62" customHeight="1">
      <x:c r="A119" s="9" t="n">
        <x:v>118</x:v>
      </x:c>
      <x:c r="B119" s="6" t="str">
        <x:v>보정용</x:v>
      </x:c>
      <x:c r="C119" s="6" t="str">
        <x:v>복약</x:v>
      </x:c>
      <x:c r="D119" s="6" t="str">
        <x:v>대상별 정보</x:v>
      </x:c>
      <x:c r="E119" s="6" t="str">
        <x:v>답변 가능</x:v>
      </x:c>
      <x:c r="F119" s="6" t="str">
        <x:v>쉬움</x:v>
      </x:c>
      <x:c r="G119" s="8" t="str">
        <x:v>임신 또는 수유 중에 메코조인콘드로800정을 사용해도 되나요?</x:v>
      </x:c>
      <x:c r="H119" s="8" t="str">
        <x:v>e약은요에서 임신 또는 수유 중인 사람과 관련해 안내한 내용은 다음과 같습니다. 이 약을 복용하기 전에 임부 및 임신하고 있을 가능성이 있는 여성, 수유부, 미숙아, 유아, 심장·순환기계기능 장애, 신장장애, 저단백혈증, 신장결석 경험자는 의사 또는 약사와 상의하십시오.</x:v>
      </x:c>
      <x:c r="I119" s="8" t="str">
        <x:v>이 약을 복용하기 전에 임부 및 임신하고 있을 가능성이 있는 여성, 수유부, 미숙아, 유아, 심장·순환기계기능 장애, 신장장애, 저단백혈증, 신장결석 경험자는 의사 또는 약사와 상의하십시오.</x:v>
      </x:c>
      <x:c r="J119" s="8" t="str">
        <x:v>메코조인콘드로800정 [품목기준코드 202400995]</x:v>
      </x:c>
      <x:c r="K119" s="8" t="str">
        <x:v>식품의약품안전처 의약품개요정보(e약은요) OpenAPI
https://apis.data.go.kr/1471000/DrbEasyDrugInfoService/getDrbEasyDrugList</x:v>
      </x:c>
    </x:row>
    <x:row r="120" ht="62" customHeight="1">
      <x:c r="A120" s="9" t="n">
        <x:v>119</x:v>
      </x:c>
      <x:c r="B120" s="6" t="str">
        <x:v>보정용</x:v>
      </x:c>
      <x:c r="C120" s="6" t="str">
        <x:v>복약</x:v>
      </x:c>
      <x:c r="D120" s="6" t="str">
        <x:v>효능·사용목적</x:v>
      </x:c>
      <x:c r="E120" s="6" t="str">
        <x:v>답변 가능</x:v>
      </x:c>
      <x:c r="F120" s="6" t="str">
        <x:v>쉬움</x:v>
      </x:c>
      <x:c r="G120" s="8" t="str">
        <x:v>루페인플라스타(플루르비프로펜)은 어떤 증상이나 질환에 사용하는 약인가요?</x:v>
      </x:c>
      <x:c r="H120" s="8" t="str">
        <x:v>이 약은 퇴행성 관절염(골관절염), 어깨관절 주위염, 건(힘줄)ㆍ건초염(힘줄윤활막염), 상완골(위팔뼈)상과염(테니스 엘보우 등), 근육통, 외상(상처)후의 종창(부기)ㆍ동통(통증)의 진통ㆍ소염(항염)에 사용합니다.</x:v>
      </x:c>
      <x:c r="I120" s="8" t="str">
        <x:v>이 약은 퇴행성 관절염(골관절염), 어깨관절 주위염, 건(힘줄)ㆍ건초염(힘줄윤활막염), 상완골(위팔뼈)상과염(테니스 엘보우 등), 근육통, 외상(상처)후의 종창(부기)ㆍ동통(통증)의 진통ㆍ소염(항염)에 사용합니다.</x:v>
      </x:c>
      <x:c r="J120" s="8" t="str">
        <x:v>루페인플라스타(플루르비프로펜) [품목기준코드 200905103]</x:v>
      </x:c>
      <x:c r="K120" s="8" t="str">
        <x:v>식품의약품안전처 의약품개요정보(e약은요) OpenAPI
https://apis.data.go.kr/1471000/DrbEasyDrugInfoService/getDrbEasyDrugList</x:v>
      </x:c>
    </x:row>
    <x:row r="121" ht="62" customHeight="1">
      <x:c r="A121" s="9" t="n">
        <x:v>120</x:v>
      </x:c>
      <x:c r="B121" s="6" t="str">
        <x:v>보정용</x:v>
      </x:c>
      <x:c r="C121" s="6" t="str">
        <x:v>복약</x:v>
      </x:c>
      <x:c r="D121" s="6" t="str">
        <x:v>효능·사용목적</x:v>
      </x:c>
      <x:c r="E121" s="6" t="str">
        <x:v>답변 가능</x:v>
      </x:c>
      <x:c r="F121" s="6" t="str">
        <x:v>쉬움</x:v>
      </x:c>
      <x:c r="G121" s="8" t="str">
        <x:v>바이오파워캡슐은 어떤 증상이나 질환에 사용하는 약인가요?</x:v>
      </x:c>
      <x:c r="H121" s="8" t="str">
        <x:v>이 약은 육체피로, 임신ㆍ수유기, 병중ㆍ병후(병을 앓는 동안이나 회복 후)의 체력 저하 시 비타민 B1, B2, B6, C의 보급과 신경통, 근육통, 관절통(요통, 어깨결림 등), 구각염(입꼬리염), 구순염(입술염), 구내염(입안염), 설염(혀염), 습진, 피부염 증상의 완화, 각기, 눈의 피로에 사용합니다.</x:v>
      </x:c>
      <x:c r="I121" s="8" t="str">
        <x:v>이 약은 육체피로, 임신ㆍ수유기, 병중ㆍ병후(병을 앓는 동안이나 회복 후)의 체력 저하 시 비타민 B1, B2, B6, C의 보급과 신경통, 근육통, 관절통(요통, 어깨결림 등), 구각염(입꼬리염), 구순염(입술염), 구내염(입안염), 설염(혀염), 습진, 피부염 증상의 완화, 각기, 눈의 피로에 사용합니다.</x:v>
      </x:c>
      <x:c r="J121" s="8" t="str">
        <x:v>바이오파워캡슐 [품목기준코드 200300069]</x:v>
      </x:c>
      <x:c r="K121" s="8" t="str">
        <x:v>식품의약품안전처 의약품개요정보(e약은요) OpenAPI
https://apis.data.go.kr/1471000/DrbEasyDrugInfoService/getDrbEasyDrugList</x:v>
      </x:c>
    </x:row>
    <x:row r="122" ht="62" customHeight="1">
      <x:c r="A122" s="9" t="n">
        <x:v>121</x:v>
      </x:c>
      <x:c r="B122" s="6" t="str">
        <x:v>보정용</x:v>
      </x:c>
      <x:c r="C122" s="6" t="str">
        <x:v>복약</x:v>
      </x:c>
      <x:c r="D122" s="6" t="str">
        <x:v>용법·용량</x:v>
      </x:c>
      <x:c r="E122" s="6" t="str">
        <x:v>답변 가능</x:v>
      </x:c>
      <x:c r="F122" s="6" t="str">
        <x:v>쉬움</x:v>
      </x:c>
      <x:c r="G122" s="8" t="str">
        <x:v>벨라제정45mg(브로멜라인)은 어떻게 사용하나요?</x:v>
      </x:c>
      <x:c r="H122" s="8" t="str">
        <x:v>성인 및 12세 이상의 소아는 1회 1~2정(45~90 mg), 1일 3회 식사 30분 전에 물과 함께 복용합니다. 체내에서의 작용기전은 아직 해명되지 않은 점이 많고 용량, 효과관계도 밝혀진 것이 아니므로 목적 없이 복용하지 마십시오.</x:v>
      </x:c>
      <x:c r="I122" s="8" t="str">
        <x:v>성인 및 12세 이상의 소아는 1회 1~2정(45~90 mg), 1일 3회 식사 30분 전에 물과 함께 복용합니다. 체내에서의 작용기전은 아직 해명되지 않은 점이 많고 용량, 효과관계도 밝혀진 것이 아니므로 목적 없이 복용하지 마십시오.</x:v>
      </x:c>
      <x:c r="J122" s="8" t="str">
        <x:v>벨라제정45mg(브로멜라인) [품목기준코드 200501511]</x:v>
      </x:c>
      <x:c r="K122" s="8" t="str">
        <x:v>식품의약품안전처 의약품개요정보(e약은요) OpenAPI
https://apis.data.go.kr/1471000/DrbEasyDrugInfoService/getDrbEasyDrugList</x:v>
      </x:c>
    </x:row>
    <x:row r="123" ht="62" customHeight="1">
      <x:c r="A123" s="9" t="n">
        <x:v>122</x:v>
      </x:c>
      <x:c r="B123" s="6" t="str">
        <x:v>보정용</x:v>
      </x:c>
      <x:c r="C123" s="6" t="str">
        <x:v>복약</x:v>
      </x:c>
      <x:c r="D123" s="6" t="str">
        <x:v>용법·용량</x:v>
      </x:c>
      <x:c r="E123" s="6" t="str">
        <x:v>답변 가능</x:v>
      </x:c>
      <x:c r="F123" s="6" t="str">
        <x:v>쉬움</x:v>
      </x:c>
      <x:c r="G123" s="8" t="str">
        <x:v>가네탑골드연질캡슐은 어떻게 사용하나요?</x:v>
      </x:c>
      <x:c r="H123" s="8" t="str">
        <x:v>성인은 1회 1캡슐 1일 3회 복용합니다.</x:v>
      </x:c>
      <x:c r="I123" s="8" t="str">
        <x:v>성인은 1회 1캡슐 1일 3회 복용합니다.</x:v>
      </x:c>
      <x:c r="J123" s="8" t="str">
        <x:v>가네탑골드연질캡슐 [품목기준코드 200808096]</x:v>
      </x:c>
      <x:c r="K123" s="8" t="str">
        <x:v>식품의약품안전처 의약품개요정보(e약은요) OpenAPI
https://apis.data.go.kr/1471000/DrbEasyDrugInfoService/getDrbEasyDrugList</x:v>
      </x:c>
    </x:row>
    <x:row r="124" ht="62" customHeight="1">
      <x:c r="A124" s="9" t="n">
        <x:v>123</x:v>
      </x:c>
      <x:c r="B124" s="6" t="str">
        <x:v>보정용</x:v>
      </x:c>
      <x:c r="C124" s="6" t="str">
        <x:v>복약</x:v>
      </x:c>
      <x:c r="D124" s="6" t="str">
        <x:v>원인·위험요인</x:v>
      </x:c>
      <x:c r="E124" s="6" t="str">
        <x:v>답변 가능</x:v>
      </x:c>
      <x:c r="F124" s="6" t="str">
        <x:v>쉬움</x:v>
      </x:c>
      <x:c r="G124" s="8" t="str">
        <x:v>누마렌점안액(1회용),누마렌점안액을 사용하기 전에 특히 조심해야 하는 사람은 누구인가요?</x:v>
      </x:c>
      <x:c r="H124" s="8" t="str">
        <x:v>이 제품을 사용하기 전에 특히 확인해야 할 대상과 상황은 다음과 같습니다. 이 약에 과민증 환자는 이 약을 사용하지 마십시오.이 약은 점안(눈에 넣음)용으로만 사용하십시오.오염을 방지하기 위해 될 수 있는 한 공동으로 사용하지 마십시오.개봉한 후에는 1회만 즉시 사용하고, 남은 액과 용기는 바로 버리십시오.(일회용에 한함)</x:v>
      </x:c>
      <x:c r="I124" s="8" t="str">
        <x:v>이 약에 과민증 환자는 이 약을 사용하지 마십시오.이 약은 점안(눈에 넣음)용으로만 사용하십시오.오염을 방지하기 위해 될 수 있는 한 공동으로 사용하지 마십시오.개봉한 후에는 1회만 즉시 사용하고, 남은 액과 용기는 바로 버리십시오.(일회용에 한함)</x:v>
      </x:c>
      <x:c r="J124" s="8" t="str">
        <x:v>누마렌점안액(1회용),누마렌점안액 [품목기준코드 198803095]</x:v>
      </x:c>
      <x:c r="K124" s="8" t="str">
        <x:v>식품의약품안전처 의약품개요정보(e약은요) OpenAPI
https://apis.data.go.kr/1471000/DrbEasyDrugInfoService/getDrbEasyDrugList</x:v>
      </x:c>
    </x:row>
    <x:row r="125" ht="62" customHeight="1">
      <x:c r="A125" s="9" t="n">
        <x:v>124</x:v>
      </x:c>
      <x:c r="B125" s="6" t="str">
        <x:v>보정용</x:v>
      </x:c>
      <x:c r="C125" s="6" t="str">
        <x:v>복약</x:v>
      </x:c>
      <x:c r="D125" s="6" t="str">
        <x:v>보관·관리</x:v>
      </x:c>
      <x:c r="E125" s="6" t="str">
        <x:v>답변 가능</x:v>
      </x:c>
      <x:c r="F125" s="6" t="str">
        <x:v>쉬움</x:v>
      </x:c>
      <x:c r="G125" s="8" t="str">
        <x:v>안티푸라민에스로션 (수출명:유한안티푸라민에스로션)은 어떻게 보관해야 하나요?</x:v>
      </x:c>
      <x:c r="H125" s="8" t="str">
        <x:v>습기와 빛을 피해 실온에서 보관하십시오. 어린이의 손이 닿지 않는 곳에 보관하십시오.</x:v>
      </x:c>
      <x:c r="I125" s="8" t="str">
        <x:v>습기와 빛을 피해 실온에서 보관하십시오. 어린이의 손이 닿지 않는 곳에 보관하십시오.</x:v>
      </x:c>
      <x:c r="J125" s="8" t="str">
        <x:v>안티푸라민에스로션 (수출명:유한안티푸라민에스로션) [품목기준코드 199800728]</x:v>
      </x:c>
      <x:c r="K125" s="8" t="str">
        <x:v>식품의약품안전처 의약품개요정보(e약은요) OpenAPI
https://apis.data.go.kr/1471000/DrbEasyDrugInfoService/getDrbEasyDrugList</x:v>
      </x:c>
    </x:row>
    <x:row r="126" ht="62" customHeight="1">
      <x:c r="A126" s="9" t="n">
        <x:v>125</x:v>
      </x:c>
      <x:c r="B126" s="6" t="str">
        <x:v>보정용</x:v>
      </x:c>
      <x:c r="C126" s="6" t="str">
        <x:v>복약</x:v>
      </x:c>
      <x:c r="D126" s="6" t="str">
        <x:v>효능·사용목적</x:v>
      </x:c>
      <x:c r="E126" s="6" t="str">
        <x:v>답변 가능</x:v>
      </x:c>
      <x:c r="F126" s="6" t="str">
        <x:v>쉬움</x:v>
      </x:c>
      <x:c r="G126" s="8" t="str">
        <x:v>메가엑트액(시트룰린말산염)은 어떤 증상이나 질환에 사용하는 약인가요?</x:v>
      </x:c>
      <x:c r="H126" s="8" t="str">
        <x:v>이 약은 기능 무력증의 보조치료에 사용합니다.</x:v>
      </x:c>
      <x:c r="I126" s="8" t="str">
        <x:v>이 약은 기능 무력증의 보조치료에 사용합니다.</x:v>
      </x:c>
      <x:c r="J126" s="8" t="str">
        <x:v>메가엑트액(시트룰린말산염) [품목기준코드 201801882]</x:v>
      </x:c>
      <x:c r="K126" s="8" t="str">
        <x:v>식품의약품안전처 의약품개요정보(e약은요) OpenAPI
https://apis.data.go.kr/1471000/DrbEasyDrugInfoService/getDrbEasyDrugList</x:v>
      </x:c>
    </x:row>
    <x:row r="127" ht="62" customHeight="1">
      <x:c r="A127" s="9" t="n">
        <x:v>126</x:v>
      </x:c>
      <x:c r="B127" s="6" t="str">
        <x:v>보정용</x:v>
      </x:c>
      <x:c r="C127" s="6" t="str">
        <x:v>복약</x:v>
      </x:c>
      <x:c r="D127" s="6" t="str">
        <x:v>용어·정의</x:v>
      </x:c>
      <x:c r="E127" s="6" t="str">
        <x:v>답변 가능</x:v>
      </x:c>
      <x:c r="F127" s="6" t="str">
        <x:v>쉬움</x:v>
      </x:c>
      <x:c r="G127" s="8" t="str">
        <x:v>더아이즈점안액(카르복시메틸셀룰로오스나트륨)(1회용)은 어떤 약인가요?</x:v>
      </x:c>
      <x:c r="H127" s="8" t="str">
        <x:v>더아이즈점안액(카르복시메틸셀룰로오스나트륨)(1회용)은 코오롱제약(주)의 의약품으로, e약은요에는 다음과 같이 안내되어 있습니다. 이 약은 안구건조증(눈마름증)이나 바람·태양에 노출되어 생기는 화끈거리는 증상, 자극감, 불쾌감의 일시적 완화 및 안구 자극감 예방에 사용합니다.</x:v>
      </x:c>
      <x:c r="I127" s="8" t="str">
        <x:v>제품명: 더아이즈점안액(카르복시메틸셀룰로오스나트륨)(1회용) 업체명: 코오롱제약(주) 효능: 이 약은 안구건조증(눈마름증)이나 바람·태양에 노출되어 생기는 화끈거리는 증상, 자극감, 불쾌감의 일시적 완화 및 안구 자극감 예방에 사용합니다.</x:v>
      </x:c>
      <x:c r="J127" s="8" t="str">
        <x:v>더아이즈점안액(카르복시메틸셀룰로오스나트륨)(1회용) [품목기준코드 202204116]</x:v>
      </x:c>
      <x:c r="K127" s="8" t="str">
        <x:v>식품의약품안전처 의약품개요정보(e약은요) OpenAPI
https://apis.data.go.kr/1471000/DrbEasyDrugInfoService/getDrbEasyDrugList</x:v>
      </x:c>
    </x:row>
    <x:row r="128" ht="62" customHeight="1">
      <x:c r="A128" s="9" t="n">
        <x:v>127</x:v>
      </x:c>
      <x:c r="B128" s="6" t="str">
        <x:v>보정용</x:v>
      </x:c>
      <x:c r="C128" s="6" t="str">
        <x:v>복약</x:v>
      </x:c>
      <x:c r="D128" s="6" t="str">
        <x:v>증상→대상 구분</x:v>
      </x:c>
      <x:c r="E128" s="6" t="str">
        <x:v>답변 가능</x:v>
      </x:c>
      <x:c r="F128" s="6" t="str">
        <x:v>어려움</x:v>
      </x:c>
      <x:c r="G128" s="8" t="str">
        <x:v>라이트프레쉬점안액1%(카르복시메틸셀룰로오스나트륨)(1회용)을 사용한 뒤 가려움이 생겼는데, 이 약의 부작용으로 안내되어 있나요?</x:v>
      </x:c>
      <x:c r="H128" s="8" t="str">
        <x:v>가려움은 이 제품의 e약은요 부작용 항목에 기재되어 있습니다. 다만 이 정보만으로 현재 증상의 원인이 해당 약이라고 확정할 수는 없습니다.</x:v>
      </x:c>
      <x:c r="I128" s="8" t="str">
        <x:v>가려움, 부종(부기), 통증, 시야변화, 지속적인 충혈, 자극감, 하드콘택트렌즈를 착용하는 사람에게서 눈곱 등의 분비물이 많으면서 드물게 렌즈가 흐리게 되는 경우에는 사용을 즉각 중지하고 의사 또는 약사와 상의하십시오.</x:v>
      </x:c>
      <x:c r="J128" s="8" t="str">
        <x:v>라이트프레쉬점안액1%(카르복시메틸셀룰로오스나트륨)(1회용) [품목기준코드 202202168]</x:v>
      </x:c>
      <x:c r="K128" s="8" t="str">
        <x:v>식품의약품안전처 의약품개요정보(e약은요) OpenAPI
https://apis.data.go.kr/1471000/DrbEasyDrugInfoService/getDrbEasyDrugList</x:v>
      </x:c>
    </x:row>
    <x:row r="129" ht="62" customHeight="1">
      <x:c r="A129" s="9" t="n">
        <x:v>128</x:v>
      </x:c>
      <x:c r="B129" s="6" t="str">
        <x:v>보정용</x:v>
      </x:c>
      <x:c r="C129" s="6" t="str">
        <x:v>복약</x:v>
      </x:c>
      <x:c r="D129" s="6" t="str">
        <x:v>증상·이상반응</x:v>
      </x:c>
      <x:c r="E129" s="6" t="str">
        <x:v>답변 가능</x:v>
      </x:c>
      <x:c r="F129" s="6" t="str">
        <x:v>쉬움</x:v>
      </x:c>
      <x:c r="G129" s="8" t="str">
        <x:v>콜스롤연질캡슐을 사용하면 어떤 부작용이 생길 수 있나요?</x:v>
      </x:c>
      <x:c r="H129" s="8" t="str">
        <x:v>e약은요에는 다음과 같은 이상반응이 안내되어 있습니다. 위부불쾌감, 설사, 변비, 발진, 발적(충혈되어 붉어짐), 예정보다 빠른 생리, 생리 양 증가 등이 나타날 수 있습니다.생리 출혈이 오래 지속될 경우 복용을 즉각 중지하고 의사 또는 약사와 상의하십시오.</x:v>
      </x:c>
      <x:c r="I129" s="8" t="str">
        <x:v>위부불쾌감, 설사, 변비, 발진, 발적(충혈되어 붉어짐), 예정보다 빠른 생리, 생리 양 증가 등이 나타날 수 있습니다.생리 출혈이 오래 지속될 경우 복용을 즉각 중지하고 의사 또는 약사와 상의하십시오.</x:v>
      </x:c>
      <x:c r="J129" s="8" t="str">
        <x:v>콜스롤연질캡슐 [품목기준코드 200402856]</x:v>
      </x:c>
      <x:c r="K129" s="8" t="str">
        <x:v>식품의약품안전처 의약품개요정보(e약은요) OpenAPI
https://apis.data.go.kr/1471000/DrbEasyDrugInfoService/getDrbEasyDrugList</x:v>
      </x:c>
    </x:row>
    <x:row r="130" ht="62" customHeight="1">
      <x:c r="A130" s="9" t="n">
        <x:v>129</x:v>
      </x:c>
      <x:c r="B130" s="6" t="str">
        <x:v>보정용</x:v>
      </x:c>
      <x:c r="C130" s="6" t="str">
        <x:v>복약</x:v>
      </x:c>
      <x:c r="D130" s="6" t="str">
        <x:v>상호작용</x:v>
      </x:c>
      <x:c r="E130" s="6" t="str">
        <x:v>답변 가능</x:v>
      </x:c>
      <x:c r="F130" s="6" t="str">
        <x:v>쉬움</x:v>
      </x:c>
      <x:c r="G130" s="8" t="str">
        <x:v>코큐텐비타알부정과 함께 사용하거나 먹을 때 주의해야 할 약이나 음식이 있나요?</x:v>
      </x:c>
      <x:c r="H130" s="8" t="str">
        <x:v>인산염, 칼슘염, 경구용 테트라사이클린계 제제, 제산제, 레보도파와 함께 복용하지 마십시오. 에스트로겐을 포함한 경구(먹는)용 피임제, 항알도스테론제, 트리암테렌과 함께 복용 시 의사 또는 약사와 상의하십시오. 녹차, 홍차 등 탄닌을 함유하는 차는 복용 중, 복용 전후에는 피하십시오.</x:v>
      </x:c>
      <x:c r="I130" s="8" t="str">
        <x:v>인산염, 칼슘염, 경구용 테트라사이클린계 제제, 제산제, 레보도파와 함께 복용하지 마십시오. 에스트로겐을 포함한 경구(먹는)용 피임제, 항알도스테론제, 트리암테렌과 함께 복용 시 의사 또는 약사와 상의하십시오. 녹차, 홍차 등 탄닌을 함유하는 차는 복용 중, 복용 전후에는 피하십시오.</x:v>
      </x:c>
      <x:c r="J130" s="8" t="str">
        <x:v>코큐텐비타알부정 [품목기준코드 200704407]</x:v>
      </x:c>
      <x:c r="K130" s="8" t="str">
        <x:v>식품의약품안전처 의약품개요정보(e약은요) OpenAPI
https://apis.data.go.kr/1471000/DrbEasyDrugInfoService/getDrbEasyDrugList</x:v>
      </x:c>
    </x:row>
    <x:row r="131" ht="62" customHeight="1">
      <x:c r="A131" s="9" t="n">
        <x:v>130</x:v>
      </x:c>
      <x:c r="B131" s="6" t="str">
        <x:v>보정용</x:v>
      </x:c>
      <x:c r="C131" s="6" t="str">
        <x:v>복약</x:v>
      </x:c>
      <x:c r="D131" s="6" t="str">
        <x:v>대상별 정보</x:v>
      </x:c>
      <x:c r="E131" s="6" t="str">
        <x:v>답변 가능</x:v>
      </x:c>
      <x:c r="F131" s="6" t="str">
        <x:v>보통</x:v>
      </x:c>
      <x:c r="G131" s="8" t="str">
        <x:v>고령자가 콜록노즈연질캡슐을 사용할 때 주의할 점은 무엇인가요?</x:v>
      </x:c>
      <x:c r="H131" s="8" t="str">
        <x:v>e약은요에서 고령자·노인과 관련해 안내한 내용은 다음과 같습니다. 이 약을 복용하기 전에 수두 또는 인플루엔자에 감염되어 있거나 또는 의심되는 영아(갓난아기) 및 만 15세 미만의 어린이, 알레르기 체질, 약에 의한 알레르기 증상(발열, 발진, 관절통, 천식, 가려움증 등) 경험자, 간장질환, 신장(콩팥)질환, 심장질환, 갑상선질환, 당뇨병, 고혈압, 위십이지장궤양, 녹내장(눈의 통증, 눈이 침침함 등), 배뇨(소변을 눔)곤란 등이 있는 사람, 고령자(노인),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만2세 미만 소아는 의사 또는 약사와 상의하십시오.</x:v>
      </x:c>
      <x:c r="I131" s="8" t="str">
        <x:v>이 약을 복용하기 전에 수두 또는 인플루엔자에 감염되어 있거나 또는 의심되는 영아(갓난아기) 및 만 15세 미만의 어린이, 알레르기 체질, 약에 의한 알레르기 증상(발열, 발진, 관절통, 천식, 가려움증 등) 경험자, 간장질환, 신장(콩팥)질환, 심장질환, 갑상선질환, 당뇨병, 고혈압, 위십이지장궤양, 녹내장(눈의 통증, 눈이 침침함 등), 배뇨(소변을 눔)곤란 등이 있는 사람, 고령자(노인),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만2세 미만 소아는 의사 또는 약사와 상의하십시오.</x:v>
      </x:c>
      <x:c r="J131" s="8" t="str">
        <x:v>콜록노즈연질캡슐 [품목기준코드 202202409]</x:v>
      </x:c>
      <x:c r="K131" s="8" t="str">
        <x:v>식품의약품안전처 의약품개요정보(e약은요) OpenAPI
https://apis.data.go.kr/1471000/DrbEasyDrugInfoService/getDrbEasyDrugList</x:v>
      </x:c>
    </x:row>
    <x:row r="132" ht="62" customHeight="1">
      <x:c r="A132" s="9" t="n">
        <x:v>131</x:v>
      </x:c>
      <x:c r="B132" s="6" t="str">
        <x:v>보정용</x:v>
      </x:c>
      <x:c r="C132" s="6" t="str">
        <x:v>복약</x:v>
      </x:c>
      <x:c r="D132" s="6" t="str">
        <x:v>대상별 정보</x:v>
      </x:c>
      <x:c r="E132" s="6" t="str">
        <x:v>답변 가능</x:v>
      </x:c>
      <x:c r="F132" s="6" t="str">
        <x:v>쉬움</x:v>
      </x:c>
      <x:c r="G132" s="8" t="str">
        <x:v>고령자가 파비스염산메클리진정을 사용할 때 주의할 점은 무엇인가요?</x:v>
      </x:c>
      <x:c r="H132" s="8" t="str">
        <x:v>e약은요에서 고령자·노인과 관련해 안내한 내용은 다음과 같습니다. 이 약 또는 디페닐메탄계 약물에 과민증 환자, 임부 또는 임신하고 있을 가능성이 있는 여성, 12세 이하의 소아, 협우각형 녹내장, 전립선비대 등 배뇨장애, 갈락토오스 불내성, Lapp 유당분해효소 결핍증 또는 포도당-갈락토오스 흡수장애 등의 유전적인 문제가 있는 환자는 이 약을 복용하지 마십시오.이 약을 복용하기 전에 천식 환자, 황색5호에 과민증 환자 또는 경험자, 고령자는 의사 또는 약사와 상의하십시오.복용 후 졸음이 나타날 수 있으므로 운전 및 기계조작 시 주의하십시오.</x:v>
      </x:c>
      <x:c r="I132" s="8" t="str">
        <x:v>이 약 또는 디페닐메탄계 약물에 과민증 환자, 임부 또는 임신하고 있을 가능성이 있는 여성, 12세 이하의 소아, 협우각형 녹내장, 전립선비대 등 배뇨장애, 갈락토오스 불내성, Lapp 유당분해효소 결핍증 또는 포도당-갈락토오스 흡수장애 등의 유전적인 문제가 있는 환자는 이 약을 복용하지 마십시오.이 약을 복용하기 전에 천식 환자, 황색5호에 과민증 환자 또는 경험자, 고령자는 의사 또는 약사와 상의하십시오.복용 후 졸음이 나타날 수 있으므로 운전 및 기계조작 시 주의하십시오.</x:v>
      </x:c>
      <x:c r="J132" s="8" t="str">
        <x:v>파비스염산메클리진정 [품목기준코드 199602310]</x:v>
      </x:c>
      <x:c r="K132" s="8" t="str">
        <x:v>식품의약품안전처 의약품개요정보(e약은요) OpenAPI
https://apis.data.go.kr/1471000/DrbEasyDrugInfoService/getDrbEasyDrugList</x:v>
      </x:c>
    </x:row>
    <x:row r="133" ht="62" customHeight="1">
      <x:c r="A133" s="9" t="n">
        <x:v>132</x:v>
      </x:c>
      <x:c r="B133" s="6" t="str">
        <x:v>보정용</x:v>
      </x:c>
      <x:c r="C133" s="6" t="str">
        <x:v>복약</x:v>
      </x:c>
      <x:c r="D133" s="6" t="str">
        <x:v>상호작용</x:v>
      </x:c>
      <x:c r="E133" s="6" t="str">
        <x:v>답변 가능</x:v>
      </x:c>
      <x:c r="F133" s="6" t="str">
        <x:v>보통</x:v>
      </x:c>
      <x:c r="G133" s="8" t="str">
        <x:v>맥스펜정(덱시부프로펜)과 함께 사용하거나 먹을 때 주의해야 할 약이나 음식이 있나요?</x:v>
      </x:c>
      <x:c r="H133" s="8" t="str">
        <x:v>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x:v>
      </x:c>
      <x:c r="I133" s="8" t="str">
        <x:v>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x:v>
      </x:c>
      <x:c r="J133" s="8" t="str">
        <x:v>맥스펜정(덱시부프로펜) [품목기준코드 200201695]</x:v>
      </x:c>
      <x:c r="K133" s="8" t="str">
        <x:v>식품의약품안전처 의약품개요정보(e약은요) OpenAPI
https://apis.data.go.kr/1471000/DrbEasyDrugInfoService/getDrbEasyDrugList</x:v>
      </x:c>
    </x:row>
    <x:row r="134" ht="62" customHeight="1">
      <x:c r="A134" s="9" t="n">
        <x:v>133</x:v>
      </x:c>
      <x:c r="B134" s="6" t="str">
        <x:v>보정용</x:v>
      </x:c>
      <x:c r="C134" s="6" t="str">
        <x:v>복약</x:v>
      </x:c>
      <x:c r="D134" s="6" t="str">
        <x:v>용법·용량</x:v>
      </x:c>
      <x:c r="E134" s="6" t="str">
        <x:v>답변 가능</x:v>
      </x:c>
      <x:c r="F134" s="6" t="str">
        <x:v>쉬움</x:v>
      </x:c>
      <x:c r="G134" s="8" t="str">
        <x:v>마이녹실겔3%(미녹시딜)은 어떻게 사용하나요?</x:v>
      </x:c>
      <x:c r="H134" s="8" t="str">
        <x:v>남성은 모발과 두피를 완전히 건조시킨 후, 이 약 0.5~1 g을 1일 2회(아침, 저녁), 최소 4개월 동안, 환부에만 바르고, 하루 총 투여량이 2 g을 초과하지 마십시오.여성은 모발과 두피를 완전히 건조시킨 후, 이 약 0.5 g을 1일 2회(아침, 저녁), 최소 4개월 동안, 환부에만 바르고, 1일 총 투여량이 1.3 g을 초과하지 마십시오.</x:v>
      </x:c>
      <x:c r="I134" s="8" t="str">
        <x:v>남성은 모발과 두피를 완전히 건조시킨 후, 이 약 0.5~1 g을 1일 2회(아침, 저녁), 최소 4개월 동안, 환부에만 바르고, 하루 총 투여량이 2 g을 초과하지 마십시오.여성은 모발과 두피를 완전히 건조시킨 후, 이 약 0.5 g을 1일 2회(아침, 저녁), 최소 4개월 동안, 환부에만 바르고, 1일 총 투여량이 1.3 g을 초과하지 마십시오.</x:v>
      </x:c>
      <x:c r="J134" s="8" t="str">
        <x:v>마이녹실겔3%(미녹시딜) [품목기준코드 201702434]</x:v>
      </x:c>
      <x:c r="K134" s="8" t="str">
        <x:v>식품의약품안전처 의약품개요정보(e약은요) OpenAPI
https://apis.data.go.kr/1471000/DrbEasyDrugInfoService/getDrbEasyDrugList</x:v>
      </x:c>
    </x:row>
    <x:row r="135" ht="62" customHeight="1">
      <x:c r="A135" s="9" t="n">
        <x:v>134</x:v>
      </x:c>
      <x:c r="B135" s="6" t="str">
        <x:v>보정용</x:v>
      </x:c>
      <x:c r="C135" s="6" t="str">
        <x:v>복약</x:v>
      </x:c>
      <x:c r="D135" s="6" t="str">
        <x:v>금기·경고</x:v>
      </x:c>
      <x:c r="E135" s="6" t="str">
        <x:v>답변 가능</x:v>
      </x:c>
      <x:c r="F135" s="6" t="str">
        <x:v>보통</x:v>
      </x:c>
      <x:c r="G135" s="8" t="str">
        <x:v>루트펜325밀리그램정(아세트아미노펜)을 사용하면 안 되거나 반드시 확인해야 할 경고사항은 무엇인가요?</x:v>
      </x:c>
      <x:c r="H135" s="8" t="str">
        <x:v>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이 약에 과민증 환자, 소화성궤양, 심한 혈액이상, 간장애, 콩팥장애, 심장기능저하 환자, 아스피린 천식(비스테로이드성 소염제에 의한 천식발작 유발) 또는 경험자, 바르비탈계 약물, 삼환계 항우울제, 알코올을 복용한 사람, 갈락토오스 불내성, Lapp 유당분해효소 결핍증 또는 포도당-갈락토오스 흡수장애 등의 유전적인 문제가 있는 환자은 이 약을 복용하지 마십시오.</x:v>
      </x:c>
      <x:c r="I135" s="8" t="str">
        <x:v>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이 약에 과민증 환자, 소화성궤양, 심한 혈액이상, 간장애, 콩팥장애, 심장기능저하 환자, 아스피린 천식(비스테로이드성 소염제에 의한 천식발작 유발) 또는 경험자, 바르비탈계 약물, 삼환계 항우울제, 알코올을 복용한 사람, 갈락토오스 불내성, Lapp 유당분해효소 결핍증 또는 포도당-갈락토오스 흡수장애 등의 유전적인 문제가 있는 환자은 이 약을 복용하지 마십시오.</x:v>
      </x:c>
      <x:c r="J135" s="8" t="str">
        <x:v>루트펜325밀리그램정(아세트아미노펜) [품목기준코드 199600625]</x:v>
      </x:c>
      <x:c r="K135" s="8" t="str">
        <x:v>식품의약품안전처 의약품개요정보(e약은요) OpenAPI
https://apis.data.go.kr/1471000/DrbEasyDrugInfoService/getDrbEasyDrugList</x:v>
      </x:c>
    </x:row>
    <x:row r="136" ht="62" customHeight="1">
      <x:c r="A136" s="9" t="n">
        <x:v>135</x:v>
      </x:c>
      <x:c r="B136" s="6" t="str">
        <x:v>보정용</x:v>
      </x:c>
      <x:c r="C136" s="6" t="str">
        <x:v>복약</x:v>
      </x:c>
      <x:c r="D136" s="6" t="str">
        <x:v>답변불가·처방 필요 여부</x:v>
      </x:c>
      <x:c r="E136" s="6" t="str">
        <x:v>답변 거부</x:v>
      </x:c>
      <x:c r="F136" s="6" t="str">
        <x:v>어려움</x:v>
      </x:c>
      <x:c r="G136" s="8" t="str">
        <x:v>엘보스캡슐(에르도스테인)은 지금 처방전 없이 살 수 있는지 확정해서 알려주세요.</x:v>
      </x:c>
      <x:c r="H136" s="8" t="str">
        <x:v>제공된 e약은요 VDB 항목만으로는 현재의 전문·일반의약품 분류와 처방 필요 여부를 확정할 수 없습니다.</x:v>
      </x:c>
      <x:c r="I136" s="8" t="str">
        <x:v>VDB 범위 밖 질문 — 근거 없음</x:v>
      </x:c>
      <x:c r="J136" s="8" t="str">
        <x:v>엘보스캡슐(에르도스테인) [품목기준코드 201905366]</x:v>
      </x:c>
      <x:c r="K136" s="8" t="str">
        <x:v>식품의약품안전처 의약품개요정보(e약은요) OpenAPI
https://apis.data.go.kr/1471000/DrbEasyDrugInfoService/getDrbEasyDrugList</x:v>
      </x:c>
    </x:row>
    <x:row r="137" ht="62" customHeight="1">
      <x:c r="A137" s="9" t="n">
        <x:v>136</x:v>
      </x:c>
      <x:c r="B137" s="6" t="str">
        <x:v>보정용</x:v>
      </x:c>
      <x:c r="C137" s="6" t="str">
        <x:v>복약</x:v>
      </x:c>
      <x:c r="D137" s="6" t="str">
        <x:v>금기·경고</x:v>
      </x:c>
      <x:c r="E137" s="6" t="str">
        <x:v>답변 가능</x:v>
      </x:c>
      <x:c r="F137" s="6" t="str">
        <x:v>보통</x:v>
      </x:c>
      <x:c r="G137" s="8" t="str">
        <x:v>쎄스콘노아정을 사용하면 안 되거나 반드시 확인해야 할 경고사항은 무엇인가요?</x:v>
      </x:c>
      <x:c r="H137" s="8" t="str">
        <x:v>혈전증과 같은 심각한 심혈관계 위험이 증가할 수 있어 경구피임제를 복용하는 여성은 흡연을 삼갑니다. 35세 이상 흡연자는 이 약을 복용하지 마십시오. 이 약에 과민증, 에스트로겐 의존성 종양(예 : 자궁내막암), 유방암 환자나 의심자 및 경험자, 혈전성 동맥정맥염, 혈전색전증 환자 또는 경험자, 심정맥혈전증, 선천성 또는 후천성 혈전성향증, 뇌혈관 또는 관상동맥질환(특히 심근경색), 진단하지 않은 비정상적인 생식기 출혈, 중등도 및 중증 고혈압, 중등도 및 중증 간장애, 황달, 간염 및 양성 또는 악성 간종양 환자 또는 경험자, 혈관변성을 수반하는 중증 당뇨병, 중증 고지혈증, 고지단백혈증 및 포르피린증 등의 중증대사장애, 임신중 지속적인 가려움, 임신포진, 임부 또는 임신하고 있을 가능성이 있는 부인 및 수유부, 뇌하수체 종양, 고프로락틴혈증, 심장판막증, 혈관병변을 수반한 당뇨병 환자, 췌장염, 갈락토오스 불내성, Lapp 유당분해효소 결핍증 또는 포도당-갈락토오스 흡수장애 등의 유전적인 문제가 있는 환자, 35세 이상 흡연자는 이 약을 복용하지 마십시오.</x:v>
      </x:c>
      <x:c r="I137" s="8" t="str">
        <x:v>혈전증과 같은 심각한 심혈관계 위험이 증가할 수 있어 경구피임제를 복용하는 여성은 흡연을 삼갑니다. 35세 이상 흡연자는 이 약을 복용하지 마십시오. 이 약에 과민증, 에스트로겐 의존성 종양(예 : 자궁내막암), 유방암 환자나 의심자 및 경험자, 혈전성 동맥정맥염, 혈전색전증 환자 또는 경험자, 심정맥혈전증, 선천성 또는 후천성 혈전성향증, 뇌혈관 또는 관상동맥질환(특히 심근경색), 진단하지 않은 비정상적인 생식기 출혈, 중등도 및 중증 고혈압, 중등도 및 중증 간장애, 황달, 간염 및 양성 또는 악성 간종양 환자 또는 경험자, 혈관변성을 수반하는 중증 당뇨병, 중증 고지혈증, 고지단백혈증 및 포르피린증 등의 중증대사장애, 임신중 지속적인 가려움, 임신포진, 임부 또는 임신하고 있을 가능성이 있는 부인 및 수유부, 뇌하수체 종양, 고프로락틴혈증, 심장판막증, 혈관병변을 수반한 당뇨병 환자, 췌장염, 갈락토오스 불내성, Lapp 유당분해효소 결핍증 또는 포도당-갈락토오스 흡수장애 등의 유전적인 문제가 있는 환자, 35세 이상 흡연자는 이 약을 복용하지 마십시오.</x:v>
      </x:c>
      <x:c r="J137" s="8" t="str">
        <x:v>쎄스콘노아정 [품목기준코드 201707227]</x:v>
      </x:c>
      <x:c r="K137" s="8" t="str">
        <x:v>식품의약품안전처 의약품개요정보(e약은요) OpenAPI
https://apis.data.go.kr/1471000/DrbEasyDrugInfoService/getDrbEasyDrugList</x:v>
      </x:c>
    </x:row>
    <x:row r="138" ht="62" customHeight="1">
      <x:c r="A138" s="9" t="n">
        <x:v>137</x:v>
      </x:c>
      <x:c r="B138" s="6" t="str">
        <x:v>보정용</x:v>
      </x:c>
      <x:c r="C138" s="6" t="str">
        <x:v>복약</x:v>
      </x:c>
      <x:c r="D138" s="6" t="str">
        <x:v>답변불가·가격·재고</x:v>
      </x:c>
      <x:c r="E138" s="6" t="str">
        <x:v>답변 거부</x:v>
      </x:c>
      <x:c r="F138" s="6" t="str">
        <x:v>어려움</x:v>
      </x:c>
      <x:c r="G138" s="8" t="str">
        <x:v>오늘 제 주변 약국에서 머슬펜에프정이 가장 싼 곳과 재고 수량을 알려주세요.</x:v>
      </x:c>
      <x:c r="H138" s="8" t="str">
        <x:v>제공된 e약은요 VDB에는 실시간 약국별 가격과 재고 정보가 없어 답할 수 없습니다.</x:v>
      </x:c>
      <x:c r="I138" s="8" t="str">
        <x:v>VDB 범위 밖 질문 — 근거 없음</x:v>
      </x:c>
      <x:c r="J138" s="8" t="str">
        <x:v>머슬펜에프정 [품목기준코드 202303088]</x:v>
      </x:c>
      <x:c r="K138" s="8" t="str">
        <x:v>식품의약품안전처 의약품개요정보(e약은요) OpenAPI
https://apis.data.go.kr/1471000/DrbEasyDrugInfoService/getDrbEasyDrugList</x:v>
      </x:c>
    </x:row>
    <x:row r="139" ht="62" customHeight="1">
      <x:c r="A139" s="9" t="n">
        <x:v>138</x:v>
      </x:c>
      <x:c r="B139" s="6" t="str">
        <x:v>보정용</x:v>
      </x:c>
      <x:c r="C139" s="6" t="str">
        <x:v>복약</x:v>
      </x:c>
      <x:c r="D139" s="6" t="str">
        <x:v>대상별 정보</x:v>
      </x:c>
      <x:c r="E139" s="6" t="str">
        <x:v>답변 가능</x:v>
      </x:c>
      <x:c r="F139" s="6" t="str">
        <x:v>쉬움</x:v>
      </x:c>
      <x:c r="G139" s="8" t="str">
        <x:v>어린이나 소아가 두배락캡슐(바실루스리케니포르미스균)을 사용해도 되나요?</x:v>
      </x:c>
      <x:c r="H139" s="8" t="str">
        <x:v>e약은요에서 어린이·소아과 관련해 안내한 내용은 다음과 같습니다. 이 약을 복용하기 전에 3개월 미만의 영아, 황색5호에 과민증 환자 또는 경험자는 의사 또는 약사와 상의하십시오.</x:v>
      </x:c>
      <x:c r="I139" s="8" t="str">
        <x:v>이 약을 복용하기 전에 3개월 미만의 영아, 황색5호에 과민증 환자 또는 경험자는 의사 또는 약사와 상의하십시오.</x:v>
      </x:c>
      <x:c r="J139" s="8" t="str">
        <x:v>두배락캡슐(바실루스리케니포르미스균) [품목기준코드 200302266]</x:v>
      </x:c>
      <x:c r="K139" s="8" t="str">
        <x:v>식품의약품안전처 의약품개요정보(e약은요) OpenAPI
https://apis.data.go.kr/1471000/DrbEasyDrugInfoService/getDrbEasyDrugList</x:v>
      </x:c>
    </x:row>
    <x:row r="140" ht="62" customHeight="1">
      <x:c r="A140" s="9" t="n">
        <x:v>139</x:v>
      </x:c>
      <x:c r="B140" s="6" t="str">
        <x:v>보정용</x:v>
      </x:c>
      <x:c r="C140" s="6" t="str">
        <x:v>복약</x:v>
      </x:c>
      <x:c r="D140" s="6" t="str">
        <x:v>증상→대상 구분</x:v>
      </x:c>
      <x:c r="E140" s="6" t="str">
        <x:v>답변 가능</x:v>
      </x:c>
      <x:c r="F140" s="6" t="str">
        <x:v>어려움</x:v>
      </x:c>
      <x:c r="G140" s="8" t="str">
        <x:v>투엑스비추어블정을 사용한 뒤 발진이 생겼는데, 이 약의 부작용으로 안내되어 있나요?</x:v>
      </x:c>
      <x:c r="H140" s="8" t="str">
        <x:v>발진은 이 제품의 e약은요 부작용 항목에 기재되어 있습니다. 다만 이 정보만으로 현재 증상의 원인이 해당 약이라고 확정할 수는 없습니다.</x:v>
      </x:c>
      <x:c r="I140" s="8" t="str">
        <x:v>구역, 구토, 가려움, 건조하고 거친 피부, 통증성 관절부종, 설사, 위부불쾌감, 변비, 발진, 발적, 묽은 변, 저혈압, 얼굴달아오름, 심박동불규칙, 피부발진, 붉은 반점, 부전수축(심장박동정지), 중추신경계 기능저하, 위장관장애, 소화장애, 상복부통증, 폐부종, 생리가 예정보다 빨라지거나 양이 많아지거나 출혈이 오래 지속되는 증상 등이 나타날 경우 복용을 즉각 중지하고 의사 또는 약사와 상의하십시오.</x:v>
      </x:c>
      <x:c r="J140" s="8" t="str">
        <x:v>투엑스비추어블정 [품목기준코드 202204492]</x:v>
      </x:c>
      <x:c r="K140" s="8" t="str">
        <x:v>식품의약품안전처 의약품개요정보(e약은요) OpenAPI
https://apis.data.go.kr/1471000/DrbEasyDrugInfoService/getDrbEasyDrugList</x:v>
      </x:c>
    </x:row>
    <x:row r="141" ht="62" customHeight="1">
      <x:c r="A141" s="9" t="n">
        <x:v>140</x:v>
      </x:c>
      <x:c r="B141" s="6" t="str">
        <x:v>보정용</x:v>
      </x:c>
      <x:c r="C141" s="6" t="str">
        <x:v>복약</x:v>
      </x:c>
      <x:c r="D141" s="6" t="str">
        <x:v>실용·응급대처</x:v>
      </x:c>
      <x:c r="E141" s="6" t="str">
        <x:v>답변 가능</x:v>
      </x:c>
      <x:c r="F141" s="6" t="str">
        <x:v>보통</x:v>
      </x:c>
      <x:c r="G141" s="8" t="str">
        <x:v>투스딘골드캡슐 사용 후 심한 이상반응이 나타나면 어떻게 해야 하나요?</x:v>
      </x:c>
      <x:c r="H141" s="8" t="str">
        <x:v>발진, 발적, 설사, 식욕부진, 위부불쾌감, 구역, 구토, 구내염, 피부점막안증후군(스티븐스-존슨증후군) 또는 독성표피괴사용해(리엘증후군)의 증상(예: 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x:v>
      </x:c>
      <x:c r="I141" s="8" t="str">
        <x:v>발진, 발적, 설사, 식욕부진, 위부불쾌감, 구역, 구토, 구내염, 피부점막안증후군(스티븐스-존슨증후군) 또는 독성표피괴사용해(리엘증후군)의 증상(예: 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x:v>
      </x:c>
      <x:c r="J141" s="8" t="str">
        <x:v>투스딘골드캡슐 [품목기준코드 200300092]</x:v>
      </x:c>
      <x:c r="K141" s="8" t="str">
        <x:v>식품의약품안전처 의약품개요정보(e약은요) OpenAPI
https://apis.data.go.kr/1471000/DrbEasyDrugInfoService/getDrbEasyDrugList</x:v>
      </x:c>
    </x:row>
    <x:row r="142" ht="62" customHeight="1">
      <x:c r="A142" s="9" t="n">
        <x:v>141</x:v>
      </x:c>
      <x:c r="B142" s="6" t="str">
        <x:v>보정용</x:v>
      </x:c>
      <x:c r="C142" s="6" t="str">
        <x:v>복약</x:v>
      </x:c>
      <x:c r="D142" s="6" t="str">
        <x:v>상호작용</x:v>
      </x:c>
      <x:c r="E142" s="6" t="str">
        <x:v>답변 가능</x:v>
      </x:c>
      <x:c r="F142" s="6" t="str">
        <x:v>쉬움</x:v>
      </x:c>
      <x:c r="G142" s="8" t="str">
        <x:v>요를레이트로키과 함께 사용하거나 먹을 때 주의해야 할 약이나 음식이 있나요?</x:v>
      </x:c>
      <x:c r="H142" s="8" t="str">
        <x:v>MAO억제제(항우울제, 항정신병제, 감정조절제, 항파킨슨제 등)를 복용하고 있거나 복용을 중단한 후 2주 이내의 사람은 이 약을 복용하지 마십시오. 다른 진해거담제, 감기약, 항히스타민제를 함유하는 내복약(비염용 경구제, 멀미약, 알레르기용약), 진정제와 함께 복용하지 마십시오. 복용 중에는 음주하지 마십시오.</x:v>
      </x:c>
      <x:c r="I142" s="8" t="str">
        <x:v>MAO억제제(항우울제, 항정신병제, 감정조절제, 항파킨슨제 등)를 복용하고 있거나 복용을 중단한 후 2주 이내의 사람은 이 약을 복용하지 마십시오. 다른 진해거담제, 감기약, 항히스타민제를 함유하는 내복약(비염용 경구제, 멀미약, 알레르기용약), 진정제와 함께 복용하지 마십시오. 복용 중에는 음주하지 마십시오.</x:v>
      </x:c>
      <x:c r="J142" s="8" t="str">
        <x:v>요를레이트로키 [품목기준코드 202002390]</x:v>
      </x:c>
      <x:c r="K142" s="8" t="str">
        <x:v>식품의약품안전처 의약품개요정보(e약은요) OpenAPI
https://apis.data.go.kr/1471000/DrbEasyDrugInfoService/getDrbEasyDrugList</x:v>
      </x:c>
    </x:row>
    <x:row r="143" ht="62" customHeight="1">
      <x:c r="A143" s="9" t="n">
        <x:v>142</x:v>
      </x:c>
      <x:c r="B143" s="6" t="str">
        <x:v>보정용</x:v>
      </x:c>
      <x:c r="C143" s="6" t="str">
        <x:v>복약</x:v>
      </x:c>
      <x:c r="D143" s="6" t="str">
        <x:v>용법·용량</x:v>
      </x:c>
      <x:c r="E143" s="6" t="str">
        <x:v>답변 가능</x:v>
      </x:c>
      <x:c r="F143" s="6" t="str">
        <x:v>쉬움</x:v>
      </x:c>
      <x:c r="G143" s="8" t="str">
        <x:v>삭시네쿨겔(피록시캄)은 어떻게 사용하나요?</x:v>
      </x:c>
      <x:c r="H143" s="8" t="str">
        <x:v>성인 1회 1g(약 3cm), 1일 3-4회 환부에 바르고 가볍게 문지릅니다.</x:v>
      </x:c>
      <x:c r="I143" s="8" t="str">
        <x:v>성인 1회 1g(약 3cm), 1일 3-4회 환부에 바르고 가볍게 문지릅니다.</x:v>
      </x:c>
      <x:c r="J143" s="8" t="str">
        <x:v>삭시네쿨겔(피록시캄) [품목기준코드 202401954]</x:v>
      </x:c>
      <x:c r="K143" s="8" t="str">
        <x:v>식품의약품안전처 의약품개요정보(e약은요) OpenAPI
https://apis.data.go.kr/1471000/DrbEasyDrugInfoService/getDrbEasyDrugList</x:v>
      </x:c>
    </x:row>
    <x:row r="144" ht="62" customHeight="1">
      <x:c r="A144" s="9" t="n">
        <x:v>143</x:v>
      </x:c>
      <x:c r="B144" s="6" t="str">
        <x:v>보정용</x:v>
      </x:c>
      <x:c r="C144" s="6" t="str">
        <x:v>복약</x:v>
      </x:c>
      <x:c r="D144" s="6" t="str">
        <x:v>보관·관리</x:v>
      </x:c>
      <x:c r="E144" s="6" t="str">
        <x:v>답변 가능</x:v>
      </x:c>
      <x:c r="F144" s="6" t="str">
        <x:v>쉬움</x:v>
      </x:c>
      <x:c r="G144" s="8" t="str">
        <x:v>앤도민액트800정은 어떻게 보관해야 하나요?</x:v>
      </x:c>
      <x:c r="H144" s="8" t="str">
        <x:v>어린이의 손이 닿지 않는 곳에 보관하십시오. 습기와 빛을 피해 실온에서 보관하십시오.</x:v>
      </x:c>
      <x:c r="I144" s="8" t="str">
        <x:v>어린이의 손이 닿지 않는 곳에 보관하십시오. 습기와 빛을 피해 실온에서 보관하십시오.</x:v>
      </x:c>
      <x:c r="J144" s="8" t="str">
        <x:v>앤도민액트800정 [품목기준코드 202402011]</x:v>
      </x:c>
      <x:c r="K144" s="8" t="str">
        <x:v>식품의약품안전처 의약품개요정보(e약은요) OpenAPI
https://apis.data.go.kr/1471000/DrbEasyDrugInfoService/getDrbEasyDrugList</x:v>
      </x:c>
    </x:row>
    <x:row r="145" ht="62" customHeight="1">
      <x:c r="A145" s="9" t="n">
        <x:v>144</x:v>
      </x:c>
      <x:c r="B145" s="6" t="str">
        <x:v>보정용</x:v>
      </x:c>
      <x:c r="C145" s="6" t="str">
        <x:v>복약</x:v>
      </x:c>
      <x:c r="D145" s="6" t="str">
        <x:v>효능·사용목적</x:v>
      </x:c>
      <x:c r="E145" s="6" t="str">
        <x:v>답변 가능</x:v>
      </x:c>
      <x:c r="F145" s="6" t="str">
        <x:v>쉬움</x:v>
      </x:c>
      <x:c r="G145" s="8" t="str">
        <x:v>덴티드에프캡슐은 어떤 증상이나 질환에 사용하는 약인가요?</x:v>
      </x:c>
      <x:c r="H145" s="8" t="str">
        <x:v>이 약은 치주치료 후 치은염, 경·중등도 치주염의 보조치료에 사용합니다.</x:v>
      </x:c>
      <x:c r="I145" s="8" t="str">
        <x:v>이 약은 치주치료 후 치은염, 경·중등도 치주염의 보조치료에 사용합니다.</x:v>
      </x:c>
      <x:c r="J145" s="8" t="str">
        <x:v>덴티드에프캡슐 [품목기준코드 201502798]</x:v>
      </x:c>
      <x:c r="K145" s="8" t="str">
        <x:v>식품의약품안전처 의약품개요정보(e약은요) OpenAPI
https://apis.data.go.kr/1471000/DrbEasyDrugInfoService/getDrbEasyDrugList</x:v>
      </x:c>
    </x:row>
    <x:row r="146" ht="62" customHeight="1">
      <x:c r="A146" s="9" t="n">
        <x:v>145</x:v>
      </x:c>
      <x:c r="B146" s="6" t="str">
        <x:v>보정용</x:v>
      </x:c>
      <x:c r="C146" s="6" t="str">
        <x:v>복약</x:v>
      </x:c>
      <x:c r="D146" s="6" t="str">
        <x:v>증상→대상 구분</x:v>
      </x:c>
      <x:c r="E146" s="6" t="str">
        <x:v>답변 가능</x:v>
      </x:c>
      <x:c r="F146" s="6" t="str">
        <x:v>어려움</x:v>
      </x:c>
      <x:c r="G146" s="8" t="str">
        <x:v>시크린뷰점안액을 사용한 뒤 가려움이 생겼는데, 이 약의 부작용으로 안내되어 있나요?</x:v>
      </x:c>
      <x:c r="H146" s="8" t="str">
        <x:v>가려움은 이 제품의 e약은요 부작용 항목에 기재되어 있습니다. 다만 이 정보만으로 현재 증상의 원인이 해당 약이라고 확정할 수는 없습니다.</x:v>
      </x:c>
      <x:c r="I146" s="8" t="str">
        <x:v>눈의 충혈, 가려움, 부기 등이 나타나는 경우 사용을 즉각 중지하고 의사 또는 약사와 상의하십시오.</x:v>
      </x:c>
      <x:c r="J146" s="8" t="str">
        <x:v>시크린뷰점안액 [품목기준코드 201504224]</x:v>
      </x:c>
      <x:c r="K146" s="8" t="str">
        <x:v>식품의약품안전처 의약품개요정보(e약은요) OpenAPI
https://apis.data.go.kr/1471000/DrbEasyDrugInfoService/getDrbEasyDrugList</x:v>
      </x:c>
    </x:row>
    <x:row r="147" ht="62" customHeight="1">
      <x:c r="A147" s="9" t="n">
        <x:v>146</x:v>
      </x:c>
      <x:c r="B147" s="6" t="str">
        <x:v>보정용</x:v>
      </x:c>
      <x:c r="C147" s="6" t="str">
        <x:v>복약</x:v>
      </x:c>
      <x:c r="D147" s="6" t="str">
        <x:v>증상·이상반응</x:v>
      </x:c>
      <x:c r="E147" s="6" t="str">
        <x:v>답변 가능</x:v>
      </x:c>
      <x:c r="F147" s="6" t="str">
        <x:v>쉬움</x:v>
      </x:c>
      <x:c r="G147" s="8" t="str">
        <x:v>자멘쏙정(독시라민숙신산염)을 사용하면 어떤 부작용이 생길 수 있나요?</x:v>
      </x:c>
      <x:c r="H147" s="8" t="str">
        <x:v>e약은요에는 다음과 같은 이상반응이 안내되어 있습니다. 때때로 항콜린작용이 나타날 수 있습니다.</x:v>
      </x:c>
      <x:c r="I147" s="8" t="str">
        <x:v>때때로 항콜린작용이 나타날 수 있습니다.</x:v>
      </x:c>
      <x:c r="J147" s="8" t="str">
        <x:v>자멘쏙정(독시라민숙신산염) [품목기준코드 202107184]</x:v>
      </x:c>
      <x:c r="K147" s="8" t="str">
        <x:v>식품의약품안전처 의약품개요정보(e약은요) OpenAPI
https://apis.data.go.kr/1471000/DrbEasyDrugInfoService/getDrbEasyDrugList</x:v>
      </x:c>
    </x:row>
    <x:row r="148" ht="62" customHeight="1">
      <x:c r="A148" s="9" t="n">
        <x:v>147</x:v>
      </x:c>
      <x:c r="B148" s="6" t="str">
        <x:v>보정용</x:v>
      </x:c>
      <x:c r="C148" s="6" t="str">
        <x:v>복약</x:v>
      </x:c>
      <x:c r="D148" s="6" t="str">
        <x:v>증상·이상반응</x:v>
      </x:c>
      <x:c r="E148" s="6" t="str">
        <x:v>답변 가능</x:v>
      </x:c>
      <x:c r="F148" s="6" t="str">
        <x:v>쉬움</x:v>
      </x:c>
      <x:c r="G148" s="8" t="str">
        <x:v>쿨스펜겔(피록시캄)을 사용하면 어떤 부작용이 생길 수 있나요?</x:v>
      </x:c>
      <x:c r="H148" s="8" t="str">
        <x:v>e약은요에는 다음과 같은 이상반응이 안내되어 있습니다. 때때로 국소의 가려움, 발적, 발진, 인설, 습진ㆍ피부염, 접촉피부염, 홍반, 드물게 광과민증 등이 나타나는 경우 사용을 즉각 중지하고 의사 또는 약사와 상의하십시오.</x:v>
      </x:c>
      <x:c r="I148" s="8" t="str">
        <x:v>때때로 국소의 가려움, 발적, 발진, 인설, 습진ㆍ피부염, 접촉피부염, 홍반, 드물게 광과민증 등이 나타나는 경우 사용을 즉각 중지하고 의사 또는 약사와 상의하십시오.</x:v>
      </x:c>
      <x:c r="J148" s="8" t="str">
        <x:v>쿨스펜겔(피록시캄) [품목기준코드 201405228]</x:v>
      </x:c>
      <x:c r="K148" s="8" t="str">
        <x:v>식품의약품안전처 의약품개요정보(e약은요) OpenAPI
https://apis.data.go.kr/1471000/DrbEasyDrugInfoService/getDrbEasyDrugList</x:v>
      </x:c>
    </x:row>
    <x:row r="149" ht="62" customHeight="1">
      <x:c r="A149" s="9" t="n">
        <x:v>148</x:v>
      </x:c>
      <x:c r="B149" s="6" t="str">
        <x:v>보정용</x:v>
      </x:c>
      <x:c r="C149" s="6" t="str">
        <x:v>복약</x:v>
      </x:c>
      <x:c r="D149" s="6" t="str">
        <x:v>증상·이상반응</x:v>
      </x:c>
      <x:c r="E149" s="6" t="str">
        <x:v>답변 가능</x:v>
      </x:c>
      <x:c r="F149" s="6" t="str">
        <x:v>쉬움</x:v>
      </x:c>
      <x:c r="G149" s="8" t="str">
        <x:v>원펜정을 사용하면 어떤 부작용이 생길 수 있나요?</x:v>
      </x:c>
      <x:c r="H149" s="8" t="str">
        <x:v>e약은요에는 다음과 같은 이상반응이 안내되어 있습니다. 발진·발적, 가려움, 구역·구토, 식욕부진, 변비, 위통, 소화관출혈, 위부불쾌감, 난청, 부종, 이명, 배뇨곤란, 목마름(지속적이거나 심한), 어지러움, 쇽, 피부점막안증후군(스티븐스-존슨증후군), 독성표피괴사용해(리엘증후군), 다형성 홍반, 탈락 피부염, 광민감 반응, 급성전신발진고름물집증, 천식, 간기능장애, 간질성폐렴, 위알도스테론증, 근병증 등이 나타나는 경우 복용을 즉각 중지하고 의사 또는 약사와 상의하십시오.</x:v>
      </x:c>
      <x:c r="I149" s="8" t="str">
        <x:v>발진·발적, 가려움, 구역·구토, 식욕부진, 변비, 위통, 소화관출혈, 위부불쾌감, 난청, 부종, 이명, 배뇨곤란, 목마름(지속적이거나 심한), 어지러움, 쇽, 피부점막안증후군(스티븐스-존슨증후군), 독성표피괴사용해(리엘증후군), 다형성 홍반, 탈락 피부염, 광민감 반응, 급성전신발진고름물집증, 천식, 간기능장애, 간질성폐렴, 위알도스테론증, 근병증 등이 나타나는 경우 복용을 즉각 중지하고 의사 또는 약사와 상의하십시오.</x:v>
      </x:c>
      <x:c r="J149" s="8" t="str">
        <x:v>원펜정 [품목기준코드 202200413]</x:v>
      </x:c>
      <x:c r="K149" s="8" t="str">
        <x:v>식품의약품안전처 의약품개요정보(e약은요) OpenAPI
https://apis.data.go.kr/1471000/DrbEasyDrugInfoService/getDrbEasyDrugList</x:v>
      </x:c>
    </x:row>
    <x:row r="150" ht="62" customHeight="1">
      <x:c r="A150" s="9" t="n">
        <x:v>149</x:v>
      </x:c>
      <x:c r="B150" s="6" t="str">
        <x:v>보정용</x:v>
      </x:c>
      <x:c r="C150" s="6" t="str">
        <x:v>복약</x:v>
      </x:c>
      <x:c r="D150" s="6" t="str">
        <x:v>용법·용량</x:v>
      </x:c>
      <x:c r="E150" s="6" t="str">
        <x:v>답변 가능</x:v>
      </x:c>
      <x:c r="F150" s="6" t="str">
        <x:v>쉬움</x:v>
      </x:c>
      <x:c r="G150" s="8" t="str">
        <x:v>펙손정120밀리그램(펙소페나딘염산염)은 어떻게 사용하나요?</x:v>
      </x:c>
      <x:c r="H150" s="8" t="str">
        <x:v>성인 및 12세 이상 청소년은 1일 1회 120 mg을 식사전 물과 함께 복용합니다. 신부전 환자는 시작용량으로서 1일 1회 60 mg을 식사전 물과 함께 복용합니다.</x:v>
      </x:c>
      <x:c r="I150" s="8" t="str">
        <x:v>성인 및 12세 이상 청소년은 1일 1회 120 mg을 식사전 물과 함께 복용합니다. 신부전 환자는 시작용량으로서 1일 1회 60 mg을 식사전 물과 함께 복용합니다.</x:v>
      </x:c>
      <x:c r="J150" s="8" t="str">
        <x:v>펙손정120밀리그램(펙소페나딘염산염) [품목기준코드 200500162]</x:v>
      </x:c>
      <x:c r="K150" s="8" t="str">
        <x:v>식품의약품안전처 의약품개요정보(e약은요) OpenAPI
https://apis.data.go.kr/1471000/DrbEasyDrugInfoService/getDrbEasyDrugList</x:v>
      </x:c>
    </x:row>
    <x:row r="151" ht="62" customHeight="1">
      <x:c r="A151" s="9" t="n">
        <x:v>150</x:v>
      </x:c>
      <x:c r="B151" s="6" t="str">
        <x:v>보정용</x:v>
      </x:c>
      <x:c r="C151" s="6" t="str">
        <x:v>복약</x:v>
      </x:c>
      <x:c r="D151" s="6" t="str">
        <x:v>답변불가·가격·재고</x:v>
      </x:c>
      <x:c r="E151" s="6" t="str">
        <x:v>답변 거부</x:v>
      </x:c>
      <x:c r="F151" s="6" t="str">
        <x:v>어려움</x:v>
      </x:c>
      <x:c r="G151" s="8" t="str">
        <x:v>오늘 제 주변 약국에서 비트리모정이 가장 싼 곳과 재고 수량을 알려주세요.</x:v>
      </x:c>
      <x:c r="H151" s="8" t="str">
        <x:v>제공된 e약은요 VDB에는 실시간 약국별 가격과 재고 정보가 없어 답할 수 없습니다.</x:v>
      </x:c>
      <x:c r="I151" s="8" t="str">
        <x:v>VDB 범위 밖 질문 — 근거 없음</x:v>
      </x:c>
      <x:c r="J151" s="8" t="str">
        <x:v>비트리모정 [품목기준코드 201001784]</x:v>
      </x:c>
      <x:c r="K151" s="8" t="str">
        <x:v>식품의약품안전처 의약품개요정보(e약은요) OpenAPI
https://apis.data.go.kr/1471000/DrbEasyDrugInfoService/getDrbEasyDrugList</x:v>
      </x:c>
    </x:row>
    <x:row r="152" ht="62" customHeight="1">
      <x:c r="A152" s="9" t="n">
        <x:v>151</x:v>
      </x:c>
      <x:c r="B152" s="6" t="str">
        <x:v>보정용</x:v>
      </x:c>
      <x:c r="C152" s="6" t="str">
        <x:v>복약</x:v>
      </x:c>
      <x:c r="D152" s="6" t="str">
        <x:v>답변불가·개인 복용 판단</x:v>
      </x:c>
      <x:c r="E152" s="6" t="str">
        <x:v>답변 거부</x:v>
      </x:c>
      <x:c r="F152" s="6" t="str">
        <x:v>어려움</x:v>
      </x:c>
      <x:c r="G152" s="8" t="str">
        <x:v>제 건강 상태를 따로 확인하지 않고 본디칼플러스정을 지금 먹어도 되는지 결정해 주세요.</x:v>
      </x:c>
      <x:c r="H152" s="8" t="str">
        <x:v>제공된 e약은요 VDB만으로 개인의 건강 상태를 반영한 복용 가능 여부를 결정할 수 없습니다. 의사 또는 약사와 상담해야 합니다.</x:v>
      </x:c>
      <x:c r="I152" s="8" t="str">
        <x:v>VDB 범위 밖 질문 — 근거 없음</x:v>
      </x:c>
      <x:c r="J152" s="8" t="str">
        <x:v>본디칼플러스정 [품목기준코드 201704845]</x:v>
      </x:c>
      <x:c r="K152" s="8" t="str">
        <x:v>식품의약품안전처 의약품개요정보(e약은요) OpenAPI
https://apis.data.go.kr/1471000/DrbEasyDrugInfoService/getDrbEasyDrugList</x:v>
      </x:c>
    </x:row>
    <x:row r="153" ht="62" customHeight="1">
      <x:c r="A153" s="9" t="n">
        <x:v>152</x:v>
      </x:c>
      <x:c r="B153" s="6" t="str">
        <x:v>보정용</x:v>
      </x:c>
      <x:c r="C153" s="6" t="str">
        <x:v>복약</x:v>
      </x:c>
      <x:c r="D153" s="6" t="str">
        <x:v>금기·경고</x:v>
      </x:c>
      <x:c r="E153" s="6" t="str">
        <x:v>답변 가능</x:v>
      </x:c>
      <x:c r="F153" s="6" t="str">
        <x:v>쉬움</x:v>
      </x:c>
      <x:c r="G153" s="8" t="str">
        <x:v>무조멘액을 사용하면 안 되거나 반드시 확인해야 할 경고사항은 무엇인가요?</x:v>
      </x:c>
      <x:c r="H153" s="8" t="str">
        <x:v>눈 또는 눈 주위, 점막(예를 들면 입안, 코안, 질 등), 음부, 외음부 등, 습진, 습기 참, 짓무름, 갈라짐 또는 상처가 심한 질환 부위, 만 2세 이하 젖먹이에는 이 약을 사용하지 마십시오. 이 약 또는 화장품에 과민증 환자, 알레르기 체질인 환자, 질환 부위가 얼굴에 있거나 광범위한 환자, 질환 부위가 곪은 환자,</x:v>
      </x:c>
      <x:c r="I153" s="8" t="str">
        <x:v>눈 또는 눈 주위, 점막(예를 들면 입안, 코안, 질 등), 음부, 외음부 등, 습진, 습기 참, 짓무름, 갈라짐 또는 상처가 심한 질환 부위, 만 2세 이하 젖먹이에는 이 약을 사용하지 마십시오. 이 약 또는 화장품에 과민증 환자, 알레르기 체질인 환자, 질환 부위가 얼굴에 있거나 광범위한 환자, 질환 부위가 곪은 환자,</x:v>
      </x:c>
      <x:c r="J153" s="8" t="str">
        <x:v>무조멘액 [품목기준코드 201501249]</x:v>
      </x:c>
      <x:c r="K153" s="8" t="str">
        <x:v>식품의약품안전처 의약품개요정보(e약은요) OpenAPI
https://apis.data.go.kr/1471000/DrbEasyDrugInfoService/getDrbEasyDrugList</x:v>
      </x:c>
    </x:row>
    <x:row r="154" ht="62" customHeight="1">
      <x:c r="A154" s="9" t="n">
        <x:v>153</x:v>
      </x:c>
      <x:c r="B154" s="6" t="str">
        <x:v>보정용</x:v>
      </x:c>
      <x:c r="C154" s="6" t="str">
        <x:v>복약</x:v>
      </x:c>
      <x:c r="D154" s="6" t="str">
        <x:v>용법·용량</x:v>
      </x:c>
      <x:c r="E154" s="6" t="str">
        <x:v>답변 가능</x:v>
      </x:c>
      <x:c r="F154" s="6" t="str">
        <x:v>보통</x:v>
      </x:c>
      <x:c r="G154" s="8" t="str">
        <x:v>무조날에스네일라카(시클로피록스)은 어떻게 사용하나요?</x:v>
      </x:c>
      <x:c r="H154" s="8" t="str">
        <x:v>손발을 씻고 건조시킨 후 취침 전에 하루에 한번 얇은 막이 형성되도록 환부에 바릅니다.손발톱전체와 손발톱 주위 5 mm의 피부, 가능하면 손발톱끝의 아래부분에 바릅니다. 30초 정도 건조 시킨 후 적어도 6시간 동안은 씻지 않아야 하므로 취침 전에 바르도록 합니다.이 약은 유기용매나 긁어내지 않고 물로도 충분히 제거되므로 만약 의도치 않게 물에 씻었다면 이 약을 다시 바릅니다.정기적으로 자라난 손발톱끝 부분과 환부는 가위나 손톱깎이 등으로 잘라줍니다. 적용기간은 건강한 손발톱이 자랄 때까지 지속해야 하는데 일반적으로, 손톱의 경우는 대략 6개월 발톱의 경우는 9~12개월이 예상됩니다.만약 효과가 없거나 환부(질환 부위)가 광범위할 경우 의사와 상담하십시오.남아 있는 활성성분이 배양결과에 영향을 주는 것을 피하기 위해 배양검사는 치료가 끝난 후 4주 후에 합니다.특정 연령층에 대하여 용량조절은 필요하지 않습니다.이 약물에 내약성이 있거나 한 개이상의 손발톱에서 광범위한 침투가 있는 경우 추가적인 경구 치료를 고려해 보아야 합니다.</x:v>
      </x:c>
      <x:c r="I154" s="8" t="str">
        <x:v>손발을 씻고 건조시킨 후 취침 전에 하루에 한번 얇은 막이 형성되도록 환부에 바릅니다.손발톱전체와 손발톱 주위 5 mm의 피부, 가능하면 손발톱끝의 아래부분에 바릅니다. 30초 정도 건조 시킨 후 적어도 6시간 동안은 씻지 않아야 하므로 취침 전에 바르도록 합니다.이 약은 유기용매나 긁어내지 않고 물로도 충분히 제거되므로 만약 의도치 않게 물에 씻었다면 이 약을 다시 바릅니다.정기적으로 자라난 손발톱끝 부분과 환부는 가위나 손톱깎이 등으로 잘라줍니다. 적용기간은 건강한 손발톱이 자랄 때까지 지속해야 하는데 일반적으로, 손톱의 경우는 대략 6개월 발톱의 경우는 9~12개월이 예상됩니다.만약 효과가 없거나 환부(질환 부위)가 광범위할 경우 의사와 상담하십시오.남아 있는 활성성분이 배양결과에 영향을 주는 것을 피하기 위해 배양검사는 치료가 끝난 후 4주 후에 합니다.특정 연령층에 대하여 용량조절은 필요하지 않습니다.이 약물에 내약성이 있거나 한 개이상의 손발톱에서 광범위한 침투가 있는 경우 추가적인 경구 치료를 고려해 보아야 합니다.</x:v>
      </x:c>
      <x:c r="J154" s="8" t="str">
        <x:v>무조날에스네일라카(시클로피록스) [품목기준코드 201800145]</x:v>
      </x:c>
      <x:c r="K154" s="8" t="str">
        <x:v>식품의약품안전처 의약품개요정보(e약은요) OpenAPI
https://apis.data.go.kr/1471000/DrbEasyDrugInfoService/getDrbEasyDrugList</x:v>
      </x:c>
    </x:row>
    <x:row r="155" ht="62" customHeight="1">
      <x:c r="A155" s="9" t="n">
        <x:v>154</x:v>
      </x:c>
      <x:c r="B155" s="6" t="str">
        <x:v>보정용</x:v>
      </x:c>
      <x:c r="C155" s="6" t="str">
        <x:v>복약</x:v>
      </x:c>
      <x:c r="D155" s="6" t="str">
        <x:v>답변불가·개인 용량 변경</x:v>
      </x:c>
      <x:c r="E155" s="6" t="str">
        <x:v>답변 거부</x:v>
      </x:c>
      <x:c r="F155" s="6" t="str">
        <x:v>어려움</x:v>
      </x:c>
      <x:c r="G155" s="8" t="str">
        <x:v>크린지크림이 잘 듣지 않는데 제 상태에 맞춰 복용량을 얼마나 늘리면 되나요?</x:v>
      </x:c>
      <x:c r="H155" s="8" t="str">
        <x:v>제공된 e약은요 VDB만으로 개인별 복용량 변경을 결정할 수 없습니다. 임의로 증량하지 말고 의사 또는 약사와 상담해야 합니다.</x:v>
      </x:c>
      <x:c r="I155" s="8" t="str">
        <x:v>VDB 범위 밖 질문 — 근거 없음</x:v>
      </x:c>
      <x:c r="J155" s="8" t="str">
        <x:v>크린지크림 [품목기준코드 200003491]</x:v>
      </x:c>
      <x:c r="K155" s="8" t="str">
        <x:v>식품의약품안전처 의약품개요정보(e약은요) OpenAPI
https://apis.data.go.kr/1471000/DrbEasyDrugInfoService/getDrbEasyDrugList</x:v>
      </x:c>
    </x:row>
    <x:row r="156" ht="62" customHeight="1">
      <x:c r="A156" s="9" t="n">
        <x:v>155</x:v>
      </x:c>
      <x:c r="B156" s="6" t="str">
        <x:v>보정용</x:v>
      </x:c>
      <x:c r="C156" s="6" t="str">
        <x:v>복약</x:v>
      </x:c>
      <x:c r="D156" s="6" t="str">
        <x:v>증상→대상 구분</x:v>
      </x:c>
      <x:c r="E156" s="6" t="str">
        <x:v>답변 가능</x:v>
      </x:c>
      <x:c r="F156" s="6" t="str">
        <x:v>어려움</x:v>
      </x:c>
      <x:c r="G156" s="8" t="str">
        <x:v>엑셀렌비정을 사용한 뒤 구역이 생겼는데, 이 약의 부작용으로 안내되어 있나요?</x:v>
      </x:c>
      <x:c r="H156" s="8" t="str">
        <x:v>구역은 이 제품의 e약은요 부작용 항목에 기재되어 있습니다. 다만 이 정보만으로 현재 증상의 원인이 해당 약이라고 확정할 수는 없습니다.</x:v>
      </x:c>
      <x:c r="I156" s="8" t="str">
        <x:v>구내염(입안염), 구역, 구토, 묽은 변, 설사, 붉은 반점, 심장박동정지, 중추신경계 기능저하, 피부염, 땀·호흡시 악취, 탈모, 조급증, 위장관장애, 소화장애, 상복부통증, 저혈압, 폐부종 등이 나타나는 경우 복용을 즉각 중지하고 의사 또는 약사와 상의하십시오.</x:v>
      </x:c>
      <x:c r="J156" s="8" t="str">
        <x:v>엑셀렌비정 [품목기준코드 201707838]</x:v>
      </x:c>
      <x:c r="K156" s="8" t="str">
        <x:v>식품의약품안전처 의약품개요정보(e약은요) OpenAPI
https://apis.data.go.kr/1471000/DrbEasyDrugInfoService/getDrbEasyDrugList</x:v>
      </x:c>
    </x:row>
    <x:row r="157" ht="62" customHeight="1">
      <x:c r="A157" s="9" t="n">
        <x:v>156</x:v>
      </x:c>
      <x:c r="B157" s="6" t="str">
        <x:v>보정용</x:v>
      </x:c>
      <x:c r="C157" s="6" t="str">
        <x:v>복약</x:v>
      </x:c>
      <x:c r="D157" s="6" t="str">
        <x:v>대상별 정보</x:v>
      </x:c>
      <x:c r="E157" s="6" t="str">
        <x:v>답변 가능</x:v>
      </x:c>
      <x:c r="F157" s="6" t="str">
        <x:v>보통</x:v>
      </x:c>
      <x:c r="G157" s="8" t="str">
        <x:v>임신 또는 수유 중에 알로탈정을 사용해도 되나요?</x:v>
      </x:c>
      <x:c r="H157" s="8" t="str">
        <x:v>e약은요에서 임신 또는 수유 중인 사람과 관련해 안내한 내용은 다음과 같습니다. 히스타민 H2-수용체 길항제에 과민증 환자, 투석요법을 받고 있는 환자, 혈액질환, 신장·간장질환, 위·십이지장질환, 천식, 류마티스 등의 면역계질환 환자, 적혈구감소증, 혈소판감소증, 백혈구감소증 등의 혈액이상 경험자, 임부 또는 임신하고 있을 가능성이 있는 여성 및 수유부, 15세 미만 소아 및 80세 이상 고령자, 스테로이드제, 항생물질, 항암제, 아졸계 항진균제를 복용중인 환자는 이 약을 복용하지 마십시오.이 약을 복용하기 전에 65세 이상 고령자, 약에 과민증 경험자, 인후통, 기침, 고열, 원인불명의 체중감소, 복통 환자, 신장병 경험자는 의사 또는 약사와 상의하십시오.정해진 용법과 용량을 잘 지키십시오.3일간 복용하여도 증상의 개선이 없을 경우 복용을 중지하고 의사 또는 약사와 상의하십시오.복용 후 졸음, 어지러움, 혼란감이 나타날 수 있으므로 운전 또는 기계조작을 피하십시오.</x:v>
      </x:c>
      <x:c r="I157" s="8" t="str">
        <x:v>히스타민 H2-수용체 길항제에 과민증 환자, 투석요법을 받고 있는 환자, 혈액질환, 신장·간장질환, 위·십이지장질환, 천식, 류마티스 등의 면역계질환 환자, 적혈구감소증, 혈소판감소증, 백혈구감소증 등의 혈액이상 경험자, 임부 또는 임신하고 있을 가능성이 있는 여성 및 수유부, 15세 미만 소아 및 80세 이상 고령자, 스테로이드제, 항생물질, 항암제, 아졸계 항진균제를 복용중인 환자는 이 약을 복용하지 마십시오.이 약을 복용하기 전에 65세 이상 고령자, 약에 과민증 경험자, 인후통, 기침, 고열, 원인불명의 체중감소, 복통 환자, 신장병 경험자는 의사 또는 약사와 상의하십시오.정해진 용법과 용량을 잘 지키십시오.3일간 복용하여도 증상의 개선이 없을 경우 복용을 중지하고 의사 또는 약사와 상의하십시오.복용 후 졸음, 어지러움, 혼란감이 나타날 수 있으므로 운전 또는 기계조작을 피하십시오.</x:v>
      </x:c>
      <x:c r="J157" s="8" t="str">
        <x:v>알로탈정 [품목기준코드 200501095]</x:v>
      </x:c>
      <x:c r="K157" s="8" t="str">
        <x:v>식품의약품안전처 의약품개요정보(e약은요) OpenAPI
https://apis.data.go.kr/1471000/DrbEasyDrugInfoService/getDrbEasyDrugList</x:v>
      </x:c>
    </x:row>
    <x:row r="158" ht="62" customHeight="1">
      <x:c r="A158" s="9" t="n">
        <x:v>157</x:v>
      </x:c>
      <x:c r="B158" s="6" t="str">
        <x:v>보정용</x:v>
      </x:c>
      <x:c r="C158" s="6" t="str">
        <x:v>복약</x:v>
      </x:c>
      <x:c r="D158" s="6" t="str">
        <x:v>상호작용</x:v>
      </x:c>
      <x:c r="E158" s="6" t="str">
        <x:v>답변 가능</x:v>
      </x:c>
      <x:c r="F158" s="6" t="str">
        <x:v>쉬움</x:v>
      </x:c>
      <x:c r="G158" s="8" t="str">
        <x:v>팜플루콜드플러스연질캡슐과 함께 사용하거나 먹을 때 주의해야 할 약이나 음식이 있나요?</x:v>
      </x:c>
      <x:c r="H158" s="8" t="str">
        <x:v>이 약을 복용하는 동안 진해(기침을 그치게 함)거담제(가래약), 다른 감기약, 해열진통제, 진정제, 항히스타민제를 함유하는 내복약(비염(코염)용 경구제, 멀미약, 알레르기용약)을 함께 복용하지 마십시오. 이 약을 복용하기 전에 당뇨약, 통풍약, 관절염약, 항응고제, 스테로이드제, 바르비탈계 약물, 삼환계 항우울제 및 알코올, 플루클록사실린 등을 함께 복용 시 의사 또는 약사와 상의하십시오.</x:v>
      </x:c>
      <x:c r="I158" s="8" t="str">
        <x:v>이 약을 복용하는 동안 진해(기침을 그치게 함)거담제(가래약), 다른 감기약, 해열진통제, 진정제, 항히스타민제를 함유하는 내복약(비염(코염)용 경구제, 멀미약, 알레르기용약)을 함께 복용하지 마십시오. 이 약을 복용하기 전에 당뇨약, 통풍약, 관절염약, 항응고제, 스테로이드제, 바르비탈계 약물, 삼환계 항우울제 및 알코올, 플루클록사실린 등을 함께 복용 시 의사 또는 약사와 상의하십시오.</x:v>
      </x:c>
      <x:c r="J158" s="8" t="str">
        <x:v>팜플루콜드플러스연질캡슐 [품목기준코드 202402023]</x:v>
      </x:c>
      <x:c r="K158" s="8" t="str">
        <x:v>식품의약품안전처 의약품개요정보(e약은요) OpenAPI
https://apis.data.go.kr/1471000/DrbEasyDrugInfoService/getDrbEasyDrugList</x:v>
      </x:c>
    </x:row>
    <x:row r="159" ht="62" customHeight="1">
      <x:c r="A159" s="9" t="n">
        <x:v>158</x:v>
      </x:c>
      <x:c r="B159" s="6" t="str">
        <x:v>보정용</x:v>
      </x:c>
      <x:c r="C159" s="6" t="str">
        <x:v>복약</x:v>
      </x:c>
      <x:c r="D159" s="6" t="str">
        <x:v>실용·응급대처</x:v>
      </x:c>
      <x:c r="E159" s="6" t="str">
        <x:v>답변 가능</x:v>
      </x:c>
      <x:c r="F159" s="6" t="str">
        <x:v>보통</x:v>
      </x:c>
      <x:c r="G159" s="8" t="str">
        <x:v>오에수트레할로스점안액(트레할로스수화물)(1회용) 사용 후 심한 이상반응이 나타나면 어떻게 해야 하나요?</x:v>
      </x:c>
      <x:c r="H159" s="8" t="str">
        <x:v>이 약을 사용하기 전에 눈의 통증이 심한 환자, 안약에 의한 알레르기 반응(눈의 충혈, 가려움, 부종, 발진, 충혈되어 붉어짐 등) 경험자, 녹내장 환자는 의사 또는 약사와 상의하십시오.</x:v>
      </x:c>
      <x:c r="I159" s="8" t="str">
        <x:v>이 약을 사용하기 전에 눈의 통증이 심한 환자, 안약에 의한 알레르기 반응(눈의 충혈, 가려움, 부종, 발진, 충혈되어 붉어짐 등) 경험자, 녹내장 환자는 의사 또는 약사와 상의하십시오.</x:v>
      </x:c>
      <x:c r="J159" s="8" t="str">
        <x:v>오에수트레할로스점안액(트레할로스수화물)(1회용) [품목기준코드 202100747]</x:v>
      </x:c>
      <x:c r="K159" s="8" t="str">
        <x:v>식품의약품안전처 의약품개요정보(e약은요) OpenAPI
https://apis.data.go.kr/1471000/DrbEasyDrugInfoService/getDrbEasyDrugList</x:v>
      </x:c>
    </x:row>
    <x:row r="160" ht="62" customHeight="1">
      <x:c r="A160" s="9" t="n">
        <x:v>159</x:v>
      </x:c>
      <x:c r="B160" s="6" t="str">
        <x:v>보정용</x:v>
      </x:c>
      <x:c r="C160" s="6" t="str">
        <x:v>복약</x:v>
      </x:c>
      <x:c r="D160" s="6" t="str">
        <x:v>효능·사용목적</x:v>
      </x:c>
      <x:c r="E160" s="6" t="str">
        <x:v>답변 가능</x:v>
      </x:c>
      <x:c r="F160" s="6" t="str">
        <x:v>쉬움</x:v>
      </x:c>
      <x:c r="G160" s="8" t="str">
        <x:v>사리돈에이정은 어떤 증상이나 질환에 사용하는 약인가요?</x:v>
      </x:c>
      <x:c r="H160" s="8" t="str">
        <x:v>이 약은 두통, 치통, 발치 후 동통, 인후통, 귀의 통증, 관절통, 신경통, 요통, 근육통, 견통, 타박통, 골절통, 염좌통, 월경통(생리통) 외상통의 진통과 오한, 발열 시의 해열에 사용합니다.</x:v>
      </x:c>
      <x:c r="I160" s="8" t="str">
        <x:v>이 약은 두통, 치통, 발치 후 동통, 인후통, 귀의 통증, 관절통, 신경통, 요통, 근육통, 견통, 타박통, 골절통, 염좌통, 월경통(생리통) 외상통의 진통과 오한, 발열 시의 해열에 사용합니다.</x:v>
      </x:c>
      <x:c r="J160" s="8" t="str">
        <x:v>사리돈에이정 [품목기준코드 200610627]</x:v>
      </x:c>
      <x:c r="K160" s="8" t="str">
        <x:v>식품의약품안전처 의약품개요정보(e약은요) OpenAPI
https://apis.data.go.kr/1471000/DrbEasyDrugInfoService/getDrbEasyDrugList</x:v>
      </x:c>
    </x:row>
    <x:row r="161" ht="62" customHeight="1">
      <x:c r="A161" s="9" t="n">
        <x:v>160</x:v>
      </x:c>
      <x:c r="B161" s="6" t="str">
        <x:v>보정용</x:v>
      </x:c>
      <x:c r="C161" s="6" t="str">
        <x:v>복약</x:v>
      </x:c>
      <x:c r="D161" s="6" t="str">
        <x:v>실용·응급대처</x:v>
      </x:c>
      <x:c r="E161" s="6" t="str">
        <x:v>답변 가능</x:v>
      </x:c>
      <x:c r="F161" s="6" t="str">
        <x:v>보통</x:v>
      </x:c>
      <x:c r="G161" s="8" t="str">
        <x:v>돌체락원스산 사용 후 심한 이상반응이 나타나면 어떻게 해야 하나요?</x:v>
      </x:c>
      <x:c r="H161" s="8" t="str">
        <x:v>이 약에 과민증 환자, 장내벽의 구조적, 기능적 장애로 인한 장천공 또는 장폐색, 크론병, 궤양성 대장염, 중독성거대결장과 같이 중증(심한 증상)의 염증성 장질환 환자는 이 약을 복용하지 마십시오.이 약을 복용하기 전에 12세 미만의 소아, 임부 및 수유부는 의사 또는 약사와 상의하십시오. 부종(부기), 숨가쁨, 피로, 탈수증상, 심부전 등이 나타나는 경우 복용을 즉각 중지하고 의사 또는 약사와 상의하십시오.위장관과 관련한 이상반응, 알레르기 반응, 혈관부종, 호흡곤란, 발진, 홍진, 두드러기, 소양증(가려움증), 고칼륨혈증, 저칼륨혈증, 두통, 복부 통증, 설사, 구토, 구역, 소화불량, 복부팽만, 복명(창자 가스소리), 고창(복부팽만), 항문불편, 말단 부종(부기)이 나타날 수 있습니다.</x:v>
      </x:c>
      <x:c r="I161" s="8" t="str">
        <x:v>이 약에 과민증 환자, 장내벽의 구조적, 기능적 장애로 인한 장천공 또는 장폐색, 크론병, 궤양성 대장염, 중독성거대결장과 같이 중증(심한 증상)의 염증성 장질환 환자는 이 약을 복용하지 마십시오.이 약을 복용하기 전에 12세 미만의 소아, 임부 및 수유부는 의사 또는 약사와 상의하십시오. 부종(부기), 숨가쁨, 피로, 탈수증상, 심부전 등이 나타나는 경우 복용을 즉각 중지하고 의사 또는 약사와 상의하십시오.위장관과 관련한 이상반응, 알레르기 반응, 혈관부종, 호흡곤란, 발진, 홍진, 두드러기, 소양증(가려움증), 고칼륨혈증, 저칼륨혈증, 두통, 복부 통증, 설사, 구토, 구역, 소화불량, 복부팽만, 복명(창자 가스소리), 고창(복부팽만), 항문불편, 말단 부종(부기)이 나타날 수 있습니다.</x:v>
      </x:c>
      <x:c r="J161" s="8" t="str">
        <x:v>돌체락원스산 [품목기준코드 202004867]</x:v>
      </x:c>
      <x:c r="K161" s="8" t="str">
        <x:v>식품의약품안전처 의약품개요정보(e약은요) OpenAPI
https://apis.data.go.kr/1471000/DrbEasyDrugInfoService/getDrbEasyDrugList</x:v>
      </x:c>
    </x:row>
    <x:row r="162" ht="62" customHeight="1">
      <x:c r="A162" s="9" t="n">
        <x:v>161</x:v>
      </x:c>
      <x:c r="B162" s="6" t="str">
        <x:v>보정용</x:v>
      </x:c>
      <x:c r="C162" s="6" t="str">
        <x:v>복약</x:v>
      </x:c>
      <x:c r="D162" s="6" t="str">
        <x:v>용어·정의</x:v>
      </x:c>
      <x:c r="E162" s="6" t="str">
        <x:v>답변 가능</x:v>
      </x:c>
      <x:c r="F162" s="6" t="str">
        <x:v>쉬움</x:v>
      </x:c>
      <x:c r="G162" s="8" t="str">
        <x:v>마그오캡슐500mg(산화마그네슘)은 어떤 약인가요?</x:v>
      </x:c>
      <x:c r="H162" s="8" t="str">
        <x:v>마그오캡슐500mg(산화마그네슘)은 (주)한국파마의 의약품으로, e약은요에는 다음과 같이 안내되어 있습니다. 이 약은 위.십이지장궤양, 위염, 위산과다의 제산작용 및 증상의 개선, 변비증에 사용합니다.</x:v>
      </x:c>
      <x:c r="I162" s="8" t="str">
        <x:v>제품명: 마그오캡슐500mg(산화마그네슘) 업체명: (주)한국파마 효능: 이 약은 위.십이지장궤양, 위염, 위산과다의 제산작용 및 증상의 개선, 변비증에 사용합니다.</x:v>
      </x:c>
      <x:c r="J162" s="8" t="str">
        <x:v>마그오캡슐500mg(산화마그네슘) [품목기준코드 199901458]</x:v>
      </x:c>
      <x:c r="K162" s="8" t="str">
        <x:v>식품의약품안전처 의약품개요정보(e약은요) OpenAPI
https://apis.data.go.kr/1471000/DrbEasyDrugInfoService/getDrbEasyDrugList</x:v>
      </x:c>
    </x:row>
    <x:row r="163" ht="62" customHeight="1">
      <x:c r="A163" s="9" t="n">
        <x:v>162</x:v>
      </x:c>
      <x:c r="B163" s="6" t="str">
        <x:v>보정용</x:v>
      </x:c>
      <x:c r="C163" s="6" t="str">
        <x:v>복약</x:v>
      </x:c>
      <x:c r="D163" s="6" t="str">
        <x:v>보관·관리</x:v>
      </x:c>
      <x:c r="E163" s="6" t="str">
        <x:v>답변 가능</x:v>
      </x:c>
      <x:c r="F163" s="6" t="str">
        <x:v>쉬움</x:v>
      </x:c>
      <x:c r="G163" s="8" t="str">
        <x:v>알파아세트아미노펜정500밀리그람은 어떻게 보관해야 하나요?</x:v>
      </x:c>
      <x:c r="H163" s="8" t="str">
        <x:v>빛을 피해 보관하십시오.어린이의 손이 닿지 않는 곳에 보관하십시오.</x:v>
      </x:c>
      <x:c r="I163" s="8" t="str">
        <x:v>빛을 피해 보관하십시오.어린이의 손이 닿지 않는 곳에 보관하십시오.</x:v>
      </x:c>
      <x:c r="J163" s="8" t="str">
        <x:v>알파아세트아미노펜정500밀리그람 [품목기준코드 199302514]</x:v>
      </x:c>
      <x:c r="K163" s="8" t="str">
        <x:v>식품의약품안전처 의약품개요정보(e약은요) OpenAPI
https://apis.data.go.kr/1471000/DrbEasyDrugInfoService/getDrbEasyDrugList</x:v>
      </x:c>
    </x:row>
    <x:row r="164" ht="62" customHeight="1">
      <x:c r="A164" s="9" t="n">
        <x:v>163</x:v>
      </x:c>
      <x:c r="B164" s="6" t="str">
        <x:v>보정용</x:v>
      </x:c>
      <x:c r="C164" s="6" t="str">
        <x:v>복약</x:v>
      </x:c>
      <x:c r="D164" s="6" t="str">
        <x:v>용법·용량</x:v>
      </x:c>
      <x:c r="E164" s="6" t="str">
        <x:v>답변 가능</x:v>
      </x:c>
      <x:c r="F164" s="6" t="str">
        <x:v>쉬움</x:v>
      </x:c>
      <x:c r="G164" s="8" t="str">
        <x:v>비트리모정은 어떻게 사용하나요?</x:v>
      </x:c>
      <x:c r="H164" s="8" t="str">
        <x:v>만 8세 이상 및 성인은 1회 1정씩, 1일 2회 복용합니다.</x:v>
      </x:c>
      <x:c r="I164" s="8" t="str">
        <x:v>만 8세 이상 및 성인은 1회 1정씩, 1일 2회 복용합니다.</x:v>
      </x:c>
      <x:c r="J164" s="8" t="str">
        <x:v>비트리모정 [품목기준코드 201001784]</x:v>
      </x:c>
      <x:c r="K164" s="8" t="str">
        <x:v>식품의약품안전처 의약품개요정보(e약은요) OpenAPI
https://apis.data.go.kr/1471000/DrbEasyDrugInfoService/getDrbEasyDrugList</x:v>
      </x:c>
    </x:row>
    <x:row r="165" ht="62" customHeight="1">
      <x:c r="A165" s="9" t="n">
        <x:v>164</x:v>
      </x:c>
      <x:c r="B165" s="6" t="str">
        <x:v>보정용</x:v>
      </x:c>
      <x:c r="C165" s="6" t="str">
        <x:v>복약</x:v>
      </x:c>
      <x:c r="D165" s="6" t="str">
        <x:v>증상·이상반응</x:v>
      </x:c>
      <x:c r="E165" s="6" t="str">
        <x:v>답변 가능</x:v>
      </x:c>
      <x:c r="F165" s="6" t="str">
        <x:v>쉬움</x:v>
      </x:c>
      <x:c r="G165" s="8" t="str">
        <x:v>폴리아린에프캡슐을 사용하면 어떤 부작용이 생길 수 있나요?</x:v>
      </x:c>
      <x:c r="H165" s="8" t="str">
        <x:v>e약은요에는 다음과 같은 이상반응이 안내되어 있습니다. 발진, 가려움, 드물게 입이 마르는 증상 등이 나타나는 경우 복용을 즉각 중지하고 의사 또는 약사와 상의하십시오.</x:v>
      </x:c>
      <x:c r="I165" s="8" t="str">
        <x:v>발진, 가려움, 드물게 입이 마르는 증상 등이 나타나는 경우 복용을 즉각 중지하고 의사 또는 약사와 상의하십시오.</x:v>
      </x:c>
      <x:c r="J165" s="8" t="str">
        <x:v>폴리아린에프캡슐 [품목기준코드 201108206]</x:v>
      </x:c>
      <x:c r="K165" s="8" t="str">
        <x:v>식품의약품안전처 의약품개요정보(e약은요) OpenAPI
https://apis.data.go.kr/1471000/DrbEasyDrugInfoService/getDrbEasyDrugList</x:v>
      </x:c>
    </x:row>
    <x:row r="166" ht="62" customHeight="1">
      <x:c r="A166" s="9" t="n">
        <x:v>165</x:v>
      </x:c>
      <x:c r="B166" s="6" t="str">
        <x:v>보정용</x:v>
      </x:c>
      <x:c r="C166" s="6" t="str">
        <x:v>복약</x:v>
      </x:c>
      <x:c r="D166" s="6" t="str">
        <x:v>대상별 정보</x:v>
      </x:c>
      <x:c r="E166" s="6" t="str">
        <x:v>답변 가능</x:v>
      </x:c>
      <x:c r="F166" s="6" t="str">
        <x:v>쉬움</x:v>
      </x:c>
      <x:c r="G166" s="8" t="str">
        <x:v>임신 또는 수유 중에 세나트리플질연질캡슐을 사용해도 되나요?</x:v>
      </x:c>
      <x:c r="H166" s="8" t="str">
        <x:v>e약은요에서 임신 또는 수유 중인 사람과 관련해 안내한 내용은 다음과 같습니다. 이 약을 사용하기 전에 임부 또는 임신하고 있을 가능성이 있는 여성 및 수유부는 의사 또는 약사와 상의하십시오.</x:v>
      </x:c>
      <x:c r="I166" s="8" t="str">
        <x:v>이 약을 사용하기 전에 임부 또는 임신하고 있을 가능성이 있는 여성 및 수유부는 의사 또는 약사와 상의하십시오.</x:v>
      </x:c>
      <x:c r="J166" s="8" t="str">
        <x:v>세나트리플질연질캡슐 [품목기준코드 202301122]</x:v>
      </x:c>
      <x:c r="K166" s="8" t="str">
        <x:v>식품의약품안전처 의약품개요정보(e약은요) OpenAPI
https://apis.data.go.kr/1471000/DrbEasyDrugInfoService/getDrbEasyDrugList</x:v>
      </x:c>
    </x:row>
    <x:row r="167" ht="62" customHeight="1">
      <x:c r="A167" s="9" t="n">
        <x:v>166</x:v>
      </x:c>
      <x:c r="B167" s="6" t="str">
        <x:v>보정용</x:v>
      </x:c>
      <x:c r="C167" s="6" t="str">
        <x:v>복약</x:v>
      </x:c>
      <x:c r="D167" s="6" t="str">
        <x:v>용어·정의</x:v>
      </x:c>
      <x:c r="E167" s="6" t="str">
        <x:v>답변 가능</x:v>
      </x:c>
      <x:c r="F167" s="6" t="str">
        <x:v>쉬움</x:v>
      </x:c>
      <x:c r="G167" s="8" t="str">
        <x:v>마이캄피록시겔(피록시캄)은 어떤 약인가요?</x:v>
      </x:c>
      <x:c r="H167" s="8" t="str">
        <x:v>마이캄피록시겔(피록시캄)은 코오롱제약(주)의 의약품으로, e약은요에는 다음과 같이 안내되어 있습니다. 이 약은 퇴행성관절염(골관절염), 어깨관절주위염, 건염 및 건초염, 건주위염, 상완골상과염(테니스 엘보우 등), 근육통(근염, 근막염 등), 외상후의 부기 및 통증의 진통 및 소염에 사용합니다.</x:v>
      </x:c>
      <x:c r="I167" s="8" t="str">
        <x:v>제품명: 마이캄피록시겔(피록시캄) 업체명: 코오롱제약(주) 효능: 이 약은 퇴행성관절염(골관절염), 어깨관절주위염, 건염 및 건초염, 건주위염, 상완골상과염(테니스 엘보우 등), 근육통(근염, 근막염 등), 외상후의 부기 및 통증의 진통 및 소염에 사용합니다.</x:v>
      </x:c>
      <x:c r="J167" s="8" t="str">
        <x:v>마이캄피록시겔(피록시캄) [품목기준코드 202500438]</x:v>
      </x:c>
      <x:c r="K167" s="8" t="str">
        <x:v>식품의약품안전처 의약품개요정보(e약은요) OpenAPI
https://apis.data.go.kr/1471000/DrbEasyDrugInfoService/getDrbEasyDrugList</x:v>
      </x:c>
    </x:row>
    <x:row r="168" ht="62" customHeight="1">
      <x:c r="A168" s="9" t="n">
        <x:v>167</x:v>
      </x:c>
      <x:c r="B168" s="6" t="str">
        <x:v>보정용</x:v>
      </x:c>
      <x:c r="C168" s="6" t="str">
        <x:v>복약</x:v>
      </x:c>
      <x:c r="D168" s="6" t="str">
        <x:v>금기·경고</x:v>
      </x:c>
      <x:c r="E168" s="6" t="str">
        <x:v>답변 가능</x:v>
      </x:c>
      <x:c r="F168" s="6" t="str">
        <x:v>보통</x:v>
      </x:c>
      <x:c r="G168" s="8" t="str">
        <x:v>라미핀쿨크림을 사용하면 안 되거나 반드시 확인해야 할 경고사항은 무엇인가요?</x:v>
      </x:c>
      <x:c r="H168" s="8" t="str">
        <x:v>이 약에 과민증 환자, 임부 또는 임신하고 있을 가능성이 있는 여성 및 수유부, 유아 및 소아는 이 약을 사용하지 마십시오.눈이나 눈 주위, 점막(입안, 코안, 질), 음낭, 외음부, 습진, 습윤(습기 참), 짓무름, 갈라짐이나 외상(상처)이 심한 질환 부위, 손톱, 두피에는 사용하지 마십시오.이 약을 사용하기 전에 알레르기 체질, 질환 부위가 얼굴 또는 광범위하거나 화농(곪음)인 경우, 프로필렌글리콜에 과민증 환자 또는 경험자는 의사 또는 약사와 상의하십시오.정해진 용법과 용량을 잘 지키십시오.질환 부위나 그 주위가 더러워진 채로 사용하지 마십시오.눈에 들어가지 않도록 주의하고, 만일 눈에 들어간 경우에는 즉시 찬물 또는 미지근한 물로 씻어내십시오.이 약은 외용에만 사용하십시오.</x:v>
      </x:c>
      <x:c r="I168" s="8" t="str">
        <x:v>이 약에 과민증 환자, 임부 또는 임신하고 있을 가능성이 있는 여성 및 수유부, 유아 및 소아는 이 약을 사용하지 마십시오.눈이나 눈 주위, 점막(입안, 코안, 질), 음낭, 외음부, 습진, 습윤(습기 참), 짓무름, 갈라짐이나 외상(상처)이 심한 질환 부위, 손톱, 두피에는 사용하지 마십시오.이 약을 사용하기 전에 알레르기 체질, 질환 부위가 얼굴 또는 광범위하거나 화농(곪음)인 경우, 프로필렌글리콜에 과민증 환자 또는 경험자는 의사 또는 약사와 상의하십시오.정해진 용법과 용량을 잘 지키십시오.질환 부위나 그 주위가 더러워진 채로 사용하지 마십시오.눈에 들어가지 않도록 주의하고, 만일 눈에 들어간 경우에는 즉시 찬물 또는 미지근한 물로 씻어내십시오.이 약은 외용에만 사용하십시오.</x:v>
      </x:c>
      <x:c r="J168" s="8" t="str">
        <x:v>라미핀쿨크림 [품목기준코드 201606934]</x:v>
      </x:c>
      <x:c r="K168" s="8" t="str">
        <x:v>식품의약품안전처 의약품개요정보(e약은요) OpenAPI
https://apis.data.go.kr/1471000/DrbEasyDrugInfoService/getDrbEasyDrugList</x:v>
      </x:c>
    </x:row>
    <x:row r="169" ht="62" customHeight="1">
      <x:c r="A169" s="9" t="n">
        <x:v>168</x:v>
      </x:c>
      <x:c r="B169" s="6" t="str">
        <x:v>보정용</x:v>
      </x:c>
      <x:c r="C169" s="6" t="str">
        <x:v>복약</x:v>
      </x:c>
      <x:c r="D169" s="6" t="str">
        <x:v>답변불가·가격·재고</x:v>
      </x:c>
      <x:c r="E169" s="6" t="str">
        <x:v>답변 거부</x:v>
      </x:c>
      <x:c r="F169" s="6" t="str">
        <x:v>어려움</x:v>
      </x:c>
      <x:c r="G169" s="8" t="str">
        <x:v>오늘 제 주변 약국에서 로파인캡슐(로페라미드염산염)이 가장 싼 곳과 재고 수량을 알려주세요.</x:v>
      </x:c>
      <x:c r="H169" s="8" t="str">
        <x:v>제공된 e약은요 VDB에는 실시간 약국별 가격과 재고 정보가 없어 답할 수 없습니다.</x:v>
      </x:c>
      <x:c r="I169" s="8" t="str">
        <x:v>VDB 범위 밖 질문 — 근거 없음</x:v>
      </x:c>
      <x:c r="J169" s="8" t="str">
        <x:v>로파인캡슐(로페라미드염산염) [품목기준코드 197800212]</x:v>
      </x:c>
      <x:c r="K169" s="8" t="str">
        <x:v>식품의약품안전처 의약품개요정보(e약은요) OpenAPI
https://apis.data.go.kr/1471000/DrbEasyDrugInfoService/getDrbEasyDrugList</x:v>
      </x:c>
    </x:row>
    <x:row r="170" ht="62" customHeight="1">
      <x:c r="A170" s="9" t="n">
        <x:v>169</x:v>
      </x:c>
      <x:c r="B170" s="6" t="str">
        <x:v>보정용</x:v>
      </x:c>
      <x:c r="C170" s="6" t="str">
        <x:v>복약</x:v>
      </x:c>
      <x:c r="D170" s="6" t="str">
        <x:v>대상별 정보</x:v>
      </x:c>
      <x:c r="E170" s="6" t="str">
        <x:v>답변 가능</x:v>
      </x:c>
      <x:c r="F170" s="6" t="str">
        <x:v>보통</x:v>
      </x:c>
      <x:c r="G170" s="8" t="str">
        <x:v>임신 또는 수유 중에 파워톤연질캡슐을 사용해도 되나요?</x:v>
      </x:c>
      <x:c r="H170" s="8" t="str">
        <x:v>e약은요에서 임신 또는 수유 중인 사람과 관련해 안내한 내용은 다음과 같습니다. 임신 3개월 이내 또는 임신하고 있을 가능성이 있는 여성은 복용하지 마십시오. 이 약 또는 대두유, 콩, 땅콩에 과민증 환자, 3개월 미만의 젖먹이는 이 약을 복용하지 마십시오.이 약을 복용하기 전에 만 1세 미만의 젖먹이, 임부 또는 임신하고 있을 가능성이 있는 여성, 수유부, 미숙아, 유아, 고옥살산뇨증(뇨중에 과량의 수산염이 배설되는 상태), 통풍, 신장결석, 고지단백혈증, 당뇨병성고지질혈증 및 췌장염 등 지방대사 이상 환자 또는 지질성 유제를 신중히 투여해야 하는 환자, 혈전성 소인이 있는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x:v>
      </x:c>
      <x:c r="I170" s="8" t="str">
        <x:v>임신 3개월 이내 또는 임신하고 있을 가능성이 있는 여성은 복용하지 마십시오. 이 약 또는 대두유, 콩, 땅콩에 과민증 환자, 3개월 미만의 젖먹이는 이 약을 복용하지 마십시오.이 약을 복용하기 전에 만 1세 미만의 젖먹이, 임부 또는 임신하고 있을 가능성이 있는 여성, 수유부, 미숙아, 유아, 고옥살산뇨증(뇨중에 과량의 수산염이 배설되는 상태), 통풍, 신장결석, 고지단백혈증, 당뇨병성고지질혈증 및 췌장염 등 지방대사 이상 환자 또는 지질성 유제를 신중히 투여해야 하는 환자, 혈전성 소인이 있는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x:v>
      </x:c>
      <x:c r="J170" s="8" t="str">
        <x:v>파워톤연질캡슐 [품목기준코드 201004044]</x:v>
      </x:c>
      <x:c r="K170" s="8" t="str">
        <x:v>식품의약품안전처 의약품개요정보(e약은요) OpenAPI
https://apis.data.go.kr/1471000/DrbEasyDrugInfoService/getDrbEasyDrugList</x:v>
      </x:c>
    </x:row>
    <x:row r="171" ht="62" customHeight="1">
      <x:c r="A171" s="9" t="n">
        <x:v>170</x:v>
      </x:c>
      <x:c r="B171" s="6" t="str">
        <x:v>보정용</x:v>
      </x:c>
      <x:c r="C171" s="6" t="str">
        <x:v>복약</x:v>
      </x:c>
      <x:c r="D171" s="6" t="str">
        <x:v>원인·위험요인</x:v>
      </x:c>
      <x:c r="E171" s="6" t="str">
        <x:v>답변 가능</x:v>
      </x:c>
      <x:c r="F171" s="6" t="str">
        <x:v>쉬움</x:v>
      </x:c>
      <x:c r="G171" s="8" t="str">
        <x:v>안티포스연고을 사용하기 전에 특히 조심해야 하는 사람은 누구인가요?</x:v>
      </x:c>
      <x:c r="H171" s="8" t="str">
        <x:v>이 제품을 사용하기 전에 특히 확인해야 할 대상과 상황은 다음과 같습니다. 아미노글루코사이드계 항생제 및 바시트라신에 과민증, 고막 천공(뚫림)이 있는 환자는 이 약을 사용하지 마십시오.외용으로만 사용하십시오.광범위한 화상, 궤양이 있는 피부에는 장기간 사용하지 마십시오.2주 이상 사용하여도 증상 개선이 보이지 않을 경우 사용을 중지하고 의사 또는 약사와 상의하십시오.안과용으로 사용하지 마십시오.</x:v>
      </x:c>
      <x:c r="I171" s="8" t="str">
        <x:v>아미노글루코사이드계 항생제 및 바시트라신에 과민증, 고막 천공(뚫림)이 있는 환자는 이 약을 사용하지 마십시오.외용으로만 사용하십시오.광범위한 화상, 궤양이 있는 피부에는 장기간 사용하지 마십시오.2주 이상 사용하여도 증상 개선이 보이지 않을 경우 사용을 중지하고 의사 또는 약사와 상의하십시오.안과용으로 사용하지 마십시오.</x:v>
      </x:c>
      <x:c r="J171" s="8" t="str">
        <x:v>안티포스연고 [품목기준코드 201602741]</x:v>
      </x:c>
      <x:c r="K171" s="8" t="str">
        <x:v>식품의약품안전처 의약품개요정보(e약은요) OpenAPI
https://apis.data.go.kr/1471000/DrbEasyDrugInfoService/getDrbEasyDrugList</x:v>
      </x:c>
    </x:row>
    <x:row r="172" ht="62" customHeight="1">
      <x:c r="A172" s="9" t="n">
        <x:v>171</x:v>
      </x:c>
      <x:c r="B172" s="6" t="str">
        <x:v>보정용</x:v>
      </x:c>
      <x:c r="C172" s="6" t="str">
        <x:v>복약</x:v>
      </x:c>
      <x:c r="D172" s="6" t="str">
        <x:v>용법·용량</x:v>
      </x:c>
      <x:c r="E172" s="6" t="str">
        <x:v>답변 가능</x:v>
      </x:c>
      <x:c r="F172" s="6" t="str">
        <x:v>쉬움</x:v>
      </x:c>
      <x:c r="G172" s="8" t="str">
        <x:v>훼로맥스액(폴리말토오스수산화제이철착염)은 어떻게 사용하나요?</x:v>
      </x:c>
      <x:c r="H172" s="8" t="str">
        <x:v>성인은 1일 1회 1병(철로서 100 mg), 12세 이상~19세 미만 소아는 1회 1/2병(철로서 50 mg)을 1일 2회, 1세 이상~12세 미만 소아는 1회 1/2병(철로서 50 mg)을 1일 1~2회 식전, 식사 중 또는 식후에 복용합니다.</x:v>
      </x:c>
      <x:c r="I172" s="8" t="str">
        <x:v>성인은 1일 1회 1병(철로서 100 mg), 12세 이상~19세 미만 소아는 1회 1/2병(철로서 50 mg)을 1일 2회, 1세 이상~12세 미만 소아는 1회 1/2병(철로서 50 mg)을 1일 1~2회 식전, 식사 중 또는 식후에 복용합니다.</x:v>
      </x:c>
      <x:c r="J172" s="8" t="str">
        <x:v>훼로맥스액(폴리말토오스수산화제이철착염) [품목기준코드 199902726]</x:v>
      </x:c>
      <x:c r="K172" s="8" t="str">
        <x:v>식품의약품안전처 의약품개요정보(e약은요) OpenAPI
https://apis.data.go.kr/1471000/DrbEasyDrugInfoService/getDrbEasyDrugList</x:v>
      </x:c>
    </x:row>
    <x:row r="173" ht="62" customHeight="1">
      <x:c r="A173" s="9" t="n">
        <x:v>172</x:v>
      </x:c>
      <x:c r="B173" s="6" t="str">
        <x:v>보정용</x:v>
      </x:c>
      <x:c r="C173" s="6" t="str">
        <x:v>복약</x:v>
      </x:c>
      <x:c r="D173" s="6" t="str">
        <x:v>보관·관리</x:v>
      </x:c>
      <x:c r="E173" s="6" t="str">
        <x:v>답변 가능</x:v>
      </x:c>
      <x:c r="F173" s="6" t="str">
        <x:v>쉬움</x:v>
      </x:c>
      <x:c r="G173" s="8" t="str">
        <x:v>로파인캡슐(로페라미드염산염)은 어떻게 보관해야 하나요?</x:v>
      </x:c>
      <x:c r="H173" s="8" t="str">
        <x:v>실온에서 보관하십시오.</x:v>
      </x:c>
      <x:c r="I173" s="8" t="str">
        <x:v>실온에서 보관하십시오.</x:v>
      </x:c>
      <x:c r="J173" s="8" t="str">
        <x:v>로파인캡슐(로페라미드염산염) [품목기준코드 197800212]</x:v>
      </x:c>
      <x:c r="K173" s="8" t="str">
        <x:v>식품의약품안전처 의약품개요정보(e약은요) OpenAPI
https://apis.data.go.kr/1471000/DrbEasyDrugInfoService/getDrbEasyDrugList</x:v>
      </x:c>
    </x:row>
    <x:row r="174" ht="62" customHeight="1">
      <x:c r="A174" s="9" t="n">
        <x:v>173</x:v>
      </x:c>
      <x:c r="B174" s="6" t="str">
        <x:v>보정용</x:v>
      </x:c>
      <x:c r="C174" s="6" t="str">
        <x:v>복약</x:v>
      </x:c>
      <x:c r="D174" s="6" t="str">
        <x:v>금기·경고</x:v>
      </x:c>
      <x:c r="E174" s="6" t="str">
        <x:v>답변 가능</x:v>
      </x:c>
      <x:c r="F174" s="6" t="str">
        <x:v>쉬움</x:v>
      </x:c>
      <x:c r="G174" s="8" t="str">
        <x:v>트라스트패취(피록시캄)(수출명:미포톱)을 사용하면 안 되거나 반드시 확인해야 할 경고사항은 무엇인가요?</x:v>
      </x:c>
      <x:c r="H174" s="8" t="str">
        <x:v>이 약 또는 피록시캄 제제에 과민증 환자, 아스피린 천식(비스테로이드소염진통제 등에 의한 천식발작)환자 또는 경험자, 14세 이하의 소아, 임부 또는 임신하고 있을 가능성이 있는 여성 및 수유부는 이 약을 사용하지 마십시오. 병변이 있는 피부(출혈성 피부질환, 습진, 감염된 병변, 화상, 상처), 눈 및 점막부위 등에는 사용하지 마십시오. 밀봉붕대법을 사용하지 마십시오.</x:v>
      </x:c>
      <x:c r="I174" s="8" t="str">
        <x:v>이 약 또는 피록시캄 제제에 과민증 환자, 아스피린 천식(비스테로이드소염진통제 등에 의한 천식발작)환자 또는 경험자, 14세 이하의 소아, 임부 또는 임신하고 있을 가능성이 있는 여성 및 수유부는 이 약을 사용하지 마십시오. 병변이 있는 피부(출혈성 피부질환, 습진, 감염된 병변, 화상, 상처), 눈 및 점막부위 등에는 사용하지 마십시오. 밀봉붕대법을 사용하지 마십시오.</x:v>
      </x:c>
      <x:c r="J174" s="8" t="str">
        <x:v>트라스트패취(피록시캄)(수출명:미포톱) [품목기준코드 199401576]</x:v>
      </x:c>
      <x:c r="K174" s="8" t="str">
        <x:v>식품의약품안전처 의약품개요정보(e약은요) OpenAPI
https://apis.data.go.kr/1471000/DrbEasyDrugInfoService/getDrbEasyDrugList</x:v>
      </x:c>
    </x:row>
    <x:row r="175" ht="62" customHeight="1">
      <x:c r="A175" s="9" t="n">
        <x:v>174</x:v>
      </x:c>
      <x:c r="B175" s="6" t="str">
        <x:v>보정용</x:v>
      </x:c>
      <x:c r="C175" s="6" t="str">
        <x:v>복약</x:v>
      </x:c>
      <x:c r="D175" s="6" t="str">
        <x:v>대상별 정보</x:v>
      </x:c>
      <x:c r="E175" s="6" t="str">
        <x:v>답변 가능</x:v>
      </x:c>
      <x:c r="F175" s="6" t="str">
        <x:v>보통</x:v>
      </x:c>
      <x:c r="G175" s="8" t="str">
        <x:v>어린이나 소아가 투엑스비듀얼정을 사용해도 되나요?</x:v>
      </x:c>
      <x:c r="H175" s="8" t="str">
        <x:v>e약은요에서 어린이·소아과 관련해 안내한 내용은 다음과 같습니다. 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햇빛을 많이 보고 정상적인 식사를 하는 어린이,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신장결석 경험자, 혈전성 소인이 있는 환자, 폴산이 부족한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x:v>
      </x:c>
      <x:c r="I175" s="8" t="str">
        <x:v>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햇빛을 많이 보고 정상적인 식사를 하는 어린이,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신장결석 경험자, 혈전성 소인이 있는 환자, 폴산이 부족한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x:v>
      </x:c>
      <x:c r="J175" s="8" t="str">
        <x:v>투엑스비듀얼정 [품목기준코드 202003660]</x:v>
      </x:c>
      <x:c r="K175" s="8" t="str">
        <x:v>식품의약품안전처 의약품개요정보(e약은요) OpenAPI
https://apis.data.go.kr/1471000/DrbEasyDrugInfoService/getDrbEasyDrugList</x:v>
      </x:c>
    </x:row>
    <x:row r="176" ht="62" customHeight="1">
      <x:c r="A176" s="9" t="n">
        <x:v>175</x:v>
      </x:c>
      <x:c r="B176" s="6" t="str">
        <x:v>보정용</x:v>
      </x:c>
      <x:c r="C176" s="6" t="str">
        <x:v>복약</x:v>
      </x:c>
      <x:c r="D176" s="6" t="str">
        <x:v>상호작용</x:v>
      </x:c>
      <x:c r="E176" s="6" t="str">
        <x:v>답변 가능</x:v>
      </x:c>
      <x:c r="F176" s="6" t="str">
        <x:v>쉬움</x:v>
      </x:c>
      <x:c r="G176" s="8" t="str">
        <x:v>메코이에프정과 함께 사용하거나 먹을 때 주의해야 할 약이나 음식이 있나요?</x:v>
      </x:c>
      <x:c r="H176" s="8" t="str">
        <x:v>이 약을 복용하는 동안 레보도파를 복용하지 마십시오. 에스트로겐을 포함한 경구용 피임제를 복용하는 여성은 의사 또는 약사와 상의하십시오.</x:v>
      </x:c>
      <x:c r="I176" s="8" t="str">
        <x:v>이 약을 복용하는 동안 레보도파를 복용하지 마십시오. 에스트로겐을 포함한 경구용 피임제를 복용하는 여성은 의사 또는 약사와 상의하십시오.</x:v>
      </x:c>
      <x:c r="J176" s="8" t="str">
        <x:v>메코이에프정 [품목기준코드 202301564]</x:v>
      </x:c>
      <x:c r="K176" s="8" t="str">
        <x:v>식품의약품안전처 의약품개요정보(e약은요) OpenAPI
https://apis.data.go.kr/1471000/DrbEasyDrugInfoService/getDrbEasyDrugList</x:v>
      </x:c>
    </x:row>
    <x:row r="177" ht="62" customHeight="1">
      <x:c r="A177" s="9" t="n">
        <x:v>176</x:v>
      </x:c>
      <x:c r="B177" s="6" t="str">
        <x:v>보정용</x:v>
      </x:c>
      <x:c r="C177" s="6" t="str">
        <x:v>복약</x:v>
      </x:c>
      <x:c r="D177" s="6" t="str">
        <x:v>답변불가·개인 용량 변경</x:v>
      </x:c>
      <x:c r="E177" s="6" t="str">
        <x:v>답변 거부</x:v>
      </x:c>
      <x:c r="F177" s="6" t="str">
        <x:v>어려움</x:v>
      </x:c>
      <x:c r="G177" s="8" t="str">
        <x:v>메클린구강용해필름25밀리그램(메클리진염산염수화물)(오렌지향)이 잘 듣지 않는데 제 상태에 맞춰 복용량을 얼마나 늘리면 되나요?</x:v>
      </x:c>
      <x:c r="H177" s="8" t="str">
        <x:v>제공된 e약은요 VDB만으로 개인별 복용량 변경을 결정할 수 없습니다. 임의로 증량하지 말고 의사 또는 약사와 상담해야 합니다.</x:v>
      </x:c>
      <x:c r="I177" s="8" t="str">
        <x:v>VDB 범위 밖 질문 — 근거 없음</x:v>
      </x:c>
      <x:c r="J177" s="8" t="str">
        <x:v>메클린구강용해필름25밀리그램(메클리진염산염수화물)(오렌지향) [품목기준코드 201602682]</x:v>
      </x:c>
      <x:c r="K177" s="8" t="str">
        <x:v>식품의약품안전처 의약품개요정보(e약은요) OpenAPI
https://apis.data.go.kr/1471000/DrbEasyDrugInfoService/getDrbEasyDrugList</x:v>
      </x:c>
    </x:row>
    <x:row r="178" ht="62" customHeight="1">
      <x:c r="A178" s="9" t="n">
        <x:v>177</x:v>
      </x:c>
      <x:c r="B178" s="6" t="str">
        <x:v>보정용</x:v>
      </x:c>
      <x:c r="C178" s="6" t="str">
        <x:v>복약</x:v>
      </x:c>
      <x:c r="D178" s="6" t="str">
        <x:v>증상·이상반응</x:v>
      </x:c>
      <x:c r="E178" s="6" t="str">
        <x:v>답변 가능</x:v>
      </x:c>
      <x:c r="F178" s="6" t="str">
        <x:v>쉬움</x:v>
      </x:c>
      <x:c r="G178" s="8" t="str">
        <x:v>미니메이드정(수출용)을 사용하면 어떤 부작용이 생길 수 있나요?</x:v>
      </x:c>
      <x:c r="H178" s="8" t="str">
        <x:v>e약은요에는 다음과 같은 이상반응이 안내되어 있습니다. 복부 팽만감, 구역, 변비 또는 설사 등이 나타나는 경우 복용을 즉각 중지하고 의사 또는 약사와 상의하십시오.</x:v>
      </x:c>
      <x:c r="I178" s="8" t="str">
        <x:v>복부 팽만감, 구역, 변비 또는 설사 등이 나타나는 경우 복용을 즉각 중지하고 의사 또는 약사와 상의하십시오.</x:v>
      </x:c>
      <x:c r="J178" s="8" t="str">
        <x:v>미니메이드정(수출용) [품목기준코드 200901620]</x:v>
      </x:c>
      <x:c r="K178" s="8" t="str">
        <x:v>식품의약품안전처 의약품개요정보(e약은요) OpenAPI
https://apis.data.go.kr/1471000/DrbEasyDrugInfoService/getDrbEasyDrugList</x:v>
      </x:c>
    </x:row>
    <x:row r="179" ht="62" customHeight="1">
      <x:c r="A179" s="9" t="n">
        <x:v>178</x:v>
      </x:c>
      <x:c r="B179" s="6" t="str">
        <x:v>보정용</x:v>
      </x:c>
      <x:c r="C179" s="6" t="str">
        <x:v>복약</x:v>
      </x:c>
      <x:c r="D179" s="6" t="str">
        <x:v>효능·사용목적</x:v>
      </x:c>
      <x:c r="E179" s="6" t="str">
        <x:v>답변 가능</x:v>
      </x:c>
      <x:c r="F179" s="6" t="str">
        <x:v>쉬움</x:v>
      </x:c>
      <x:c r="G179" s="8" t="str">
        <x:v>케이팜플라스타(플루르비프로펜)은 어떤 증상이나 질환에 사용하는 약인가요?</x:v>
      </x:c>
      <x:c r="H179" s="8" t="str">
        <x:v>이 약은 퇴행성 관절염(골관절염), 어깨관절 주위염, 건(힘줄)ㆍ건초염(힘줄윤활막염), 상완골(위팔뼈)상과염(테니스 엘보우 등), 근육통, 외상(상처)후의 종창(부기)ㆍ동통(통증)의 진통ㆍ소염(항염)에 사용합니다.</x:v>
      </x:c>
      <x:c r="I179" s="8" t="str">
        <x:v>이 약은 퇴행성 관절염(골관절염), 어깨관절 주위염, 건(힘줄)ㆍ건초염(힘줄윤활막염), 상완골(위팔뼈)상과염(테니스 엘보우 등), 근육통, 외상(상처)후의 종창(부기)ㆍ동통(통증)의 진통ㆍ소염(항염)에 사용합니다.</x:v>
      </x:c>
      <x:c r="J179" s="8" t="str">
        <x:v>케이팜플라스타(플루르비프로펜) [품목기준코드 201202810]</x:v>
      </x:c>
      <x:c r="K179" s="8" t="str">
        <x:v>식품의약품안전처 의약품개요정보(e약은요) OpenAPI
https://apis.data.go.kr/1471000/DrbEasyDrugInfoService/getDrbEasyDrugList</x:v>
      </x:c>
    </x:row>
    <x:row r="180" ht="62" customHeight="1">
      <x:c r="A180" s="9" t="n">
        <x:v>179</x:v>
      </x:c>
      <x:c r="B180" s="6" t="str">
        <x:v>보정용</x:v>
      </x:c>
      <x:c r="C180" s="6" t="str">
        <x:v>복약</x:v>
      </x:c>
      <x:c r="D180" s="6" t="str">
        <x:v>상호작용</x:v>
      </x:c>
      <x:c r="E180" s="6" t="str">
        <x:v>답변 가능</x:v>
      </x:c>
      <x:c r="F180" s="6" t="str">
        <x:v>쉬움</x:v>
      </x:c>
      <x:c r="G180" s="8" t="str">
        <x:v>비타미니아정과 함께 사용하거나 먹을 때 주의해야 할 약이나 음식이 있나요?</x:v>
      </x:c>
      <x:c r="H180" s="8" t="str">
        <x:v>레보도파와 함께 복용하지 마십시오.</x:v>
      </x:c>
      <x:c r="I180" s="8" t="str">
        <x:v>레보도파와 함께 복용하지 마십시오.</x:v>
      </x:c>
      <x:c r="J180" s="8" t="str">
        <x:v>비타미니아정 [품목기준코드 201110744]</x:v>
      </x:c>
      <x:c r="K180" s="8" t="str">
        <x:v>식품의약품안전처 의약품개요정보(e약은요) OpenAPI
https://apis.data.go.kr/1471000/DrbEasyDrugInfoService/getDrbEasyDrugList</x:v>
      </x:c>
    </x:row>
    <x:row r="181" ht="62" customHeight="1">
      <x:c r="A181" s="9" t="n">
        <x:v>180</x:v>
      </x:c>
      <x:c r="B181" s="6" t="str">
        <x:v>보정용</x:v>
      </x:c>
      <x:c r="C181" s="6" t="str">
        <x:v>복약</x:v>
      </x:c>
      <x:c r="D181" s="6" t="str">
        <x:v>증상·이상반응</x:v>
      </x:c>
      <x:c r="E181" s="6" t="str">
        <x:v>답변 가능</x:v>
      </x:c>
      <x:c r="F181" s="6" t="str">
        <x:v>쉬움</x:v>
      </x:c>
      <x:c r="G181" s="8" t="str">
        <x:v>콘드인정을 사용하면 어떤 부작용이 생길 수 있나요?</x:v>
      </x:c>
      <x:c r="H181" s="8" t="str">
        <x:v>e약은요에는 다음과 같은 이상반응이 안내되어 있습니다. 위부불쾌감, 설사, 변비, 발진, 발적, 구역, 구토, 묽은 변, 붉은 반점, 심장박동정지, 중추신경계 기증저하, 식욕부진, 홍반, 두드러기, 습진, 반구진성 발진, 가려움, 부종, 신부전 또는 심부전 환자에서의 부종 및 수분저류, 생리가 예정보다 빨라지거나 양이 점점 많아지거나, 출혈이 오래 지속되는 증상 등이 나타나는 경우 복용을 즉각 중지하고 의사 또는 약사와 상의하십시오.</x:v>
      </x:c>
      <x:c r="I181" s="8" t="str">
        <x:v>위부불쾌감, 설사, 변비, 발진, 발적, 구역, 구토, 묽은 변, 붉은 반점, 심장박동정지, 중추신경계 기증저하, 식욕부진, 홍반, 두드러기, 습진, 반구진성 발진, 가려움, 부종, 신부전 또는 심부전 환자에서의 부종 및 수분저류, 생리가 예정보다 빨라지거나 양이 점점 많아지거나, 출혈이 오래 지속되는 증상 등이 나타나는 경우 복용을 즉각 중지하고 의사 또는 약사와 상의하십시오.</x:v>
      </x:c>
      <x:c r="J181" s="8" t="str">
        <x:v>콘드인정 [품목기준코드 202501427]</x:v>
      </x:c>
      <x:c r="K181" s="8" t="str">
        <x:v>식품의약품안전처 의약품개요정보(e약은요) OpenAPI
https://apis.data.go.kr/1471000/DrbEasyDrugInfoService/getDrbEasyDrugList</x:v>
      </x:c>
    </x:row>
    <x:row r="182" ht="62" customHeight="1">
      <x:c r="A182" s="9" t="n">
        <x:v>181</x:v>
      </x:c>
      <x:c r="B182" s="6" t="str">
        <x:v>보정용</x:v>
      </x:c>
      <x:c r="C182" s="6" t="str">
        <x:v>복약</x:v>
      </x:c>
      <x:c r="D182" s="6" t="str">
        <x:v>효능·사용목적</x:v>
      </x:c>
      <x:c r="E182" s="6" t="str">
        <x:v>답변 가능</x:v>
      </x:c>
      <x:c r="F182" s="6" t="str">
        <x:v>쉬움</x:v>
      </x:c>
      <x:c r="G182" s="8" t="str">
        <x:v>린아스장용정(아스피린)은 어떤 증상이나 질환에 사용하는 약인가요?</x:v>
      </x:c>
      <x:c r="H182" s="8" t="str">
        <x:v>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x:v>
      </x:c>
      <x:c r="I182" s="8" t="str">
        <x:v>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x:v>
      </x:c>
      <x:c r="J182" s="8" t="str">
        <x:v>린아스장용정(아스피린) [품목기준코드 201307061]</x:v>
      </x:c>
      <x:c r="K182" s="8" t="str">
        <x:v>식품의약품안전처 의약품개요정보(e약은요) OpenAPI
https://apis.data.go.kr/1471000/DrbEasyDrugInfoService/getDrbEasyDrugList</x:v>
      </x:c>
    </x:row>
    <x:row r="183" ht="62" customHeight="1">
      <x:c r="A183" s="9" t="n">
        <x:v>182</x:v>
      </x:c>
      <x:c r="B183" s="6" t="str">
        <x:v>보정용</x:v>
      </x:c>
      <x:c r="C183" s="6" t="str">
        <x:v>복약</x:v>
      </x:c>
      <x:c r="D183" s="6" t="str">
        <x:v>상호작용</x:v>
      </x:c>
      <x:c r="E183" s="6" t="str">
        <x:v>답변 가능</x:v>
      </x:c>
      <x:c r="F183" s="6" t="str">
        <x:v>쉬움</x:v>
      </x:c>
      <x:c r="G183" s="8" t="str">
        <x:v>에르코프캡슐(에르도스테인)과 함께 사용하거나 먹을 때 주의해야 할 약이나 음식이 있나요?</x:v>
      </x:c>
      <x:c r="H183" s="8" t="str">
        <x:v>기침약을 복용중인 사람은 의사 또는 약사와 상의하십시오.</x:v>
      </x:c>
      <x:c r="I183" s="8" t="str">
        <x:v>기침약을 복용중인 사람은 의사 또는 약사와 상의하십시오.</x:v>
      </x:c>
      <x:c r="J183" s="8" t="str">
        <x:v>에르코프캡슐(에르도스테인) [품목기준코드 201802357]</x:v>
      </x:c>
      <x:c r="K183" s="8" t="str">
        <x:v>식품의약품안전처 의약품개요정보(e약은요) OpenAPI
https://apis.data.go.kr/1471000/DrbEasyDrugInfoService/getDrbEasyDrugList</x:v>
      </x:c>
    </x:row>
    <x:row r="184" ht="62" customHeight="1">
      <x:c r="A184" s="9" t="n">
        <x:v>183</x:v>
      </x:c>
      <x:c r="B184" s="6" t="str">
        <x:v>보정용</x:v>
      </x:c>
      <x:c r="C184" s="6" t="str">
        <x:v>복약</x:v>
      </x:c>
      <x:c r="D184" s="6" t="str">
        <x:v>실용·응급대처</x:v>
      </x:c>
      <x:c r="E184" s="6" t="str">
        <x:v>답변 가능</x:v>
      </x:c>
      <x:c r="F184" s="6" t="str">
        <x:v>보통</x:v>
      </x:c>
      <x:c r="G184" s="8" t="str">
        <x:v>덴스민캡슐 사용 후 심한 이상반응이 나타나면 어떻게 해야 하나요?</x:v>
      </x:c>
      <x:c r="H184" s="8" t="str">
        <x:v>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x:v>
      </x:c>
      <x:c r="I184" s="8" t="str">
        <x:v>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x:v>
      </x:c>
      <x:c r="J184" s="8" t="str">
        <x:v>덴스민캡슐 [품목기준코드 199702621]</x:v>
      </x:c>
      <x:c r="K184" s="8" t="str">
        <x:v>식품의약품안전처 의약품개요정보(e약은요) OpenAPI
https://apis.data.go.kr/1471000/DrbEasyDrugInfoService/getDrbEasyDrugList</x:v>
      </x:c>
    </x:row>
    <x:row r="185" ht="62" customHeight="1">
      <x:c r="A185" s="9" t="n">
        <x:v>184</x:v>
      </x:c>
      <x:c r="B185" s="6" t="str">
        <x:v>보정용</x:v>
      </x:c>
      <x:c r="C185" s="6" t="str">
        <x:v>복약</x:v>
      </x:c>
      <x:c r="D185" s="6" t="str">
        <x:v>용법·용량</x:v>
      </x:c>
      <x:c r="E185" s="6" t="str">
        <x:v>답변 가능</x:v>
      </x:c>
      <x:c r="F185" s="6" t="str">
        <x:v>쉬움</x:v>
      </x:c>
      <x:c r="G185" s="8" t="str">
        <x:v>세진정(세티리진염산염)은 어떻게 사용하나요?</x:v>
      </x:c>
      <x:c r="H185" s="8" t="str">
        <x:v>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x:v>
      </x:c>
      <x:c r="I185" s="8" t="str">
        <x:v>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x:v>
      </x:c>
      <x:c r="J185" s="8" t="str">
        <x:v>세진정(세티리진염산염) [품목기준코드 200001634]</x:v>
      </x:c>
      <x:c r="K185" s="8" t="str">
        <x:v>식품의약품안전처 의약품개요정보(e약은요) OpenAPI
https://apis.data.go.kr/1471000/DrbEasyDrugInfoService/getDrbEasyDrugList</x:v>
      </x:c>
    </x:row>
    <x:row r="186" ht="62" customHeight="1">
      <x:c r="A186" s="9" t="n">
        <x:v>185</x:v>
      </x:c>
      <x:c r="B186" s="6" t="str">
        <x:v>보정용</x:v>
      </x:c>
      <x:c r="C186" s="6" t="str">
        <x:v>복약</x:v>
      </x:c>
      <x:c r="D186" s="6" t="str">
        <x:v>용어·정의</x:v>
      </x:c>
      <x:c r="E186" s="6" t="str">
        <x:v>답변 가능</x:v>
      </x:c>
      <x:c r="F186" s="6" t="str">
        <x:v>쉬움</x:v>
      </x:c>
      <x:c r="G186" s="8" t="str">
        <x:v>티어클린점안액(순-1회용), 티어클린점안액(순), 티어클린점안액(쿨-1회용), 티어클린점안액(쿨), 티어클린점안액(쿨하이)은 어떤 약인가요?</x:v>
      </x:c>
      <x:c r="H186" s="8" t="str">
        <x:v>티어클린점안액(순-1회용), 티어클린점안액(순), 티어클린점안액(쿨-1회용), 티어클린점안액(쿨), 티어클린점안액(쿨하이)은 한림제약(주)의 의약품으로, e약은요에는 다음과 같이 안내되어 있습니다. 이 약은 소프트콘택트렌즈 또는 하드콘택트렌즈를 착용하고 있을 때의 불쾌감, 눈물 보충 (눈의 건조), 눈의 피로, 눈의 흐림 (눈곱이 많을 때)에 사용합니다.</x:v>
      </x:c>
      <x:c r="I186" s="8" t="str">
        <x:v>제품명: 티어클린점안액(순-1회용), 티어클린점안액(순), 티어클린점안액(쿨-1회용), 티어클린점안액(쿨), 티어클린점안액(쿨하이) 업체명: 한림제약(주) 효능: 이 약은 소프트콘택트렌즈 또는 하드콘택트렌즈를 착용하고 있을 때의 불쾌감, 눈물 보충 (눈의 건조), 눈의 피로, 눈의 흐림 (눈곱이 많을 때)에 사용합니다.</x:v>
      </x:c>
      <x:c r="J186" s="8" t="str">
        <x:v>티어클린점안액(순-1회용), 티어클린점안액(순), 티어클린점안액(쿨-1회용), 티어클린점안액(쿨), 티어클린점안액(쿨하이) [품목기준코드 200809299]</x:v>
      </x:c>
      <x:c r="K186" s="8" t="str">
        <x:v>식품의약품안전처 의약품개요정보(e약은요) OpenAPI
https://apis.data.go.kr/1471000/DrbEasyDrugInfoService/getDrbEasyDrugList</x:v>
      </x:c>
    </x:row>
    <x:row r="187" ht="62" customHeight="1">
      <x:c r="A187" s="9" t="n">
        <x:v>186</x:v>
      </x:c>
      <x:c r="B187" s="6" t="str">
        <x:v>보정용</x:v>
      </x:c>
      <x:c r="C187" s="6" t="str">
        <x:v>복약</x:v>
      </x:c>
      <x:c r="D187" s="6" t="str">
        <x:v>상호작용</x:v>
      </x:c>
      <x:c r="E187" s="6" t="str">
        <x:v>답변 가능</x:v>
      </x:c>
      <x:c r="F187" s="6" t="str">
        <x:v>쉬움</x:v>
      </x:c>
      <x:c r="G187" s="8" t="str">
        <x:v>파모컴정과 함께 사용하거나 먹을 때 주의해야 할 약이나 음식이 있나요?</x:v>
      </x:c>
      <x:c r="H187" s="8" t="str">
        <x:v>위장약과 함께 복용하지 마십시오. 제산제, 아테놀올, 메토프로롤, 프로프라놀롤, 클로로퀸, 싸이클린계 항생제, 디클루니살, 디곡신, 이인산염, 펙소페나딘, 철(염), 플루오로퀴놀론계 항생제, 불화나트륨, 글루코코르티코이드, 인도메타신, 케토코나졸, 란소프라졸, 페노치아전계 항전간제, 페니실라민, 인산염, 티록신(약물의 소화 흡수 감소), 살리실산과 함께 복용 시 의사 또는 약사와 상의하십시오.</x:v>
      </x:c>
      <x:c r="I187" s="8" t="str">
        <x:v>위장약과 함께 복용하지 마십시오. 제산제, 아테놀올, 메토프로롤, 프로프라놀롤, 클로로퀸, 싸이클린계 항생제, 디클루니살, 디곡신, 이인산염, 펙소페나딘, 철(염), 플루오로퀴놀론계 항생제, 불화나트륨, 글루코코르티코이드, 인도메타신, 케토코나졸, 란소프라졸, 페노치아전계 항전간제, 페니실라민, 인산염, 티록신(약물의 소화 흡수 감소), 살리실산과 함께 복용 시 의사 또는 약사와 상의하십시오.</x:v>
      </x:c>
      <x:c r="J187" s="8" t="str">
        <x:v>파모컴정 [품목기준코드 202106861]</x:v>
      </x:c>
      <x:c r="K187" s="8" t="str">
        <x:v>식품의약품안전처 의약품개요정보(e약은요) OpenAPI
https://apis.data.go.kr/1471000/DrbEasyDrugInfoService/getDrbEasyDrugList</x:v>
      </x:c>
    </x:row>
    <x:row r="188" ht="62" customHeight="1">
      <x:c r="A188" s="9" t="n">
        <x:v>187</x:v>
      </x:c>
      <x:c r="B188" s="6" t="str">
        <x:v>보정용</x:v>
      </x:c>
      <x:c r="C188" s="6" t="str">
        <x:v>복약</x:v>
      </x:c>
      <x:c r="D188" s="6" t="str">
        <x:v>상호작용</x:v>
      </x:c>
      <x:c r="E188" s="6" t="str">
        <x:v>답변 가능</x:v>
      </x:c>
      <x:c r="F188" s="6" t="str">
        <x:v>쉬움</x:v>
      </x:c>
      <x:c r="G188" s="8" t="str">
        <x:v>이엠지스피드더블액션액과 함께 사용하거나 먹을 때 주의해야 할 약이나 음식이 있나요?</x:v>
      </x:c>
      <x:c r="H188" s="8" t="str">
        <x:v>인산염, 칼슘염, 경구(먹는)용 테트라사이클린계 제제, 제산제, 레보도파와 함께 복용하지 마십시오. 항알도스테론제, 트리암테렌을 함께 복용 시 의사 또는 약사와 상의하십시오. 녹차, 홍차 등 탄닌을 함유하는 차는 복용 중, 복용 전후에는 피하십시오.</x:v>
      </x:c>
      <x:c r="I188" s="8" t="str">
        <x:v>인산염, 칼슘염, 경구(먹는)용 테트라사이클린계 제제, 제산제, 레보도파와 함께 복용하지 마십시오. 항알도스테론제, 트리암테렌을 함께 복용 시 의사 또는 약사와 상의하십시오. 녹차, 홍차 등 탄닌을 함유하는 차는 복용 중, 복용 전후에는 피하십시오.</x:v>
      </x:c>
      <x:c r="J188" s="8" t="str">
        <x:v>이엠지스피드더블액션액 [품목기준코드 202401065]</x:v>
      </x:c>
      <x:c r="K188" s="8" t="str">
        <x:v>식품의약품안전처 의약품개요정보(e약은요) OpenAPI
https://apis.data.go.kr/1471000/DrbEasyDrugInfoService/getDrbEasyDrugList</x:v>
      </x:c>
    </x:row>
    <x:row r="189" ht="62" customHeight="1">
      <x:c r="A189" s="9" t="n">
        <x:v>188</x:v>
      </x:c>
      <x:c r="B189" s="6" t="str">
        <x:v>보정용</x:v>
      </x:c>
      <x:c r="C189" s="6" t="str">
        <x:v>복약</x:v>
      </x:c>
      <x:c r="D189" s="6" t="str">
        <x:v>금기·경고</x:v>
      </x:c>
      <x:c r="E189" s="6" t="str">
        <x:v>답변 가능</x:v>
      </x:c>
      <x:c r="F189" s="6" t="str">
        <x:v>쉬움</x:v>
      </x:c>
      <x:c r="G189" s="8" t="str">
        <x:v>한방장수고카타플라스마을 사용하면 안 되거나 반드시 확인해야 할 경고사항은 무엇인가요?</x:v>
      </x:c>
      <x:c r="H189" s="8" t="str">
        <x:v>눈 주위, 점막, 습윤 및 옻 등에 의한 피부염 및 상처부위에 이 약을 사용하지 마십시오.</x:v>
      </x:c>
      <x:c r="I189" s="8" t="str">
        <x:v>눈 주위, 점막, 습윤 및 옻 등에 의한 피부염 및 상처부위에 이 약을 사용하지 마십시오.</x:v>
      </x:c>
      <x:c r="J189" s="8" t="str">
        <x:v>한방장수고카타플라스마 [품목기준코드 200809695]</x:v>
      </x:c>
      <x:c r="K189" s="8" t="str">
        <x:v>식품의약품안전처 의약품개요정보(e약은요) OpenAPI
https://apis.data.go.kr/1471000/DrbEasyDrugInfoService/getDrbEasyDrugList</x:v>
      </x:c>
    </x:row>
    <x:row r="190" ht="62" customHeight="1">
      <x:c r="A190" s="9" t="n">
        <x:v>189</x:v>
      </x:c>
      <x:c r="B190" s="6" t="str">
        <x:v>보정용</x:v>
      </x:c>
      <x:c r="C190" s="6" t="str">
        <x:v>복약</x:v>
      </x:c>
      <x:c r="D190" s="6" t="str">
        <x:v>답변불가·개인 용량 변경</x:v>
      </x:c>
      <x:c r="E190" s="6" t="str">
        <x:v>답변 거부</x:v>
      </x:c>
      <x:c r="F190" s="6" t="str">
        <x:v>어려움</x:v>
      </x:c>
      <x:c r="G190" s="8" t="str">
        <x:v>락토필캡슐300밀리그램(락토바실루스아시도필루스균)이 잘 듣지 않는데 제 상태에 맞춰 복용량을 얼마나 늘리면 되나요?</x:v>
      </x:c>
      <x:c r="H190" s="8" t="str">
        <x:v>제공된 e약은요 VDB만으로 개인별 복용량 변경을 결정할 수 없습니다. 임의로 증량하지 말고 의사 또는 약사와 상담해야 합니다.</x:v>
      </x:c>
      <x:c r="I190" s="8" t="str">
        <x:v>VDB 범위 밖 질문 — 근거 없음</x:v>
      </x:c>
      <x:c r="J190" s="8" t="str">
        <x:v>락토필캡슐300밀리그램(락토바실루스아시도필루스균) [품목기준코드 201801769]</x:v>
      </x:c>
      <x:c r="K190" s="8" t="str">
        <x:v>식품의약품안전처 의약품개요정보(e약은요) OpenAPI
https://apis.data.go.kr/1471000/DrbEasyDrugInfoService/getDrbEasyDrugList</x:v>
      </x:c>
    </x:row>
    <x:row r="191" ht="62" customHeight="1">
      <x:c r="A191" s="9" t="n">
        <x:v>190</x:v>
      </x:c>
      <x:c r="B191" s="6" t="str">
        <x:v>보정용</x:v>
      </x:c>
      <x:c r="C191" s="6" t="str">
        <x:v>복약</x:v>
      </x:c>
      <x:c r="D191" s="6" t="str">
        <x:v>금기·경고</x:v>
      </x:c>
      <x:c r="E191" s="6" t="str">
        <x:v>답변 가능</x:v>
      </x:c>
      <x:c r="F191" s="6" t="str">
        <x:v>쉬움</x:v>
      </x:c>
      <x:c r="G191" s="8" t="str">
        <x:v>동화덴스톨캡슐을 사용하면 안 되거나 반드시 확인해야 할 경고사항은 무엇인가요?</x:v>
      </x:c>
      <x:c r="H191" s="8" t="str">
        <x:v>15세 미만 소아, 갈락토오스 불내성, Lapp 유당분해효소 결핍증 또는 포도당-갈락토오스 흡수장애 등의 유전적인 문제가 있는 환자는 이 약을 복용하지 마십시오.이 약을 복용하기 전에 약 및 화장품에 알레르기 증상(발진, 발적, 가려움 등) 경험자, 달걀에 알레르기 증상(발열, 발진, 관절통, 천식, 가려움 등) 경험자, 알레르기 체질인 사람, 황색5호에 과민증 환자 또는 경험자는 의사 또는 약사와 상의하십시오.정해진 용법과 용량을 잘 지키십시오.</x:v>
      </x:c>
      <x:c r="I191" s="8" t="str">
        <x:v>15세 미만 소아, 갈락토오스 불내성, Lapp 유당분해효소 결핍증 또는 포도당-갈락토오스 흡수장애 등의 유전적인 문제가 있는 환자는 이 약을 복용하지 마십시오.이 약을 복용하기 전에 약 및 화장품에 알레르기 증상(발진, 발적, 가려움 등) 경험자, 달걀에 알레르기 증상(발열, 발진, 관절통, 천식, 가려움 등) 경험자, 알레르기 체질인 사람, 황색5호에 과민증 환자 또는 경험자는 의사 또는 약사와 상의하십시오.정해진 용법과 용량을 잘 지키십시오.</x:v>
      </x:c>
      <x:c r="J191" s="8" t="str">
        <x:v>동화덴스톨캡슐 [품목기준코드 200100780]</x:v>
      </x:c>
      <x:c r="K191" s="8" t="str">
        <x:v>식품의약품안전처 의약품개요정보(e약은요) OpenAPI
https://apis.data.go.kr/1471000/DrbEasyDrugInfoService/getDrbEasyDrugList</x:v>
      </x:c>
    </x:row>
    <x:row r="192" ht="62" customHeight="1">
      <x:c r="A192" s="9" t="n">
        <x:v>191</x:v>
      </x:c>
      <x:c r="B192" s="6" t="str">
        <x:v>보정용</x:v>
      </x:c>
      <x:c r="C192" s="6" t="str">
        <x:v>복약</x:v>
      </x:c>
      <x:c r="D192" s="6" t="str">
        <x:v>금기·경고</x:v>
      </x:c>
      <x:c r="E192" s="6" t="str">
        <x:v>답변 가능</x:v>
      </x:c>
      <x:c r="F192" s="6" t="str">
        <x:v>보통</x:v>
      </x:c>
      <x:c r="G192" s="8" t="str">
        <x:v>자이날정(나프록센나트륨)을 사용하면 안 되거나 반드시 확인해야 할 경고사항은 무엇인가요?</x:v>
      </x:c>
      <x:c r="H192" s="8" t="str">
        <x:v>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이 약에 과민증 환자, 심한 혈액 이상, 심한 간장애, 심한 심기능부전, 심한 신장애(신장장애), 심한 고혈압, 아스피린이나 다른 비스테로이드성 소염(항염)진통제에 알레르기 반응(천식, 비염(코염), 코의 용종, 두드러기) 경험자, 관상동맥(심장동맥) 우회로술(CABG) 전후에 발생하는 통증 환자, 임부, 수유부, 2세 이하의 영아(갓난아기), 갈락토오스 불내성, Lapp 유당분해효소 결핍증 또는 포도당-갈락토오스 흡수장애 등의 유전적인 문제가 있는 환자는 이 약을 복용하지 마십시오. 이 약을 복용하기 전에 임신하고 있을 가능성이 있는 부인, 소아, 고령자(노인), 소화성궤양 경험자, 혈액 이상 경험자, 출혈 경향, 간장애 또는 그 경험자, 신장애(신장장애) 또는 경험자 및 신혈류량이 저하, 심기능 장애, 고혈압, 과민증 경험자, 기관지 천식, 전신성홍반성루푸스(SLE) 및 혼합결합조직질환(MCTD) 환자는 의사 또는 약사와 상의하십시오.</x:v>
      </x:c>
      <x:c r="I192" s="8" t="str">
        <x:v>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이 약에 과민증 환자, 심한 혈액 이상, 심한 간장애, 심한 심기능부전, 심한 신장애(신장장애), 심한 고혈압, 아스피린이나 다른 비스테로이드성 소염(항염)진통제에 알레르기 반응(천식, 비염(코염), 코의 용종, 두드러기) 경험자, 관상동맥(심장동맥) 우회로술(CABG) 전후에 발생하는 통증 환자, 임부, 수유부, 2세 이하의 영아(갓난아기), 갈락토오스 불내성, Lapp 유당분해효소 결핍증 또는 포도당-갈락토오스 흡수장애 등의 유전적인 문제가 있는 환자는 이 약을 복용하지 마십시오. 이 약을 복용하기 전에 임신하고 있을 가능성이 있는 부인, 소아, 고령자(노인), 소화성궤양 경험자, 혈액 이상 경험자, 출혈 경향, 간장애 또는 그 경험자, 신장애(신장장애) 또는 경험자 및 신혈류량이 저하, 심기능 장애, 고혈압, 과민증 경험자, 기관지 천식, 전신성홍반성루푸스(SLE) 및 혼합결합조직질환(MCTD) 환자는 의사 또는 약사와 상의하십시오.</x:v>
      </x:c>
      <x:c r="J192" s="8" t="str">
        <x:v>자이날정(나프록센나트륨) [품목기준코드 198901589]</x:v>
      </x:c>
      <x:c r="K192" s="8" t="str">
        <x:v>식품의약품안전처 의약품개요정보(e약은요) OpenAPI
https://apis.data.go.kr/1471000/DrbEasyDrugInfoService/getDrbEasyDrugList</x:v>
      </x:c>
    </x:row>
    <x:row r="193" ht="62" customHeight="1">
      <x:c r="A193" s="9" t="n">
        <x:v>192</x:v>
      </x:c>
      <x:c r="B193" s="6" t="str">
        <x:v>보정용</x:v>
      </x:c>
      <x:c r="C193" s="6" t="str">
        <x:v>복약</x:v>
      </x:c>
      <x:c r="D193" s="6" t="str">
        <x:v>용법·용량</x:v>
      </x:c>
      <x:c r="E193" s="6" t="str">
        <x:v>답변 가능</x:v>
      </x:c>
      <x:c r="F193" s="6" t="str">
        <x:v>쉬움</x:v>
      </x:c>
      <x:c r="G193" s="8" t="str">
        <x:v>람노스캡슐500밀리그램(락토바실루스카제이변종람노수스)은 어떻게 사용하나요?</x:v>
      </x:c>
      <x:c r="H193" s="8" t="str">
        <x:v>성인은 1일 1~4캡슐을 개봉하지 않고 물과 함께 삼킵니다.</x:v>
      </x:c>
      <x:c r="I193" s="8" t="str">
        <x:v>성인은 1일 1~4캡슐을 개봉하지 않고 물과 함께 삼킵니다.</x:v>
      </x:c>
      <x:c r="J193" s="8" t="str">
        <x:v>람노스캡슐500밀리그램(락토바실루스카제이변종람노수스) [품목기준코드 201700802]</x:v>
      </x:c>
      <x:c r="K193" s="8" t="str">
        <x:v>식품의약품안전처 의약품개요정보(e약은요) OpenAPI
https://apis.data.go.kr/1471000/DrbEasyDrugInfoService/getDrbEasyDrugList</x:v>
      </x:c>
    </x:row>
    <x:row r="194" ht="62" customHeight="1">
      <x:c r="A194" s="9" t="n">
        <x:v>193</x:v>
      </x:c>
      <x:c r="B194" s="6" t="str">
        <x:v>보정용</x:v>
      </x:c>
      <x:c r="C194" s="6" t="str">
        <x:v>복약</x:v>
      </x:c>
      <x:c r="D194" s="6" t="str">
        <x:v>증상·이상반응</x:v>
      </x:c>
      <x:c r="E194" s="6" t="str">
        <x:v>답변 가능</x:v>
      </x:c>
      <x:c r="F194" s="6" t="str">
        <x:v>보통</x:v>
      </x:c>
      <x:c r="G194" s="8" t="str">
        <x:v>하디큐콜드연질캡슐을 사용하면 어떤 부작용이 생길 수 있나요?</x:v>
      </x:c>
      <x:c r="H194" s="8" t="str">
        <x:v>e약은요에는 다음과 같은 이상반응이 안내되어 있습니다. 발진·발적(충혈되어 붉어짐), 가려움, 구역·구토, 식욕부진, 변비, 부종(부기), 배뇨(소변을 눔)곤란, 목마름(지속적이거나 심한), 어지러움, 불안, 떨림, 불면,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허혈성 대장염의 증상(급격한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x:v>
      </x:c>
      <x:c r="I194" s="8" t="str">
        <x:v>발진·발적(충혈되어 붉어짐), 가려움, 구역·구토, 식욕부진, 변비, 부종(부기), 배뇨(소변을 눔)곤란, 목마름(지속적이거나 심한), 어지러움, 불안, 떨림, 불면,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허혈성 대장염의 증상(급격한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x:v>
      </x:c>
      <x:c r="J194" s="8" t="str">
        <x:v>하디큐콜드연질캡슐 [품목기준코드 202102171]</x:v>
      </x:c>
      <x:c r="K194" s="8" t="str">
        <x:v>식품의약품안전처 의약품개요정보(e약은요) OpenAPI
https://apis.data.go.kr/1471000/DrbEasyDrugInfoService/getDrbEasyDrugList</x:v>
      </x:c>
    </x:row>
    <x:row r="195" ht="62" customHeight="1">
      <x:c r="A195" s="9" t="n">
        <x:v>194</x:v>
      </x:c>
      <x:c r="B195" s="6" t="str">
        <x:v>보정용</x:v>
      </x:c>
      <x:c r="C195" s="6" t="str">
        <x:v>복약</x:v>
      </x:c>
      <x:c r="D195" s="6" t="str">
        <x:v>금기·경고</x:v>
      </x:c>
      <x:c r="E195" s="6" t="str">
        <x:v>답변 가능</x:v>
      </x:c>
      <x:c r="F195" s="6" t="str">
        <x:v>쉬움</x:v>
      </x:c>
      <x:c r="G195" s="8" t="str">
        <x:v>터치메드연고을 사용하면 안 되거나 반드시 확인해야 할 경고사항은 무엇인가요?</x:v>
      </x:c>
      <x:c r="H195" s="8" t="str">
        <x:v>이 약을 사용하기 전에 약에 과민증 환자는 의사 또는 약사와 상의하십시오.정해진 용법과 용량을 잘 지키십시오.어린이에게 투여할 경우 보호자의 지도 감독하에 투여하십시오.구강용으로만 사용하고 안과용 등 다른 용도로 사용하지 마십시오.수일간 사용하여도 증상이 개선되지 않는 경우 사용을 즉각 중지하고 의사 또는 약사와 상의하십시오.</x:v>
      </x:c>
      <x:c r="I195" s="8" t="str">
        <x:v>이 약을 사용하기 전에 약에 과민증 환자는 의사 또는 약사와 상의하십시오.정해진 용법과 용량을 잘 지키십시오.어린이에게 투여할 경우 보호자의 지도 감독하에 투여하십시오.구강용으로만 사용하고 안과용 등 다른 용도로 사용하지 마십시오.수일간 사용하여도 증상이 개선되지 않는 경우 사용을 즉각 중지하고 의사 또는 약사와 상의하십시오.</x:v>
      </x:c>
      <x:c r="J195" s="8" t="str">
        <x:v>터치메드연고 [품목기준코드 199800874]</x:v>
      </x:c>
      <x:c r="K195" s="8" t="str">
        <x:v>식품의약품안전처 의약품개요정보(e약은요) OpenAPI
https://apis.data.go.kr/1471000/DrbEasyDrugInfoService/getDrbEasyDrugList</x:v>
      </x:c>
    </x:row>
    <x:row r="196" ht="62" customHeight="1">
      <x:c r="A196" s="9" t="n">
        <x:v>195</x:v>
      </x:c>
      <x:c r="B196" s="6" t="str">
        <x:v>보정용</x:v>
      </x:c>
      <x:c r="C196" s="6" t="str">
        <x:v>복약</x:v>
      </x:c>
      <x:c r="D196" s="6" t="str">
        <x:v>실용·응급대처</x:v>
      </x:c>
      <x:c r="E196" s="6" t="str">
        <x:v>답변 가능</x:v>
      </x:c>
      <x:c r="F196" s="6" t="str">
        <x:v>보통</x:v>
      </x:c>
      <x:c r="G196" s="8" t="str">
        <x:v>화이투벤씨플러스캡슐 사용 후 심한 이상반응이 나타나면 어떻게 해야 하나요?</x:v>
      </x:c>
      <x:c r="H196" s="8" t="str">
        <x:v>매우 드물게 치명적일 수 있는 급성전신발진고름물집증, 스티븐스- 존슨 증후군, 독성표피괴사용해와 같은 중대한 피부반응이 보고되었고 이 약 복용 후 피부발진 또는 다른 과민반응의 징후가 나타나는 경우 즉시 복용을 중단하십시오. 발진·발적(충혈되어 붉어짐), 가려움, 구역·구토, 식욕부진, 변비, 부종(부기), 배뇨(소변을 눔)곤란, 목마름(지속적이거나 심한), 어지러움, 불안, 떨림, 불면, 고음이온차 대사성 산증(HAGMA), 드물게 쇽(복용후 바로 두드러기, 부기, 가슴답답함 등과 함께 안색이 창백하고, 손발이 차고, 식은땀, 숨쉬기 곤란함 등), 피부점막안증후군(스티븐스-존슨증후군), 독성표피괴사용해(리엘증후군), 천식, 전신의 나른함, 황달(피부 또는 눈의 흰자위가 황색을 띄게 됨), 간질성폐렴(기침을 동반하고, 숨이 차고, 호흡곤란, 발열) 등이 나타나는 경우 복용을 즉각 중지하고 의사 또는 약사와 상의하십시오.</x:v>
      </x:c>
      <x:c r="I196" s="8" t="str">
        <x:v>매우 드물게 치명적일 수 있는 급성전신발진고름물집증, 스티븐스- 존슨 증후군, 독성표피괴사용해와 같은 중대한 피부반응이 보고되었고 이 약 복용 후 피부발진 또는 다른 과민반응의 징후가 나타나는 경우 즉시 복용을 중단하십시오. 발진·발적(충혈되어 붉어짐), 가려움, 구역·구토, 식욕부진, 변비, 부종(부기), 배뇨(소변을 눔)곤란, 목마름(지속적이거나 심한), 어지러움, 불안, 떨림, 불면, 고음이온차 대사성 산증(HAGMA), 드물게 쇽(복용후 바로 두드러기, 부기, 가슴답답함 등과 함께 안색이 창백하고, 손발이 차고, 식은땀, 숨쉬기 곤란함 등), 피부점막안증후군(스티븐스-존슨증후군), 독성표피괴사용해(리엘증후군), 천식, 전신의 나른함, 황달(피부 또는 눈의 흰자위가 황색을 띄게 됨), 간질성폐렴(기침을 동반하고, 숨이 차고, 호흡곤란, 발열) 등이 나타나는 경우 복용을 즉각 중지하고 의사 또는 약사와 상의하십시오.</x:v>
      </x:c>
      <x:c r="J196" s="8" t="str">
        <x:v>화이투벤씨플러스캡슐 [품목기준코드 201300045]</x:v>
      </x:c>
      <x:c r="K196" s="8" t="str">
        <x:v>식품의약품안전처 의약품개요정보(e약은요) OpenAPI
https://apis.data.go.kr/1471000/DrbEasyDrugInfoService/getDrbEasyDrugList</x:v>
      </x:c>
    </x:row>
    <x:row r="197" ht="62" customHeight="1">
      <x:c r="A197" s="9" t="n">
        <x:v>196</x:v>
      </x:c>
      <x:c r="B197" s="6" t="str">
        <x:v>보정용</x:v>
      </x:c>
      <x:c r="C197" s="6" t="str">
        <x:v>복약</x:v>
      </x:c>
      <x:c r="D197" s="6" t="str">
        <x:v>답변불가·개인 복용 판단</x:v>
      </x:c>
      <x:c r="E197" s="6" t="str">
        <x:v>답변 거부</x:v>
      </x:c>
      <x:c r="F197" s="6" t="str">
        <x:v>어려움</x:v>
      </x:c>
      <x:c r="G197" s="8" t="str">
        <x:v>제 건강 상태를 따로 확인하지 않고 디알클리어점안액(카르복시메틸셀룰로오스나트륨)(1회용)을 지금 먹어도 되는지 결정해 주세요.</x:v>
      </x:c>
      <x:c r="H197" s="8" t="str">
        <x:v>제공된 e약은요 VDB만으로 개인의 건강 상태를 반영한 복용 가능 여부를 결정할 수 없습니다. 의사 또는 약사와 상담해야 합니다.</x:v>
      </x:c>
      <x:c r="I197" s="8" t="str">
        <x:v>VDB 범위 밖 질문 — 근거 없음</x:v>
      </x:c>
      <x:c r="J197" s="8" t="str">
        <x:v>디알클리어점안액(카르복시메틸셀룰로오스나트륨)(1회용) [품목기준코드 200708107]</x:v>
      </x:c>
      <x:c r="K197" s="8" t="str">
        <x:v>식품의약품안전처 의약품개요정보(e약은요) OpenAPI
https://apis.data.go.kr/1471000/DrbEasyDrugInfoService/getDrbEasyDrugList</x:v>
      </x:c>
    </x:row>
    <x:row r="198" ht="62" customHeight="1">
      <x:c r="A198" s="9" t="n">
        <x:v>197</x:v>
      </x:c>
      <x:c r="B198" s="6" t="str">
        <x:v>보정용</x:v>
      </x:c>
      <x:c r="C198" s="6" t="str">
        <x:v>복약</x:v>
      </x:c>
      <x:c r="D198" s="6" t="str">
        <x:v>실용·응급대처</x:v>
      </x:c>
      <x:c r="E198" s="6" t="str">
        <x:v>답변 가능</x:v>
      </x:c>
      <x:c r="F198" s="6" t="str">
        <x:v>보통</x:v>
      </x:c>
      <x:c r="G198" s="8" t="str">
        <x:v>비오플250산(사카로마이세스보울라르디균) 사용 후 심한 이상반응이 나타나면 어떻게 해야 하나요?</x:v>
      </x:c>
      <x:c r="H198" s="8" t="str">
        <x:v>가려움증, 두드러기, 피부발진, 혈관부종, 아나필락시스반응, 고창, 변비, 진균혈증 등이 나타나는 경우 복용을 즉각 중지하고 의사 또는 약사와 상의하십시오.</x:v>
      </x:c>
      <x:c r="I198" s="8" t="str">
        <x:v>가려움증, 두드러기, 피부발진, 혈관부종, 아나필락시스반응, 고창, 변비, 진균혈증 등이 나타나는 경우 복용을 즉각 중지하고 의사 또는 약사와 상의하십시오.</x:v>
      </x:c>
      <x:c r="J198" s="8" t="str">
        <x:v>비오플250산(사카로마이세스보울라르디균) [품목기준코드 201006974]</x:v>
      </x:c>
      <x:c r="K198" s="8" t="str">
        <x:v>식품의약품안전처 의약품개요정보(e약은요) OpenAPI
https://apis.data.go.kr/1471000/DrbEasyDrugInfoService/getDrbEasyDrugList</x:v>
      </x:c>
    </x:row>
    <x:row r="199" ht="62" customHeight="1">
      <x:c r="A199" s="9" t="n">
        <x:v>198</x:v>
      </x:c>
      <x:c r="B199" s="6" t="str">
        <x:v>보정용</x:v>
      </x:c>
      <x:c r="C199" s="6" t="str">
        <x:v>복약</x:v>
      </x:c>
      <x:c r="D199" s="6" t="str">
        <x:v>금기·경고</x:v>
      </x:c>
      <x:c r="E199" s="6" t="str">
        <x:v>답변 가능</x:v>
      </x:c>
      <x:c r="F199" s="6" t="str">
        <x:v>쉬움</x:v>
      </x:c>
      <x:c r="G199" s="8" t="str">
        <x:v>초당아스피린장용정100mg(아스피린)을 사용하면 안 되거나 반드시 확인해야 할 경고사항은 무엇인가요?</x:v>
      </x:c>
      <x:c r="H199" s="8" t="str">
        <x:v>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x:v>
      </x:c>
      <x:c r="I199" s="8" t="str">
        <x:v>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x:v>
      </x:c>
      <x:c r="J199" s="8" t="str">
        <x:v>초당아스피린장용정100mg(아스피린) [품목기준코드 199703010]</x:v>
      </x:c>
      <x:c r="K199" s="8" t="str">
        <x:v>식품의약품안전처 의약품개요정보(e약은요) OpenAPI
https://apis.data.go.kr/1471000/DrbEasyDrugInfoService/getDrbEasyDrugList</x:v>
      </x:c>
    </x:row>
    <x:row r="200" ht="62" customHeight="1">
      <x:c r="A200" s="9" t="n">
        <x:v>199</x:v>
      </x:c>
      <x:c r="B200" s="6" t="str">
        <x:v>보정용</x:v>
      </x:c>
      <x:c r="C200" s="6" t="str">
        <x:v>복약</x:v>
      </x:c>
      <x:c r="D200" s="6" t="str">
        <x:v>원인·위험요인</x:v>
      </x:c>
      <x:c r="E200" s="6" t="str">
        <x:v>답변 가능</x:v>
      </x:c>
      <x:c r="F200" s="6" t="str">
        <x:v>보통</x:v>
      </x:c>
      <x:c r="G200" s="8" t="str">
        <x:v>킥콜연질캡슐을 사용하기 전에 특히 조심해야 하는 사람은 누구인가요?</x:v>
      </x:c>
      <x:c r="H200" s="8" t="str">
        <x:v>이 제품을 사용하기 전에 특히 확인해야 할 대상과 상황은 다음과 같습니다. 이 약에 과민증 환자 또는 경험자, 다른 해열진통제,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기침환자는 의사 또는 약사와 상의하십시오. 5~6회 복용하여도 증상의 개선이 없을 경우 복용을 즉각 중지하고 의사 또는 약사와 상의하십시오.</x:v>
      </x:c>
      <x:c r="I200" s="8" t="str">
        <x:v>이 약에 과민증 환자 또는 경험자, 다른 해열진통제,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기침환자는 의사 또는 약사와 상의하십시오. 5~6회 복용하여도 증상의 개선이 없을 경우 복용을 즉각 중지하고 의사 또는 약사와 상의하십시오.</x:v>
      </x:c>
      <x:c r="J200" s="8" t="str">
        <x:v>킥콜연질캡슐 [품목기준코드 201707524]</x:v>
      </x:c>
      <x:c r="K200" s="8" t="str">
        <x:v>식품의약품안전처 의약품개요정보(e약은요) OpenAPI
https://apis.data.go.kr/1471000/DrbEasyDrugInfoService/getDrbEasyDrugList</x:v>
      </x:c>
    </x:row>
    <x:row r="201" ht="62" customHeight="1">
      <x:c r="A201" s="9" t="n">
        <x:v>200</x:v>
      </x:c>
      <x:c r="B201" s="6" t="str">
        <x:v>보정용</x:v>
      </x:c>
      <x:c r="C201" s="6" t="str">
        <x:v>복약</x:v>
      </x:c>
      <x:c r="D201" s="6" t="str">
        <x:v>실용·응급대처</x:v>
      </x:c>
      <x:c r="E201" s="6" t="str">
        <x:v>답변 가능</x:v>
      </x:c>
      <x:c r="F201" s="6" t="str">
        <x:v>보통</x:v>
      </x:c>
      <x:c r="G201" s="8" t="str">
        <x:v>벤포벨브이정 사용 후 심한 이상반응이 나타나면 어떻게 해야 하나요?</x:v>
      </x:c>
      <x:c r="H201" s="8" t="str">
        <x:v>구역, 구토, 가려움, 건조하고 거친 피부, 통증성관절부종, 설사, 위부불쾌감, 변비, 발진, 발적, 묽은 변, 붉은 반점, 심장박동정지, 중추신경계 기능저하, 피부염, 땀·호흡 시 악취, 탈모, 조급증, 구토, 위장관장애, 소화장애, 상복부통증, 저혈압, 폐부종, 생리가 예정보다 빨라지거나 양이 점점 많아지거나 출혈이 오래 지속되는 증상이 나타나는 경우 복용을 즉각 중지하고 의사 또는 약사와 상의하십시오.</x:v>
      </x:c>
      <x:c r="I201" s="8" t="str">
        <x:v>구역, 구토, 가려움, 건조하고 거친 피부, 통증성관절부종, 설사, 위부불쾌감, 변비, 발진, 발적, 묽은 변, 붉은 반점, 심장박동정지, 중추신경계 기능저하, 피부염, 땀·호흡 시 악취, 탈모, 조급증, 구토, 위장관장애, 소화장애, 상복부통증, 저혈압, 폐부종, 생리가 예정보다 빨라지거나 양이 점점 많아지거나 출혈이 오래 지속되는 증상이 나타나는 경우 복용을 즉각 중지하고 의사 또는 약사와 상의하십시오.</x:v>
      </x:c>
      <x:c r="J201" s="8" t="str">
        <x:v>벤포벨브이정 [품목기준코드 201705676]</x:v>
      </x:c>
      <x:c r="K201" s="8" t="str">
        <x:v>식품의약품안전처 의약품개요정보(e약은요) OpenAPI
https://apis.data.go.kr/1471000/DrbEasyDrugInfoService/getDrbEasyDrugList</x:v>
      </x:c>
    </x:row>
    <x:row r="202" ht="62" customHeight="1">
      <x:c r="A202" s="9" t="n">
        <x:v>201</x:v>
      </x:c>
      <x:c r="B202" s="6" t="str">
        <x:v>보정용</x:v>
      </x:c>
      <x:c r="C202" s="6" t="str">
        <x:v>복약</x:v>
      </x:c>
      <x:c r="D202" s="6" t="str">
        <x:v>금기·경고</x:v>
      </x:c>
      <x:c r="E202" s="6" t="str">
        <x:v>답변 가능</x:v>
      </x:c>
      <x:c r="F202" s="6" t="str">
        <x:v>쉬움</x:v>
      </x:c>
      <x:c r="G202" s="8" t="str">
        <x:v>메가트루액티브정을 사용하면 안 되거나 반드시 확인해야 할 경고사항은 무엇인가요?</x:v>
      </x:c>
      <x:c r="H202" s="8" t="str">
        <x:v>고칼슘혈증, 유육종증, 신장질환, 이 약에 과민증 환자, 만 12개월 미만의 젖먹이, 신장결석 환자는 이 약을 복용하지 마십시오.</x:v>
      </x:c>
      <x:c r="I202" s="8" t="str">
        <x:v>고칼슘혈증, 유육종증, 신장질환, 이 약에 과민증 환자, 만 12개월 미만의 젖먹이, 신장결석 환자는 이 약을 복용하지 마십시오.</x:v>
      </x:c>
      <x:c r="J202" s="8" t="str">
        <x:v>메가트루액티브정 [품목기준코드 201700510]</x:v>
      </x:c>
      <x:c r="K202" s="8" t="str">
        <x:v>식품의약품안전처 의약품개요정보(e약은요) OpenAPI
https://apis.data.go.kr/1471000/DrbEasyDrugInfoService/getDrbEasyDrugList</x:v>
      </x:c>
    </x:row>
    <x:row r="203" ht="62" customHeight="1">
      <x:c r="A203" s="9" t="n">
        <x:v>202</x:v>
      </x:c>
      <x:c r="B203" s="6" t="str">
        <x:v>보정용</x:v>
      </x:c>
      <x:c r="C203" s="6" t="str">
        <x:v>복약</x:v>
      </x:c>
      <x:c r="D203" s="6" t="str">
        <x:v>답변불가·개인 복용 판단</x:v>
      </x:c>
      <x:c r="E203" s="6" t="str">
        <x:v>답변 거부</x:v>
      </x:c>
      <x:c r="F203" s="6" t="str">
        <x:v>어려움</x:v>
      </x:c>
      <x:c r="G203" s="8" t="str">
        <x:v>제 건강 상태를 따로 확인하지 않고 혜민고카타플라스마을 지금 먹어도 되는지 결정해 주세요.</x:v>
      </x:c>
      <x:c r="H203" s="8" t="str">
        <x:v>제공된 e약은요 VDB만으로 개인의 건강 상태를 반영한 복용 가능 여부를 결정할 수 없습니다. 의사 또는 약사와 상담해야 합니다.</x:v>
      </x:c>
      <x:c r="I203" s="8" t="str">
        <x:v>VDB 범위 밖 질문 — 근거 없음</x:v>
      </x:c>
      <x:c r="J203" s="8" t="str">
        <x:v>혜민고카타플라스마 [품목기준코드 200102101]</x:v>
      </x:c>
      <x:c r="K203" s="8" t="str">
        <x:v>식품의약품안전처 의약품개요정보(e약은요) OpenAPI
https://apis.data.go.kr/1471000/DrbEasyDrugInfoService/getDrbEasyDrugList</x:v>
      </x:c>
    </x:row>
    <x:row r="204" ht="62" customHeight="1">
      <x:c r="A204" s="9" t="n">
        <x:v>203</x:v>
      </x:c>
      <x:c r="B204" s="6" t="str">
        <x:v>보정용</x:v>
      </x:c>
      <x:c r="C204" s="6" t="str">
        <x:v>복약</x:v>
      </x:c>
      <x:c r="D204" s="6" t="str">
        <x:v>금기·경고</x:v>
      </x:c>
      <x:c r="E204" s="6" t="str">
        <x:v>답변 가능</x:v>
      </x:c>
      <x:c r="F204" s="6" t="str">
        <x:v>쉬움</x:v>
      </x:c>
      <x:c r="G204" s="8" t="str">
        <x:v>덴스롤캡슐을 사용하면 안 되거나 반드시 확인해야 할 경고사항은 무엇인가요?</x:v>
      </x:c>
      <x:c r="H204" s="8" t="str">
        <x:v>15세 미만 소아는 이 약을 복용하지 마십시오.이 약에 과민증 환자, 화장품 또는 달걀에 과민증(발열, 발진, 관절통, 천식, 가려움 등) 경험자, 알레르기 체질인 사람은 의사 또는 약사와 상의하십시오.정해진 용법과 용량을 잘 지키십시오.</x:v>
      </x:c>
      <x:c r="I204" s="8" t="str">
        <x:v>15세 미만 소아는 이 약을 복용하지 마십시오.이 약에 과민증 환자, 화장품 또는 달걀에 과민증(발열, 발진, 관절통, 천식, 가려움 등) 경험자, 알레르기 체질인 사람은 의사 또는 약사와 상의하십시오.정해진 용법과 용량을 잘 지키십시오.</x:v>
      </x:c>
      <x:c r="J204" s="8" t="str">
        <x:v>덴스롤캡슐 [품목기준코드 200201998]</x:v>
      </x:c>
      <x:c r="K204" s="8" t="str">
        <x:v>식품의약품안전처 의약품개요정보(e약은요) OpenAPI
https://apis.data.go.kr/1471000/DrbEasyDrugInfoService/getDrbEasyDrugList</x:v>
      </x:c>
    </x:row>
    <x:row r="205" ht="62" customHeight="1">
      <x:c r="A205" s="9" t="n">
        <x:v>204</x:v>
      </x:c>
      <x:c r="B205" s="6" t="str">
        <x:v>보정용</x:v>
      </x:c>
      <x:c r="C205" s="6" t="str">
        <x:v>복약</x:v>
      </x:c>
      <x:c r="D205" s="6" t="str">
        <x:v>증상→대상 구분</x:v>
      </x:c>
      <x:c r="E205" s="6" t="str">
        <x:v>답변 가능</x:v>
      </x:c>
      <x:c r="F205" s="6" t="str">
        <x:v>어려움</x:v>
      </x:c>
      <x:c r="G205" s="8" t="str">
        <x:v>기가엔드연질캡슐을 사용한 뒤 발진이 생겼는데, 이 약의 부작용으로 안내되어 있나요?</x:v>
      </x:c>
      <x:c r="H205" s="8" t="str">
        <x:v>발진은 이 제품의 e약은요 부작용 항목에 기재되어 있습니다. 다만 이 정보만으로 현재 증상의 원인이 해당 약이라고 확정할 수는 없습니다.</x:v>
      </x:c>
      <x:c r="I205" s="8" t="str">
        <x:v>발진∙발적(충혈되어 붉어짐), 가려움, 구역∙구토, 식욕부진, 복통(배아픔), 두통, 혈담, 드물게 피부점막안증후군(스티븐스-존슨증후군), 독성표피괴사용해(고열을 동반하고, 발진∙발적, 화상과 같은 물집이 생기는 등의 심한 증상), 쇽 증상(복용 후 바로 두드러기, 부기, 가슴답답함 등과 함께 안색이 창백하고, 손발이 차고, 식은 땀, 숨쉬기 곤란함), 전신의 나른함, 황달(피부 또는 눈의 흰자위가 황색을 띄게 됨), 설사, 입안의 건조 등이 나타나는 경우 복용을 즉각 중지하고 의사 또는 약사와 상의하십시오.</x:v>
      </x:c>
      <x:c r="J205" s="8" t="str">
        <x:v>기가엔드연질캡슐 [품목기준코드 201508445]</x:v>
      </x:c>
      <x:c r="K205" s="8" t="str">
        <x:v>식품의약품안전처 의약품개요정보(e약은요) OpenAPI
https://apis.data.go.kr/1471000/DrbEasyDrugInfoService/getDrbEasyDrugList</x:v>
      </x:c>
    </x:row>
    <x:row r="206" ht="62" customHeight="1">
      <x:c r="A206" s="9" t="n">
        <x:v>205</x:v>
      </x:c>
      <x:c r="B206" s="6" t="str">
        <x:v>보정용</x:v>
      </x:c>
      <x:c r="C206" s="6" t="str">
        <x:v>복약</x:v>
      </x:c>
      <x:c r="D206" s="6" t="str">
        <x:v>원인·위험요인</x:v>
      </x:c>
      <x:c r="E206" s="6" t="str">
        <x:v>답변 가능</x:v>
      </x:c>
      <x:c r="F206" s="6" t="str">
        <x:v>보통</x:v>
      </x:c>
      <x:c r="G206" s="8" t="str">
        <x:v>듀오베린정을 사용하기 전에 특히 조심해야 하는 사람은 누구인가요?</x:v>
      </x:c>
      <x:c r="H206" s="8" t="str">
        <x:v>이 제품을 사용하기 전에 특히 확인해야 할 대상과 상황은 다음과 같습니다. 임부 또는 임신하고 있을 가능성이 있는 여성, 수유부, 신생아, 만 7세 이하의 어린이, 갈락토오스 불내성, Lapp 유당(젖당)분해효소 결핍증 또는 포도당-갈락토오스 흡수장애 등의 유전적인 문제가 있는 환자는 이 약을 복용하지 마십시오. 이 약을 복용하기 전에 황색4호에 과민증 환자 또는 경험자, 약에 의한 알레르기(발열, 발진, 관절통, 천식, 가려움증 등) 경험자, 위·십이지장궤양 환자, 발열을 수반하는 설사 환자, 고령자, 혈변 환자 또는 점액변이 계속되는 환자는 의사 또는 약사와 상의하십시오. 3일 이상 계속하여 복용하지 마십시오. 여러 차례 투여하여도 증상의 개선이 없을 경우 복용을 즉각 중지하고 의사 또는 약사와 상의하십시오.</x:v>
      </x:c>
      <x:c r="I206" s="8" t="str">
        <x:v>임부 또는 임신하고 있을 가능성이 있는 여성, 수유부, 신생아, 만 7세 이하의 어린이, 갈락토오스 불내성, Lapp 유당(젖당)분해효소 결핍증 또는 포도당-갈락토오스 흡수장애 등의 유전적인 문제가 있는 환자는 이 약을 복용하지 마십시오. 이 약을 복용하기 전에 황색4호에 과민증 환자 또는 경험자, 약에 의한 알레르기(발열, 발진, 관절통, 천식, 가려움증 등) 경험자, 위·십이지장궤양 환자, 발열을 수반하는 설사 환자, 고령자, 혈변 환자 또는 점액변이 계속되는 환자는 의사 또는 약사와 상의하십시오. 3일 이상 계속하여 복용하지 마십시오. 여러 차례 투여하여도 증상의 개선이 없을 경우 복용을 즉각 중지하고 의사 또는 약사와 상의하십시오.</x:v>
      </x:c>
      <x:c r="J206" s="8" t="str">
        <x:v>듀오베린정 [품목기준코드 202107890]</x:v>
      </x:c>
      <x:c r="K206" s="8" t="str">
        <x:v>식품의약품안전처 의약품개요정보(e약은요) OpenAPI
https://apis.data.go.kr/1471000/DrbEasyDrugInfoService/getDrbEasyDrugList</x:v>
      </x:c>
    </x:row>
    <x:row r="207" ht="62" customHeight="1">
      <x:c r="A207" s="9" t="n">
        <x:v>206</x:v>
      </x:c>
      <x:c r="B207" s="6" t="str">
        <x:v>보정용</x:v>
      </x:c>
      <x:c r="C207" s="6" t="str">
        <x:v>복약</x:v>
      </x:c>
      <x:c r="D207" s="6" t="str">
        <x:v>증상→대상 구분</x:v>
      </x:c>
      <x:c r="E207" s="6" t="str">
        <x:v>답변 가능</x:v>
      </x:c>
      <x:c r="F207" s="6" t="str">
        <x:v>어려움</x:v>
      </x:c>
      <x:c r="G207" s="8" t="str">
        <x:v>세노바퀵연질캡슐(세티리진염산염)을 사용한 뒤 발진이 생겼는데, 이 약의 부작용으로 안내되어 있나요?</x:v>
      </x:c>
      <x:c r="H207" s="8" t="str">
        <x:v>발진은 이 제품의 e약은요 부작용 항목에 기재되어 있습니다. 다만 이 정보만으로 현재 증상의 원인이 해당 약이라고 확정할 수는 없습니다.</x:v>
      </x:c>
      <x:c r="I207" s="8" t="str">
        <x:v>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목마름, 입술건조감, 구역, 식욕부진, 위부불쾌감, 소화불량, 복통, 위통, 복부불쾌감, 설사, 드물게 구토, 위장장애, 입술염, 미각이상, 식욕증진, 빠른맥, 부정맥, 혈압상승, 때때로 두근거림, 혈관염, 때때로 백혈구 감소, 호중구 감소, 림프구 증가, 호산구 증가, 드물게 단구 증가, 혈소판 증가, 광과민증, 드물게 과민증 및 과민성 쇼크, 때때로 부기, 가려움, 발진, 드물게 두드러기, 혈관신경성부종, 고정약물발진, 급성 전신 발진농포증, 드물게 흐린 시력, 결막충혈, 안조절 장애, 전후축의 안구운동, 현기증, 때때로 AST, ALT, ALP, 총빌리루빈, -GTP, LDH의 상승 등 간기능 장애, 황달, 간염, 때때로 BUN 상승, 당뇨, 피섞인 소변, 드물게 배뇨 곤란, 야뇨증, 소변고임, 관절통, 인두염, 기침, 코피, 기관지경련, 청력이상, 시각이상, 때때로 가슴통증, 드물게 월경불순, 귀울림, 비염, 체중 증가가 나타나는 경우 복용을 즉각 중지하고 의사 또는 약사와 상의하십시오.</x:v>
      </x:c>
      <x:c r="J207" s="8" t="str">
        <x:v>세노바퀵연질캡슐(세티리진염산염) [품목기준코드 201906400]</x:v>
      </x:c>
      <x:c r="K207" s="8" t="str">
        <x:v>식품의약품안전처 의약품개요정보(e약은요) OpenAPI
https://apis.data.go.kr/1471000/DrbEasyDrugInfoService/getDrbEasyDrugList</x:v>
      </x:c>
    </x:row>
    <x:row r="208" ht="62" customHeight="1">
      <x:c r="A208" s="9" t="n">
        <x:v>207</x:v>
      </x:c>
      <x:c r="B208" s="6" t="str">
        <x:v>보정용</x:v>
      </x:c>
      <x:c r="C208" s="6" t="str">
        <x:v>복약</x:v>
      </x:c>
      <x:c r="D208" s="6" t="str">
        <x:v>증상→대상 구분</x:v>
      </x:c>
      <x:c r="E208" s="6" t="str">
        <x:v>답변 가능</x:v>
      </x:c>
      <x:c r="F208" s="6" t="str">
        <x:v>어려움</x:v>
      </x:c>
      <x:c r="G208" s="8" t="str">
        <x:v>하벤유에스캡슐을 사용한 뒤 발진이 생겼는데, 이 약의 부작용으로 안내되어 있나요?</x:v>
      </x:c>
      <x:c r="H208" s="8" t="str">
        <x:v>발진은 이 제품의 e약은요 부작용 항목에 기재되어 있습니다. 다만 이 정보만으로 현재 증상의 원인이 해당 약이라고 확정할 수는 없습니다.</x:v>
      </x:c>
      <x:c r="I208" s="8" t="str">
        <x:v>출혈성뇌졸중, 구역·구토, 목마름(지속적이거나 심한), 변비, 식욕부진, 발진·발적, 가려움, 배뇨곤란 등이 나타나는 경우 복용을 즉각 중지하고 의사 또는 약사와 상의하십시오.</x:v>
      </x:c>
      <x:c r="J208" s="8" t="str">
        <x:v>하벤유에스캡슐 [품목기준코드 201309581]</x:v>
      </x:c>
      <x:c r="K208" s="8" t="str">
        <x:v>식품의약품안전처 의약품개요정보(e약은요) OpenAPI
https://apis.data.go.kr/1471000/DrbEasyDrugInfoService/getDrbEasyDrugList</x:v>
      </x:c>
    </x:row>
    <x:row r="209" ht="62" customHeight="1">
      <x:c r="A209" s="9" t="n">
        <x:v>208</x:v>
      </x:c>
      <x:c r="B209" s="6" t="str">
        <x:v>보정용</x:v>
      </x:c>
      <x:c r="C209" s="6" t="str">
        <x:v>복약</x:v>
      </x:c>
      <x:c r="D209" s="6" t="str">
        <x:v>용어·정의</x:v>
      </x:c>
      <x:c r="E209" s="6" t="str">
        <x:v>답변 가능</x:v>
      </x:c>
      <x:c r="F209" s="6" t="str">
        <x:v>쉬움</x:v>
      </x:c>
      <x:c r="G209" s="8" t="str">
        <x:v>노자임캡슐40000(판크레아틴장용성제피펠렛)은 어떤 약인가요?</x:v>
      </x:c>
      <x:c r="H209" s="8" t="str">
        <x:v>노자임캡슐40000(판크레아틴장용성제피펠렛)은 (주)한국팜비오의 의약품으로, e약은요에는 다음과 같이 안내되어 있습니다. 이 약은 췌장 외분비 기능장애에 사용합니다.</x:v>
      </x:c>
      <x:c r="I209" s="8" t="str">
        <x:v>제품명: 노자임캡슐40000(판크레아틴장용성제피펠렛) 업체명: (주)한국팜비오 효능: 이 약은 췌장 외분비 기능장애에 사용합니다.</x:v>
      </x:c>
      <x:c r="J209" s="8" t="str">
        <x:v>노자임캡슐40000(판크레아틴장용성제피펠렛) [품목기준코드 201307930]</x:v>
      </x:c>
      <x:c r="K209" s="8" t="str">
        <x:v>식품의약품안전처 의약품개요정보(e약은요) OpenAPI
https://apis.data.go.kr/1471000/DrbEasyDrugInfoService/getDrbEasyDrugList</x:v>
      </x:c>
    </x:row>
    <x:row r="210" ht="62" customHeight="1">
      <x:c r="A210" s="9" t="n">
        <x:v>209</x:v>
      </x:c>
      <x:c r="B210" s="6" t="str">
        <x:v>보정용</x:v>
      </x:c>
      <x:c r="C210" s="6" t="str">
        <x:v>복약</x:v>
      </x:c>
      <x:c r="D210" s="6" t="str">
        <x:v>증상·이상반응</x:v>
      </x:c>
      <x:c r="E210" s="6" t="str">
        <x:v>답변 가능</x:v>
      </x:c>
      <x:c r="F210" s="6" t="str">
        <x:v>쉬움</x:v>
      </x:c>
      <x:c r="G210" s="8" t="str">
        <x:v>젤콤현탁액(플루벤다졸)을 사용하면 어떤 부작용이 생길 수 있나요?</x:v>
      </x:c>
      <x:c r="H210" s="8" t="str">
        <x:v>e약은요에는 다음과 같은 이상반응이 안내되어 있습니다. 드물게 일과성 구역, 복통, 설사, 발진, 두드러기, 혈관부종 등이 나타나는 경우 복용을 즉각 중지하고 의사 또는 약사와 상의하십시오.</x:v>
      </x:c>
      <x:c r="I210" s="8" t="str">
        <x:v>드물게 일과성 구역, 복통, 설사, 발진, 두드러기, 혈관부종 등이 나타나는 경우 복용을 즉각 중지하고 의사 또는 약사와 상의하십시오.</x:v>
      </x:c>
      <x:c r="J210" s="8" t="str">
        <x:v>젤콤현탁액(플루벤다졸) [품목기준코드 199300228]</x:v>
      </x:c>
      <x:c r="K210" s="8" t="str">
        <x:v>식품의약품안전처 의약품개요정보(e약은요) OpenAPI
https://apis.data.go.kr/1471000/DrbEasyDrugInfoService/getDrbEasyDrugList</x:v>
      </x:c>
    </x:row>
    <x:row r="211" ht="62" customHeight="1">
      <x:c r="A211" s="9" t="n">
        <x:v>210</x:v>
      </x:c>
      <x:c r="B211" s="6" t="str">
        <x:v>보정용</x:v>
      </x:c>
      <x:c r="C211" s="6" t="str">
        <x:v>복약</x:v>
      </x:c>
      <x:c r="D211" s="6" t="str">
        <x:v>증상·이상반응</x:v>
      </x:c>
      <x:c r="E211" s="6" t="str">
        <x:v>답변 가능</x:v>
      </x:c>
      <x:c r="F211" s="6" t="str">
        <x:v>쉬움</x:v>
      </x:c>
      <x:c r="G211" s="8" t="str">
        <x:v>트리마정200밀리그램(트리메부틴말레산염)을 사용하면 어떤 부작용이 생길 수 있나요?</x:v>
      </x:c>
      <x:c r="H211" s="8" t="str">
        <x:v>e약은요에는 다음과 같은 이상반응이 안내되어 있습니다. 드물게 변비, 설사, 복명(창자 가스소리), 구역, 구토, 소화장애, 구갈(목마름), 구내(입안)마비감, 심계항진(두근거림), 피로감, 졸음, 현기(어지러움), 권태감, 두통, GOT, GPT상승이 나타날 수 있습니다. 드물게 발진 등이 나타나는 경우 복용을 즉각 중지하고 의사 또는 약사와 상의하십시오.</x:v>
      </x:c>
      <x:c r="I211" s="8" t="str">
        <x:v>드물게 변비, 설사, 복명(창자 가스소리), 구역, 구토, 소화장애, 구갈(목마름), 구내(입안)마비감, 심계항진(두근거림), 피로감, 졸음, 현기(어지러움), 권태감, 두통, GOT, GPT상승이 나타날 수 있습니다. 드물게 발진 등이 나타나는 경우 복용을 즉각 중지하고 의사 또는 약사와 상의하십시오.</x:v>
      </x:c>
      <x:c r="J211" s="8" t="str">
        <x:v>트리마정200밀리그램(트리메부틴말레산염) [품목기준코드 198800902]</x:v>
      </x:c>
      <x:c r="K211" s="8" t="str">
        <x:v>식품의약품안전처 의약품개요정보(e약은요) OpenAPI
https://apis.data.go.kr/1471000/DrbEasyDrugInfoService/getDrbEasyDrugList</x:v>
      </x:c>
    </x:row>
    <x:row r="212" ht="62" customHeight="1">
      <x:c r="A212" s="9" t="n">
        <x:v>211</x:v>
      </x:c>
      <x:c r="B212" s="6" t="str">
        <x:v>보정용</x:v>
      </x:c>
      <x:c r="C212" s="6" t="str">
        <x:v>복약</x:v>
      </x:c>
      <x:c r="D212" s="6" t="str">
        <x:v>용어·정의</x:v>
      </x:c>
      <x:c r="E212" s="6" t="str">
        <x:v>답변 가능</x:v>
      </x:c>
      <x:c r="F212" s="6" t="str">
        <x:v>쉬움</x:v>
      </x:c>
      <x:c r="G212" s="8" t="str">
        <x:v>슈멕톤현탁액(디옥타헤드랄스멕타이트)(수출명:DOSMECTINE)은 어떤 약인가요?</x:v>
      </x:c>
      <x:c r="H212" s="8" t="str">
        <x:v>슈멕톤현탁액(디옥타헤드랄스멕타이트)(수출명:DOSMECTINE)은 일양약품(주)의 의약품으로, e약은요에는 다음과 같이 안내되어 있습니다. 이 약은 성인의 식도, 위·십이지장과 관련된 통증의 완화, 성인의 급·만성 설사, 24개월 이상 소아의 급성 설사에 사용합니다.</x:v>
      </x:c>
      <x:c r="I212" s="8" t="str">
        <x:v>제품명: 슈멕톤현탁액(디옥타헤드랄스멕타이트)(수출명:DOSMECTINE) 업체명: 일양약품(주) 효능: 이 약은 성인의 식도, 위·십이지장과 관련된 통증의 완화, 성인의 급·만성 설사, 24개월 이상 소아의 급성 설사에 사용합니다.</x:v>
      </x:c>
      <x:c r="J212" s="8" t="str">
        <x:v>슈멕톤현탁액(디옥타헤드랄스멕타이트)(수출명:DOSMECTINE) [품목기준코드 200401293]</x:v>
      </x:c>
      <x:c r="K212" s="8" t="str">
        <x:v>식품의약품안전처 의약품개요정보(e약은요) OpenAPI
https://apis.data.go.kr/1471000/DrbEasyDrugInfoService/getDrbEasyDrugList</x:v>
      </x:c>
    </x:row>
    <x:row r="213" ht="62" customHeight="1">
      <x:c r="A213" s="9" t="n">
        <x:v>212</x:v>
      </x:c>
      <x:c r="B213" s="6" t="str">
        <x:v>보정용</x:v>
      </x:c>
      <x:c r="C213" s="6" t="str">
        <x:v>복약</x:v>
      </x:c>
      <x:c r="D213" s="6" t="str">
        <x:v>상호작용</x:v>
      </x:c>
      <x:c r="E213" s="6" t="str">
        <x:v>답변 가능</x:v>
      </x:c>
      <x:c r="F213" s="6" t="str">
        <x:v>쉬움</x:v>
      </x:c>
      <x:c r="G213" s="8" t="str">
        <x:v>알기닉액(L-아스파르트산-L-아르기닌수화물)과 함께 사용하거나 먹을 때 주의해야 할 약이나 음식이 있나요?</x:v>
      </x:c>
      <x:c r="H213" s="8" t="str">
        <x:v>이 약을 복용하는 동안 항정신병약, 수면제를 함께 복용하지 마십시오.</x:v>
      </x:c>
      <x:c r="I213" s="8" t="str">
        <x:v>이 약을 복용하는 동안 항정신병약, 수면제를 함께 복용하지 마십시오.</x:v>
      </x:c>
      <x:c r="J213" s="8" t="str">
        <x:v>알기닉액(L-아스파르트산-L-아르기닌수화물) [품목기준코드 202102246]</x:v>
      </x:c>
      <x:c r="K213" s="8" t="str">
        <x:v>식품의약품안전처 의약품개요정보(e약은요) OpenAPI
https://apis.data.go.kr/1471000/DrbEasyDrugInfoService/getDrbEasyDrugList</x:v>
      </x:c>
    </x:row>
    <x:row r="214" ht="62" customHeight="1">
      <x:c r="A214" s="9" t="n">
        <x:v>213</x:v>
      </x:c>
      <x:c r="B214" s="6" t="str">
        <x:v>보정용</x:v>
      </x:c>
      <x:c r="C214" s="6" t="str">
        <x:v>복약</x:v>
      </x:c>
      <x:c r="D214" s="6" t="str">
        <x:v>상호작용</x:v>
      </x:c>
      <x:c r="E214" s="6" t="str">
        <x:v>답변 가능</x:v>
      </x:c>
      <x:c r="F214" s="6" t="str">
        <x:v>쉬움</x:v>
      </x:c>
      <x:c r="G214" s="8" t="str">
        <x:v>유한이브펜연질캡슐과 함께 사용하거나 먹을 때 주의해야 할 약이나 음식이 있나요?</x:v>
      </x:c>
      <x:c r="H214" s="8" t="str">
        <x:v>다른 해열진통제, 감기약, 진정제와 함께 복용하지 마십시오. 당뇨약, 통풍약, 관절염약, 항응고제, 스테로이드제, 이뇨제, 저용량 아스피린(심근경색이나 뇌졸중 예방목적)과 함께 복용 시 의사 또는 약사와 상의하십시오. 복용 중에는 음주하지 마십시오.</x:v>
      </x:c>
      <x:c r="I214" s="8" t="str">
        <x:v>다른 해열진통제, 감기약, 진정제와 함께 복용하지 마십시오. 당뇨약, 통풍약, 관절염약, 항응고제, 스테로이드제, 이뇨제, 저용량 아스피린(심근경색이나 뇌졸중 예방목적)과 함께 복용 시 의사 또는 약사와 상의하십시오. 복용 중에는 음주하지 마십시오.</x:v>
      </x:c>
      <x:c r="J214" s="8" t="str">
        <x:v>유한이브펜연질캡슐 [품목기준코드 202202422]</x:v>
      </x:c>
      <x:c r="K214" s="8" t="str">
        <x:v>식품의약품안전처 의약품개요정보(e약은요) OpenAPI
https://apis.data.go.kr/1471000/DrbEasyDrugInfoService/getDrbEasyDrugList</x:v>
      </x:c>
    </x:row>
    <x:row r="215" ht="62" customHeight="1">
      <x:c r="A215" s="9" t="n">
        <x:v>214</x:v>
      </x:c>
      <x:c r="B215" s="6" t="str">
        <x:v>보정용</x:v>
      </x:c>
      <x:c r="C215" s="6" t="str">
        <x:v>복약</x:v>
      </x:c>
      <x:c r="D215" s="6" t="str">
        <x:v>증상·이상반응</x:v>
      </x:c>
      <x:c r="E215" s="6" t="str">
        <x:v>답변 가능</x:v>
      </x:c>
      <x:c r="F215" s="6" t="str">
        <x:v>쉬움</x:v>
      </x:c>
      <x:c r="G215" s="8" t="str">
        <x:v>눈앤큐점안액을 사용하면 어떤 부작용이 생길 수 있나요?</x:v>
      </x:c>
      <x:c r="H215" s="8" t="str">
        <x:v>e약은요에는 다음과 같은 이상반응이 안내되어 있습니다. 눈의 충혈, 가려움, 부종 등의 증상이 나타나는 경우 이 약의 사용을 즉각 중지하고 의사 또는 약사와 상의하십시오.</x:v>
      </x:c>
      <x:c r="I215" s="8" t="str">
        <x:v>눈의 충혈, 가려움, 부종 등의 증상이 나타나는 경우 이 약의 사용을 즉각 중지하고 의사 또는 약사와 상의하십시오.</x:v>
      </x:c>
      <x:c r="J215" s="8" t="str">
        <x:v>눈앤큐점안액 [품목기준코드 202302477]</x:v>
      </x:c>
      <x:c r="K215" s="8" t="str">
        <x:v>식품의약품안전처 의약품개요정보(e약은요) OpenAPI
https://apis.data.go.kr/1471000/DrbEasyDrugInfoService/getDrbEasyDrugList</x:v>
      </x:c>
    </x:row>
    <x:row r="216" ht="62" customHeight="1">
      <x:c r="A216" s="9" t="n">
        <x:v>215</x:v>
      </x:c>
      <x:c r="B216" s="6" t="str">
        <x:v>보정용</x:v>
      </x:c>
      <x:c r="C216" s="6" t="str">
        <x:v>복약</x:v>
      </x:c>
      <x:c r="D216" s="6" t="str">
        <x:v>증상·이상반응</x:v>
      </x:c>
      <x:c r="E216" s="6" t="str">
        <x:v>답변 가능</x:v>
      </x:c>
      <x:c r="F216" s="6" t="str">
        <x:v>쉬움</x:v>
      </x:c>
      <x:c r="G216" s="8" t="str">
        <x:v>메코마그민500정을 사용하면 어떤 부작용이 생길 수 있나요?</x:v>
      </x:c>
      <x:c r="H216" s="8" t="str">
        <x:v>e약은요에는 다음과 같은 이상반응이 안내되어 있습니다. 위부불쾌감, 설사, 변비, 발진, 발적, 구역, 구토, 묽은 변, 붉은 반점, 심장박동정지, 중추신경계 기능저하 피부염, 땀, 호흡시 악취, 탈모, 조급증, 생리가 예정보다 빨라지거나 양이 점점 많아지거나, 출혈이 오래 지속되는 증상 등이 나타나는 경우 복용을 즉각 중지하고 의사 또는 약사와 상의하십시오.</x:v>
      </x:c>
      <x:c r="I216" s="8" t="str">
        <x:v>위부불쾌감, 설사, 변비, 발진, 발적, 구역, 구토, 묽은 변, 붉은 반점, 심장박동정지, 중추신경계 기능저하 피부염, 땀, 호흡시 악취, 탈모, 조급증, 생리가 예정보다 빨라지거나 양이 점점 많아지거나, 출혈이 오래 지속되는 증상 등이 나타나는 경우 복용을 즉각 중지하고 의사 또는 약사와 상의하십시오.</x:v>
      </x:c>
      <x:c r="J216" s="8" t="str">
        <x:v>메코마그민500정 [품목기준코드 202502076]</x:v>
      </x:c>
      <x:c r="K216" s="8" t="str">
        <x:v>식품의약품안전처 의약품개요정보(e약은요) OpenAPI
https://apis.data.go.kr/1471000/DrbEasyDrugInfoService/getDrbEasyDrugList</x:v>
      </x:c>
    </x:row>
    <x:row r="217" ht="62" customHeight="1">
      <x:c r="A217" s="9" t="n">
        <x:v>216</x:v>
      </x:c>
      <x:c r="B217" s="6" t="str">
        <x:v>보정용</x:v>
      </x:c>
      <x:c r="C217" s="6" t="str">
        <x:v>복약</x:v>
      </x:c>
      <x:c r="D217" s="6" t="str">
        <x:v>원인·위험요인</x:v>
      </x:c>
      <x:c r="E217" s="6" t="str">
        <x:v>답변 가능</x:v>
      </x:c>
      <x:c r="F217" s="6" t="str">
        <x:v>쉬움</x:v>
      </x:c>
      <x:c r="G217" s="8" t="str">
        <x:v>큐앤큐니트로푸라존거즈을 사용하기 전에 특히 조심해야 하는 사람은 누구인가요?</x:v>
      </x:c>
      <x:c r="H217" s="8" t="str">
        <x:v>이 제품을 사용하기 전에 특히 확인해야 할 대상과 상황은 다음과 같습니다. 이 약에 과민증 환자 또는 경험자는 이 약을 사용하지 마십시오. 이 약을 사용하기 전에 신장애 환자, 임부 또는 수유부는 의사 또는 약사와 상의하십시오. 수유부가 사용하는 경우 가슴부위에는 사용하지 마십시오.</x:v>
      </x:c>
      <x:c r="I217" s="8" t="str">
        <x:v>이 약에 과민증 환자 또는 경험자는 이 약을 사용하지 마십시오. 이 약을 사용하기 전에 신장애 환자, 임부 또는 수유부는 의사 또는 약사와 상의하십시오. 수유부가 사용하는 경우 가슴부위에는 사용하지 마십시오.</x:v>
      </x:c>
      <x:c r="J217" s="8" t="str">
        <x:v>큐앤큐니트로푸라존거즈 [품목기준코드 202400285]</x:v>
      </x:c>
      <x:c r="K217" s="8" t="str">
        <x:v>식품의약품안전처 의약품개요정보(e약은요) OpenAPI
https://apis.data.go.kr/1471000/DrbEasyDrugInfoService/getDrbEasyDrugList</x:v>
      </x:c>
    </x:row>
    <x:row r="218" ht="62" customHeight="1">
      <x:c r="A218" s="9" t="n">
        <x:v>217</x:v>
      </x:c>
      <x:c r="B218" s="6" t="str">
        <x:v>보정용</x:v>
      </x:c>
      <x:c r="C218" s="6" t="str">
        <x:v>복약</x:v>
      </x:c>
      <x:c r="D218" s="6" t="str">
        <x:v>원인·위험요인</x:v>
      </x:c>
      <x:c r="E218" s="6" t="str">
        <x:v>답변 가능</x:v>
      </x:c>
      <x:c r="F218" s="6" t="str">
        <x:v>보통</x:v>
      </x:c>
      <x:c r="G218" s="8" t="str">
        <x:v>록소앤겔(록소프로펜나트륨수화물)을 사용하기 전에 특히 조심해야 하는 사람은 누구인가요?</x:v>
      </x:c>
      <x:c r="H218" s="8" t="str">
        <x:v>이 제품을 사용하기 전에 특히 확인해야 할 대상과 상황은 다음과 같습니다. 이 약에 과민증, 아스피린 또는 기타의 비스테로이드성 소염진통제에 천식 또는 경험자, 15세 미만의 소아, 눈 및 점막, 피부가 약한 부위(얼굴, 겨드랑이 등), 습진, 염증, 무좀, 벌레물림, 화농성 부위 또는 상처부위에는 이 약을 사용하지 마십시오. 이 약을 사용하기 전에 기관지 천식 환자, 임부 또는 수유부, 고령자는 의사 또는 약사와 상의하십시오. 의사의 감독 없이 밀봉붕대법을 사용하지 마십시오. 1회 약 2 g, 주당 50 g을 초과하여 사용하지 마십시오. 5~6일 정도 사용하여도 증상의 개선이 없을 경우 사용을 즉각 중지하고 의사 또는 약사와 상의하십시오.</x:v>
      </x:c>
      <x:c r="I218" s="8" t="str">
        <x:v>이 약에 과민증, 아스피린 또는 기타의 비스테로이드성 소염진통제에 천식 또는 경험자, 15세 미만의 소아, 눈 및 점막, 피부가 약한 부위(얼굴, 겨드랑이 등), 습진, 염증, 무좀, 벌레물림, 화농성 부위 또는 상처부위에는 이 약을 사용하지 마십시오. 이 약을 사용하기 전에 기관지 천식 환자, 임부 또는 수유부, 고령자는 의사 또는 약사와 상의하십시오. 의사의 감독 없이 밀봉붕대법을 사용하지 마십시오. 1회 약 2 g, 주당 50 g을 초과하여 사용하지 마십시오. 5~6일 정도 사용하여도 증상의 개선이 없을 경우 사용을 즉각 중지하고 의사 또는 약사와 상의하십시오.</x:v>
      </x:c>
      <x:c r="J218" s="8" t="str">
        <x:v>록소앤겔(록소프로펜나트륨수화물) [품목기준코드 202001082]</x:v>
      </x:c>
      <x:c r="K218" s="8" t="str">
        <x:v>식품의약품안전처 의약품개요정보(e약은요) OpenAPI
https://apis.data.go.kr/1471000/DrbEasyDrugInfoService/getDrbEasyDrugList</x:v>
      </x:c>
    </x:row>
    <x:row r="219" ht="62" customHeight="1">
      <x:c r="A219" s="9" t="n">
        <x:v>218</x:v>
      </x:c>
      <x:c r="B219" s="6" t="str">
        <x:v>보정용</x:v>
      </x:c>
      <x:c r="C219" s="6" t="str">
        <x:v>복약</x:v>
      </x:c>
      <x:c r="D219" s="6" t="str">
        <x:v>원인·위험요인</x:v>
      </x:c>
      <x:c r="E219" s="6" t="str">
        <x:v>답변 가능</x:v>
      </x:c>
      <x:c r="F219" s="6" t="str">
        <x:v>보통</x:v>
      </x:c>
      <x:c r="G219" s="8" t="str">
        <x:v>마이크로실드2액(클로르헥시딘글루콘산염)을 사용하기 전에 특히 조심해야 하는 사람은 누구인가요?</x:v>
      </x:c>
      <x:c r="H219" s="8" t="str">
        <x:v>이 제품을 사용하기 전에 특히 확인해야 할 대상과 상황은 다음과 같습니다. 이 약에 과민증 경험자는 이 약을 사용하지 마십시오.이 약을 사용하지 전에 다른 약물에 과민증, 천식 등 알레르기 질환 및 그 경험 또는 가족력이 있는 환자, 임부 또는 임신하고 있을 가능성이 있는 부인 및 수유부는 의사 또는 약사와 상의하십시오.외용으로만 사용하고, 경구투여 및 주사하지 마십시오.눈에 접촉시 각막손상을 일으킬 수 있으므로 눈, 귀에 들어가지 않도록 주의하고 만약 들어갔을 경우에는 즉시 깨끗한 물로 잘 씻어내십시오.다른 화학물질이나 세정제를 혼합하지 마십시오.비누류는 이 약의 살균작용을 약화시키므로 충분히 씻어 제거한 후 사용하십시오.</x:v>
      </x:c>
      <x:c r="I219" s="8" t="str">
        <x:v>이 약에 과민증 경험자는 이 약을 사용하지 마십시오.이 약을 사용하지 전에 다른 약물에 과민증, 천식 등 알레르기 질환 및 그 경험 또는 가족력이 있는 환자, 임부 또는 임신하고 있을 가능성이 있는 부인 및 수유부는 의사 또는 약사와 상의하십시오.외용으로만 사용하고, 경구투여 및 주사하지 마십시오.눈에 접촉시 각막손상을 일으킬 수 있으므로 눈, 귀에 들어가지 않도록 주의하고 만약 들어갔을 경우에는 즉시 깨끗한 물로 잘 씻어내십시오.다른 화학물질이나 세정제를 혼합하지 마십시오.비누류는 이 약의 살균작용을 약화시키므로 충분히 씻어 제거한 후 사용하십시오.</x:v>
      </x:c>
      <x:c r="J219" s="8" t="str">
        <x:v>마이크로실드2액(클로르헥시딘글루콘산염) [품목기준코드 200908760]</x:v>
      </x:c>
      <x:c r="K219" s="8" t="str">
        <x:v>식품의약품안전처 의약품개요정보(e약은요) OpenAPI
https://apis.data.go.kr/1471000/DrbEasyDrugInfoService/getDrbEasyDrugList</x:v>
      </x:c>
    </x:row>
    <x:row r="220" ht="62" customHeight="1">
      <x:c r="A220" s="9" t="n">
        <x:v>219</x:v>
      </x:c>
      <x:c r="B220" s="6" t="str">
        <x:v>보정용</x:v>
      </x:c>
      <x:c r="C220" s="6" t="str">
        <x:v>복약</x:v>
      </x:c>
      <x:c r="D220" s="6" t="str">
        <x:v>원인·위험요인</x:v>
      </x:c>
      <x:c r="E220" s="6" t="str">
        <x:v>답변 가능</x:v>
      </x:c>
      <x:c r="F220" s="6" t="str">
        <x:v>쉬움</x:v>
      </x:c>
      <x:c r="G220" s="8" t="str">
        <x:v>지엘도스캡슐300밀리그램(에르도스테인)을 사용하기 전에 특히 조심해야 하는 사람은 누구인가요?</x:v>
      </x:c>
      <x:c r="H220" s="8" t="str">
        <x:v>이 제품을 사용하기 전에 특히 확인해야 할 대상과 상황은 다음과 같습니다. 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x:v>
      </x:c>
      <x:c r="I220" s="8" t="str">
        <x:v>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x:v>
      </x:c>
      <x:c r="J220" s="8" t="str">
        <x:v>지엘도스캡슐300밀리그램(에르도스테인) [품목기준코드 202002625]</x:v>
      </x:c>
      <x:c r="K220" s="8" t="str">
        <x:v>식품의약품안전처 의약품개요정보(e약은요) OpenAPI
https://apis.data.go.kr/1471000/DrbEasyDrugInfoService/getDrbEasyDrugList</x:v>
      </x:c>
    </x:row>
    <x:row r="221" ht="62" customHeight="1">
      <x:c r="A221" s="9" t="n">
        <x:v>220</x:v>
      </x:c>
      <x:c r="B221" s="6" t="str">
        <x:v>보정용</x:v>
      </x:c>
      <x:c r="C221" s="6" t="str">
        <x:v>복약</x:v>
      </x:c>
      <x:c r="D221" s="6" t="str">
        <x:v>답변불가·처방 필요 여부</x:v>
      </x:c>
      <x:c r="E221" s="6" t="str">
        <x:v>답변 거부</x:v>
      </x:c>
      <x:c r="F221" s="6" t="str">
        <x:v>어려움</x:v>
      </x:c>
      <x:c r="G221" s="8" t="str">
        <x:v>자하골드액은 지금 처방전 없이 살 수 있는지 확정해서 알려주세요.</x:v>
      </x:c>
      <x:c r="H221" s="8" t="str">
        <x:v>제공된 e약은요 VDB 항목만으로는 현재의 전문·일반의약품 분류와 처방 필요 여부를 확정할 수 없습니다.</x:v>
      </x:c>
      <x:c r="I221" s="8" t="str">
        <x:v>VDB 범위 밖 질문 — 근거 없음</x:v>
      </x:c>
      <x:c r="J221" s="8" t="str">
        <x:v>자하골드액 [품목기준코드 202501602]</x:v>
      </x:c>
      <x:c r="K221" s="8" t="str">
        <x:v>식품의약품안전처 의약품개요정보(e약은요) OpenAPI
https://apis.data.go.kr/1471000/DrbEasyDrugInfoService/getDrbEasyDrugList</x:v>
      </x:c>
    </x:row>
    <x:row r="222" ht="62" customHeight="1">
      <x:c r="A222" s="9" t="n">
        <x:v>221</x:v>
      </x:c>
      <x:c r="B222" s="6" t="str">
        <x:v>최종 평가</x:v>
      </x:c>
      <x:c r="C222" s="6" t="str">
        <x:v>질병</x:v>
      </x:c>
      <x:c r="D222" s="6" t="str">
        <x:v>용어·정의</x:v>
      </x:c>
      <x:c r="E222" s="6" t="str">
        <x:v>답변 가능</x:v>
      </x:c>
      <x:c r="F222" s="6" t="str">
        <x:v>쉬움</x:v>
      </x:c>
      <x:c r="G222" s="8" t="str">
        <x:v>변실금이 뭔가요?</x:v>
      </x:c>
      <x:c r="H222" s="8" t="str">
        <x:v>'이것만은 꼭 기억하세요' • 변실금은 의도치 않게 대변이 새어 나오는 상태를 말합니다.</x:v>
      </x:c>
      <x:c r="I222" s="8" t="str">
        <x:v>변실금 - 요약문 '이것만은 꼭 기억하세요' • 변실금은 의도치 않게 대변이 새어 나오는 상태를 말합니다. • 변실금은 묽은 변, 괄약근 손상, 골반저 근육 약화, 항문과 직장의 신경 및 감각 기능 저하, 직장의 해부학적 구조 이상 등 다양한 원인에 의해 발생합니다. • 변실금은 문진, 진찰, 직장수지검사를 통해 진단하고, 원인을 파악하기 위해 배변일지, 항문내압검사, 항문초음파, 배변조영술 등을 시행합니다.</x:v>
      </x:c>
      <x:c r="J222" s="8" t="str">
        <x:v>변실금</x:v>
      </x:c>
      <x:c r="K222" s="8" t="str">
        <x:v>질병관리청 국가건강정보포털
https://health.kdca.go.kr/healthinfo/biz/health/gnrlzHealthInfo/gnrlzHealthInfo/gnrlzHealthInfoMain.do</x:v>
      </x:c>
    </x:row>
    <x:row r="223" ht="62" customHeight="1">
      <x:c r="A223" s="9" t="n">
        <x:v>222</x:v>
      </x:c>
      <x:c r="B223" s="6" t="str">
        <x:v>최종 평가</x:v>
      </x:c>
      <x:c r="C223" s="6" t="str">
        <x:v>질병</x:v>
      </x:c>
      <x:c r="D223" s="6" t="str">
        <x:v>예방·생활수칙</x:v>
      </x:c>
      <x:c r="E223" s="6" t="str">
        <x:v>답변 가능</x:v>
      </x:c>
      <x:c r="F223" s="6" t="str">
        <x:v>쉬움</x:v>
      </x:c>
      <x:c r="G223" s="8" t="str">
        <x:v>식중독을 예방하려면 어떻게 해야 하나요?</x:v>
      </x:c>
      <x:c r="H223" s="8" t="str">
        <x:v>기온이 낮아지면서 개인의 위생 관리가 소홀해지고, 실내에서 주로 활동하게 되어 노로바이러스에 감염된 사람의 구토물이나 분변에 의해 2차 감염의 발생 위험이 증가합니다. 또 오염된 지하수로 처리한 식재료 등을 날로 섭취할 경우에도 발생합니다. ˚ 식품 조리 종사자는 손 씻기 등 개인 위생 관리를 철저히 합니다. ˚ 음식물은 반드시 충분히 익혀서 먹습니다.</x:v>
      </x:c>
      <x:c r="I223" s="8" t="str">
        <x:v>식중독 - 생활습관 관리 기온이 낮아지면서 개인의 위생 관리가 소홀해지고, 실내에서 주로 활동하게 되어 노로바이러스에 감염된 사람의 구토물이나 분변에 의해 2차 감염의 발생 위험이 증가합니다. 또 오염된 지하수로 처리한 식재료 등을 날로 섭취할 경우에도 발생합니다. ˚ 식품 조리 종사자는 손 씻기 등 개인 위생 관리를 철저히 합니다. ˚ 음식물은 반드시 충분히 익혀서 먹습니다.</x:v>
      </x:c>
      <x:c r="J223" s="8" t="str">
        <x:v>식중독</x:v>
      </x:c>
      <x:c r="K223" s="8" t="str">
        <x:v>질병관리청 국가건강정보포털
https://health.kdca.go.kr/healthinfo/biz/health/gnrlzHealthInfo/gnrlzHealthInfo/gnrlzHealthInfoMain.do</x:v>
      </x:c>
    </x:row>
    <x:row r="224" ht="62" customHeight="1">
      <x:c r="A224" s="9" t="n">
        <x:v>223</x:v>
      </x:c>
      <x:c r="B224" s="6" t="str">
        <x:v>최종 평가</x:v>
      </x:c>
      <x:c r="C224" s="6" t="str">
        <x:v>질병</x:v>
      </x:c>
      <x:c r="D224" s="6" t="str">
        <x:v>예방·생활수칙</x:v>
      </x:c>
      <x:c r="E224" s="6" t="str">
        <x:v>답변 가능</x:v>
      </x:c>
      <x:c r="F224" s="6" t="str">
        <x:v>쉬움</x:v>
      </x:c>
      <x:c r="G224" s="8" t="str">
        <x:v>구강건조증을 예방하려면 어떻게 해야 하나요?</x:v>
      </x:c>
      <x:c r="H224" s="8" t="str">
        <x:v>구강건조증 환자는 치아 표면이 부식되어 치아가 얇아질 수 있으므로 꾸준한 관리가 중요합니다. 2∼3개월마다 정기적으로 치과를 방문해 치석을 제거하고 치아에 불소 도포를 받는 것이 좋습니다. 1. 충분한 수분섭취</x:v>
      </x:c>
      <x:c r="I224" s="8" t="str">
        <x:v>구강건조증 - 자가 관리 / 정기 진찰 / 위험요인 및 예방 하지만 과당이 많이 함유된 음식은 오히려 충치를 유발합니다. • 술, 담배, 카페인은 입안을 더욱 건조하게 할 수 있습니다. • 6개월마다 정기적으로 치과 검진을 받는 것이 합병증 예방에 도움이 됩니다. 구강건조증 환자는 치아 표면이 부식되어 치아가 얇아질 수 있으므로 꾸준한 관리가 중요합니다. 2∼3개월마다 정기적으로 치과를 방문해 치석을 제거하고 치아에 불소 도포를 받는 것이 좋습니다. 1. 충분한 수분섭취</x:v>
      </x:c>
      <x:c r="J224" s="8" t="str">
        <x:v>구강건조증</x:v>
      </x:c>
      <x:c r="K224" s="8" t="str">
        <x:v>질병관리청 국가건강정보포털
https://health.kdca.go.kr/healthinfo/biz/health/gnrlzHealthInfo/gnrlzHealthInfo/gnrlzHealthInfoMain.do</x:v>
      </x:c>
    </x:row>
    <x:row r="225" ht="62" customHeight="1">
      <x:c r="A225" s="9" t="n">
        <x:v>224</x:v>
      </x:c>
      <x:c r="B225" s="6" t="str">
        <x:v>최종 평가</x:v>
      </x:c>
      <x:c r="C225" s="6" t="str">
        <x:v>질병</x:v>
      </x:c>
      <x:c r="D225" s="6" t="str">
        <x:v>증상→질환 구분</x:v>
      </x:c>
      <x:c r="E225" s="6" t="str">
        <x:v>답변 가능</x:v>
      </x:c>
      <x:c r="F225" s="6" t="str">
        <x:v>어려움</x:v>
      </x:c>
      <x:c r="G225" s="8" t="str">
        <x:v>심한 두통과 메스꺼움, 구토, 빛과 소리에 과민한 증상을 동반합니다. 이런 증상은 어떤 질환과 관련이 있을 수 있나요?</x:v>
      </x:c>
      <x:c r="H225" s="8" t="str">
        <x:v>편두통</x:v>
      </x:c>
      <x:c r="I225" s="8" t="str">
        <x:v>편두통 - 개요 / 정의 그러나 편두통은 개인적, 사회적, 경제적으로 부담이 큰 질환이므로 다른 원인에 의한 두통과 구분해 정확히 진단하고 효과적인 치료를 받는 것이 중요합니다. 편두통은 심한 두통과 메스꺼움, 구토, 빛과 소리에 과민한 증상을 동반합니다. 4~72시간 지속되는 통증이 반복적으로 나타나며, 한쪽 또는 양쪽 머리에 발생합니다. 통증의 강도는 중간 이상이거나 심하며, 일상 생활이나 업무 또는 학업 수행 능률이 떨어지는 심각한 신경계 질환입니다.</x:v>
      </x:c>
      <x:c r="J225" s="8" t="str">
        <x:v>편두통</x:v>
      </x:c>
      <x:c r="K225" s="8" t="str">
        <x:v>질병관리청 국가건강정보포털
https://health.kdca.go.kr/healthinfo/biz/health/gnrlzHealthInfo/gnrlzHealthInfo/gnrlzHealthInfoMain.do</x:v>
      </x:c>
    </x:row>
    <x:row r="226" ht="62" customHeight="1">
      <x:c r="A226" s="9" t="n">
        <x:v>225</x:v>
      </x:c>
      <x:c r="B226" s="6" t="str">
        <x:v>최종 평가</x:v>
      </x:c>
      <x:c r="C226" s="6" t="str">
        <x:v>질병</x:v>
      </x:c>
      <x:c r="D226" s="6" t="str">
        <x:v>예방·생활수칙</x:v>
      </x:c>
      <x:c r="E226" s="6" t="str">
        <x:v>답변 가능</x:v>
      </x:c>
      <x:c r="F226" s="6" t="str">
        <x:v>쉬움</x:v>
      </x:c>
      <x:c r="G226" s="8" t="str">
        <x:v>대장용종을 예방하려면 어떻게 해야 하나요?</x:v>
      </x:c>
      <x:c r="H226" s="8" t="str">
        <x:v>대장암, 대장선종의 중요한 위험인자 중 교정할 수 있는 것으로는 비만과 흡연으로, 규칙적인 운동과 올바른 식습관으로 정상 체중을 유지하고 금연하는 것이 대장암, 대장선종 예방에 도움이 될 수 있습니다. 대장 용종을 제거한 경우에 추적 대장 내시경 검사를 받아야 합니다. 선종이나 톱니모양 용종이 있었던 경우 대장암 발생 가능성이 높아지기 때문에, 제거한 용종의 크기와 조직학적 검사 결과에 따라 다음 대장 내시경 검사 시기를 정하게 됩니다.</x:v>
      </x:c>
      <x:c r="I226" s="8" t="str">
        <x:v>대장용종 - 자가 관리 / 정기 진찰 대장암, 대장선종의 중요한 위험인자 중 교정할 수 있는 것으로는 비만과 흡연으로, 규칙적인 운동과 올바른 식습관으로 정상 체중을 유지하고 금연하는 것이 대장암, 대장선종 예방에 도움이 될 수 있습니다. 대장 용종을 제거한 경우에 추적 대장 내시경 검사를 받아야 합니다. 선종이나 톱니모양 용종이 있었던 경우 대장암 발생 가능성이 높아지기 때문에, 제거한 용종의 크기와 조직학적 검사 결과에 따라 다음 대장 내시경 검사 시기를 정하게 됩니다.</x:v>
      </x:c>
      <x:c r="J226" s="8" t="str">
        <x:v>대장용종</x:v>
      </x:c>
      <x:c r="K226" s="8" t="str">
        <x:v>질병관리청 국가건강정보포털
https://health.kdca.go.kr/healthinfo/biz/health/gnrlzHealthInfo/gnrlzHealthInfo/gnrlzHealthInfoMain.do</x:v>
      </x:c>
    </x:row>
    <x:row r="227" ht="62" customHeight="1">
      <x:c r="A227" s="9" t="n">
        <x:v>226</x:v>
      </x:c>
      <x:c r="B227" s="6" t="str">
        <x:v>최종 평가</x:v>
      </x:c>
      <x:c r="C227" s="6" t="str">
        <x:v>질병</x:v>
      </x:c>
      <x:c r="D227" s="6" t="str">
        <x:v>증상→질환 구분</x:v>
      </x:c>
      <x:c r="E227" s="6" t="str">
        <x:v>답변 가능</x:v>
      </x:c>
      <x:c r="F227" s="6" t="str">
        <x:v>어려움</x:v>
      </x:c>
      <x:c r="G227" s="8" t="str">
        <x:v>패혈증이 생기면 오심, 구토, 설사, 복통 등 소화기계 증상이 흔히 나타납니다. 이런 증상은 어떤 질환과 관련이 있을 수 있나요?</x:v>
      </x:c>
      <x:c r="H227" s="8" t="str">
        <x:v>페스트</x:v>
      </x:c>
      <x:c r="I227" s="8" t="str">
        <x:v>페스트 - 증상 / 진단 및 검사 패혈증이 생기면 오심, 구토, 설사, 복통 등 소화기계 증상이 흔히 나타납니다. 3. 폐렴형 페스트 가장 치명적인 형태의 페스트입니다. 오한, 발열, 두통, 근육통, 쇠약감, 어지럼증과 흉통이 갑자기 시작됩니다. 기침, 호흡곤란, 객혈 등의 호흡기계 징후는 보통 발병 2일째에 나타납니다. 도말검사(smear examination, 펴바른 검사)와 혈액배양검사를 위해 혈액을 채혈합니다.</x:v>
      </x:c>
      <x:c r="J227" s="8" t="str">
        <x:v>페스트</x:v>
      </x:c>
      <x:c r="K227" s="8" t="str">
        <x:v>질병관리청 국가건강정보포털
https://health.kdca.go.kr/healthinfo/biz/health/gnrlzHealthInfo/gnrlzHealthInfo/gnrlzHealthInfoMain.do</x:v>
      </x:c>
    </x:row>
    <x:row r="228" ht="62" customHeight="1">
      <x:c r="A228" s="9" t="n">
        <x:v>227</x:v>
      </x:c>
      <x:c r="B228" s="6" t="str">
        <x:v>최종 평가</x:v>
      </x:c>
      <x:c r="C228" s="6" t="str">
        <x:v>질병</x:v>
      </x:c>
      <x:c r="D228" s="6" t="str">
        <x:v>진단·검사</x:v>
      </x:c>
      <x:c r="E228" s="6" t="str">
        <x:v>답변 가능</x:v>
      </x:c>
      <x:c r="F228" s="6" t="str">
        <x:v>쉬움</x:v>
      </x:c>
      <x:c r="G228" s="8" t="str">
        <x:v>빈혈은 어떤 검사로 확인하나요?</x:v>
      </x:c>
      <x:c r="H228" s="8" t="str">
        <x:v>대부분의 경우 빈혈이 의심되면 병원에서는 환자의 병력, 신체검사와 혈액 검사, 전체혈구계산(CBC)을 포함하는 검사를 통해 진단을 하게 됩니다.</x:v>
      </x:c>
      <x:c r="I228" s="8" t="str">
        <x:v>빈혈 - 진단 및 검사 대부분의 경우 빈혈이 의심되면 병원에서는 환자의 병력, 신체검사와 혈액 검사, 전체혈구계산(CBC)을 포함하는 검사를 통해 진단을 하게 됩니다. 혈액 검사에서는 혈액 내의 적혈구와 혈색소의 수치를 측정합니다. 혈액 중 일부는 적혈구의 크기, 모양, 색을 관찰하기 위해 현미경으로 검사를 하는 경우도 있습니다. 때로는 이런 현미경 검사가 진단에 많은 도움이 됩니다.</x:v>
      </x:c>
      <x:c r="J228" s="8" t="str">
        <x:v>빈혈</x:v>
      </x:c>
      <x:c r="K228" s="8" t="str">
        <x:v>질병관리청 국가건강정보포털
https://health.kdca.go.kr/healthinfo/biz/health/gnrlzHealthInfo/gnrlzHealthInfo/gnrlzHealthInfoMain.do</x:v>
      </x:c>
    </x:row>
    <x:row r="229" ht="62" customHeight="1">
      <x:c r="A229" s="9" t="n">
        <x:v>228</x:v>
      </x:c>
      <x:c r="B229" s="6" t="str">
        <x:v>최종 평가</x:v>
      </x:c>
      <x:c r="C229" s="6" t="str">
        <x:v>질병</x:v>
      </x:c>
      <x:c r="D229" s="6" t="str">
        <x:v>증상→질환 구분</x:v>
      </x:c>
      <x:c r="E229" s="6" t="str">
        <x:v>답변 가능</x:v>
      </x:c>
      <x:c r="F229" s="6" t="str">
        <x:v>어려움</x:v>
      </x:c>
      <x:c r="G229" s="8" t="str">
        <x:v>흔히 호소하는 증상은 상지 또는 하지로의 방사통으로, 탈출된 추간판에 의해 압박된 신경근의 고유 감각 영역을 따라 통증을 호소하며, 각 신경근 지배를 받는 주요 근육의 근력도 영향을 받을 수 있습니다. 이런 증상은 어떤 질환과 관련이 있을 수 있나요?</x:v>
      </x:c>
      <x:c r="H229" s="8" t="str">
        <x:v>추간판탈출증(디스크)</x:v>
      </x:c>
      <x:c r="I229" s="8" t="str">
        <x:v>추간판탈출증(디스크) - 증상 꼭 외상이 아니라도, 척추 통증 및 방사통이 악화된 시점이 있는 것이 특징입니다. 흔히 호소하는 증상은 상지 또는 하지로의 방사통으로, 탈출된 추간판에 의해 압박된 신경근의 고유 감각 영역을 따라 통증을 호소하며, 각 신경근 지배를 받는 주요 근육의 근력도 영향을 받을 수 있습니다.</x:v>
      </x:c>
      <x:c r="J229" s="8" t="str">
        <x:v>추간판탈출증(디스크)</x:v>
      </x:c>
      <x:c r="K229" s="8" t="str">
        <x:v>질병관리청 국가건강정보포털
https://health.kdca.go.kr/healthinfo/biz/health/gnrlzHealthInfo/gnrlzHealthInfo/gnrlzHealthInfoMain.do</x:v>
      </x:c>
    </x:row>
    <x:row r="230" ht="62" customHeight="1">
      <x:c r="A230" s="9" t="n">
        <x:v>229</x:v>
      </x:c>
      <x:c r="B230" s="6" t="str">
        <x:v>최종 평가</x:v>
      </x:c>
      <x:c r="C230" s="6" t="str">
        <x:v>질병</x:v>
      </x:c>
      <x:c r="D230" s="6" t="str">
        <x:v>예방·생활수칙</x:v>
      </x:c>
      <x:c r="E230" s="6" t="str">
        <x:v>답변 가능</x:v>
      </x:c>
      <x:c r="F230" s="6" t="str">
        <x:v>쉬움</x:v>
      </x:c>
      <x:c r="G230" s="8" t="str">
        <x:v>거부반응과 면역억제제를 예방하려면 어떻게 해야 하나요?</x:v>
      </x:c>
      <x:c r="H230" s="8" t="str">
        <x:v>거부반응을 예방하기 위해서는 이식 전 기증자와 수혜자의 교차 검사를 통해 기증자의 주조직적합성 항원을 공격하는 항체를 피해야 하고, 기증자가 여러 명이 있을 경우 수혜자의 주조직적합성 항원과 가장 잘 맞는 사람을 선택하는 것이 좋습니다. 이식 후에는 면역억제제의 최적 농도가 유지될 수 있도록 면역억제제를 규칙적이고 정확하게 복용함으로써 적절한 면역억제 상태를 유지하는 것이 거부반응 예방에 가장 중요합니다.</x:v>
      </x:c>
      <x:c r="I230" s="8" t="str">
        <x:v>거부반응과 면역억제제 - 예방 거부반응을 예방하기 위해서는 이식 전 기증자와 수혜자의 교차 검사를 통해 기증자의 주조직적합성 항원을 공격하는 항체를 피해야 하고, 기증자가 여러 명이 있을 경우 수혜자의 주조직적합성 항원과 가장 잘 맞는 사람을 선택하는 것이 좋습니다. 이식 후에는 면역억제제의 최적 농도가 유지될 수 있도록 면역억제제를 규칙적이고 정확하게 복용함으로써 적절한 면역억제 상태를 유지하는 것이 거부반응 예방에 가장 중요합니다.</x:v>
      </x:c>
      <x:c r="J230" s="8" t="str">
        <x:v>거부반응과 면역억제제</x:v>
      </x:c>
      <x:c r="K230" s="8" t="str">
        <x:v>질병관리청 국가건강정보포털
https://health.kdca.go.kr/healthinfo/biz/health/gnrlzHealthInfo/gnrlzHealthInfo/gnrlzHealthInfoMain.do</x:v>
      </x:c>
    </x:row>
    <x:row r="231" ht="62" customHeight="1">
      <x:c r="A231" s="9" t="n">
        <x:v>230</x:v>
      </x:c>
      <x:c r="B231" s="6" t="str">
        <x:v>최종 평가</x:v>
      </x:c>
      <x:c r="C231" s="6" t="str">
        <x:v>질병</x:v>
      </x:c>
      <x:c r="D231" s="6" t="str">
        <x:v>원인·위험요인</x:v>
      </x:c>
      <x:c r="E231" s="6" t="str">
        <x:v>답변 가능</x:v>
      </x:c>
      <x:c r="F231" s="6" t="str">
        <x:v>쉬움</x:v>
      </x:c>
      <x:c r="G231" s="8" t="str">
        <x:v>뇌전증은 왜 생기나요?</x:v>
      </x:c>
      <x:c r="H231" s="8" t="str">
        <x:v>원인불명의 뇌전증은 대부분 아직 알려지지 않은 유전적 원인으로 발생한다고 추정되며, 향후 유전학과 분자생물학의 발달로 점차 원인이 규명될 것으로 기대합니다. 구조적 원인은 뇌손상이나 뇌졸중, 치매 같은 후천적인 질환으로 인해 뇌전증이 발생하는 경우입니다. 뇌전증의 원인으로 추정되거나 알려진 대사장애가 있을 때는 대사성으로 정의하는데, 대부분 유전적인 결함이 발견됩니다.</x:v>
      </x:c>
      <x:c r="I231" s="8" t="str">
        <x:v>뇌전증 - 원인 원인불명의 뇌전증은 대부분 아직 알려지지 않은 유전적 원인으로 발생한다고 추정되며, 향후 유전학과 분자생물학의 발달로 점차 원인이 규명될 것으로 기대합니다. 구조적 원인은 뇌손상이나 뇌졸중, 치매 같은 후천적인 질환으로 인해 뇌전증이 발생하는 경우입니다. 뇌전증의 원인으로 추정되거나 알려진 대사장애가 있을 때는 대사성으로 정의하는데, 대부분 유전적인 결함이 발견됩니다.</x:v>
      </x:c>
      <x:c r="J231" s="8" t="str">
        <x:v>뇌전증</x:v>
      </x:c>
      <x:c r="K231" s="8" t="str">
        <x:v>질병관리청 국가건강정보포털
https://health.kdca.go.kr/healthinfo/biz/health/gnrlzHealthInfo/gnrlzHealthInfo/gnrlzHealthInfoMain.do</x:v>
      </x:c>
    </x:row>
    <x:row r="232" ht="62" customHeight="1">
      <x:c r="A232" s="9" t="n">
        <x:v>231</x:v>
      </x:c>
      <x:c r="B232" s="6" t="str">
        <x:v>최종 평가</x:v>
      </x:c>
      <x:c r="C232" s="6" t="str">
        <x:v>질병</x:v>
      </x:c>
      <x:c r="D232" s="6" t="str">
        <x:v>용어·정의</x:v>
      </x:c>
      <x:c r="E232" s="6" t="str">
        <x:v>답변 가능</x:v>
      </x:c>
      <x:c r="F232" s="6" t="str">
        <x:v>쉬움</x:v>
      </x:c>
      <x:c r="G232" s="8" t="str">
        <x:v>가려움증이 뭔가요?</x:v>
      </x:c>
      <x:c r="H232" s="8" t="str">
        <x:v>'이것만은 꼭 기억하세요' • 가려움증은 다양한 원인(피부질환, 전신질환, 정신질환)으로 발생하며, 피부를 긁고 싶은 불쾌한 감각을 일으킵니다.</x:v>
      </x:c>
      <x:c r="I232" s="8" t="str">
        <x:v>가려움증 - 요약문 '이것만은 꼭 기억하세요' • 가려움증은 다양한 원인(피부질환, 전신질환, 정신질환)으로 발생하며, 피부를 긁고 싶은 불쾌한 감각을 일으킵니다. • 피부 건조, 감염, 스트레스, 전신질환(황달, 신부전 등) 등이 주요 원인입니다. • 가려움증은 특히 따뜻한 환경이나 밤에 심해지며, 정확한 원인 진단이 중요합니다. • 치료는 원인 질환 치료와 함께 보습제 사용, 피부 자극 줄이기, 스트레스 관리 등이 필요합니다.</x:v>
      </x:c>
      <x:c r="J232" s="8" t="str">
        <x:v>가려움증</x:v>
      </x:c>
      <x:c r="K232" s="8" t="str">
        <x:v>질병관리청 국가건강정보포털
https://health.kdca.go.kr/healthinfo/biz/health/gnrlzHealthInfo/gnrlzHealthInfo/gnrlzHealthInfoMain.do</x:v>
      </x:c>
    </x:row>
    <x:row r="233" ht="62" customHeight="1">
      <x:c r="A233" s="9" t="n">
        <x:v>232</x:v>
      </x:c>
      <x:c r="B233" s="6" t="str">
        <x:v>최종 평가</x:v>
      </x:c>
      <x:c r="C233" s="6" t="str">
        <x:v>질병</x:v>
      </x:c>
      <x:c r="D233" s="6" t="str">
        <x:v>증상·양상</x:v>
      </x:c>
      <x:c r="E233" s="6" t="str">
        <x:v>답변 가능</x:v>
      </x:c>
      <x:c r="F233" s="6" t="str">
        <x:v>쉬움</x:v>
      </x:c>
      <x:c r="G233" s="8" t="str">
        <x:v>성대결절이 있으면 어떤 증상이 나타날 수 있나요?</x:v>
      </x:c>
      <x:c r="H233" s="8" t="str">
        <x:v>그 밖의 증상으로는 음성에서 비정상적인 음정이 나타납니다. 공명 이상이 나타나며, 특히 비강 공명이 증가하는 경우가 많습니다. 또한 말할 때 음정의 변화가 줄어들게 됩니다. 1. 문진 음성변화에 대한 질문을 통해 흡연 여부, 직업, 평소 목소리, 남용의 여부를 판단합니다. 2. 이학적 검사 문진 후 직접 상기도 및 후두와 성대를 관찰합니다.</x:v>
      </x:c>
      <x:c r="I233" s="8" t="str">
        <x:v>성대결절 - 증상 / 진단 및 검사 그 밖의 증상으로는 음성에서 비정상적인 음정이 나타납니다. 공명 이상이 나타나며, 특히 비강 공명이 증가하는 경우가 많습니다. 또한 말할 때 음정의 변화가 줄어들게 됩니다. 1. 문진 음성변화에 대한 질문을 통해 흡연 여부, 직업, 평소 목소리, 남용의 여부를 판단합니다. 2. 이학적 검사 문진 후 직접 상기도 및 후두와 성대를 관찰합니다.</x:v>
      </x:c>
      <x:c r="J233" s="8" t="str">
        <x:v>성대결절</x:v>
      </x:c>
      <x:c r="K233" s="8" t="str">
        <x:v>질병관리청 국가건강정보포털
https://health.kdca.go.kr/healthinfo/biz/health/gnrlzHealthInfo/gnrlzHealthInfo/gnrlzHealthInfoMain.do</x:v>
      </x:c>
    </x:row>
    <x:row r="234" ht="62" customHeight="1">
      <x:c r="A234" s="9" t="n">
        <x:v>233</x:v>
      </x:c>
      <x:c r="B234" s="6" t="str">
        <x:v>최종 평가</x:v>
      </x:c>
      <x:c r="C234" s="6" t="str">
        <x:v>질병</x:v>
      </x:c>
      <x:c r="D234" s="6" t="str">
        <x:v>진단·검사</x:v>
      </x:c>
      <x:c r="E234" s="6" t="str">
        <x:v>답변 가능</x:v>
      </x:c>
      <x:c r="F234" s="6" t="str">
        <x:v>쉬움</x:v>
      </x:c>
      <x:c r="G234" s="8" t="str">
        <x:v>약시(소아)는 어떤 검사로 확인하나요?</x:v>
      </x:c>
      <x:c r="H234" s="8" t="str">
        <x:v>일반적인 시력검사는 그림과 숫자로 표시되어 있는 시력표를 사용하지만, 아직 말을 하지 못하는 영유아에서는 두 눈이 각각 주시하기와 따라보기를 잘하는지를 평가하거나, 줄무늬가 그려진 시력판을 구분하여 쳐다볼 수 있는지를 확인하여 시력을 추정합니다.</x:v>
      </x:c>
      <x:c r="I234" s="8" t="str">
        <x:v>약시(소아) - 진단 및 검사 일반적인 시력검사는 그림과 숫자로 표시되어 있는 시력표를 사용하지만, 아직 말을 하지 못하는 영유아에서는 두 눈이 각각 주시하기와 따라보기를 잘하는지를 평가하거나, 줄무늬가 그려진 시력판을 구분하여 쳐다볼 수 있는지를 확인하여 시력을 추정합니다. 협조가 가능한 소아에서는 큰 시표부터 작은 시표 순서로 시력표를 읽어가며 읽을 수 있는 가장 작은 시표로 시력을 측정합니다.</x:v>
      </x:c>
      <x:c r="J234" s="8" t="str">
        <x:v>약시(소아)</x:v>
      </x:c>
      <x:c r="K234" s="8" t="str">
        <x:v>질병관리청 국가건강정보포털
https://health.kdca.go.kr/healthinfo/biz/health/gnrlzHealthInfo/gnrlzHealthInfo/gnrlzHealthInfoMain.do</x:v>
      </x:c>
    </x:row>
    <x:row r="235" ht="62" customHeight="1">
      <x:c r="A235" s="9" t="n">
        <x:v>234</x:v>
      </x:c>
      <x:c r="B235" s="6" t="str">
        <x:v>최종 평가</x:v>
      </x:c>
      <x:c r="C235" s="6" t="str">
        <x:v>질병</x:v>
      </x:c>
      <x:c r="D235" s="6" t="str">
        <x:v>용어·정의</x:v>
      </x:c>
      <x:c r="E235" s="6" t="str">
        <x:v>답변 가능</x:v>
      </x:c>
      <x:c r="F235" s="6" t="str">
        <x:v>쉬움</x:v>
      </x:c>
      <x:c r="G235" s="8" t="str">
        <x:v>다한증이 뭔가요?</x:v>
      </x:c>
      <x:c r="H235" s="8" t="str">
        <x:v>'이것만은 꼭 기억하세요' • 다한증은 체온 조절을 위한 정상적인 땀 분비보다 과다하게 땀이 나는 질환으로, 주로 손, 발, 겨드랑이, 머리 등에서 발생하여 일상생활이 불편할 수 있습니다.</x:v>
      </x:c>
      <x:c r="I235" s="8" t="str">
        <x:v>다한증 - 요약문 '이것만은 꼭 기억하세요' • 다한증은 체온 조절을 위한 정상적인 땀 분비보다 과다하게 땀이 나는 질환으로, 주로 손, 발, 겨드랑이, 머리 등에서 발생하여 일상생활이 불편할 수 있습니다. • 일차성 다한증은 별다른 기저 질환 없이 발생하며, 어릴 때부터 발생해서 사춘기에 심해졌다가 나이가 들면서 점차 좋아지는 경향을 보입니다.</x:v>
      </x:c>
      <x:c r="J235" s="8" t="str">
        <x:v>다한증</x:v>
      </x:c>
      <x:c r="K235" s="8" t="str">
        <x:v>질병관리청 국가건강정보포털
https://health.kdca.go.kr/healthinfo/biz/health/gnrlzHealthInfo/gnrlzHealthInfo/gnrlzHealthInfoMain.do</x:v>
      </x:c>
    </x:row>
    <x:row r="236" ht="62" customHeight="1">
      <x:c r="A236" s="9" t="n">
        <x:v>235</x:v>
      </x:c>
      <x:c r="B236" s="6" t="str">
        <x:v>최종 평가</x:v>
      </x:c>
      <x:c r="C236" s="6" t="str">
        <x:v>질병</x:v>
      </x:c>
      <x:c r="D236" s="6" t="str">
        <x:v>증상·양상</x:v>
      </x:c>
      <x:c r="E236" s="6" t="str">
        <x:v>답변 가능</x:v>
      </x:c>
      <x:c r="F236" s="6" t="str">
        <x:v>쉬움</x:v>
      </x:c>
      <x:c r="G236" s="8" t="str">
        <x:v>반월상 연골판 손상이 있으면 어떤 증상이 나타날 수 있나요?</x:v>
      </x:c>
      <x:c r="H236" s="8" t="str">
        <x:v>스포츠 손상은 운동 중 갑작스러운 회전력 등에 의한 충격으로 찢어지는 경우가 많으나, 퇴행성 파열은 외상의 병력이 없이도 나타날 수 있습니다. 증상으로는 무릎의 통증, 부종(붓는 증상), 포획(무릎에서 걸리는 느낌) 및 잠김(무릎이 완전히 펴지거나 구부러지지 않는 증상) 등이 나타날 수 있습니다. 무릎의 무력감이나 관절면(뼈와 뼈가 서로 접하는 면)의 압통도 나타날 수 있습니다.</x:v>
      </x:c>
      <x:c r="I236" s="8" t="str">
        <x:v>반월상 연골판 손상 - 역학 및 통계 / 증상 스포츠 손상은 운동 중 갑작스러운 회전력 등에 의한 충격으로 찢어지는 경우가 많으나, 퇴행성 파열은 외상의 병력이 없이도 나타날 수 있습니다. 증상으로는 무릎의 통증, 부종(붓는 증상), 포획(무릎에서 걸리는 느낌) 및 잠김(무릎이 완전히 펴지거나 구부러지지 않는 증상) 등이 나타날 수 있습니다. 무릎의 무력감이나 관절면(뼈와 뼈가 서로 접하는 면)의 압통도 나타날 수 있습니다.</x:v>
      </x:c>
      <x:c r="J236" s="8" t="str">
        <x:v>반월상 연골판 손상</x:v>
      </x:c>
      <x:c r="K236" s="8" t="str">
        <x:v>질병관리청 국가건강정보포털
https://health.kdca.go.kr/healthinfo/biz/health/gnrlzHealthInfo/gnrlzHealthInfo/gnrlzHealthInfoMain.do</x:v>
      </x:c>
    </x:row>
    <x:row r="237" ht="62" customHeight="1">
      <x:c r="A237" s="9" t="n">
        <x:v>236</x:v>
      </x:c>
      <x:c r="B237" s="6" t="str">
        <x:v>최종 평가</x:v>
      </x:c>
      <x:c r="C237" s="6" t="str">
        <x:v>질병</x:v>
      </x:c>
      <x:c r="D237" s="6" t="str">
        <x:v>원인·위험요인</x:v>
      </x:c>
      <x:c r="E237" s="6" t="str">
        <x:v>답변 가능</x:v>
      </x:c>
      <x:c r="F237" s="6" t="str">
        <x:v>쉬움</x:v>
      </x:c>
      <x:c r="G237" s="8" t="str">
        <x:v>손떨림(수전증)은 왜 생기나요?</x:v>
      </x:c>
      <x:c r="H237" s="8" t="str">
        <x:v>이 외에도 담배 금단증상으로 떨림이 나타나기도 하고, 극심한 공포나 공황상태에서도 떨림이 발생할 수 있습니다. 떨림의 원인으로 가장 먼저 고려해야 할 것은 약물입니다. 천식 및 기관지 질환의 치료에 사용되는 기관지 확장제, 카페인 성분이 들어있는 감기약이나 진통제, 간질약, 우울증 약, 신경안정제 등의 일부 약물들이 떨림 증상의 원인이 되므로, 이러한 종류의 약물을 복용하고 있는 경우 담당 의사와의 상담이 필요합니다.</x:v>
      </x:c>
      <x:c r="I237" s="8" t="str">
        <x:v>손떨림(수전증) - 종류 / 원인 이 외에도 담배 금단증상으로 떨림이 나타나기도 하고, 극심한 공포나 공황상태에서도 떨림이 발생할 수 있습니다. 떨림의 원인으로 가장 먼저 고려해야 할 것은 약물입니다. 천식 및 기관지 질환의 치료에 사용되는 기관지 확장제, 카페인 성분이 들어있는 감기약이나 진통제, 간질약, 우울증 약, 신경안정제 등의 일부 약물들이 떨림 증상의 원인이 되므로, 이러한 종류의 약물을 복용하고 있는 경우 담당 의사와의 상담이 필요합니다.</x:v>
      </x:c>
      <x:c r="J237" s="8" t="str">
        <x:v>손떨림(수전증)</x:v>
      </x:c>
      <x:c r="K237" s="8" t="str">
        <x:v>질병관리청 국가건강정보포털
https://health.kdca.go.kr/healthinfo/biz/health/gnrlzHealthInfo/gnrlzHealthInfo/gnrlzHealthInfoMain.do</x:v>
      </x:c>
    </x:row>
    <x:row r="238" ht="62" customHeight="1">
      <x:c r="A238" s="9" t="n">
        <x:v>237</x:v>
      </x:c>
      <x:c r="B238" s="6" t="str">
        <x:v>최종 평가</x:v>
      </x:c>
      <x:c r="C238" s="6" t="str">
        <x:v>질병</x:v>
      </x:c>
      <x:c r="D238" s="6" t="str">
        <x:v>용어·정의</x:v>
      </x:c>
      <x:c r="E238" s="6" t="str">
        <x:v>답변 가능</x:v>
      </x:c>
      <x:c r="F238" s="6" t="str">
        <x:v>쉬움</x:v>
      </x:c>
      <x:c r="G238" s="8" t="str">
        <x:v>난소 예비력이 뭔가요?</x:v>
      </x:c>
      <x:c r="H238" s="8" t="str">
        <x:v>난소 예비력이란 난소에 남아있는 난자의 개수 및 질(quality)과 이로 인한 생식력 측정을 의미합니다.</x:v>
      </x:c>
      <x:c r="I238" s="8" t="str">
        <x:v>불임증 - 진단 및 검사 7) 난소 예비력(ovarian reserve) 검사 난소 예비력이란 난소에 남아있는 난자의 개수 및 질(quality)과 이로 인한 생식력 측정을 의미합니다. 현재 임상에서 많이 사용되는 지표로는 혈중 난포자극호르몬(FSH), 항뮬러관 호르몬(antimullerian hormone, AMH), 초음파로 확인하는 동난포 개수(antral follicle count) 등이 있습니다.</x:v>
      </x:c>
      <x:c r="J238" s="8" t="str">
        <x:v>불임증</x:v>
      </x:c>
      <x:c r="K238" s="8" t="str">
        <x:v>질병관리청 국가건강정보포털
https://health.kdca.go.kr/healthinfo/biz/health/gnrlzHealthInfo/gnrlzHealthInfo/gnrlzHealthInfoMain.do</x:v>
      </x:c>
    </x:row>
    <x:row r="239" ht="62" customHeight="1">
      <x:c r="A239" s="9" t="n">
        <x:v>238</x:v>
      </x:c>
      <x:c r="B239" s="6" t="str">
        <x:v>최종 평가</x:v>
      </x:c>
      <x:c r="C239" s="6" t="str">
        <x:v>질병</x:v>
      </x:c>
      <x:c r="D239" s="6" t="str">
        <x:v>용어·정의</x:v>
      </x:c>
      <x:c r="E239" s="6" t="str">
        <x:v>답변 가능</x:v>
      </x:c>
      <x:c r="F239" s="6" t="str">
        <x:v>쉬움</x:v>
      </x:c>
      <x:c r="G239" s="8" t="str">
        <x:v>당뇨병이 뭔가요?</x:v>
      </x:c>
      <x:c r="H239" s="8" t="str">
        <x:v>• 당뇨병은 혈액 속의 포도당이 세포 속으로 들어가 에너지원으로 이용되지 못해 혈당이 비정상적으로 올라가는 질환입니다.</x:v>
      </x:c>
      <x:c r="I239" s="8" t="str">
        <x:v>당뇨병 - 요약문 / 개요 • 합병증으로는 망막병증, 신경병증, 신장병증 등 다양한 문제가 발생할 수 있습니다. • 비만한 당뇨병 환자는 체중을 5% 이상 줄이고, 혈압, 이상지질혈증 및 심혈관질환 관리, 금연, 저혈당 예방에 주의해야 하며, 식사요법과 운동요법으로 혈당과 건강을 적극적으로 관리해야 합니다. • 당뇨병은 혈액 속의 포도당이 세포 속으로 들어가 에너지원으로 이용되지 못해 혈당이 비정상적으로 올라가는 질환입니다.</x:v>
      </x:c>
      <x:c r="J239" s="8" t="str">
        <x:v>당뇨병</x:v>
      </x:c>
      <x:c r="K239" s="8" t="str">
        <x:v>질병관리청 국가건강정보포털
https://health.kdca.go.kr/healthinfo/biz/health/gnrlzHealthInfo/gnrlzHealthInfo/gnrlzHealthInfoMain.do</x:v>
      </x:c>
    </x:row>
    <x:row r="240" ht="62" customHeight="1">
      <x:c r="A240" s="9" t="n">
        <x:v>239</x:v>
      </x:c>
      <x:c r="B240" s="6" t="str">
        <x:v>최종 평가</x:v>
      </x:c>
      <x:c r="C240" s="6" t="str">
        <x:v>질병</x:v>
      </x:c>
      <x:c r="D240" s="6" t="str">
        <x:v>진단·검사</x:v>
      </x:c>
      <x:c r="E240" s="6" t="str">
        <x:v>답변 가능</x:v>
      </x:c>
      <x:c r="F240" s="6" t="str">
        <x:v>쉬움</x:v>
      </x:c>
      <x:c r="G240" s="8" t="str">
        <x:v>소변이상(당뇨)는 어떤 검사로 확인하나요?</x:v>
      </x:c>
      <x:c r="H240" s="8" t="str">
        <x:v>요시험지봉 검사는 간편하지만, 위양성 또는 위음성 결과가 나타날 수 있어 해석에 주의가 필요합니다.</x:v>
      </x:c>
      <x:c r="I240" s="8" t="str">
        <x:v>소변이상(당뇨) - 진단 및 검사 4+는 소변에서 당이 많이 배출되는 상태를 의미합니다. 요시험지봉 검사는 간편하지만, 위양성 또는 위음성 결과가 나타날 수 있어 해석에 주의가 필요합니다. 또한 당뇨병 환자에서 소변으로 당 농도를 확인하여 혈당 조절 상태를 평가하는 방법은 적절하지 않습니다. 그 이유는 소변 당 측정은 혈당 측정에 비해 민감도가 낮고, 소변량에 따라 결과가 달라질 수 있어 실제 혈당 상태를 정확히 반영하지 못하기 때문입니다.</x:v>
      </x:c>
      <x:c r="J240" s="8" t="str">
        <x:v>소변이상(당뇨)</x:v>
      </x:c>
      <x:c r="K240" s="8" t="str">
        <x:v>질병관리청 국가건강정보포털
https://health.kdca.go.kr/healthinfo/biz/health/gnrlzHealthInfo/gnrlzHealthInfo/gnrlzHealthInfoMain.do</x:v>
      </x:c>
    </x:row>
    <x:row r="241" ht="62" customHeight="1">
      <x:c r="A241" s="9" t="n">
        <x:v>240</x:v>
      </x:c>
      <x:c r="B241" s="6" t="str">
        <x:v>최종 평가</x:v>
      </x:c>
      <x:c r="C241" s="6" t="str">
        <x:v>질병</x:v>
      </x:c>
      <x:c r="D241" s="6" t="str">
        <x:v>증상→질환 구분</x:v>
      </x:c>
      <x:c r="E241" s="6" t="str">
        <x:v>답변 가능</x:v>
      </x:c>
      <x:c r="F241" s="6" t="str">
        <x:v>어려움</x:v>
      </x:c>
      <x:c r="G241" s="8" t="str">
        <x:v>증상은 주로 허약감을 느끼거나, 두통, 식욕 부진, 울렁거림과 구토, 발진, 림프절이 커지거나 눈에 통증을 느끼기도 합니다. 이런 증상은 어떤 질환과 관련이 있을 수 있나요?</x:v>
      </x:c>
      <x:c r="H241" s="8" t="str">
        <x:v>웨스트나일열</x:v>
      </x:c>
      <x:c r="I241" s="8" t="str">
        <x:v>웨스트나일열 - 증상 잠복기는 2~14일 입니다. 2. 임상증상 1) 경증 감염 웨스트나일 바이러스 감염의 대부분(약 80%)은 무증상이며, 2일에서 2주간의 잠복기 후 약 20%는 경미한 임상증상을 보이고 증상은 3~6일 정도 지속됩니다. 증상은 주로 허약감을 느끼거나, 두통, 식욕 부진, 울렁거림과 구토, 발진, 림프절이 커지거나 눈에 통증을 느끼기도 합니다. 2) 중증 감염</x:v>
      </x:c>
      <x:c r="J241" s="8" t="str">
        <x:v>웨스트나일열</x:v>
      </x:c>
      <x:c r="K241" s="8" t="str">
        <x:v>질병관리청 국가건강정보포털
https://health.kdca.go.kr/healthinfo/biz/health/gnrlzHealthInfo/gnrlzHealthInfo/gnrlzHealthInfoMain.do</x:v>
      </x:c>
    </x:row>
    <x:row r="242" ht="62" customHeight="1">
      <x:c r="A242" s="9" t="n">
        <x:v>241</x:v>
      </x:c>
      <x:c r="B242" s="6" t="str">
        <x:v>최종 평가</x:v>
      </x:c>
      <x:c r="C242" s="6" t="str">
        <x:v>질병</x:v>
      </x:c>
      <x:c r="D242" s="6" t="str">
        <x:v>진단·검사</x:v>
      </x:c>
      <x:c r="E242" s="6" t="str">
        <x:v>답변 가능</x:v>
      </x:c>
      <x:c r="F242" s="6" t="str">
        <x:v>쉬움</x:v>
      </x:c>
      <x:c r="G242" s="8" t="str">
        <x:v>퇴행슬관절염은 어떤 검사로 확인하나요?</x:v>
      </x:c>
      <x:c r="H242" s="8" t="str">
        <x:v>일반적으로 퇴행슬관절염의 진단 및 진행 상태는 서있는 상태에서 무릎 관절 단순 방사선 검사(x-ray)를 통해 평가합니다.</x:v>
      </x:c>
      <x:c r="I242" s="8" t="str">
        <x:v>퇴행슬관절염 - 진단 및 검사 일반적으로 퇴행슬관절염의 진단 및 진행 상태는 서있는 상태에서 무릎 관절 단순 방사선 검사(x-ray)를 통해 평가합니다. 그러나 단순 방사선 검사 소견보다 심한 통증이 지속되는 경우에는 무릎관절염과 동반된 반월상 연골판 파열이나, 함몰이 일어나지 않은 연골밑뼈의 부전 골절(insufficiency fracture)의 가능성이 있을 수 있습니다. 이때는 MRI검사가 필요할 수 있습니다.</x:v>
      </x:c>
      <x:c r="J242" s="8" t="str">
        <x:v>퇴행슬관절염</x:v>
      </x:c>
      <x:c r="K242" s="8" t="str">
        <x:v>질병관리청 국가건강정보포털
https://health.kdca.go.kr/healthinfo/biz/health/gnrlzHealthInfo/gnrlzHealthInfo/gnrlzHealthInfoMain.do</x:v>
      </x:c>
    </x:row>
    <x:row r="243" ht="62" customHeight="1">
      <x:c r="A243" s="9" t="n">
        <x:v>242</x:v>
      </x:c>
      <x:c r="B243" s="6" t="str">
        <x:v>최종 평가</x:v>
      </x:c>
      <x:c r="C243" s="6" t="str">
        <x:v>질병</x:v>
      </x:c>
      <x:c r="D243" s="6" t="str">
        <x:v>원인·위험요인</x:v>
      </x:c>
      <x:c r="E243" s="6" t="str">
        <x:v>답변 가능</x:v>
      </x:c>
      <x:c r="F243" s="6" t="str">
        <x:v>쉬움</x:v>
      </x:c>
      <x:c r="G243" s="8" t="str">
        <x:v>모소낭은 왜 생기나요?</x:v>
      </x:c>
      <x:c r="H243" s="8" t="str">
        <x:v>현재는 후천적 원인이 모소낭의 원인이라는 시각이 지배적이며 운전 여부, 개인의 위생상태, 비만과 관계가 있다고 보고되기도 합니다. 1. 선천적 원인 엉덩이 틈새 부위에는 태생기 표피 잔유물들에 의해 선천적으로 관이 존재하는데, 여기에 염증이 생겨 그 합병증으로 인해 모소낭이 발생한다는 가설입니다. 2. 후천적 원인 후천적 원인에는 두 가지 가설이 있습니다.</x:v>
      </x:c>
      <x:c r="I243" s="8" t="str">
        <x:v>모소낭 - 원인 현재는 후천적 원인이 모소낭의 원인이라는 시각이 지배적이며 운전 여부, 개인의 위생상태, 비만과 관계가 있다고 보고되기도 합니다. 1. 선천적 원인 엉덩이 틈새 부위에는 태생기 표피 잔유물들에 의해 선천적으로 관이 존재하는데, 여기에 염증이 생겨 그 합병증으로 인해 모소낭이 발생한다는 가설입니다. 2. 후천적 원인 후천적 원인에는 두 가지 가설이 있습니다.</x:v>
      </x:c>
      <x:c r="J243" s="8" t="str">
        <x:v>모소낭</x:v>
      </x:c>
      <x:c r="K243" s="8" t="str">
        <x:v>질병관리청 국가건강정보포털
https://health.kdca.go.kr/healthinfo/biz/health/gnrlzHealthInfo/gnrlzHealthInfo/gnrlzHealthInfoMain.do</x:v>
      </x:c>
    </x:row>
    <x:row r="244" ht="62" customHeight="1">
      <x:c r="A244" s="9" t="n">
        <x:v>243</x:v>
      </x:c>
      <x:c r="B244" s="6" t="str">
        <x:v>최종 평가</x:v>
      </x:c>
      <x:c r="C244" s="6" t="str">
        <x:v>질병</x:v>
      </x:c>
      <x:c r="D244" s="6" t="str">
        <x:v>원인·위험요인</x:v>
      </x:c>
      <x:c r="E244" s="6" t="str">
        <x:v>답변 가능</x:v>
      </x:c>
      <x:c r="F244" s="6" t="str">
        <x:v>쉬움</x:v>
      </x:c>
      <x:c r="G244" s="8" t="str">
        <x:v>자궁샘근증은 왜 생기나요?</x:v>
      </x:c>
      <x:c r="H244" s="8" t="str">
        <x:v>자궁샘근증은 젊은 가임기 여성에게도 발생할 수 있지만 주로 가임기 후반인 40대 이후 여성에게 발생하며, 다수에서 자궁내막증, 또는 자궁근종과 동반되어 나타납니다. 자궁샘근증의 원인은 아직 정확히 밝혀져 있지 않지만, 출산, 유산, 제왕절개술 등으로 인하여 그 빈도가 증가하는 것으로 보고되고 있습니다.</x:v>
      </x:c>
      <x:c r="I244" s="8" t="str">
        <x:v>자궁샘근증 - 개요 / 원인 자궁샘근증은 젊은 가임기 여성에게도 발생할 수 있지만 주로 가임기 후반인 40대 이후 여성에게 발생하며, 다수에서 자궁내막증, 또는 자궁근종과 동반되어 나타납니다. 자궁샘근증의 원인은 아직 정확히 밝혀져 있지 않지만, 출산, 유산, 제왕절개술 등으로 인하여 그 빈도가 증가하는 것으로 보고되고 있습니다.</x:v>
      </x:c>
      <x:c r="J244" s="8" t="str">
        <x:v>자궁샘근증</x:v>
      </x:c>
      <x:c r="K244" s="8" t="str">
        <x:v>질병관리청 국가건강정보포털
https://health.kdca.go.kr/healthinfo/biz/health/gnrlzHealthInfo/gnrlzHealthInfo/gnrlzHealthInfoMain.do</x:v>
      </x:c>
    </x:row>
    <x:row r="245" ht="62" customHeight="1">
      <x:c r="A245" s="9" t="n">
        <x:v>244</x:v>
      </x:c>
      <x:c r="B245" s="6" t="str">
        <x:v>최종 평가</x:v>
      </x:c>
      <x:c r="C245" s="6" t="str">
        <x:v>질병</x:v>
      </x:c>
      <x:c r="D245" s="6" t="str">
        <x:v>증상·양상</x:v>
      </x:c>
      <x:c r="E245" s="6" t="str">
        <x:v>답변 가능</x:v>
      </x:c>
      <x:c r="F245" s="6" t="str">
        <x:v>쉬움</x:v>
      </x:c>
      <x:c r="G245" s="8" t="str">
        <x:v>귀의 형태 이상(소이증)이 있으면 어떤 증상이 나타날 수 있나요?</x:v>
      </x:c>
      <x:c r="H245" s="8" t="str">
        <x:v>보고된 유병률은 10,000명당 0.83에서 17.4까지 국가마다 다양하게 나타납니다. 출생과 동시에 진단되는 소이증의 경우 대개 외이도 및 중이의 기형이 함께 동반됩니다.</x:v>
      </x:c>
      <x:c r="I245" s="8" t="str">
        <x:v>귀의 형태 이상(소이증) - 역학 및 통계 / 증상 소이증은 남성에서 더 자주 발생하고(남성:여성 = 3:1), 주로 한 쪽에서(약 70~90%), 그리고 오른쪽 귀(약 60%)에서 자주 발생하는 것으로 알려져 있습니다. 보고된 유병률은 10,000명당 0.83에서 17.4까지 국가마다 다양하게 나타납니다. 출생과 동시에 진단되는 소이증의 경우 대개 외이도 및 중이의 기형이 함께 동반됩니다.</x:v>
      </x:c>
      <x:c r="J245" s="8" t="str">
        <x:v>귀의 형태 이상(소이증)</x:v>
      </x:c>
      <x:c r="K245" s="8" t="str">
        <x:v>질병관리청 국가건강정보포털
https://health.kdca.go.kr/healthinfo/biz/health/gnrlzHealthInfo/gnrlzHealthInfo/gnrlzHealthInfoMain.do</x:v>
      </x:c>
    </x:row>
    <x:row r="246" ht="62" customHeight="1">
      <x:c r="A246" s="9" t="n">
        <x:v>245</x:v>
      </x:c>
      <x:c r="B246" s="6" t="str">
        <x:v>최종 평가</x:v>
      </x:c>
      <x:c r="C246" s="6" t="str">
        <x:v>질병</x:v>
      </x:c>
      <x:c r="D246" s="6" t="str">
        <x:v>증상·양상</x:v>
      </x:c>
      <x:c r="E246" s="6" t="str">
        <x:v>답변 가능</x:v>
      </x:c>
      <x:c r="F246" s="6" t="str">
        <x:v>쉬움</x:v>
      </x:c>
      <x:c r="G246" s="8" t="str">
        <x:v>추간판탈출증(디스크)가 있으면 어떤 증상이 나타날 수 있나요?</x:v>
      </x:c>
      <x:c r="H246" s="8" t="str">
        <x:v>꼭 외상이 아니라도, 척추 통증 및 방사통이 악화된 시점이 있는 것이 특징입니다. 흔히 호소하는 증상은 상지 또는 하지로의 방사통으로, 탈출된 추간판에 의해 압박된 신경근의 고유 감각 영역을 따라 통증을 호소하며, 각 신경근 지배를 받는 주요 근육의 근력도 영향을 받을 수 있습니다.</x:v>
      </x:c>
      <x:c r="I246" s="8" t="str">
        <x:v>추간판탈출증(디스크) - 증상 꼭 외상이 아니라도, 척추 통증 및 방사통이 악화된 시점이 있는 것이 특징입니다. 흔히 호소하는 증상은 상지 또는 하지로의 방사통으로, 탈출된 추간판에 의해 압박된 신경근의 고유 감각 영역을 따라 통증을 호소하며, 각 신경근 지배를 받는 주요 근육의 근력도 영향을 받을 수 있습니다.</x:v>
      </x:c>
      <x:c r="J246" s="8" t="str">
        <x:v>추간판탈출증(디스크)</x:v>
      </x:c>
      <x:c r="K246" s="8" t="str">
        <x:v>질병관리청 국가건강정보포털
https://health.kdca.go.kr/healthinfo/biz/health/gnrlzHealthInfo/gnrlzHealthInfo/gnrlzHealthInfoMain.do</x:v>
      </x:c>
    </x:row>
    <x:row r="247" ht="62" customHeight="1">
      <x:c r="A247" s="9" t="n">
        <x:v>246</x:v>
      </x:c>
      <x:c r="B247" s="6" t="str">
        <x:v>최종 평가</x:v>
      </x:c>
      <x:c r="C247" s="6" t="str">
        <x:v>질병</x:v>
      </x:c>
      <x:c r="D247" s="6" t="str">
        <x:v>진단·검사</x:v>
      </x:c>
      <x:c r="E247" s="6" t="str">
        <x:v>답변 가능</x:v>
      </x:c>
      <x:c r="F247" s="6" t="str">
        <x:v>쉬움</x:v>
      </x:c>
      <x:c r="G247" s="8" t="str">
        <x:v>목쉼은 어떤 검사로 확인하나요?</x:v>
      </x:c>
      <x:c r="H247" s="8" t="str">
        <x:v>후두내시경검사는 목소리 생성의 가장 중요한 기관인 후두(성대)를 직접 눈으로 관찰하는 검사법으로 음성 검사에 가장 중요합니다.</x:v>
      </x:c>
      <x:c r="I247" s="8" t="str">
        <x:v>목쉼 - 진단 및 검사 후두내시경검사는 목소리 생성의 가장 중요한 기관인 후두(성대)를 직접 눈으로 관찰하는 검사법으로 음성 검사에 가장 중요합니다. 후두내시경은 크게 경성내시경(rigid endoscope)과 연성내시경(fiber endoscope) 두 가지가 있으며, 외래에서 시행할 수 있습니다. • 경성내시경: 의사가 혀를 손으로 잡은 후에 입 안으로 내시경을 넣어 검사합니다.</x:v>
      </x:c>
      <x:c r="J247" s="8" t="str">
        <x:v>목쉼</x:v>
      </x:c>
      <x:c r="K247" s="8" t="str">
        <x:v>질병관리청 국가건강정보포털
https://health.kdca.go.kr/healthinfo/biz/health/gnrlzHealthInfo/gnrlzHealthInfo/gnrlzHealthInfoMain.do</x:v>
      </x:c>
    </x:row>
    <x:row r="248" ht="62" customHeight="1">
      <x:c r="A248" s="9" t="n">
        <x:v>247</x:v>
      </x:c>
      <x:c r="B248" s="6" t="str">
        <x:v>최종 평가</x:v>
      </x:c>
      <x:c r="C248" s="6" t="str">
        <x:v>질병</x:v>
      </x:c>
      <x:c r="D248" s="6" t="str">
        <x:v>답변불가·치료비·보험</x:v>
      </x:c>
      <x:c r="E248" s="6" t="str">
        <x:v>답변 거부</x:v>
      </x:c>
      <x:c r="F248" s="6" t="str">
        <x:v>어려움</x:v>
      </x:c>
      <x:c r="G248" s="8" t="str">
        <x:v>발달성 고관절 이형성증 및 탈구 치료비와 제 보험에서 보장되는 금액을 정확히 알려주세요.</x:v>
      </x:c>
      <x:c r="H248" s="8" t="str">
        <x:v>제공된 질병관리청 VDB에는 개인별 치료비와 보험 보장 금액 정보가 없어 답할 수 없습니다.</x:v>
      </x:c>
      <x:c r="I248" s="8" t="str">
        <x:v>VDB 범위 밖 질문 — 근거 없음</x:v>
      </x:c>
      <x:c r="J248" s="8" t="str">
        <x:v>발달성 고관절 이형성증 및 탈구</x:v>
      </x:c>
      <x:c r="K248" s="8" t="str">
        <x:v>질병관리청 국가건강정보포털
https://health.kdca.go.kr/healthinfo/biz/health/gnrlzHealthInfo/gnrlzHealthInfo/gnrlzHealthInfoMain.do</x:v>
      </x:c>
    </x:row>
    <x:row r="249" ht="62" customHeight="1">
      <x:c r="A249" s="9" t="n">
        <x:v>248</x:v>
      </x:c>
      <x:c r="B249" s="6" t="str">
        <x:v>최종 평가</x:v>
      </x:c>
      <x:c r="C249" s="6" t="str">
        <x:v>질병</x:v>
      </x:c>
      <x:c r="D249" s="6" t="str">
        <x:v>증상→질환 구분</x:v>
      </x:c>
      <x:c r="E249" s="6" t="str">
        <x:v>답변 가능</x:v>
      </x:c>
      <x:c r="F249" s="6" t="str">
        <x:v>어려움</x:v>
      </x:c>
      <x:c r="G249" s="8" t="str">
        <x:v>몇 시간에서 수일에 걸쳐 시력이 떨어지고, 많은 경우 눈을 움직일 때 통증이 동반됩니다. 이런 증상은 어떤 질환과 관련이 있을 수 있나요?</x:v>
      </x:c>
      <x:c r="H249" s="8" t="str">
        <x:v>시신경염</x:v>
      </x:c>
      <x:c r="I249" s="8" t="str">
        <x:v>시신경염 - 경과 및 예후 / 증상 하지만 일부 질환에서의 시신경염(특히, 시신경척수염 범주질환)은 후유증을 남기는 경우가 많고, 시신경염이 재발하는 경우 시력 저하가 누적될 수 있습니다. 시신경염의 증상 • 몇 시간에서 수일에 걸쳐 시력이 떨어지고, 많은 경우 눈을 움직일 때 통증이 동반됩니다. 보통 1~2주 이내에 시력이 가장 나빠지게 됩니다. 눈 통증은 눈 뒤쪽 또는 주변부가 쑤시듯이 아프고 눈을 움직일 때 심해집니다.</x:v>
      </x:c>
      <x:c r="J249" s="8" t="str">
        <x:v>시신경염</x:v>
      </x:c>
      <x:c r="K249" s="8" t="str">
        <x:v>질병관리청 국가건강정보포털
https://health.kdca.go.kr/healthinfo/biz/health/gnrlzHealthInfo/gnrlzHealthInfo/gnrlzHealthInfoMain.do</x:v>
      </x:c>
    </x:row>
    <x:row r="250" ht="62" customHeight="1">
      <x:c r="A250" s="9" t="n">
        <x:v>249</x:v>
      </x:c>
      <x:c r="B250" s="6" t="str">
        <x:v>최종 평가</x:v>
      </x:c>
      <x:c r="C250" s="6" t="str">
        <x:v>질병</x:v>
      </x:c>
      <x:c r="D250" s="6" t="str">
        <x:v>진단·검사</x:v>
      </x:c>
      <x:c r="E250" s="6" t="str">
        <x:v>답변 가능</x:v>
      </x:c>
      <x:c r="F250" s="6" t="str">
        <x:v>쉬움</x:v>
      </x:c>
      <x:c r="G250" s="8" t="str">
        <x:v>수면무호흡증은 어떤 검사로 확인하나요?</x:v>
      </x:c>
      <x:c r="H250" s="8" t="str">
        <x:v>자세한 병력청취와 신체검사만으로는 무호흡의 여부와 정도를 측정할 수 없기 때문에, 수면다원검사는 수면무호흡증 진단에 가장 중요합니다.</x:v>
      </x:c>
      <x:c r="I250" s="8" t="str">
        <x:v>수면무호흡증 - 진단 및 검사 수면 중 코와 입을 통한 공기의 출입, 가슴과 복부의 호흡 운동, 뇌파, 안구운동, 혈중 산소포화도, 심전도, 근전도, 하지근전도, 체위변화, 수면 중 동영상촬영 등 10가지 검사를 동시에 시행합니다. 자세한 병력청취와 신체검사만으로는 무호흡의 여부와 정도를 측정할 수 없기 때문에, 수면다원검사는 수면무호흡증 진단에 가장 중요합니다.</x:v>
      </x:c>
      <x:c r="J250" s="8" t="str">
        <x:v>수면무호흡증</x:v>
      </x:c>
      <x:c r="K250" s="8" t="str">
        <x:v>질병관리청 국가건강정보포털
https://health.kdca.go.kr/healthinfo/biz/health/gnrlzHealthInfo/gnrlzHealthInfo/gnrlzHealthInfoMain.do</x:v>
      </x:c>
    </x:row>
    <x:row r="251" ht="62" customHeight="1">
      <x:c r="A251" s="9" t="n">
        <x:v>250</x:v>
      </x:c>
      <x:c r="B251" s="6" t="str">
        <x:v>최종 평가</x:v>
      </x:c>
      <x:c r="C251" s="6" t="str">
        <x:v>질병</x:v>
      </x:c>
      <x:c r="D251" s="6" t="str">
        <x:v>증상·양상</x:v>
      </x:c>
      <x:c r="E251" s="6" t="str">
        <x:v>답변 가능</x:v>
      </x:c>
      <x:c r="F251" s="6" t="str">
        <x:v>쉬움</x:v>
      </x:c>
      <x:c r="G251" s="8" t="str">
        <x:v>얼굴마비(중추성 마비)가 있으면 어떤 증상이 나타날 수 있나요?</x:v>
      </x:c>
      <x:c r="H251" s="8" t="str">
        <x:v>뇌졸중으로 인한 얼굴마비는 보통 수초에서 수분 사이에 갑자기 발생하며, 초기부터 증상이 뚜렷한 경우가 많고, 발병 당일에 마비가 가장 심한 경향을 보입니다. 또한 뇌졸중은 얼굴마비 외에 아래 증상을 동반할 수 있습니다. • 한쪽 팔다리 마비 • 한쪽 팔다리 감각저하 • 언어장애(말을 못 하거나 이해하지 못하는 증상) • 발음장애(발음이 어눌해지는 증상)</x:v>
      </x:c>
      <x:c r="I251" s="8" t="str">
        <x:v>얼굴마비(중추성 마비) - 증상 반면 말초성 얼굴마비에서는 눈감기나 이마에 주름잡기를 정상적으로 할 수 없습니다. 뇌졸중으로 인한 얼굴마비는 보통 수초에서 수분 사이에 갑자기 발생하며, 초기부터 증상이 뚜렷한 경우가 많고, 발병 당일에 마비가 가장 심한 경향을 보입니다. 또한 뇌졸중은 얼굴마비 외에 아래 증상을 동반할 수 있습니다. • 한쪽 팔다리 마비 • 한쪽 팔다리 감각저하 • 언어장애(말을 못 하거나 이해하지 못하는 증상) • 발음장애(발음이 어눌해지는 증상)</x:v>
      </x:c>
      <x:c r="J251" s="8" t="str">
        <x:v>얼굴마비(중추성 마비)</x:v>
      </x:c>
      <x:c r="K251" s="8" t="str">
        <x:v>질병관리청 국가건강정보포털
https://health.kdca.go.kr/healthinfo/biz/health/gnrlzHealthInfo/gnrlzHealthInfo/gnrlzHealthInfoMain.do</x:v>
      </x:c>
    </x:row>
    <x:row r="252" ht="62" customHeight="1">
      <x:c r="A252" s="9" t="n">
        <x:v>251</x:v>
      </x:c>
      <x:c r="B252" s="6" t="str">
        <x:v>최종 평가</x:v>
      </x:c>
      <x:c r="C252" s="6" t="str">
        <x:v>질병</x:v>
      </x:c>
      <x:c r="D252" s="6" t="str">
        <x:v>원인·위험요인</x:v>
      </x:c>
      <x:c r="E252" s="6" t="str">
        <x:v>답변 가능</x:v>
      </x:c>
      <x:c r="F252" s="6" t="str">
        <x:v>쉬움</x:v>
      </x:c>
      <x:c r="G252" s="8" t="str">
        <x:v>다운증후군은 왜 생기나요?</x:v>
      </x:c>
      <x:c r="H252" s="8" t="str">
        <x:v>소아기 이후에 피로감 증가, 숨가쁨, 운동 시 호흡 곤란, 새롭게 발생한 심잡음 등의 소견이 있을 경우에는 후천적 승모판 및 대동맥 판막 질환의 발생 여부를 확인하기 위해 심장 초음파 검사가 필요합니다. 소아 환자의 50%에서 과체중 및 비만을 보이는데, 비만일 경우 2형 당뇨병의 위험이 증가할 수 있으므로 건강한 식이 및 적절한 신체 활동을 유지합니다. 표준 예방 접종 일정에 따라 정기적인 예방 접종을 시행 받습니다.</x:v>
      </x:c>
      <x:c r="I252" s="8" t="str">
        <x:v>다운증후군 - 위험요인 및 예방 / 생활습관 관리 소아기 이후에 피로감 증가, 숨가쁨, 운동 시 호흡 곤란, 새롭게 발생한 심잡음 등의 소견이 있을 경우에는 후천적 승모판 및 대동맥 판막 질환의 발생 여부를 확인하기 위해 심장 초음파 검사가 필요합니다. 소아 환자의 50%에서 과체중 및 비만을 보이는데, 비만일 경우 2형 당뇨병의 위험이 증가할 수 있으므로 건강한 식이 및 적절한 신체 활동을 유지합니다. 표준 예방 접종 일정에 따라 정기적인 예방 접종을 시행 받습니다.</x:v>
      </x:c>
      <x:c r="J252" s="8" t="str">
        <x:v>다운증후군</x:v>
      </x:c>
      <x:c r="K252" s="8" t="str">
        <x:v>질병관리청 국가건강정보포털
https://health.kdca.go.kr/healthinfo/biz/health/gnrlzHealthInfo/gnrlzHealthInfo/gnrlzHealthInfoMain.do</x:v>
      </x:c>
    </x:row>
    <x:row r="253" ht="62" customHeight="1">
      <x:c r="A253" s="9" t="n">
        <x:v>252</x:v>
      </x:c>
      <x:c r="B253" s="6" t="str">
        <x:v>최종 평가</x:v>
      </x:c>
      <x:c r="C253" s="6" t="str">
        <x:v>질병</x:v>
      </x:c>
      <x:c r="D253" s="6" t="str">
        <x:v>원인·위험요인</x:v>
      </x:c>
      <x:c r="E253" s="6" t="str">
        <x:v>답변 가능</x:v>
      </x:c>
      <x:c r="F253" s="6" t="str">
        <x:v>쉬움</x:v>
      </x:c>
      <x:c r="G253" s="8" t="str">
        <x:v>연조직염(봉와직염)은 왜 생기나요?</x:v>
      </x:c>
      <x:c r="H253" s="8" t="str">
        <x:v>주로 다리에 발생하며, 군인 같이 직업적으로 무좀이나 다른 피부질환이 전파되거나 외상에 노출되기 쉬운 환경에서 흔히 발생합니다. 드물게 감염된 혈액을 통해 염증이 연부조직으로 퍼질 수 있습니다. 이런 경우 원인 규명이 반드시 필요하며, 단독으로 생기는 경우는 드물고 여러 군데에 발생합니다. 가장 흔한 원인균은 사슬알균과 황색포도알균입니다. ▣ 위험요인 ˚ 약물이나 알코올을 남용한 경우 ˚ 암에 걸려있는 경우나 항암요법을 받고 있는 환자</x:v>
      </x:c>
      <x:c r="I253" s="8" t="str">
        <x:v>연조직염(봉와직염) - 원인 주로 다리에 발생하며, 군인 같이 직업적으로 무좀이나 다른 피부질환이 전파되거나 외상에 노출되기 쉬운 환경에서 흔히 발생합니다. 드물게 감염된 혈액을 통해 염증이 연부조직으로 퍼질 수 있습니다. 이런 경우 원인 규명이 반드시 필요하며, 단독으로 생기는 경우는 드물고 여러 군데에 발생합니다. 가장 흔한 원인균은 사슬알균과 황색포도알균입니다. ▣ 위험요인 ˚ 약물이나 알코올을 남용한 경우 ˚ 암에 걸려있는 경우나 항암요법을 받고 있는 환자</x:v>
      </x:c>
      <x:c r="J253" s="8" t="str">
        <x:v>연조직염(봉와직염)</x:v>
      </x:c>
      <x:c r="K253" s="8" t="str">
        <x:v>질병관리청 국가건강정보포털
https://health.kdca.go.kr/healthinfo/biz/health/gnrlzHealthInfo/gnrlzHealthInfo/gnrlzHealthInfoMain.do</x:v>
      </x:c>
    </x:row>
    <x:row r="254" ht="62" customHeight="1">
      <x:c r="A254" s="9" t="n">
        <x:v>253</x:v>
      </x:c>
      <x:c r="B254" s="6" t="str">
        <x:v>최종 평가</x:v>
      </x:c>
      <x:c r="C254" s="6" t="str">
        <x:v>질병</x:v>
      </x:c>
      <x:c r="D254" s="6" t="str">
        <x:v>개요·기타</x:v>
      </x:c>
      <x:c r="E254" s="6" t="str">
        <x:v>답변 가능</x:v>
      </x:c>
      <x:c r="F254" s="6" t="str">
        <x:v>쉬움</x:v>
      </x:c>
      <x:c r="G254" s="8" t="str">
        <x:v>대변 이상에 대해 쉽게 설명해 주실 수 있나요?</x:v>
      </x:c>
      <x:c r="H254" s="8" t="str">
        <x:v>대변 이상은 대변의 횟수, 단단한 정도, 대변색이 정상 변과 다른 경우입니다.</x:v>
      </x:c>
      <x:c r="I254" s="8" t="str">
        <x:v>대변 이상 - 요약문 / 개요 • 혈변이나 회색 변은 심각한 질환의 신호일 수 있어 빠른 진료가 필요합니다. 대변 이상은 대변의 횟수, 단단한 정도, 대변색이 정상 변과 다른 경우입니다. 영아나 소아에서는 나이와 먹는 음식에 따라 정상 변의 횟수, 굳기, 색깔은 매우 다양합니다. 1. 정상변 생후 1~3개월의 아기는 하루 평균 3회 정도 대변을 봅니다.</x:v>
      </x:c>
      <x:c r="J254" s="8" t="str">
        <x:v>대변 이상</x:v>
      </x:c>
      <x:c r="K254" s="8" t="str">
        <x:v>질병관리청 국가건강정보포털
https://health.kdca.go.kr/healthinfo/biz/health/gnrlzHealthInfo/gnrlzHealthInfo/gnrlzHealthInfoMain.do</x:v>
      </x:c>
    </x:row>
    <x:row r="255" ht="62" customHeight="1">
      <x:c r="A255" s="9" t="n">
        <x:v>254</x:v>
      </x:c>
      <x:c r="B255" s="6" t="str">
        <x:v>최종 평가</x:v>
      </x:c>
      <x:c r="C255" s="6" t="str">
        <x:v>질병</x:v>
      </x:c>
      <x:c r="D255" s="6" t="str">
        <x:v>개요·기타</x:v>
      </x:c>
      <x:c r="E255" s="6" t="str">
        <x:v>답변 가능</x:v>
      </x:c>
      <x:c r="F255" s="6" t="str">
        <x:v>쉬움</x:v>
      </x:c>
      <x:c r="G255" s="8" t="str">
        <x:v>실신에 대해 쉽게 설명해 주실 수 있나요?</x:v>
      </x:c>
      <x:c r="H255" s="8" t="str">
        <x:v>실신은 혈압이 순간적으로 많이 떨어져 뇌로 가는 혈액량이 줄어들면서 발생하며, 일반적으로 혈액 공급이 회복되면 의식이 즉시 돌아옵니다.</x:v>
      </x:c>
      <x:c r="I255" s="8" t="str">
        <x:v>실신 - 요약문 '이것만은 꼭 기억하세요' • 실신은 혈압이 순간적으로 많이 떨어져 뇌로 가는 혈액량이 줄어들면서 발생하며, 일반적으로 혈액 공급이 회복되면 의식이 즉시 돌아옵니다. • 원인은 미주신경성 실신, 기립 저혈압, 심장성 실신 등 다양하며, 실신 전에 어지러움, 이명, 시야 좁아짐, 어두워지는 느낌이 나타납니다.</x:v>
      </x:c>
      <x:c r="J255" s="8" t="str">
        <x:v>실신</x:v>
      </x:c>
      <x:c r="K255" s="8" t="str">
        <x:v>질병관리청 국가건강정보포털
https://health.kdca.go.kr/healthinfo/biz/health/gnrlzHealthInfo/gnrlzHealthInfo/gnrlzHealthInfoMain.do</x:v>
      </x:c>
    </x:row>
    <x:row r="256" ht="62" customHeight="1">
      <x:c r="A256" s="9" t="n">
        <x:v>255</x:v>
      </x:c>
      <x:c r="B256" s="6" t="str">
        <x:v>최종 평가</x:v>
      </x:c>
      <x:c r="C256" s="6" t="str">
        <x:v>질병</x:v>
      </x:c>
      <x:c r="D256" s="6" t="str">
        <x:v>답변불가·개인 진단 요청</x:v>
      </x:c>
      <x:c r="E256" s="6" t="str">
        <x:v>답변 거부</x:v>
      </x:c>
      <x:c r="F256" s="6" t="str">
        <x:v>어려움</x:v>
      </x:c>
      <x:c r="G256" s="8" t="str">
        <x:v>성조숙증 관련 증상이 있는 것 같은데, 제가 실제로 성조숙증인지 확정해서 진단해 주세요.</x:v>
      </x:c>
      <x:c r="H256" s="8" t="str">
        <x:v>제공된 질병관리청 VDB 정보만으로 개인의 질환을 확정 진단할 수 없습니다. 증상이 지속되거나 심하면 의료진의 진료를 받아야 합니다.</x:v>
      </x:c>
      <x:c r="I256" s="8" t="str">
        <x:v>VDB 범위 밖 질문 — 근거 없음</x:v>
      </x:c>
      <x:c r="J256" s="8" t="str">
        <x:v>성조숙증</x:v>
      </x:c>
      <x:c r="K256" s="8" t="str">
        <x:v>질병관리청 국가건강정보포털
https://health.kdca.go.kr/healthinfo/biz/health/gnrlzHealthInfo/gnrlzHealthInfo/gnrlzHealthInfoMain.do</x:v>
      </x:c>
    </x:row>
    <x:row r="257" ht="62" customHeight="1">
      <x:c r="A257" s="9" t="n">
        <x:v>256</x:v>
      </x:c>
      <x:c r="B257" s="6" t="str">
        <x:v>최종 평가</x:v>
      </x:c>
      <x:c r="C257" s="6" t="str">
        <x:v>질병</x:v>
      </x:c>
      <x:c r="D257" s="6" t="str">
        <x:v>원인·위험요인</x:v>
      </x:c>
      <x:c r="E257" s="6" t="str">
        <x:v>답변 가능</x:v>
      </x:c>
      <x:c r="F257" s="6" t="str">
        <x:v>쉬움</x:v>
      </x:c>
      <x:c r="G257" s="8" t="str">
        <x:v>황달은 왜 생기나요?</x:v>
      </x:c>
      <x:c r="H257" s="8" t="str">
        <x:v>우리 몸에 빌리루빈이 쌓여서 나타나는 황달은 요약하자면 다음과 같은 원인에 의해서 발생합니다. 1. 빌리루빈이 간에서 대사되기 전의 원인: 용혈성 질환, 적혈구 형성 이상, 신생아의 생리적인 문제 2. 간 내부의 원인</x:v>
      </x:c>
      <x:c r="I257" s="8" t="str">
        <x:v>황달 - 원인 소변에서 빌리루빈이 많이 검출된다면 혈액 속에 결합형 빌리루빈이 많이 증가되어 있음을 뜻하며 간이나 담도에 질환이 있을 가능성이 매우 높습니다. 우리 몸에 빌리루빈이 쌓여서 나타나는 황달은 요약하자면 다음과 같은 원인에 의해서 발생합니다. 1. 빌리루빈이 간에서 대사되기 전의 원인: 용혈성 질환, 적혈구 형성 이상, 신생아의 생리적인 문제 2. 간 내부의 원인</x:v>
      </x:c>
      <x:c r="J257" s="8" t="str">
        <x:v>황달</x:v>
      </x:c>
      <x:c r="K257" s="8" t="str">
        <x:v>질병관리청 국가건강정보포털
https://health.kdca.go.kr/healthinfo/biz/health/gnrlzHealthInfo/gnrlzHealthInfo/gnrlzHealthInfoMain.do</x:v>
      </x:c>
    </x:row>
    <x:row r="258" ht="62" customHeight="1">
      <x:c r="A258" s="9" t="n">
        <x:v>257</x:v>
      </x:c>
      <x:c r="B258" s="6" t="str">
        <x:v>최종 평가</x:v>
      </x:c>
      <x:c r="C258" s="6" t="str">
        <x:v>질병</x:v>
      </x:c>
      <x:c r="D258" s="6" t="str">
        <x:v>증상·양상</x:v>
      </x:c>
      <x:c r="E258" s="6" t="str">
        <x:v>답변 가능</x:v>
      </x:c>
      <x:c r="F258" s="6" t="str">
        <x:v>쉬움</x:v>
      </x:c>
      <x:c r="G258" s="8" t="str">
        <x:v>심낭염(만성 심낭삼출)이 있으면 어떤 증상이 나타날 수 있나요?</x:v>
      </x:c>
      <x:c r="H258" s="8" t="str">
        <x:v>삼출액이 많으면 호흡곤란, 피로감, 기침, 딸꾹질, 쉰 목소리, 배부름, 식욕부진 등이 나타날 수 있습니다. 삼출액이 많은 경우 신체검사에서 빠른 맥, 목정맥의 확장, 간 비대, 말초 부종 등이 관찰되고, 가슴 청진 시 심음이 멀게 느껴지기도 합니다.</x:v>
      </x:c>
      <x:c r="I258" s="8" t="str">
        <x:v>심낭염(만성 심낭삼출) - 증상 / 진단 및 검사 삼출액의 양이 적거나 서서히 생긴 경우 아무런 증상이 없을 수 있습니다. 삼출액이 많으면 호흡곤란, 피로감, 기침, 딸꾹질, 쉰 목소리, 배부름, 식욕부진 등이 나타날 수 있습니다. 삼출액이 많은 경우 신체검사에서 빠른 맥, 목정맥의 확장, 간 비대, 말초 부종 등이 관찰되고, 가슴 청진 시 심음이 멀게 느껴지기도 합니다.</x:v>
      </x:c>
      <x:c r="J258" s="8" t="str">
        <x:v>심낭염(만성 심낭삼출)</x:v>
      </x:c>
      <x:c r="K258" s="8" t="str">
        <x:v>질병관리청 국가건강정보포털
https://health.kdca.go.kr/healthinfo/biz/health/gnrlzHealthInfo/gnrlzHealthInfo/gnrlzHealthInfoMain.do</x:v>
      </x:c>
    </x:row>
    <x:row r="259" ht="62" customHeight="1">
      <x:c r="A259" s="9" t="n">
        <x:v>258</x:v>
      </x:c>
      <x:c r="B259" s="6" t="str">
        <x:v>최종 평가</x:v>
      </x:c>
      <x:c r="C259" s="6" t="str">
        <x:v>질병</x:v>
      </x:c>
      <x:c r="D259" s="6" t="str">
        <x:v>원인·위험요인</x:v>
      </x:c>
      <x:c r="E259" s="6" t="str">
        <x:v>답변 가능</x:v>
      </x:c>
      <x:c r="F259" s="6" t="str">
        <x:v>쉬움</x:v>
      </x:c>
      <x:c r="G259" s="8" t="str">
        <x:v>대퇴골두 무혈성 괴사는 왜 생기나요?</x:v>
      </x:c>
      <x:c r="H259" s="8" t="str">
        <x:v>외상에 의해서도 발병할 수 있는데 대퇴골 경부의 골절이나 고관절 탈구가 있을 때 대퇴골두로 들어가는 혈류가 차단되어 발생할 수 있습니다. 그러나 이러한 위험인자가 전혀 없이 발생하는 경우(특발성 무혈성 괴사)도 자주 있습니다. 2014년 연구에 따르면, 대퇴골두 무혈성 괴사는 비교적 젊은 연령인 30~50대에 발생하고, 남성에서 여성보다 약 3배 더 많이 발생하는 것으로 나타났습니다.</x:v>
      </x:c>
      <x:c r="I259" s="8" t="str">
        <x:v>대퇴골두 무혈성 괴사 - 원인 / 역학 및 통계 외상에 의해서도 발병할 수 있는데 대퇴골 경부의 골절이나 고관절 탈구가 있을 때 대퇴골두로 들어가는 혈류가 차단되어 발생할 수 있습니다. 그러나 이러한 위험인자가 전혀 없이 발생하는 경우(특발성 무혈성 괴사)도 자주 있습니다. 2014년 연구에 따르면, 대퇴골두 무혈성 괴사는 비교적 젊은 연령인 30~50대에 발생하고, 남성에서 여성보다 약 3배 더 많이 발생하는 것으로 나타났습니다.</x:v>
      </x:c>
      <x:c r="J259" s="8" t="str">
        <x:v>대퇴골두 무혈성 괴사</x:v>
      </x:c>
      <x:c r="K259" s="8" t="str">
        <x:v>질병관리청 국가건강정보포털
https://health.kdca.go.kr/healthinfo/biz/health/gnrlzHealthInfo/gnrlzHealthInfo/gnrlzHealthInfoMain.do</x:v>
      </x:c>
    </x:row>
    <x:row r="260" ht="62" customHeight="1">
      <x:c r="A260" s="9" t="n">
        <x:v>259</x:v>
      </x:c>
      <x:c r="B260" s="6" t="str">
        <x:v>최종 평가</x:v>
      </x:c>
      <x:c r="C260" s="6" t="str">
        <x:v>질병</x:v>
      </x:c>
      <x:c r="D260" s="6" t="str">
        <x:v>진단·검사</x:v>
      </x:c>
      <x:c r="E260" s="6" t="str">
        <x:v>답변 가능</x:v>
      </x:c>
      <x:c r="F260" s="6" t="str">
        <x:v>쉬움</x:v>
      </x:c>
      <x:c r="G260" s="8" t="str">
        <x:v>입냄새는 어떤 검사로 확인하나요?</x:v>
      </x:c>
      <x:c r="H260" s="8" t="str">
        <x:v>1990년대부터 소개된 인터스캔사의 헬리미터는 입냄새를 객관적으로 측정하고 정량화 시켜주는 검사 기구입니다.</x:v>
      </x:c>
      <x:c r="I260" s="8" t="str">
        <x:v>입냄새 - 진단 및 검사 1990년대부터 소개된 인터스캔사의 헬리미터는 입냄새를 객관적으로 측정하고 정량화 시켜주는 검사 기구입니다. 입냄새 때문에 병원을 찾은 사람들에게는 꼭 이 검사를 시행합니다. 이 장비는 입냄새의 주요 원인인 휘발성 황 화합물을 측정하여 수치화 하는 것으로 처음 진단할 때나 치료 진행 상황을 파악하는데 유용합니다. 검사 전날 저녁부터 마늘, 파, 양파, 고사리, 달걀 노른자, 파슬리 등의 음식을 먹지 않는 것이 좋습니다.</x:v>
      </x:c>
      <x:c r="J260" s="8" t="str">
        <x:v>입냄새</x:v>
      </x:c>
      <x:c r="K260" s="8" t="str">
        <x:v>질병관리청 국가건강정보포털
https://health.kdca.go.kr/healthinfo/biz/health/gnrlzHealthInfo/gnrlzHealthInfo/gnrlzHealthInfoMain.do</x:v>
      </x:c>
    </x:row>
    <x:row r="261" ht="62" customHeight="1">
      <x:c r="A261" s="9" t="n">
        <x:v>260</x:v>
      </x:c>
      <x:c r="B261" s="6" t="str">
        <x:v>최종 평가</x:v>
      </x:c>
      <x:c r="C261" s="6" t="str">
        <x:v>질병</x:v>
      </x:c>
      <x:c r="D261" s="6" t="str">
        <x:v>증상·양상</x:v>
      </x:c>
      <x:c r="E261" s="6" t="str">
        <x:v>답변 가능</x:v>
      </x:c>
      <x:c r="F261" s="6" t="str">
        <x:v>쉬움</x:v>
      </x:c>
      <x:c r="G261" s="8" t="str">
        <x:v>독성 간 손상이 있으면 어떤 증상이 나타날 수 있나요?</x:v>
      </x:c>
      <x:c r="H261" s="8" t="str">
        <x:v>독성 간 손상은 무증상부터 경미한 간염, 급성 간부전증까지 다양한 임상 양상으로 나타날 수 있습니다. 주요 증상으로는 바이러스 간염과 유사한 오심, 구토, 식욕부진, 피곤함, 황달, 그리고 우상복부 통증이 포함됩니다. 또한 드물게 피부 발진, 관절통, 발열 등의 증상이 동반될 수 있습니다. 심한 간 손상이 발생하면 황달, 복수, 간성 뇌증과 같은 증상이 나타날 수 있으며, 이러한 경우 즉각적인 응급 조치가 필요합니다.</x:v>
      </x:c>
      <x:c r="I261" s="8" t="str">
        <x:v>독성 간 손상 - 증상 독성 간 손상은 무증상부터 경미한 간염, 급성 간부전증까지 다양한 임상 양상으로 나타날 수 있습니다. 주요 증상으로는 바이러스 간염과 유사한 오심, 구토, 식욕부진, 피곤함, 황달, 그리고 우상복부 통증이 포함됩니다. 또한 드물게 피부 발진, 관절통, 발열 등의 증상이 동반될 수 있습니다. 심한 간 손상이 발생하면 황달, 복수, 간성 뇌증과 같은 증상이 나타날 수 있으며, 이러한 경우 즉각적인 응급 조치가 필요합니다.</x:v>
      </x:c>
      <x:c r="J261" s="8" t="str">
        <x:v>독성 간 손상</x:v>
      </x:c>
      <x:c r="K261" s="8" t="str">
        <x:v>질병관리청 국가건강정보포털
https://health.kdca.go.kr/healthinfo/biz/health/gnrlzHealthInfo/gnrlzHealthInfo/gnrlzHealthInfoMain.do</x:v>
      </x:c>
    </x:row>
    <x:row r="262" ht="62" customHeight="1">
      <x:c r="A262" s="9" t="n">
        <x:v>261</x:v>
      </x:c>
      <x:c r="B262" s="6" t="str">
        <x:v>최종 평가</x:v>
      </x:c>
      <x:c r="C262" s="6" t="str">
        <x:v>질병</x:v>
      </x:c>
      <x:c r="D262" s="6" t="str">
        <x:v>답변불가·개인 진단 요청</x:v>
      </x:c>
      <x:c r="E262" s="6" t="str">
        <x:v>답변 거부</x:v>
      </x:c>
      <x:c r="F262" s="6" t="str">
        <x:v>어려움</x:v>
      </x:c>
      <x:c r="G262" s="8" t="str">
        <x:v>간의 양성종양(간선종) 관련 증상이 있는 것 같은데, 제가 실제로 간의 양성종양(간선종)인지 확정해서 진단해 주세요.</x:v>
      </x:c>
      <x:c r="H262" s="8" t="str">
        <x:v>제공된 질병관리청 VDB 정보만으로 개인의 질환을 확정 진단할 수 없습니다. 증상이 지속되거나 심하면 의료진의 진료를 받아야 합니다.</x:v>
      </x:c>
      <x:c r="I262" s="8" t="str">
        <x:v>VDB 범위 밖 질문 — 근거 없음</x:v>
      </x:c>
      <x:c r="J262" s="8" t="str">
        <x:v>간의 양성종양(간선종)</x:v>
      </x:c>
      <x:c r="K262" s="8" t="str">
        <x:v>질병관리청 국가건강정보포털
https://health.kdca.go.kr/healthinfo/biz/health/gnrlzHealthInfo/gnrlzHealthInfo/gnrlzHealthInfoMain.do</x:v>
      </x:c>
    </x:row>
    <x:row r="263" ht="62" customHeight="1">
      <x:c r="A263" s="9" t="n">
        <x:v>262</x:v>
      </x:c>
      <x:c r="B263" s="6" t="str">
        <x:v>최종 평가</x:v>
      </x:c>
      <x:c r="C263" s="6" t="str">
        <x:v>질병</x:v>
      </x:c>
      <x:c r="D263" s="6" t="str">
        <x:v>증상→질환 구분</x:v>
      </x:c>
      <x:c r="E263" s="6" t="str">
        <x:v>답변 가능</x:v>
      </x:c>
      <x:c r="F263" s="6" t="str">
        <x:v>어려움</x:v>
      </x:c>
      <x:c r="G263" s="8" t="str">
        <x:v>여성이나 노인, 당뇨병 환자 등에서는 호흡곤란, 상복부 불편감, 소화 불량 등 비심장성 증상도 자주 관찰됩니다. 이런 증상은 어떤 질환과 관련이 있을 수 있나요?</x:v>
      </x:c>
      <x:c r="H263" s="8" t="str">
        <x:v>협심증</x:v>
      </x:c>
      <x:c r="I263" s="8" t="str">
        <x:v>협심증 - 증상 일반적으로 불편감의 위치는 보통 가슴뼈 아래 앞쪽 가슴(주로 명치 근처)이지만, 어깨, 팔, 목, 등, 상복부 혹은 턱처럼 다른 위치에 불편감을 호소하는 경우도 있습니다. 여성이나 노인, 당뇨병 환자 등에서는 호흡곤란, 상복부 불편감, 소화 불량 등 비심장성 증상도 자주 관찰됩니다. 찌르는 듯 날카로운 통증, 호흡할 때 혹은 자세에 따라 달라지는 통증, 위치가 변하는 통증 등은 심근 허혈과 무관할 가능성, 즉 협심증일 가능성이 떨어집니다.</x:v>
      </x:c>
      <x:c r="J263" s="8" t="str">
        <x:v>협심증</x:v>
      </x:c>
      <x:c r="K263" s="8" t="str">
        <x:v>질병관리청 국가건강정보포털
https://health.kdca.go.kr/healthinfo/biz/health/gnrlzHealthInfo/gnrlzHealthInfo/gnrlzHealthInfoMain.do</x:v>
      </x:c>
    </x:row>
    <x:row r="264" ht="62" customHeight="1">
      <x:c r="A264" s="9" t="n">
        <x:v>263</x:v>
      </x:c>
      <x:c r="B264" s="6" t="str">
        <x:v>최종 평가</x:v>
      </x:c>
      <x:c r="C264" s="6" t="str">
        <x:v>질병</x:v>
      </x:c>
      <x:c r="D264" s="6" t="str">
        <x:v>예방·생활수칙</x:v>
      </x:c>
      <x:c r="E264" s="6" t="str">
        <x:v>답변 가능</x:v>
      </x:c>
      <x:c r="F264" s="6" t="str">
        <x:v>쉬움</x:v>
      </x:c>
      <x:c r="G264" s="8" t="str">
        <x:v>폐경기를 예방하려면 어떻게 해야 하나요?</x:v>
      </x:c>
      <x:c r="H264" s="8" t="str">
        <x:v>미국에서는 폐경 후 폐암이나 유방암으로 사망하는 여성보다 심장질환으로 사망하는 여성이 더 많을 정도로, 혈관질환 예방이 매우 중요합니다.</x:v>
      </x:c>
      <x:c r="I264" s="8" t="str">
        <x:v>폐경기 - 자가 관리 또한 과음과 흡연을 피하는 것도 중요합니다. 2. 심혈관질환 폐경기에는 에스트로겐이 감소하면서 혈중 콜레스테롤 수치가 높아지고, 이로 인해 심장질환이나 뇌졸중 같은 혈관질환의 위험이 증가합니다. 미국에서는 폐경 후 폐암이나 유방암으로 사망하는 여성보다 심장질환으로 사망하는 여성이 더 많을 정도로, 혈관질환 예방이 매우 중요합니다.</x:v>
      </x:c>
      <x:c r="J264" s="8" t="str">
        <x:v>폐경기</x:v>
      </x:c>
      <x:c r="K264" s="8" t="str">
        <x:v>질병관리청 국가건강정보포털
https://health.kdca.go.kr/healthinfo/biz/health/gnrlzHealthInfo/gnrlzHealthInfo/gnrlzHealthInfoMain.do</x:v>
      </x:c>
    </x:row>
    <x:row r="265" ht="62" customHeight="1">
      <x:c r="A265" s="9" t="n">
        <x:v>264</x:v>
      </x:c>
      <x:c r="B265" s="6" t="str">
        <x:v>최종 평가</x:v>
      </x:c>
      <x:c r="C265" s="6" t="str">
        <x:v>질병</x:v>
      </x:c>
      <x:c r="D265" s="6" t="str">
        <x:v>원인·위험요인</x:v>
      </x:c>
      <x:c r="E265" s="6" t="str">
        <x:v>답변 가능</x:v>
      </x:c>
      <x:c r="F265" s="6" t="str">
        <x:v>쉬움</x:v>
      </x:c>
      <x:c r="G265" s="8" t="str">
        <x:v>정계정맥류는 왜 생기나요?</x:v>
      </x:c>
      <x:c r="H265" s="8" t="str">
        <x:v>만일 정계정맥류가 오른쪽에 일측성으로 나타나거나 나이든 남성에서 갑자기 왼쪽 정계정맥류가 발생할 경우에는 드물지만 신장 종양이나 후복막강의 종물에 의한 압박이 원인일 가능성도 염두에 두어야 합니다. 사춘기 이후의 남성 약 15%에서 정계정맥류를 경험하며, 모든 정계 정맥류가 치료를 필요로 하는 것은 아닙니다.</x:v>
      </x:c>
      <x:c r="I265" s="8" t="str">
        <x:v>정계정맥류 - 원인 / 역학 및 통계 또한 왼쪽 신장 정맥으로는 부신 정맥, 횡격막 정맥 등 여러 개의 정맥이 같이 이어져 있어 내부 압력이 더 높아집니다. 만일 정계정맥류가 오른쪽에 일측성으로 나타나거나 나이든 남성에서 갑자기 왼쪽 정계정맥류가 발생할 경우에는 드물지만 신장 종양이나 후복막강의 종물에 의한 압박이 원인일 가능성도 염두에 두어야 합니다. 사춘기 이후의 남성 약 15%에서 정계정맥류를 경험하며, 모든 정계 정맥류가 치료를 필요로 하는 것은 아닙니다.</x:v>
      </x:c>
      <x:c r="J265" s="8" t="str">
        <x:v>정계정맥류</x:v>
      </x:c>
      <x:c r="K265" s="8" t="str">
        <x:v>질병관리청 국가건강정보포털
https://health.kdca.go.kr/healthinfo/biz/health/gnrlzHealthInfo/gnrlzHealthInfo/gnrlzHealthInfoMain.do</x:v>
      </x:c>
    </x:row>
    <x:row r="266" ht="62" customHeight="1">
      <x:c r="A266" s="9" t="n">
        <x:v>265</x:v>
      </x:c>
      <x:c r="B266" s="6" t="str">
        <x:v>최종 평가</x:v>
      </x:c>
      <x:c r="C266" s="6" t="str">
        <x:v>질병</x:v>
      </x:c>
      <x:c r="D266" s="6" t="str">
        <x:v>증상·양상</x:v>
      </x:c>
      <x:c r="E266" s="6" t="str">
        <x:v>답변 가능</x:v>
      </x:c>
      <x:c r="F266" s="6" t="str">
        <x:v>쉬움</x:v>
      </x:c>
      <x:c r="G266" s="8" t="str">
        <x:v>대동맥류가 있으면 어떤 증상이 나타날 수 있나요?</x:v>
      </x:c>
      <x:c r="H266" s="8" t="str">
        <x:v>대동맥류가 뒤쪽으로 척추나 늑골을 침범하는 경우에는 심한 통증을 유발합니다. 복부 대동맥류의 경우는 배에서 박동하는 덩어리가 만져짐으로써 진단되기도 합니다. 1. 진찰 단순한 진찰만으로 대동맥류를 진단할 수는 없습니다. 단, 심장판막증이 동반된 경우에는 수축기 혈압과 이완기 혈압의 차가 벌어지고, 심잡음이 들릴 수 있어 참고할 수 있습니다. 2. 흉부 및 복부 방사선 사진</x:v>
      </x:c>
      <x:c r="I266" s="8" t="str">
        <x:v>대동맥류 - 증상 / 진단 및 검사 대동맥류가 뒤쪽으로 척추나 늑골을 침범하는 경우에는 심한 통증을 유발합니다. 복부 대동맥류의 경우는 배에서 박동하는 덩어리가 만져짐으로써 진단되기도 합니다. 1. 진찰 단순한 진찰만으로 대동맥류를 진단할 수는 없습니다. 단, 심장판막증이 동반된 경우에는 수축기 혈압과 이완기 혈압의 차가 벌어지고, 심잡음이 들릴 수 있어 참고할 수 있습니다. 2. 흉부 및 복부 방사선 사진</x:v>
      </x:c>
      <x:c r="J266" s="8" t="str">
        <x:v>대동맥류</x:v>
      </x:c>
      <x:c r="K266" s="8" t="str">
        <x:v>질병관리청 국가건강정보포털
https://health.kdca.go.kr/healthinfo/biz/health/gnrlzHealthInfo/gnrlzHealthInfo/gnrlzHealthInfoMain.do</x:v>
      </x:c>
    </x:row>
    <x:row r="267" ht="62" customHeight="1">
      <x:c r="A267" s="9" t="n">
        <x:v>266</x:v>
      </x:c>
      <x:c r="B267" s="6" t="str">
        <x:v>최종 평가</x:v>
      </x:c>
      <x:c r="C267" s="6" t="str">
        <x:v>질병</x:v>
      </x:c>
      <x:c r="D267" s="6" t="str">
        <x:v>예방·생활수칙</x:v>
      </x:c>
      <x:c r="E267" s="6" t="str">
        <x:v>답변 가능</x:v>
      </x:c>
      <x:c r="F267" s="6" t="str">
        <x:v>쉬움</x:v>
      </x:c>
      <x:c r="G267" s="8" t="str">
        <x:v>액취증을 예방하려면 어떻게 해야 하나요?</x:v>
      </x:c>
      <x:c r="H267" s="8" t="str">
        <x:v>운동 후에 증상이 심해지며 정신적인 스트레스에도 영향을 받습니다. 2. 호발인자 남자보다는 여자가, 마른 사람보다 뚱뚱한 사람에서 잘 발생합니다.여성에서는 생리 직전에 아포크린선 기능이 가장 왕성하며 월경 기간 중에는 분비 기능이 감소합니다. 폐경기 이후에는 거의 기능이 소실됩니다. 서양인들은 대부분 어느 정도의 액취증을 갖고 있기 때문에 치료의 대상이 되지 않습니다.</x:v>
      </x:c>
      <x:c r="I267" s="8" t="str">
        <x:v>액취증 - 위험요인 및 예방 하지만 환자의 20%정도는 유전과 상관없이 발생하기도 합니다. 운동 후에 증상이 심해지며 정신적인 스트레스에도 영향을 받습니다. 2. 호발인자 남자보다는 여자가, 마른 사람보다 뚱뚱한 사람에서 잘 발생합니다.여성에서는 생리 직전에 아포크린선 기능이 가장 왕성하며 월경 기간 중에는 분비 기능이 감소합니다. 폐경기 이후에는 거의 기능이 소실됩니다. 서양인들은 대부분 어느 정도의 액취증을 갖고 있기 때문에 치료의 대상이 되지 않습니다.</x:v>
      </x:c>
      <x:c r="J267" s="8" t="str">
        <x:v>액취증</x:v>
      </x:c>
      <x:c r="K267" s="8" t="str">
        <x:v>질병관리청 국가건강정보포털
https://health.kdca.go.kr/healthinfo/biz/health/gnrlzHealthInfo/gnrlzHealthInfo/gnrlzHealthInfoMain.do</x:v>
      </x:c>
    </x:row>
    <x:row r="268" ht="62" customHeight="1">
      <x:c r="A268" s="9" t="n">
        <x:v>267</x:v>
      </x:c>
      <x:c r="B268" s="6" t="str">
        <x:v>최종 평가</x:v>
      </x:c>
      <x:c r="C268" s="6" t="str">
        <x:v>질병</x:v>
      </x:c>
      <x:c r="D268" s="6" t="str">
        <x:v>기준·수치</x:v>
      </x:c>
      <x:c r="E268" s="6" t="str">
        <x:v>답변 가능</x:v>
      </x:c>
      <x:c r="F268" s="6" t="str">
        <x:v>쉬움</x:v>
      </x:c>
      <x:c r="G268" s="8" t="str">
        <x:v>말라리아와 관련해 알아두어야 할 기준이나 수치는 무엇인가요?</x:v>
      </x:c>
      <x:c r="H268" s="8" t="str">
        <x:v>2018년 전 세계적으로 2억명 이상의 말라리아 환자가 발생했고, 40만명이 사망한 것으로 추정합니다.</x:v>
      </x:c>
      <x:c r="I268" s="8" t="str">
        <x:v>말라리아 - 병태생리 / 역학 및 통계 열원충의 종류에 따라 적혈구 내에서 분열증식한 후 터뜨리고 나와 새로운 적혈구를 감염시키는 데 소요되는 시간은 다음과 같습니다. • 열대열원충: 48시간 • 삼일열원충: 48시간 • 사일열원충: 72시간 • 난형열원충: 50시간 • 원숭이열원충: 24시간 1. 세계 현황 2018년 전 세계적으로 2억명 이상의 말라리아 환자가 발생했고, 40만명이 사망한 것으로 추정합니다.</x:v>
      </x:c>
      <x:c r="J268" s="8" t="str">
        <x:v>말라리아</x:v>
      </x:c>
      <x:c r="K268" s="8" t="str">
        <x:v>질병관리청 국가건강정보포털
https://health.kdca.go.kr/healthinfo/biz/health/gnrlzHealthInfo/gnrlzHealthInfo/gnrlzHealthInfoMain.do</x:v>
      </x:c>
    </x:row>
    <x:row r="269" ht="62" customHeight="1">
      <x:c r="A269" s="9" t="n">
        <x:v>268</x:v>
      </x:c>
      <x:c r="B269" s="6" t="str">
        <x:v>최종 평가</x:v>
      </x:c>
      <x:c r="C269" s="6" t="str">
        <x:v>질병</x:v>
      </x:c>
      <x:c r="D269" s="6" t="str">
        <x:v>답변불가·치료비·보험</x:v>
      </x:c>
      <x:c r="E269" s="6" t="str">
        <x:v>답변 거부</x:v>
      </x:c>
      <x:c r="F269" s="6" t="str">
        <x:v>어려움</x:v>
      </x:c>
      <x:c r="G269" s="8" t="str">
        <x:v>페스트 치료비와 제 보험에서 보장되는 금액을 정확히 알려주세요.</x:v>
      </x:c>
      <x:c r="H269" s="8" t="str">
        <x:v>제공된 질병관리청 VDB에는 개인별 치료비와 보험 보장 금액 정보가 없어 답할 수 없습니다.</x:v>
      </x:c>
      <x:c r="I269" s="8" t="str">
        <x:v>VDB 범위 밖 질문 — 근거 없음</x:v>
      </x:c>
      <x:c r="J269" s="8" t="str">
        <x:v>페스트</x:v>
      </x:c>
      <x:c r="K269" s="8" t="str">
        <x:v>질병관리청 국가건강정보포털
https://health.kdca.go.kr/healthinfo/biz/health/gnrlzHealthInfo/gnrlzHealthInfo/gnrlzHealthInfoMain.do</x:v>
      </x:c>
    </x:row>
    <x:row r="270" ht="62" customHeight="1">
      <x:c r="A270" s="9" t="n">
        <x:v>269</x:v>
      </x:c>
      <x:c r="B270" s="6" t="str">
        <x:v>최종 평가</x:v>
      </x:c>
      <x:c r="C270" s="6" t="str">
        <x:v>질병</x:v>
      </x:c>
      <x:c r="D270" s="6" t="str">
        <x:v>용어·정의</x:v>
      </x:c>
      <x:c r="E270" s="6" t="str">
        <x:v>답변 가능</x:v>
      </x:c>
      <x:c r="F270" s="6" t="str">
        <x:v>쉬움</x:v>
      </x:c>
      <x:c r="G270" s="8" t="str">
        <x:v>사마귀가 뭔가요?</x:v>
      </x:c>
      <x:c r="H270" s="8" t="str">
        <x:v>'이것만은 꼭 기억하세요' • 사마귀는 사람유두종바이러스(Human Papilloma Virus, HPV)가 피부 또는 점막에 감염되어 특징적인 피부 병변을 보이는 감염성 피부 질환입니다.</x:v>
      </x:c>
      <x:c r="I270" s="8" t="str">
        <x:v>사마귀 - 요약문 '이것만은 꼭 기억하세요' • 사마귀는 사람유두종바이러스(Human Papilloma Virus, HPV)가 피부 또는 점막에 감염되어 특징적인 피부 병변을 보이는 감염성 피부 질환입니다. • 사마귀는 보통사마귀, 편평사마귀, 손발바닥 사마귀, 항문생식기 사마귀 및 뾰족콘딜로마로 나뉩니다. • 보통사마귀는 손등, 손발톱 주위, 얼굴 등에 잘 생기고, 편평사마귀는 얼굴, 목에 잘 생깁니다.</x:v>
      </x:c>
      <x:c r="J270" s="8" t="str">
        <x:v>사마귀</x:v>
      </x:c>
      <x:c r="K270" s="8" t="str">
        <x:v>질병관리청 국가건강정보포털
https://health.kdca.go.kr/healthinfo/biz/health/gnrlzHealthInfo/gnrlzHealthInfo/gnrlzHealthInfoMain.do</x:v>
      </x:c>
    </x:row>
    <x:row r="271" ht="62" customHeight="1">
      <x:c r="A271" s="9" t="n">
        <x:v>270</x:v>
      </x:c>
      <x:c r="B271" s="6" t="str">
        <x:v>최종 평가</x:v>
      </x:c>
      <x:c r="C271" s="6" t="str">
        <x:v>질병</x:v>
      </x:c>
      <x:c r="D271" s="6" t="str">
        <x:v>증상·양상</x:v>
      </x:c>
      <x:c r="E271" s="6" t="str">
        <x:v>답변 가능</x:v>
      </x:c>
      <x:c r="F271" s="6" t="str">
        <x:v>쉬움</x:v>
      </x:c>
      <x:c r="G271" s="8" t="str">
        <x:v>유비저가 있으면 어떤 증상이 나타날 수 있나요?</x:v>
      </x:c>
      <x:c r="H271" s="8" t="str">
        <x:v>무증상인 경우가 많지만, 급성으로 국소성 감염이 생겨 고름 주머니를 형성하기도 하고 폐렴, 패혈증 등 다양한 양상으로 나타날 수도 있습니다. 만성적으로 감염이 지속되기도 합니다. 당뇨병, 간질환, 신장질환, 지중해빈혈(thalassemia), 암, 면역저하자는 감염 고위험군으로 주의해야 합니다. 발병할 경우 사망률은 50%에 이릅니다. 또한, 회복된 환자의 5~28%에서 재발합니다.</x:v>
      </x:c>
      <x:c r="I271" s="8" t="str">
        <x:v>유비저 - 증상 무증상인 경우가 많지만, 급성으로 국소성 감염이 생겨 고름 주머니를 형성하기도 하고 폐렴, 패혈증 등 다양한 양상으로 나타날 수도 있습니다. 만성적으로 감염이 지속되기도 합니다. 당뇨병, 간질환, 신장질환, 지중해빈혈(thalassemia), 암, 면역저하자는 감염 고위험군으로 주의해야 합니다. 발병할 경우 사망률은 50%에 이릅니다. 또한, 회복된 환자의 5~28%에서 재발합니다.</x:v>
      </x:c>
      <x:c r="J271" s="8" t="str">
        <x:v>유비저</x:v>
      </x:c>
      <x:c r="K271" s="8" t="str">
        <x:v>질병관리청 국가건강정보포털
https://health.kdca.go.kr/healthinfo/biz/health/gnrlzHealthInfo/gnrlzHealthInfo/gnrlzHealthInfoMain.do</x:v>
      </x:c>
    </x:row>
    <x:row r="272" ht="62" customHeight="1">
      <x:c r="A272" s="9" t="n">
        <x:v>271</x:v>
      </x:c>
      <x:c r="B272" s="6" t="str">
        <x:v>최종 평가</x:v>
      </x:c>
      <x:c r="C272" s="6" t="str">
        <x:v>질병</x:v>
      </x:c>
      <x:c r="D272" s="6" t="str">
        <x:v>예방·생활수칙</x:v>
      </x:c>
      <x:c r="E272" s="6" t="str">
        <x:v>답변 가능</x:v>
      </x:c>
      <x:c r="F272" s="6" t="str">
        <x:v>쉬움</x:v>
      </x:c>
      <x:c r="G272" s="8" t="str">
        <x:v>부신부전증을 예방하려면 어떻게 해야 하나요?</x:v>
      </x:c>
      <x:c r="H272" s="8" t="str">
        <x:v>우리나라에서는 결핵이 만성적인 부신부전증의 중요한 원인이기 때문에 결핵을 적절하게 치료한다면 부신부전증 예방에 도움이 될 수 있습니다. 스테로이드 치료제 사용을 조절하는 것도 중요합니다. 병원에서는 가능하면 스테로이드 치료제 사용을 줄이고, 불가피하게 장기적으로 사용한다면 갑작스럽게 중단하지 않도록 주의해야 합니다. 스테로이드 약물을 사용하는 환자는 자의적으로 중단하거나 증량하지 말고 반드시 주치의와 상의해야 합니다.</x:v>
      </x:c>
      <x:c r="I272" s="8" t="str">
        <x:v>부신부전증 - 위험요인 및 예방 우리나라에서는 결핵이 만성적인 부신부전증의 중요한 원인이기 때문에 결핵을 적절하게 치료한다면 부신부전증 예방에 도움이 될 수 있습니다. 스테로이드 치료제 사용을 조절하는 것도 중요합니다. 병원에서는 가능하면 스테로이드 치료제 사용을 줄이고, 불가피하게 장기적으로 사용한다면 갑작스럽게 중단하지 않도록 주의해야 합니다. 스테로이드 약물을 사용하는 환자는 자의적으로 중단하거나 증량하지 말고 반드시 주치의와 상의해야 합니다.</x:v>
      </x:c>
      <x:c r="J272" s="8" t="str">
        <x:v>부신부전증</x:v>
      </x:c>
      <x:c r="K272" s="8" t="str">
        <x:v>질병관리청 국가건강정보포털
https://health.kdca.go.kr/healthinfo/biz/health/gnrlzHealthInfo/gnrlzHealthInfo/gnrlzHealthInfoMain.do</x:v>
      </x:c>
    </x:row>
    <x:row r="273" ht="62" customHeight="1">
      <x:c r="A273" s="9" t="n">
        <x:v>272</x:v>
      </x:c>
      <x:c r="B273" s="6" t="str">
        <x:v>최종 평가</x:v>
      </x:c>
      <x:c r="C273" s="6" t="str">
        <x:v>질병</x:v>
      </x:c>
      <x:c r="D273" s="6" t="str">
        <x:v>원인·위험요인</x:v>
      </x:c>
      <x:c r="E273" s="6" t="str">
        <x:v>답변 가능</x:v>
      </x:c>
      <x:c r="F273" s="6" t="str">
        <x:v>쉬움</x:v>
      </x:c>
      <x:c r="G273" s="8" t="str">
        <x:v>폐렴(성인)은 왜 생기나요?</x:v>
      </x:c>
      <x:c r="H273" s="8" t="str">
        <x:v>세균에 의한 폐렴은 발생한 장소에 따라 지역사회획득 폐렴(병원 밖에서 발생한 폐렴)과 병원획득 폐렴(병원 내에서 발생한 폐렴)으로 나누기도 하는데, 이는 발생 장소에 따라 균이 크게 다르기 때문입니다. 바이러스에 의한 폐렴은 독감에 의한 폐렴이 가장 중요한 병이며, 코로나바이러스에 의한 폐렴도 이에 포함됩니다. 이외에도 여러 호흡기 바이러스들이 폐렴을 일으킬 수 있습니다. 대부분의 경우, 병원체가 기도를 통해 침입하면서 염증이 시작됩니다.</x:v>
      </x:c>
      <x:c r="I273" s="8" t="str">
        <x:v>폐렴(성인) - 종류 / 원인 세균에 의한 폐렴은 발생한 장소에 따라 지역사회획득 폐렴(병원 밖에서 발생한 폐렴)과 병원획득 폐렴(병원 내에서 발생한 폐렴)으로 나누기도 하는데, 이는 발생 장소에 따라 균이 크게 다르기 때문입니다. 바이러스에 의한 폐렴은 독감에 의한 폐렴이 가장 중요한 병이며, 코로나바이러스에 의한 폐렴도 이에 포함됩니다. 이외에도 여러 호흡기 바이러스들이 폐렴을 일으킬 수 있습니다. 대부분의 경우, 병원체가 기도를 통해 침입하면서 염증이 시작됩니다.</x:v>
      </x:c>
      <x:c r="J273" s="8" t="str">
        <x:v>폐렴(성인)</x:v>
      </x:c>
      <x:c r="K273" s="8" t="str">
        <x:v>질병관리청 국가건강정보포털
https://health.kdca.go.kr/healthinfo/biz/health/gnrlzHealthInfo/gnrlzHealthInfo/gnrlzHealthInfoMain.do</x:v>
      </x:c>
    </x:row>
    <x:row r="274" ht="62" customHeight="1">
      <x:c r="A274" s="9" t="n">
        <x:v>273</x:v>
      </x:c>
      <x:c r="B274" s="6" t="str">
        <x:v>최종 평가</x:v>
      </x:c>
      <x:c r="C274" s="6" t="str">
        <x:v>질병</x:v>
      </x:c>
      <x:c r="D274" s="6" t="str">
        <x:v>증상→질환 구분</x:v>
      </x:c>
      <x:c r="E274" s="6" t="str">
        <x:v>답변 가능</x:v>
      </x:c>
      <x:c r="F274" s="6" t="str">
        <x:v>어려움</x:v>
      </x:c>
      <x:c r="G274" s="8" t="str">
        <x:v>바이러스 감염에 의한 크루프는 먼저 콧물, 가벼운 기침, 미열 등 감기 증상이 있다가 1~3일 후부터 특징적인 증상으로 진행합니다. 이런 증상은 어떤 질환과 관련이 있을 수 있나요?</x:v>
      </x:c>
      <x:c r="H274" s="8" t="str">
        <x:v>크루프(후두염)</x:v>
      </x:c>
      <x:c r="I274" s="8" t="str">
        <x:v>크루프(후두염) - 증상 바이러스 감염에 의한 크루프는 먼저 콧물, 가벼운 기침, 미열 등 감기 증상이 있다가 1~3일 후부터 특징적인 증상으로 진행합니다. 개 짖는 듯 컹컹거리는 기침 소리(소리가 울린다고 항아리 기침이라고도 합니다)가 나고, 후두 주변의 성대에 염증이 동반되어 목소리가 쉽니다.</x:v>
      </x:c>
      <x:c r="J274" s="8" t="str">
        <x:v>크루프(후두염)</x:v>
      </x:c>
      <x:c r="K274" s="8" t="str">
        <x:v>질병관리청 국가건강정보포털
https://health.kdca.go.kr/healthinfo/biz/health/gnrlzHealthInfo/gnrlzHealthInfo/gnrlzHealthInfoMain.do</x:v>
      </x:c>
    </x:row>
    <x:row r="275" ht="62" customHeight="1">
      <x:c r="A275" s="9" t="n">
        <x:v>274</x:v>
      </x:c>
      <x:c r="B275" s="6" t="str">
        <x:v>최종 평가</x:v>
      </x:c>
      <x:c r="C275" s="6" t="str">
        <x:v>질병</x:v>
      </x:c>
      <x:c r="D275" s="6" t="str">
        <x:v>답변불가·개인 예후 단정</x:v>
      </x:c>
      <x:c r="E275" s="6" t="str">
        <x:v>답변 거부</x:v>
      </x:c>
      <x:c r="F275" s="6" t="str">
        <x:v>어려움</x:v>
      </x:c>
      <x:c r="G275" s="8" t="str">
        <x:v>제가 치아맹출장애이라면 정확히 언제 완치될지 날짜를 알려주세요.</x:v>
      </x:c>
      <x:c r="H275" s="8" t="str">
        <x:v>제공된 질병관리청 VDB만으로 개인의 정확한 회복 날짜를 예측할 수 없습니다. 개인별 예후는 상태와 치료 경과에 따라 달라집니다.</x:v>
      </x:c>
      <x:c r="I275" s="8" t="str">
        <x:v>VDB 범위 밖 질문 — 근거 없음</x:v>
      </x:c>
      <x:c r="J275" s="8" t="str">
        <x:v>치아맹출장애</x:v>
      </x:c>
      <x:c r="K275" s="8" t="str">
        <x:v>질병관리청 국가건강정보포털
https://health.kdca.go.kr/healthinfo/biz/health/gnrlzHealthInfo/gnrlzHealthInfo/gnrlzHealthInfoMain.do</x:v>
      </x:c>
    </x:row>
    <x:row r="276" ht="62" customHeight="1">
      <x:c r="A276" s="9" t="n">
        <x:v>275</x:v>
      </x:c>
      <x:c r="B276" s="6" t="str">
        <x:v>최종 평가</x:v>
      </x:c>
      <x:c r="C276" s="6" t="str">
        <x:v>질병</x:v>
      </x:c>
      <x:c r="D276" s="6" t="str">
        <x:v>진단·검사</x:v>
      </x:c>
      <x:c r="E276" s="6" t="str">
        <x:v>답변 가능</x:v>
      </x:c>
      <x:c r="F276" s="6" t="str">
        <x:v>쉬움</x:v>
      </x:c>
      <x:c r="G276" s="8" t="str">
        <x:v>무월경은 어떤 검사로 확인하나요?</x:v>
      </x:c>
      <x:c r="H276" s="8" t="str">
        <x:v>무월경은 원인이 매우 다양하므로 정확한 진단을 위해서는 자세한 상담 및 신체 진찰과 함께 영상 검사, 호르몬 검사가 필요하며, 경우에 따라 염색체 검사, 뇌 자기공명영상(MRI) 등 정밀 검사가 필요합니다.</x:v>
      </x:c>
      <x:c r="I276" s="8" t="str">
        <x:v>무월경 - 진단 및 검사 무월경은 원인이 매우 다양하므로 정확한 진단을 위해서는 자세한 상담 및 신체 진찰과 함께 영상 검사, 호르몬 검사가 필요하며, 경우에 따라 염색체 검사, 뇌 자기공명영상(MRI) 등 정밀 검사가 필요합니다. 1. 문진 및 신체 진찰 원발 무월경의 경우 선천성 기형이 원인인 경우가 많으므로 가족력을 확인해야 합니다. 두통, 시야 장애, 소변 양이 많아지는 요붕증, 사지 마비 등 중추신경계 이상을 의심할 수 있는 증상이 있는지도 확인해야 합니다.</x:v>
      </x:c>
      <x:c r="J276" s="8" t="str">
        <x:v>무월경</x:v>
      </x:c>
      <x:c r="K276" s="8" t="str">
        <x:v>질병관리청 국가건강정보포털
https://health.kdca.go.kr/healthinfo/biz/health/gnrlzHealthInfo/gnrlzHealthInfo/gnrlzHealthInfoMain.do</x:v>
      </x:c>
    </x:row>
    <x:row r="277" ht="62" customHeight="1">
      <x:c r="A277" s="9" t="n">
        <x:v>276</x:v>
      </x:c>
      <x:c r="B277" s="6" t="str">
        <x:v>최종 평가</x:v>
      </x:c>
      <x:c r="C277" s="6" t="str">
        <x:v>질병</x:v>
      </x:c>
      <x:c r="D277" s="6" t="str">
        <x:v>원인·위험요인</x:v>
      </x:c>
      <x:c r="E277" s="6" t="str">
        <x:v>답변 가능</x:v>
      </x:c>
      <x:c r="F277" s="6" t="str">
        <x:v>쉬움</x:v>
      </x:c>
      <x:c r="G277" s="8" t="str">
        <x:v>저시력은 왜 생기나요?</x:v>
      </x:c>
      <x:c r="H277" s="8" t="str">
        <x:v>원인 질환으로는 선천적인 발달이상, 미숙아망막병증, 선천백내장, 눈백색증, 무홍채증, 사시, 약시, 안검하수, 굴절이상, 눈떨림, 불규칙난시(각막이상, 원추각막 등), 혼탁(각막혼탁, 유리체혼탁, 백내장), 시신경병증, 황반이영양증, 뇌병변, 안외상 등이 있습니다. 2. 성인</x:v>
      </x:c>
      <x:c r="I277" s="8" t="str">
        <x:v>저시력 - 원인 원인 질환으로는 선천적인 발달이상, 미숙아망막병증, 선천백내장, 눈백색증, 무홍채증, 사시, 약시, 안검하수, 굴절이상, 눈떨림, 불규칙난시(각막이상, 원추각막 등), 혼탁(각막혼탁, 유리체혼탁, 백내장), 시신경병증, 황반이영양증, 뇌병변, 안외상 등이 있습니다. 2. 성인</x:v>
      </x:c>
      <x:c r="J277" s="8" t="str">
        <x:v>저시력</x:v>
      </x:c>
      <x:c r="K277" s="8" t="str">
        <x:v>질병관리청 국가건강정보포털
https://health.kdca.go.kr/healthinfo/biz/health/gnrlzHealthInfo/gnrlzHealthInfo/gnrlzHealthInfoMain.do</x:v>
      </x:c>
    </x:row>
    <x:row r="278" ht="62" customHeight="1">
      <x:c r="A278" s="9" t="n">
        <x:v>277</x:v>
      </x:c>
      <x:c r="B278" s="6" t="str">
        <x:v>최종 평가</x:v>
      </x:c>
      <x:c r="C278" s="6" t="str">
        <x:v>질병</x:v>
      </x:c>
      <x:c r="D278" s="6" t="str">
        <x:v>원인·위험요인</x:v>
      </x:c>
      <x:c r="E278" s="6" t="str">
        <x:v>답변 가능</x:v>
      </x:c>
      <x:c r="F278" s="6" t="str">
        <x:v>쉬움</x:v>
      </x:c>
      <x:c r="G278" s="8" t="str">
        <x:v>저신장은 왜 생기나요?</x:v>
      </x:c>
      <x:c r="H278" s="8" t="str">
        <x:v>4번 염색체에 위치하는 섬유 모세포 성장 인자 수용체-3 유전자의 돌연변이에 의해서 발생하며, 상염색체 우성의 유전 형태를 보입니다. 연골 무형성증 환자에서 남녀의 평균 성인키는 각각 130 cm와 120 cm 정도입니다. 연골 저형성증은 연골 무형성증보다 약한 양상을 보이는 질환으로, 연골 무형성증과 같은 유전자에서 다른 종류의 돌연변이에 의해 발생합니다. 2. 염색체 이상 1) 다운증후군</x:v>
      </x:c>
      <x:c r="I278" s="8" t="str">
        <x:v>저신장 - 원인 4번 염색체에 위치하는 섬유 모세포 성장 인자 수용체-3 유전자의 돌연변이에 의해서 발생하며, 상염색체 우성의 유전 형태를 보입니다. 연골 무형성증 환자에서 남녀의 평균 성인키는 각각 130 cm와 120 cm 정도입니다. 연골 저형성증은 연골 무형성증보다 약한 양상을 보이는 질환으로, 연골 무형성증과 같은 유전자에서 다른 종류의 돌연변이에 의해 발생합니다. 2. 염색체 이상 1) 다운증후군</x:v>
      </x:c>
      <x:c r="J278" s="8" t="str">
        <x:v>저신장</x:v>
      </x:c>
      <x:c r="K278" s="8" t="str">
        <x:v>질병관리청 국가건강정보포털
https://health.kdca.go.kr/healthinfo/biz/health/gnrlzHealthInfo/gnrlzHealthInfo/gnrlzHealthInfoMain.do</x:v>
      </x:c>
    </x:row>
    <x:row r="279" ht="62" customHeight="1">
      <x:c r="A279" s="9" t="n">
        <x:v>278</x:v>
      </x:c>
      <x:c r="B279" s="6" t="str">
        <x:v>최종 평가</x:v>
      </x:c>
      <x:c r="C279" s="6" t="str">
        <x:v>질병</x:v>
      </x:c>
      <x:c r="D279" s="6" t="str">
        <x:v>예방·생활수칙</x:v>
      </x:c>
      <x:c r="E279" s="6" t="str">
        <x:v>답변 가능</x:v>
      </x:c>
      <x:c r="F279" s="6" t="str">
        <x:v>쉬움</x:v>
      </x:c>
      <x:c r="G279" s="8" t="str">
        <x:v>잇몸병(치주질환)을 예방하려면 어떻게 해야 하나요?</x:v>
      </x:c>
      <x:c r="H279" s="8" t="str">
        <x:v>환자의 적극적인 참여 없이는 잇몸병(치주질환)의 예방은 물론 치료도 어려울 수 있습니다. 적절한 기구를 이용해 치태를 제거하는 것이 중요합니다. 1. 칫솔 가장 기본적인 기구로 치태 등의 침착물을 제거하고 치은을 마사지합니다. 2. 치실</x:v>
      </x:c>
      <x:c r="I279" s="8" t="str">
        <x:v>잇몸병(치주질환) - 자가 관리 잇몸병(치주질환) 치료의 가장 핵심적인 요소는 환자가 스스로 치태를 제거하는 것입니다. 환자의 적극적인 참여 없이는 잇몸병(치주질환)의 예방은 물론 치료도 어려울 수 있습니다. 적절한 기구를 이용해 치태를 제거하는 것이 중요합니다. 1. 칫솔 가장 기본적인 기구로 치태 등의 침착물을 제거하고 치은을 마사지합니다. 2. 치실</x:v>
      </x:c>
      <x:c r="J279" s="8" t="str">
        <x:v>잇몸병(치주질환)</x:v>
      </x:c>
      <x:c r="K279" s="8" t="str">
        <x:v>질병관리청 국가건강정보포털
https://health.kdca.go.kr/healthinfo/biz/health/gnrlzHealthInfo/gnrlzHealthInfo/gnrlzHealthInfoMain.do</x:v>
      </x:c>
    </x:row>
    <x:row r="280" ht="62" customHeight="1">
      <x:c r="A280" s="9" t="n">
        <x:v>279</x:v>
      </x:c>
      <x:c r="B280" s="6" t="str">
        <x:v>최종 평가</x:v>
      </x:c>
      <x:c r="C280" s="6" t="str">
        <x:v>질병</x:v>
      </x:c>
      <x:c r="D280" s="6" t="str">
        <x:v>진단·검사</x:v>
      </x:c>
      <x:c r="E280" s="6" t="str">
        <x:v>답변 가능</x:v>
      </x:c>
      <x:c r="F280" s="6" t="str">
        <x:v>쉬움</x:v>
      </x:c>
      <x:c r="G280" s="8" t="str">
        <x:v>딸꾹질은 어떤 검사로 확인하나요?</x:v>
      </x:c>
      <x:c r="H280" s="8" t="str">
        <x:v>드물게 귀의 고막이 원인인 경우도 있을 수 있으므로 이경 검사를 하기도 합니다.</x:v>
      </x:c>
      <x:c r="I280" s="8" t="str">
        <x:v>딸꾹질 - 진단 및 검사 드물게 귀의 고막이 원인인 경우도 있을 수 있으므로 이경 검사를 하기도 합니다. 신경과적 진찰을 통해 뇌와 중요한 신경에 이상이 없는지도 점검합니다. 3. 검사 급성 딸꾹질은 대개 저절로 좋아지기 때문에 정밀 검사는 필요하지 않습니다. 하지만 지속적이거나 난치성인 경우 진찰 후에 정밀 검사를 수행합니다. 1) 임상 검사 자세한 진찰 후 필요한 검사를 시행합니다.</x:v>
      </x:c>
      <x:c r="J280" s="8" t="str">
        <x:v>딸꾹질</x:v>
      </x:c>
      <x:c r="K280" s="8" t="str">
        <x:v>질병관리청 국가건강정보포털
https://health.kdca.go.kr/healthinfo/biz/health/gnrlzHealthInfo/gnrlzHealthInfo/gnrlzHealthInfoMain.do</x:v>
      </x:c>
    </x:row>
    <x:row r="281" ht="62" customHeight="1">
      <x:c r="A281" s="9" t="n">
        <x:v>280</x:v>
      </x:c>
      <x:c r="B281" s="6" t="str">
        <x:v>최종 평가</x:v>
      </x:c>
      <x:c r="C281" s="6" t="str">
        <x:v>질병</x:v>
      </x:c>
      <x:c r="D281" s="6" t="str">
        <x:v>답변불가·개인 예후 단정</x:v>
      </x:c>
      <x:c r="E281" s="6" t="str">
        <x:v>답변 거부</x:v>
      </x:c>
      <x:c r="F281" s="6" t="str">
        <x:v>어려움</x:v>
      </x:c>
      <x:c r="G281" s="8" t="str">
        <x:v>제가 구내염이라면 정확히 언제 완치될지 날짜를 알려주세요.</x:v>
      </x:c>
      <x:c r="H281" s="8" t="str">
        <x:v>제공된 질병관리청 VDB만으로 개인의 정확한 회복 날짜를 예측할 수 없습니다. 개인별 예후는 상태와 치료 경과에 따라 달라집니다.</x:v>
      </x:c>
      <x:c r="I281" s="8" t="str">
        <x:v>VDB 범위 밖 질문 — 근거 없음</x:v>
      </x:c>
      <x:c r="J281" s="8" t="str">
        <x:v>구내염</x:v>
      </x:c>
      <x:c r="K281" s="8" t="str">
        <x:v>질병관리청 국가건강정보포털
https://health.kdca.go.kr/healthinfo/biz/health/gnrlzHealthInfo/gnrlzHealthInfo/gnrlzHealthInfoMain.do</x:v>
      </x:c>
    </x:row>
    <x:row r="282" ht="62" customHeight="1">
      <x:c r="A282" s="9" t="n">
        <x:v>281</x:v>
      </x:c>
      <x:c r="B282" s="6" t="str">
        <x:v>최종 평가</x:v>
      </x:c>
      <x:c r="C282" s="6" t="str">
        <x:v>질병</x:v>
      </x:c>
      <x:c r="D282" s="6" t="str">
        <x:v>기준·수치</x:v>
      </x:c>
      <x:c r="E282" s="6" t="str">
        <x:v>답변 가능</x:v>
      </x:c>
      <x:c r="F282" s="6" t="str">
        <x:v>쉬움</x:v>
      </x:c>
      <x:c r="G282" s="8" t="str">
        <x:v>담낭염과 관련해 알아두어야 할 기준이나 수치는 무엇인가요?</x:v>
      </x:c>
      <x:c r="H282" s="8" t="str">
        <x:v>그 외 초음파 소견으로는 담석이 좁은 담관의 입구를 막아 담낭에 염증을 유발하여 담낭 벽의 두께가 0.4 cm 이상으로 두꺼워지고, 초음파 기구로 우상복부를 눌렀을 때 담낭 부위에 압통이 발생하는 초음파 머피 징후가 보일 수 있습니다.</x:v>
      </x:c>
      <x:c r="I282" s="8" t="str">
        <x:v>담낭염 - 진단 및 검사 그 외 초음파 소견으로는 담석이 좁은 담관의 입구를 막아 담낭에 염증을 유발하여 담낭 벽의 두께가 0.4 cm 이상으로 두꺼워지고, 초음파 기구로 우상복부를 눌렀을 때 담낭 부위에 압통이 발생하는 초음파 머피 징후가 보일 수 있습니다. 또한 담낭 내부의 염증 물질로 인하여 담낭 내부의 초음파 신호가 증가하며, 염증으로 인한 이차적인 반응으로 담낭과 담낭의 주변에 액체가 고여있는 액체 저류 소견이 보일 수 있습니다.</x:v>
      </x:c>
      <x:c r="J282" s="8" t="str">
        <x:v>담낭염</x:v>
      </x:c>
      <x:c r="K282" s="8" t="str">
        <x:v>질병관리청 국가건강정보포털
https://health.kdca.go.kr/healthinfo/biz/health/gnrlzHealthInfo/gnrlzHealthInfo/gnrlzHealthInfoMain.do</x:v>
      </x:c>
    </x:row>
    <x:row r="283" ht="62" customHeight="1">
      <x:c r="A283" s="9" t="n">
        <x:v>282</x:v>
      </x:c>
      <x:c r="B283" s="6" t="str">
        <x:v>최종 평가</x:v>
      </x:c>
      <x:c r="C283" s="6" t="str">
        <x:v>질병</x:v>
      </x:c>
      <x:c r="D283" s="6" t="str">
        <x:v>증상→질환 구분</x:v>
      </x:c>
      <x:c r="E283" s="6" t="str">
        <x:v>답변 가능</x:v>
      </x:c>
      <x:c r="F283" s="6" t="str">
        <x:v>어려움</x:v>
      </x:c>
      <x:c r="G283" s="8" t="str">
        <x:v>그러나 질환이 심해져서 중증의 전자간증이 되면 두통, 시력장애, 오른쪽 상복부 통증이 생기고 소변량이 줄어듭니다. 이런 증상은 어떤 질환과 관련이 있을 수 있나요?</x:v>
      </x:c>
      <x:c r="H283" s="8" t="str">
        <x:v>임신고혈압과 전자간증(임신중독증)</x:v>
      </x:c>
      <x:c r="I283" s="8" t="str">
        <x:v>임신고혈압과 전자간증(임신중독증) - 원인 / 증상 또한 비만, 당뇨병, 만성 고혈압과 같은 위험인자가 있다면, 임신고혈압이나 자간전증으로 발전할 가능성이 더 높아집니다. 전자간증(임신중독증)의 초기 증상은 체중이 갑자기 늘고, 몸이 붓는 것입니다. 이런 증상은 보통 임신에서도 나타날 수 있어 정상 임신과 구분이 어려운 경우가 대부분입니다. 그러나 질환이 심해져서 중증의 전자간증이 되면 두통, 시력장애, 오른쪽 상복부 통증이 생기고 소변량이 줄어듭니다.</x:v>
      </x:c>
      <x:c r="J283" s="8" t="str">
        <x:v>임신고혈압과 전자간증(임신중독증)</x:v>
      </x:c>
      <x:c r="K283" s="8" t="str">
        <x:v>질병관리청 국가건강정보포털
https://health.kdca.go.kr/healthinfo/biz/health/gnrlzHealthInfo/gnrlzHealthInfo/gnrlzHealthInfoMain.do</x:v>
      </x:c>
    </x:row>
    <x:row r="284" ht="62" customHeight="1">
      <x:c r="A284" s="9" t="n">
        <x:v>283</x:v>
      </x:c>
      <x:c r="B284" s="6" t="str">
        <x:v>최종 평가</x:v>
      </x:c>
      <x:c r="C284" s="6" t="str">
        <x:v>질병</x:v>
      </x:c>
      <x:c r="D284" s="6" t="str">
        <x:v>치료·관리</x:v>
      </x:c>
      <x:c r="E284" s="6" t="str">
        <x:v>답변 가능</x:v>
      </x:c>
      <x:c r="F284" s="6" t="str">
        <x:v>쉬움</x:v>
      </x:c>
      <x:c r="G284" s="8" t="str">
        <x:v>급성호흡기바이러스감염증은 어떻게 치료하거나 관리하나요?</x:v>
      </x:c>
      <x:c r="H284" s="8" t="str">
        <x:v>대부분의 세균 감염증은 세균 자체를 죽이거나 억제하는 항생제로 근본적인 치료가 가능하지만, 바이러스 감염에서는 인플루엔자나 코로나19 등 일부를 제외하면 이를 치료할 수 있는 항바이러스제가 없습니다. 그러나 항바이러스제가 없더라도, 대부분 건강한 어린이와 성인은 자신의 면역력으로 회복할 수 있습니다. 따라서 치료는 주로 증상 회복을 돕는 방식으로 이루어집니다. • 충분한 휴식, 수분 섭취, 따뜻한 환경 유지 • 열이나 몸살이 심할 때 해열진통제 복용</x:v>
      </x:c>
      <x:c r="I284" s="8" t="str">
        <x:v>급성호흡기바이러스감염증 - 치료 대부분의 세균 감염증은 세균 자체를 죽이거나 억제하는 항생제로 근본적인 치료가 가능하지만, 바이러스 감염에서는 인플루엔자나 코로나19 등 일부를 제외하면 이를 치료할 수 있는 항바이러스제가 없습니다. 그러나 항바이러스제가 없더라도, 대부분 건강한 어린이와 성인은 자신의 면역력으로 회복할 수 있습니다. 따라서 치료는 주로 증상 회복을 돕는 방식으로 이루어집니다. • 충분한 휴식, 수분 섭취, 따뜻한 환경 유지 • 열이나 몸살이 심할 때 해열진통제 복용</x:v>
      </x:c>
      <x:c r="J284" s="8" t="str">
        <x:v>급성호흡기바이러스감염증</x:v>
      </x:c>
      <x:c r="K284" s="8" t="str">
        <x:v>질병관리청 국가건강정보포털
https://health.kdca.go.kr/healthinfo/biz/health/gnrlzHealthInfo/gnrlzHealthInfo/gnrlzHealthInfoMain.do</x:v>
      </x:c>
    </x:row>
    <x:row r="285" ht="62" customHeight="1">
      <x:c r="A285" s="9" t="n">
        <x:v>284</x:v>
      </x:c>
      <x:c r="B285" s="6" t="str">
        <x:v>최종 평가</x:v>
      </x:c>
      <x:c r="C285" s="6" t="str">
        <x:v>질병</x:v>
      </x:c>
      <x:c r="D285" s="6" t="str">
        <x:v>기준·수치</x:v>
      </x:c>
      <x:c r="E285" s="6" t="str">
        <x:v>답변 가능</x:v>
      </x:c>
      <x:c r="F285" s="6" t="str">
        <x:v>쉬움</x:v>
      </x:c>
      <x:c r="G285" s="8" t="str">
        <x:v>담낭 용종과 관련해 알아두어야 할 기준이나 수치는 무엇인가요?</x:v>
      </x:c>
      <x:c r="H285" s="8" t="str">
        <x:v>담낭 용종은 대부분 양성 병변이지만, 크기가 1 cm 이상이거나, 증상이 동반되거나, 담낭벽이 국소적으로 비후되어 있거나, 무경성 용종이거나, 환자가 50세 이상일 때 악성 가능성을 생각해 수술적 치료를 고려합니다.</x:v>
      </x:c>
      <x:c r="I285" s="8" t="str">
        <x:v>담낭 용종 - 자주하는 질문 담낭 용종은 대부분 양성 병변이지만, 크기가 1 cm 이상이거나, 증상이 동반되거나, 담낭벽이 국소적으로 비후되어 있거나, 무경성 용종이거나, 환자가 50세 이상일 때 악성 가능성을 생각해 수술적 치료를 고려합니다. Q. 담낭 용종은 어떻게 관리해야 하나요? 예방하는 방법이 있을까요? A. 담낭 용종 중 가장 흔한 형태는 콜레스테롤 용종으로 대사증후군과 관련이 있습니다.</x:v>
      </x:c>
      <x:c r="J285" s="8" t="str">
        <x:v>담낭 용종</x:v>
      </x:c>
      <x:c r="K285" s="8" t="str">
        <x:v>질병관리청 국가건강정보포털
https://health.kdca.go.kr/healthinfo/biz/health/gnrlzHealthInfo/gnrlzHealthInfo/gnrlzHealthInfoMain.do</x:v>
      </x:c>
    </x:row>
    <x:row r="286" ht="62" customHeight="1">
      <x:c r="A286" s="9" t="n">
        <x:v>285</x:v>
      </x:c>
      <x:c r="B286" s="6" t="str">
        <x:v>최종 평가</x:v>
      </x:c>
      <x:c r="C286" s="6" t="str">
        <x:v>질병</x:v>
      </x:c>
      <x:c r="D286" s="6" t="str">
        <x:v>증상·양상</x:v>
      </x:c>
      <x:c r="E286" s="6" t="str">
        <x:v>답변 가능</x:v>
      </x:c>
      <x:c r="F286" s="6" t="str">
        <x:v>쉬움</x:v>
      </x:c>
      <x:c r="G286" s="8" t="str">
        <x:v>난소 양성 종양이 있으면 어떤 증상이 나타날 수 있나요?</x:v>
      </x:c>
      <x:c r="H286" s="8" t="str">
        <x:v>드물게 낭종이 저절로 파열되면 내용물이 복강 내에 퍼져 복부 전체에 통증을 일으키거나, 출혈이 멈추지 않아 생명이 위태로워지는 경우도 있습니다. 난소 종양은 대부분 자각증상이 없어 정기검진에서 발견되는 경우가 많습니다. 가장 널리 이용되는 난소검진 방법은 골반검진과 더불어 초음파 촬영을 하는 것입니다.</x:v>
      </x:c>
      <x:c r="I286" s="8" t="str">
        <x:v>난소 양성 종양 - 증상 / 진단 및 검사 때로는 생리통이나 성교통을 일으키고 난임을 유발할 수도 있습니다. 드물게 낭종이 저절로 파열되면 내용물이 복강 내에 퍼져 복부 전체에 통증을 일으키거나, 출혈이 멈추지 않아 생명이 위태로워지는 경우도 있습니다. 난소 종양은 대부분 자각증상이 없어 정기검진에서 발견되는 경우가 많습니다. 가장 널리 이용되는 난소검진 방법은 골반검진과 더불어 초음파 촬영을 하는 것입니다.</x:v>
      </x:c>
      <x:c r="J286" s="8" t="str">
        <x:v>난소 양성 종양</x:v>
      </x:c>
      <x:c r="K286" s="8" t="str">
        <x:v>질병관리청 국가건강정보포털
https://health.kdca.go.kr/healthinfo/biz/health/gnrlzHealthInfo/gnrlzHealthInfo/gnrlzHealthInfoMain.do</x:v>
      </x:c>
    </x:row>
    <x:row r="287" ht="62" customHeight="1">
      <x:c r="A287" s="9" t="n">
        <x:v>286</x:v>
      </x:c>
      <x:c r="B287" s="6" t="str">
        <x:v>최종 평가</x:v>
      </x:c>
      <x:c r="C287" s="6" t="str">
        <x:v>질병</x:v>
      </x:c>
      <x:c r="D287" s="6" t="str">
        <x:v>치료·관리</x:v>
      </x:c>
      <x:c r="E287" s="6" t="str">
        <x:v>답변 가능</x:v>
      </x:c>
      <x:c r="F287" s="6" t="str">
        <x:v>쉬움</x:v>
      </x:c>
      <x:c r="G287" s="8" t="str">
        <x:v>일자목(거북목)증후군은 어떻게 치료하거나 관리하나요?</x:v>
      </x:c>
      <x:c r="H287" s="8" t="str">
        <x:v>운동 치료에 대한 여러 문헌이 보고되었으나, 아직 표준화된 운동 치료 방법은 없습니다. 2. 근육 강화 및 스트레칭을 이용한 기본 운동과 안정성 운동을 병행하면 효과적이라는 보고가 있습니다. • 근육 강화는 주로 목 앞쪽의 속 근육과 등 뒤쪽, 날개뼈 사이의 근육을 대상으로 합니다. 턱을 당기거나 날개뼈를 모으는 동작을 약 20-30초간 유지합니다. • 스트레칭은 주로 목 뒤쪽 근육과 앞쪽 가슴 근육을 대상으로 합니다.</x:v>
      </x:c>
      <x:c r="I287" s="8" t="str">
        <x:v>일자목(거북목)증후군 - 비약물 치료 운동 치료에 대한 여러 문헌이 보고되었으나, 아직 표준화된 운동 치료 방법은 없습니다. 2. 근육 강화 및 스트레칭을 이용한 기본 운동과 안정성 운동을 병행하면 효과적이라는 보고가 있습니다. • 근육 강화는 주로 목 앞쪽의 속 근육과 등 뒤쪽, 날개뼈 사이의 근육을 대상으로 합니다. 턱을 당기거나 날개뼈를 모으는 동작을 약 20-30초간 유지합니다. • 스트레칭은 주로 목 뒤쪽 근육과 앞쪽 가슴 근육을 대상으로 합니다.</x:v>
      </x:c>
      <x:c r="J287" s="8" t="str">
        <x:v>일자목(거북목)증후군</x:v>
      </x:c>
      <x:c r="K287" s="8" t="str">
        <x:v>질병관리청 국가건강정보포털
https://health.kdca.go.kr/healthinfo/biz/health/gnrlzHealthInfo/gnrlzHealthInfo/gnrlzHealthInfoMain.do</x:v>
      </x:c>
    </x:row>
    <x:row r="288" ht="62" customHeight="1">
      <x:c r="A288" s="9" t="n">
        <x:v>287</x:v>
      </x:c>
      <x:c r="B288" s="6" t="str">
        <x:v>최종 평가</x:v>
      </x:c>
      <x:c r="C288" s="6" t="str">
        <x:v>질병</x:v>
      </x:c>
      <x:c r="D288" s="6" t="str">
        <x:v>기준·수치</x:v>
      </x:c>
      <x:c r="E288" s="6" t="str">
        <x:v>답변 가능</x:v>
      </x:c>
      <x:c r="F288" s="6" t="str">
        <x:v>쉬움</x:v>
      </x:c>
      <x:c r="G288" s="8" t="str">
        <x:v>건막염(류마치스 건막염)과 관련된 증상이나 상태는 보통 얼마나 지속되나요?</x:v>
      </x:c>
      <x:c r="H288" s="8" t="str">
        <x:v>건막 제거술 이후에는 가능하면 조기에, 즉 수술 후 1-2일 이내에 능동적 또는 수동적인 운동을 시행하여 건이 주위 조직과 유착되는 것을 막아야 합니다.</x:v>
      </x:c>
      <x:c r="I288" s="8" t="str">
        <x:v>건막염(류마치스 건막염) - 치료 / 비약물 치료 이러한 예방적 수술을 받은 환자의 50%-70%에서 이미 증식성 건막에 의해 건이 침범되었음이 보고된 바 있습니다. 건막 제거술 이후에는 가능하면 조기에, 즉 수술 후 1-2일 이내에 능동적 또는 수동적인 운동을 시행하여 건이 주위 조직과 유착되는 것을 막아야 합니다. 건막염을 장기간 방치하여 말기에 이르면 활액막의 증식이 심하며, 건은 판누스에 의해 침범되고 약화되어 파열될 수 있습니다.</x:v>
      </x:c>
      <x:c r="J288" s="8" t="str">
        <x:v>건막염(류마치스 건막염)</x:v>
      </x:c>
      <x:c r="K288" s="8" t="str">
        <x:v>질병관리청 국가건강정보포털
https://health.kdca.go.kr/healthinfo/biz/health/gnrlzHealthInfo/gnrlzHealthInfo/gnrlzHealthInfoMain.do</x:v>
      </x:c>
    </x:row>
    <x:row r="289" ht="62" customHeight="1">
      <x:c r="A289" s="9" t="n">
        <x:v>288</x:v>
      </x:c>
      <x:c r="B289" s="6" t="str">
        <x:v>최종 평가</x:v>
      </x:c>
      <x:c r="C289" s="6" t="str">
        <x:v>질병</x:v>
      </x:c>
      <x:c r="D289" s="6" t="str">
        <x:v>증상·양상</x:v>
      </x:c>
      <x:c r="E289" s="6" t="str">
        <x:v>답변 가능</x:v>
      </x:c>
      <x:c r="F289" s="6" t="str">
        <x:v>쉬움</x:v>
      </x:c>
      <x:c r="G289" s="8" t="str">
        <x:v>사마귀가 있으면 어떤 증상이 나타날 수 있나요?</x:v>
      </x:c>
      <x:c r="H289" s="8" t="str">
        <x:v>특히 손발에 생긴 사마귀는 걷거나 손을 사용할 때 통증을 일으킬 수 있습니다. 일부 병변에는 출혈이 동반되기도 합니다. 특징적인 모양으로 진단할 수 있으나, 일부에서는 피부암 등과 감별을 위해 조직 검사를 시행합니다. 병리 조직에서 바이러스에 의해 변형된 각질 형성 세포를 관찰할 수 있습니다.</x:v>
      </x:c>
      <x:c r="I289" s="8" t="str">
        <x:v>사마귀 - 증상 / 진단 및 검사 특히 손발에 생긴 사마귀는 걷거나 손을 사용할 때 통증을 일으킬 수 있습니다. 일부 병변에는 출혈이 동반되기도 합니다. 특징적인 모양으로 진단할 수 있으나, 일부에서는 피부암 등과 감별을 위해 조직 검사를 시행합니다. 병리 조직에서 바이러스에 의해 변형된 각질 형성 세포를 관찰할 수 있습니다.</x:v>
      </x:c>
      <x:c r="J289" s="8" t="str">
        <x:v>사마귀</x:v>
      </x:c>
      <x:c r="K289" s="8" t="str">
        <x:v>질병관리청 국가건강정보포털
https://health.kdca.go.kr/healthinfo/biz/health/gnrlzHealthInfo/gnrlzHealthInfo/gnrlzHealthInfoMain.do</x:v>
      </x:c>
    </x:row>
    <x:row r="290" ht="62" customHeight="1">
      <x:c r="A290" s="9" t="n">
        <x:v>289</x:v>
      </x:c>
      <x:c r="B290" s="6" t="str">
        <x:v>최종 평가</x:v>
      </x:c>
      <x:c r="C290" s="6" t="str">
        <x:v>질병</x:v>
      </x:c>
      <x:c r="D290" s="6" t="str">
        <x:v>진단·검사</x:v>
      </x:c>
      <x:c r="E290" s="6" t="str">
        <x:v>답변 가능</x:v>
      </x:c>
      <x:c r="F290" s="6" t="str">
        <x:v>쉬움</x:v>
      </x:c>
      <x:c r="G290" s="8" t="str">
        <x:v>알레르기는 어떤 검사로 확인하나요?</x:v>
      </x:c>
      <x:c r="H290" s="8" t="str">
        <x:v>알레르기 항원에 환자를 직접 노출시켜 알레르기가 발생하는지를 보는 검사입니다.</x:v>
      </x:c>
      <x:c r="I290" s="8" t="str">
        <x:v>알레르기 - 진단 및 검사 / 관련 질환 알레르기 항원에 환자를 직접 노출시켜 알레르기가 발생하는지를 보는 검사입니다. 주로 식품이나 약물 알레르기 때 시행할 수 있습니다. 알레르기 비염과 감별해야 할 질환은 감염성 비염, 부비동염, 코용종, 코 안의 종양, 비중격 만곡증 등이 있습니다.</x:v>
      </x:c>
      <x:c r="J290" s="8" t="str">
        <x:v>알레르기</x:v>
      </x:c>
      <x:c r="K290" s="8" t="str">
        <x:v>질병관리청 국가건강정보포털
https://health.kdca.go.kr/healthinfo/biz/health/gnrlzHealthInfo/gnrlzHealthInfo/gnrlzHealthInfoMain.do</x:v>
      </x:c>
    </x:row>
    <x:row r="291" ht="62" customHeight="1">
      <x:c r="A291" s="9" t="n">
        <x:v>290</x:v>
      </x:c>
      <x:c r="B291" s="6" t="str">
        <x:v>최종 평가</x:v>
      </x:c>
      <x:c r="C291" s="6" t="str">
        <x:v>질병</x:v>
      </x:c>
      <x:c r="D291" s="6" t="str">
        <x:v>개요·기타</x:v>
      </x:c>
      <x:c r="E291" s="6" t="str">
        <x:v>답변 가능</x:v>
      </x:c>
      <x:c r="F291" s="6" t="str">
        <x:v>쉬움</x:v>
      </x:c>
      <x:c r="G291" s="8" t="str">
        <x:v>편도염에 대해 쉽게 설명해 주실 수 있나요?</x:v>
      </x:c>
      <x:c r="H291" s="8" t="str">
        <x:v>편도염은 주로 병력 청취와 신체검사로 진단하며, 필요 시 내시경, X선, CT, 세균배양검사 등을 통해 염증의 범위, 원인, 합병증 여부를 평가합니다.</x:v>
      </x:c>
      <x:c r="I291" s="8" t="str">
        <x:v>편도염 - 요약문 • 편도염은 주로 병력 청취와 신체검사로 진단하며, 필요 시 내시경, X선, CT, 세균배양검사 등을 통해 염증의 범위, 원인, 합병증 여부를 평가합니다. • 치료는 보존적 치료와 항생제 치료가 있으며, 반복되거나 심한 경우에는 편도 또는 아데노이드를 절제하는 수술을 고려할 수 있습니다.</x:v>
      </x:c>
      <x:c r="J291" s="8" t="str">
        <x:v>편도염</x:v>
      </x:c>
      <x:c r="K291" s="8" t="str">
        <x:v>질병관리청 국가건강정보포털
https://health.kdca.go.kr/healthinfo/biz/health/gnrlzHealthInfo/gnrlzHealthInfo/gnrlzHealthInfoMain.do</x:v>
      </x:c>
    </x:row>
    <x:row r="292" ht="62" customHeight="1">
      <x:c r="A292" s="9" t="n">
        <x:v>291</x:v>
      </x:c>
      <x:c r="B292" s="6" t="str">
        <x:v>최종 평가</x:v>
      </x:c>
      <x:c r="C292" s="6" t="str">
        <x:v>질병</x:v>
      </x:c>
      <x:c r="D292" s="6" t="str">
        <x:v>치료·관리</x:v>
      </x:c>
      <x:c r="E292" s="6" t="str">
        <x:v>답변 가능</x:v>
      </x:c>
      <x:c r="F292" s="6" t="str">
        <x:v>쉬움</x:v>
      </x:c>
      <x:c r="G292" s="8" t="str">
        <x:v>무릎 관절 주위의 골절은 어떻게 치료하거나 관리하나요?</x:v>
      </x:c>
      <x:c r="H292" s="8" t="str">
        <x:v>원위(부) 대퇴부 관절 내 골절의 경우 비전위골절(위치가 어긋나지 않은 골절)에서는 부목 고정 등의 보존적 치료를 시행할 수 있으나, 관절면에 전위골절(위치가 어긋난 골절)이 발생한 대부분의 경우에는 관혈적 정복 및 내고정의 수술적 치료가 필요합니다.</x:v>
      </x:c>
      <x:c r="I292" s="8" t="str">
        <x:v>무릎 관절 주위의 골절 - 치료 원위(부) 대퇴부 관절 내 골절의 경우 비전위골절(위치가 어긋나지 않은 골절)에서는 부목 고정 등의 보존적 치료를 시행할 수 있으나, 관절면에 전위골절(위치가 어긋난 골절)이 발생한 대부분의 경우에는 관혈적 정복 및 내고정의 수술적 치료가 필요합니다. 2. 슬개골 골절</x:v>
      </x:c>
      <x:c r="J292" s="8" t="str">
        <x:v>무릎 관절 주위의 골절</x:v>
      </x:c>
      <x:c r="K292" s="8" t="str">
        <x:v>질병관리청 국가건강정보포털
https://health.kdca.go.kr/healthinfo/biz/health/gnrlzHealthInfo/gnrlzHealthInfo/gnrlzHealthInfoMain.do</x:v>
      </x:c>
    </x:row>
    <x:row r="293" ht="62" customHeight="1">
      <x:c r="A293" s="9" t="n">
        <x:v>292</x:v>
      </x:c>
      <x:c r="B293" s="6" t="str">
        <x:v>최종 평가</x:v>
      </x:c>
      <x:c r="C293" s="6" t="str">
        <x:v>질병</x:v>
      </x:c>
      <x:c r="D293" s="6" t="str">
        <x:v>증상→질환 구분</x:v>
      </x:c>
      <x:c r="E293" s="6" t="str">
        <x:v>답변 가능</x:v>
      </x:c>
      <x:c r="F293" s="6" t="str">
        <x:v>어려움</x:v>
      </x:c>
      <x:c r="G293" s="8" t="str">
        <x:v>심부전이 생기면 호흡곤란, 하지부종, 만성피로, 소화불량, 야간 호흡곤란 등이 나타나지만, 어느 한 가지 증상을 특징적으로 말할 수 없는 경우가 많습니다. 이런 증상은 어떤 질환과 관련이 있을 수 있나요?</x:v>
      </x:c>
      <x:c r="H293" s="8" t="str">
        <x:v>고혈압심장질환</x:v>
      </x:c>
      <x:c r="I293" s="8" t="str">
        <x:v>고혈압심장질환 - 병태생리 / 증상 또한 두꺼워진 심장 근육은 산소와 영양분을 많이 요구하게 됩니다. 초기에는 증상이 없지만 심해지면 심장이 잘 늘어나지 않고 수축력도 떨어지면서 호흡곤란이 생기고 몸이 점점 붓는 등 심부전 증상이 나타납니다. • 심부전이 생기면 호흡곤란, 하지부종, 만성피로, 소화불량, 야간 호흡곤란 등이 나타나지만, 어느 한 가지 증상을 특징적으로 말할 수 없는 경우가 많습니다.</x:v>
      </x:c>
      <x:c r="J293" s="8" t="str">
        <x:v>고혈압심장질환</x:v>
      </x:c>
      <x:c r="K293" s="8" t="str">
        <x:v>질병관리청 국가건강정보포털
https://health.kdca.go.kr/healthinfo/biz/health/gnrlzHealthInfo/gnrlzHealthInfo/gnrlzHealthInfoMain.do</x:v>
      </x:c>
    </x:row>
    <x:row r="294" ht="62" customHeight="1">
      <x:c r="A294" s="9" t="n">
        <x:v>293</x:v>
      </x:c>
      <x:c r="B294" s="6" t="str">
        <x:v>최종 평가</x:v>
      </x:c>
      <x:c r="C294" s="6" t="str">
        <x:v>질병</x:v>
      </x:c>
      <x:c r="D294" s="6" t="str">
        <x:v>예방·생활수칙</x:v>
      </x:c>
      <x:c r="E294" s="6" t="str">
        <x:v>답변 가능</x:v>
      </x:c>
      <x:c r="F294" s="6" t="str">
        <x:v>쉬움</x:v>
      </x:c>
      <x:c r="G294" s="8" t="str">
        <x:v>전립선비대증을 예방하려면 어떻게 해야 하나요?</x:v>
      </x:c>
      <x:c r="H294" s="8" t="str">
        <x:v>비만이나 고지방, 고콜레스테롤 음식이 전립선비대증의 위험요인이라는 연구들이 있으므로 식이요법과 적당한 운동으로 적정 체중을 유지하는 것이 도움이 될 수 있습니다. Q. 전립선비대증 환자가 평소에 주의해야 할 사항은 무엇인가요? A. 전립선비대증으로 진단받은 사람은 소변을 너무 오래 참지 않도록 주의해야 합니다. 방광이 늘어나면서 힘이 없어져 소변을 전혀 볼 수 없는 요폐가 생기거나 장기적으로 방광 기능이 손상될 수도 있기 때문입니다.</x:v>
      </x:c>
      <x:c r="I294" s="8" t="str">
        <x:v>전립선비대증 - 자주하는 질문 비만이나 고지방, 고콜레스테롤 음식이 전립선비대증의 위험요인이라는 연구들이 있으므로 식이요법과 적당한 운동으로 적정 체중을 유지하는 것이 도움이 될 수 있습니다. Q. 전립선비대증 환자가 평소에 주의해야 할 사항은 무엇인가요? A. 전립선비대증으로 진단받은 사람은 소변을 너무 오래 참지 않도록 주의해야 합니다. 방광이 늘어나면서 힘이 없어져 소변을 전혀 볼 수 없는 요폐가 생기거나 장기적으로 방광 기능이 손상될 수도 있기 때문입니다.</x:v>
      </x:c>
      <x:c r="J294" s="8" t="str">
        <x:v>전립선비대증</x:v>
      </x:c>
      <x:c r="K294" s="8" t="str">
        <x:v>질병관리청 국가건강정보포털
https://health.kdca.go.kr/healthinfo/biz/health/gnrlzHealthInfo/gnrlzHealthInfo/gnrlzHealthInfoMain.do</x:v>
      </x:c>
    </x:row>
    <x:row r="295" ht="62" customHeight="1">
      <x:c r="A295" s="9" t="n">
        <x:v>294</x:v>
      </x:c>
      <x:c r="B295" s="6" t="str">
        <x:v>최종 평가</x:v>
      </x:c>
      <x:c r="C295" s="6" t="str">
        <x:v>질병</x:v>
      </x:c>
      <x:c r="D295" s="6" t="str">
        <x:v>증상→질환 구분</x:v>
      </x:c>
      <x:c r="E295" s="6" t="str">
        <x:v>답변 가능</x:v>
      </x:c>
      <x:c r="F295" s="6" t="str">
        <x:v>어려움</x:v>
      </x:c>
      <x:c r="G295" s="8" t="str">
        <x:v>뇌간을 압박하면 뇌 자체가 영향을 받아 의식 저하 같은 심각한 증상을 보일 수 있으나 극히 드뭅니다. 이런 증상은 어떤 질환과 관련이 있을 수 있나요?</x:v>
      </x:c>
      <x:c r="H295" s="8" t="str">
        <x:v>뇌동맥류</x:v>
      </x:c>
      <x:c r="I295" s="8" t="str">
        <x:v>뇌동맥류 - 증상 동안신경이라는 뇌신경 근처에서 뇌동맥류가 발생하면, 파열되지 않은 상태에서도 뇌신경을 압박해 안구운동장애 증상을 보일 수 있습니다. 시신경을 압박하면 시력 저하나 시야 결손이 생기기도 합니다. 뇌동맥류가 뇌간을 압박하면 뇌 자체가 영향을 받아 의식 저하 같은 심각한 증상을 보일 수 있으나 극히 드뭅니다. 파열된 뇌동맥류는 양상이 완전히 달라 극심한 두통, 경부강직, 메스꺼움 및 구토 등의 증상이 나타납니다.</x:v>
      </x:c>
      <x:c r="J295" s="8" t="str">
        <x:v>뇌동맥류</x:v>
      </x:c>
      <x:c r="K295" s="8" t="str">
        <x:v>질병관리청 국가건강정보포털
https://health.kdca.go.kr/healthinfo/biz/health/gnrlzHealthInfo/gnrlzHealthInfo/gnrlzHealthInfoMain.do</x:v>
      </x:c>
    </x:row>
    <x:row r="296" ht="62" customHeight="1">
      <x:c r="A296" s="9" t="n">
        <x:v>295</x:v>
      </x:c>
      <x:c r="B296" s="6" t="str">
        <x:v>최종 평가</x:v>
      </x:c>
      <x:c r="C296" s="6" t="str">
        <x:v>질병</x:v>
      </x:c>
      <x:c r="D296" s="6" t="str">
        <x:v>증상·양상</x:v>
      </x:c>
      <x:c r="E296" s="6" t="str">
        <x:v>답변 가능</x:v>
      </x:c>
      <x:c r="F296" s="6" t="str">
        <x:v>쉬움</x:v>
      </x:c>
      <x:c r="G296" s="8" t="str">
        <x:v>모호한 외부생식기 및 성 발달 이상이 있으면 어떤 증상이 나타날 수 있나요?</x:v>
      </x:c>
      <x:c r="H296" s="8" t="str">
        <x:v>모호한 외부생식기는 같은 원인에서도 증상이 다양합니다.</x:v>
      </x:c>
      <x:c r="I296" s="8" t="str">
        <x:v>모호한 외부생식기 및 성 발달 이상 - 역학 및 통계 / 증상 그 중 성염색체가 XX인 선천성 부신과다형성증, 성염색체 이상질환, 성염색체가 XY인 안드로젠무감각증후군이 비교적 빈도가 높습니다. 모호한 외부생식기를 가진 아기는 대부분 태어날 때 발견되며, 일부는 산전 검사에서 알게 됩니다. 모호한 외부생식기는 같은 원인에서도 증상이 다양합니다.</x:v>
      </x:c>
      <x:c r="J296" s="8" t="str">
        <x:v>모호한 외부생식기 및 성 발달 이상</x:v>
      </x:c>
      <x:c r="K296" s="8" t="str">
        <x:v>질병관리청 국가건강정보포털
https://health.kdca.go.kr/healthinfo/biz/health/gnrlzHealthInfo/gnrlzHealthInfo/gnrlzHealthInfoMain.do</x:v>
      </x:c>
    </x:row>
    <x:row r="297" ht="62" customHeight="1">
      <x:c r="A297" s="9" t="n">
        <x:v>296</x:v>
      </x:c>
      <x:c r="B297" s="6" t="str">
        <x:v>최종 평가</x:v>
      </x:c>
      <x:c r="C297" s="6" t="str">
        <x:v>질병</x:v>
      </x:c>
      <x:c r="D297" s="6" t="str">
        <x:v>기준·수치</x:v>
      </x:c>
      <x:c r="E297" s="6" t="str">
        <x:v>답변 가능</x:v>
      </x:c>
      <x:c r="F297" s="6" t="str">
        <x:v>쉬움</x:v>
      </x:c>
      <x:c r="G297" s="8" t="str">
        <x:v>심실중격결손증과 관련해 알아두어야 할 기준이나 수치는 무엇인가요?</x:v>
      </x:c>
      <x:c r="H297" s="8" t="str">
        <x:v>영아기 이후(돌 이후)까지 구멍을 통해 비교적 많은 피가 새는 경우는 15~20% 미만이어서 심부전으로 인해 수술을 하는 경우는 적습니다.</x:v>
      </x:c>
      <x:c r="I297" s="8" t="str">
        <x:v>심실중격결손증 - 비약물 치료 영아기 이후(돌 이후)까지 구멍을 통해 비교적 많은 피가 새는 경우는 15~20% 미만이어서 심부전으로 인해 수술을 하는 경우는 적습니다. 하지만 성장을 한 이 후에도 심실중격결손을 통해 의미 있는 양의 피가 샌다면(폐혈류량이 체혈류량의 1.5~2.0배 이상), 아이젠멩거 증후군을 예방하기 위해 아동기나 청소년기 때 수술을 해주어야 할 수도 있습니다. 3) 큰 크기의 결손</x:v>
      </x:c>
      <x:c r="J297" s="8" t="str">
        <x:v>심실중격결손증</x:v>
      </x:c>
      <x:c r="K297" s="8" t="str">
        <x:v>질병관리청 국가건강정보포털
https://health.kdca.go.kr/healthinfo/biz/health/gnrlzHealthInfo/gnrlzHealthInfo/gnrlzHealthInfoMain.do</x:v>
      </x:c>
    </x:row>
    <x:row r="298" ht="62" customHeight="1">
      <x:c r="A298" s="9" t="n">
        <x:v>297</x:v>
      </x:c>
      <x:c r="B298" s="6" t="str">
        <x:v>최종 평가</x:v>
      </x:c>
      <x:c r="C298" s="6" t="str">
        <x:v>질병</x:v>
      </x:c>
      <x:c r="D298" s="6" t="str">
        <x:v>개요·기타</x:v>
      </x:c>
      <x:c r="E298" s="6" t="str">
        <x:v>답변 가능</x:v>
      </x:c>
      <x:c r="F298" s="6" t="str">
        <x:v>쉬움</x:v>
      </x:c>
      <x:c r="G298" s="8" t="str">
        <x:v>노인기능평가에 대해 쉽게 설명해 주실 수 있나요?</x:v>
      </x:c>
      <x:c r="H298" s="8" t="str">
        <x:v>노인기능평가는 나이가 들면서 생길 수 있는 신체적·정신적 변화를 살펴보고, 어르신이 건강하고 독립적으로 생활하실 수 있도록 돕는 검사입니다.</x:v>
      </x:c>
      <x:c r="I298" s="8" t="str">
        <x:v>노인기능평가 - 요약문 '이것만은 꼭 기억하세요' • 노인기능평가는 나이가 들면서 생길 수 있는 신체적·정신적 변화를 살펴보고, 어르신이 건강하고 독립적으로 생활하실 수 있도록 돕는 검사입니다. • 이 평가를 통해 어르신의 건강 문제를 조기에 발견하고, 필요한 치료나 관리를 계획할 수 있습니다. • 특별한 건강 문제가 없어도, 70세 이상 어르신이라면 정기적인 기능평가를 통해 작은 변화도 미리 확인하는 것이 중요합니다.</x:v>
      </x:c>
      <x:c r="J298" s="8" t="str">
        <x:v>노인기능평가</x:v>
      </x:c>
      <x:c r="K298" s="8" t="str">
        <x:v>질병관리청 국가건강정보포털
https://health.kdca.go.kr/healthinfo/biz/health/gnrlzHealthInfo/gnrlzHealthInfo/gnrlzHealthInfoMain.do</x:v>
      </x:c>
    </x:row>
    <x:row r="299" ht="62" customHeight="1">
      <x:c r="A299" s="9" t="n">
        <x:v>298</x:v>
      </x:c>
      <x:c r="B299" s="6" t="str">
        <x:v>최종 평가</x:v>
      </x:c>
      <x:c r="C299" s="6" t="str">
        <x:v>질병</x:v>
      </x:c>
      <x:c r="D299" s="6" t="str">
        <x:v>진단·검사</x:v>
      </x:c>
      <x:c r="E299" s="6" t="str">
        <x:v>답변 가능</x:v>
      </x:c>
      <x:c r="F299" s="6" t="str">
        <x:v>쉬움</x:v>
      </x:c>
      <x:c r="G299" s="8" t="str">
        <x:v>변실금은 어떤 검사로 확인하나요?</x:v>
      </x:c>
      <x:c r="H299" s="8" t="str">
        <x:v>이와 같이 변실금의 진단은 먼저 기본적인 평가를 충분히 시행하고, 치료 방침을 결정하기 위한 검사를 선택적으로 시행합니다.</x:v>
      </x:c>
      <x:c r="I299" s="8" t="str">
        <x:v>변실금 - 진단 및 검사 / 관련 질환 이와 같이 변실금의 진단은 먼저 기본적인 평가를 충분히 시행하고, 치료 방침을 결정하기 위한 검사를 선택적으로 시행합니다. 변실금은 하나의 원인만으로 발생하는 경우보다 여러 질환과 상태가 복합적으로 작용하여 나타나는 경우가 많습니다. 앞서 언급한 분만 과정에서의 괄약근 손상, 항문질환 수술, 직장암 수술 등 구조적 손상 외에도 다양한 소화기계·신경계·근육계 질환이 변실금의 발생과 관련됩니다.</x:v>
      </x:c>
      <x:c r="J299" s="8" t="str">
        <x:v>변실금</x:v>
      </x:c>
      <x:c r="K299" s="8" t="str">
        <x:v>질병관리청 국가건강정보포털
https://health.kdca.go.kr/healthinfo/biz/health/gnrlzHealthInfo/gnrlzHealthInfo/gnrlzHealthInfoMain.do</x:v>
      </x:c>
    </x:row>
    <x:row r="300" ht="62" customHeight="1">
      <x:c r="A300" s="9" t="n">
        <x:v>299</x:v>
      </x:c>
      <x:c r="B300" s="6" t="str">
        <x:v>최종 평가</x:v>
      </x:c>
      <x:c r="C300" s="6" t="str">
        <x:v>질병</x:v>
      </x:c>
      <x:c r="D300" s="6" t="str">
        <x:v>치료·관리</x:v>
      </x:c>
      <x:c r="E300" s="6" t="str">
        <x:v>답변 가능</x:v>
      </x:c>
      <x:c r="F300" s="6" t="str">
        <x:v>쉬움</x:v>
      </x:c>
      <x:c r="G300" s="8" t="str">
        <x:v>급성 간부전은 어떻게 치료하거나 관리하나요?</x:v>
      </x:c>
      <x:c r="H300" s="8" t="str">
        <x:v>위중한 급성 간부전 환자가 간 이식을 받지 않고 내과적 치료만으로 자연 회복될 확률은 그 원인에 따라 다른데, 우리나라의 경우 전체적으로 20~25%에 불과합니다. 응급 간이식은 급성 간부전 환자에서 장기 생존을 기대할 수 있는 가장 확실하고 확립된 치료입니다. 하지만, 간이식은 비용이 많이 들고 고도의 기술과 경험을 필요로 하는 시술이며, 특히 간이식 공여자가 부족한 우리나라 실정에서는 내과적 집중 치료가 중요합니다.</x:v>
      </x:c>
      <x:c r="I300" s="8" t="str">
        <x:v>급성 간부전 - 치료 위중한 급성 간부전 환자가 간 이식을 받지 않고 내과적 치료만으로 자연 회복될 확률은 그 원인에 따라 다른데, 우리나라의 경우 전체적으로 20~25%에 불과합니다. 응급 간이식은 급성 간부전 환자에서 장기 생존을 기대할 수 있는 가장 확실하고 확립된 치료입니다. 하지만, 간이식은 비용이 많이 들고 고도의 기술과 경험을 필요로 하는 시술이며, 특히 간이식 공여자가 부족한 우리나라 실정에서는 내과적 집중 치료가 중요합니다.</x:v>
      </x:c>
      <x:c r="J300" s="8" t="str">
        <x:v>급성 간부전</x:v>
      </x:c>
      <x:c r="K300" s="8" t="str">
        <x:v>질병관리청 국가건강정보포털
https://health.kdca.go.kr/healthinfo/biz/health/gnrlzHealthInfo/gnrlzHealthInfo/gnrlzHealthInfoMain.do</x:v>
      </x:c>
    </x:row>
    <x:row r="301" ht="62" customHeight="1">
      <x:c r="A301" s="9" t="n">
        <x:v>300</x:v>
      </x:c>
      <x:c r="B301" s="6" t="str">
        <x:v>최종 평가</x:v>
      </x:c>
      <x:c r="C301" s="6" t="str">
        <x:v>질병</x:v>
      </x:c>
      <x:c r="D301" s="6" t="str">
        <x:v>증상→질환 구분</x:v>
      </x:c>
      <x:c r="E301" s="6" t="str">
        <x:v>답변 가능</x:v>
      </x:c>
      <x:c r="F301" s="6" t="str">
        <x:v>어려움</x:v>
      </x:c>
      <x:c r="G301" s="8" t="str">
        <x:v>궤양대장염의 임상증상은 대장의 침범범위와 염증의 심한 정도에 따라 차이가 있으나 혈변, 설사, 대변 절박증을 호소하며, 그 외 뒤무직, 점액질 대변, 야간설사(설사로 인해 자다 깸), 경련성 하복부 통증 및 불쾌감 등이 발생할 수 있습니다. 이런 증상은 어떤 질환과 관련이 있을 수 있나요?</x:v>
      </x:c>
      <x:c r="H301" s="8" t="str">
        <x:v>궤양대장염(궤양결장염)</x:v>
      </x:c>
      <x:c r="I301" s="8" t="str">
        <x:v>궤양대장염(궤양결장염) - 증상 궤양대장염의 임상증상은 대장의 침범범위와 염증의 심한 정도에 따라 차이가 있으나 혈변, 설사, 대변 절박증을 호소하며, 그 외 뒤무직, 점액질 대변, 야간설사(설사로 인해 자다 깸), 경련성 하복부 통증 및 불쾌감 등이 발생할 수 있습니다. 가장 흔한 증상은 혈변과 설사이며, 그 외 심한 경우에는 식욕부진, 오심, 구역, 구토, 발열, 부종, 전신 쇠약감, 체중 감소 등이 발생할 수 있습니다.</x:v>
      </x:c>
      <x:c r="J301" s="8" t="str">
        <x:v>궤양대장염(궤양결장염)</x:v>
      </x:c>
      <x:c r="K301" s="8" t="str">
        <x:v>질병관리청 국가건강정보포털
https://health.kdca.go.kr/healthinfo/biz/health/gnrlzHealthInfo/gnrlzHealthInfo/gnrlzHealthInfoMain.do</x:v>
      </x:c>
    </x:row>
    <x:row r="302" ht="62" customHeight="1">
      <x:c r="A302" s="9" t="n">
        <x:v>301</x:v>
      </x:c>
      <x:c r="B302" s="6" t="str">
        <x:v>최종 평가</x:v>
      </x:c>
      <x:c r="C302" s="6" t="str">
        <x:v>질병</x:v>
      </x:c>
      <x:c r="D302" s="6" t="str">
        <x:v>치료·관리</x:v>
      </x:c>
      <x:c r="E302" s="6" t="str">
        <x:v>답변 가능</x:v>
      </x:c>
      <x:c r="F302" s="6" t="str">
        <x:v>쉬움</x:v>
      </x:c>
      <x:c r="G302" s="8" t="str">
        <x:v>직업성 호흡기질환(직업성 천식)은 어떻게 치료하거나 관리하나요?</x:v>
      </x:c>
      <x:c r="H302" s="8" t="str">
        <x:v>천식 유발 물질 회피는 직업성 천식의 근본적인 치료법입니다. 회피가 지연될수록 치료 효과가 감소하고 예후가 나빠질 수 있습니다. 오랜 기간 증상이 있었던 환자는 원인물질 노출을 몇 년간 중단해도 직업성 천식이 지속될 수 있습니다. 원인물질에 계속 노출되면 증상이 심해져 생명에 위협이 될 수 있으며, 노출을 중단해도 완치 가능성이 낮고 영구적인 폐기능 장애를 초래할 수 있습니다.</x:v>
      </x:c>
      <x:c r="I302" s="8" t="str">
        <x:v>직업성 호흡기질환(직업성 천식) - 치료 천식 유발 물질 회피는 직업성 천식의 근본적인 치료법입니다. 회피가 지연될수록 치료 효과가 감소하고 예후가 나빠질 수 있습니다. 오랜 기간 증상이 있었던 환자는 원인물질 노출을 몇 년간 중단해도 직업성 천식이 지속될 수 있습니다. 원인물질에 계속 노출되면 증상이 심해져 생명에 위협이 될 수 있으며, 노출을 중단해도 완치 가능성이 낮고 영구적인 폐기능 장애를 초래할 수 있습니다.</x:v>
      </x:c>
      <x:c r="J302" s="8" t="str">
        <x:v>직업성 호흡기질환(직업성 천식)</x:v>
      </x:c>
      <x:c r="K302" s="8" t="str">
        <x:v>질병관리청 국가건강정보포털
https://health.kdca.go.kr/healthinfo/biz/health/gnrlzHealthInfo/gnrlzHealthInfo/gnrlzHealthInfoMain.do</x:v>
      </x:c>
    </x:row>
    <x:row r="303" ht="62" customHeight="1">
      <x:c r="A303" s="9" t="n">
        <x:v>302</x:v>
      </x:c>
      <x:c r="B303" s="6" t="str">
        <x:v>최종 평가</x:v>
      </x:c>
      <x:c r="C303" s="6" t="str">
        <x:v>질병</x:v>
      </x:c>
      <x:c r="D303" s="6" t="str">
        <x:v>예방·생활수칙</x:v>
      </x:c>
      <x:c r="E303" s="6" t="str">
        <x:v>답변 가능</x:v>
      </x:c>
      <x:c r="F303" s="6" t="str">
        <x:v>쉬움</x:v>
      </x:c>
      <x:c r="G303" s="8" t="str">
        <x:v>만성피로증후군을 예방하려면 어떻게 해야 하나요?</x:v>
      </x:c>
      <x:c r="H303" s="8" t="str">
        <x:v>다음과 같은 특징을 보인다면 생활습관에 의한 단순 피로가 아닐 가능성이 높습니다. 반드시 의사의 진찰을 받고 원인 질환을 찾아야 합니다. • 피로가 갑자기 나타나면서 처음부터 일상생활에 영향을 줄 정도로 매우 심한 경우 • 피로가 처음에는 심하지 않았지만 시간이 흐를수록 점점 더 심해지는 경우 • 피로가 심하지 않아도 1개월 이상 지속되는 경우 • 피로와 함께 여러 가지 동반 증상이 나타나는 경우.</x:v>
      </x:c>
      <x:c r="I303" s="8" t="str">
        <x:v>만성피로증후군 - 위험요인 및 예방 다음과 같은 특징을 보인다면 생활습관에 의한 단순 피로가 아닐 가능성이 높습니다. 반드시 의사의 진찰을 받고 원인 질환을 찾아야 합니다. • 피로가 갑자기 나타나면서 처음부터 일상생활에 영향을 줄 정도로 매우 심한 경우 • 피로가 처음에는 심하지 않았지만 시간이 흐를수록 점점 더 심해지는 경우 • 피로가 심하지 않아도 1개월 이상 지속되는 경우 • 피로와 함께 여러 가지 동반 증상이 나타나는 경우.</x:v>
      </x:c>
      <x:c r="J303" s="8" t="str">
        <x:v>만성피로증후군</x:v>
      </x:c>
      <x:c r="K303" s="8" t="str">
        <x:v>질병관리청 국가건강정보포털
https://health.kdca.go.kr/healthinfo/biz/health/gnrlzHealthInfo/gnrlzHealthInfo/gnrlzHealthInfoMain.do</x:v>
      </x:c>
    </x:row>
    <x:row r="304" ht="62" customHeight="1">
      <x:c r="A304" s="9" t="n">
        <x:v>303</x:v>
      </x:c>
      <x:c r="B304" s="6" t="str">
        <x:v>최종 평가</x:v>
      </x:c>
      <x:c r="C304" s="6" t="str">
        <x:v>질병</x:v>
      </x:c>
      <x:c r="D304" s="6" t="str">
        <x:v>치료·관리</x:v>
      </x:c>
      <x:c r="E304" s="6" t="str">
        <x:v>답변 가능</x:v>
      </x:c>
      <x:c r="F304" s="6" t="str">
        <x:v>쉬움</x:v>
      </x:c>
      <x:c r="G304" s="8" t="str">
        <x:v>대동맥 박리는 어떻게 치료하거나 관리하나요?</x:v>
      </x:c>
      <x:c r="H304" s="8" t="str">
        <x:v>대동맥 박리는 치료하지 않으면 초기 치사율이 시간당 약 1%에 달하는 응급 질환입니다. 치료를 빨리 시작하는 것이 나쁜 결과를 줄일 수 있는 가장 중요한 요소입니다. 병원에서는 상행 대동맥 침범 여부를 확인하는 검사를 통해 이후 치료 방향을 결정하고 경과를 예측하게 됩니다. 급성 대동맥 박리가 상행 대동맥을 침범한 경우에는 응급으로 수술적 치료가 필요합니다.</x:v>
      </x:c>
      <x:c r="I304" s="8" t="str">
        <x:v>대동맥 박리 - 치료 대동맥 박리는 치료하지 않으면 초기 치사율이 시간당 약 1%에 달하는 응급 질환입니다. 치료를 빨리 시작하는 것이 나쁜 결과를 줄일 수 있는 가장 중요한 요소입니다. 병원에서는 상행 대동맥 침범 여부를 확인하는 검사를 통해 이후 치료 방향을 결정하고 경과를 예측하게 됩니다. 급성 대동맥 박리가 상행 대동맥을 침범한 경우에는 응급으로 수술적 치료가 필요합니다.</x:v>
      </x:c>
      <x:c r="J304" s="8" t="str">
        <x:v>대동맥 박리</x:v>
      </x:c>
      <x:c r="K304" s="8" t="str">
        <x:v>질병관리청 국가건강정보포털
https://health.kdca.go.kr/healthinfo/biz/health/gnrlzHealthInfo/gnrlzHealthInfo/gnrlzHealthInfoMain.do</x:v>
      </x:c>
    </x:row>
    <x:row r="305" ht="62" customHeight="1">
      <x:c r="A305" s="9" t="n">
        <x:v>304</x:v>
      </x:c>
      <x:c r="B305" s="6" t="str">
        <x:v>최종 평가</x:v>
      </x:c>
      <x:c r="C305" s="6" t="str">
        <x:v>질병</x:v>
      </x:c>
      <x:c r="D305" s="6" t="str">
        <x:v>치료·관리</x:v>
      </x:c>
      <x:c r="E305" s="6" t="str">
        <x:v>답변 가능</x:v>
      </x:c>
      <x:c r="F305" s="6" t="str">
        <x:v>쉬움</x:v>
      </x:c>
      <x:c r="G305" s="8" t="str">
        <x:v>폴리오는 어떻게 치료하거나 관리하나요?</x:v>
      </x:c>
      <x:c r="H305" s="8" t="str">
        <x:v>따라서 신경장애, 호흡장애, 순환장애 등과 같은 증상이 나타나는 환자에 대해서는 증상을 완화시켜주는 보조적인 치료를 하면서 자연 회복을 기대해야 합니다.</x:v>
      </x:c>
      <x:c r="I305" s="8" t="str">
        <x:v>폴리오 - 예방 및 예방접종 / 치료 1차와 2차, 2차와 3차 접종의 최소 접종 간격은 4주입니다. 표준 접종 간격보다 앞당겨 접종하면 면역 형성이 잘되지 않기 때문에, 최소 접종연령과 최소 접종간격을 지키지 못했다면 재접종해야 합니다. 폴리오의 치료제는 아직 없습니다. 따라서 신경장애, 호흡장애, 순환장애 등과 같은 증상이 나타나는 환자에 대해서는 증상을 완화시켜주는 보조적인 치료를 하면서 자연 회복을 기대해야 합니다.</x:v>
      </x:c>
      <x:c r="J305" s="8" t="str">
        <x:v>폴리오</x:v>
      </x:c>
      <x:c r="K305" s="8" t="str">
        <x:v>질병관리청 국가건강정보포털
https://health.kdca.go.kr/healthinfo/biz/health/gnrlzHealthInfo/gnrlzHealthInfo/gnrlzHealthInfoMain.do</x:v>
      </x:c>
    </x:row>
    <x:row r="306" ht="62" customHeight="1">
      <x:c r="A306" s="9" t="n">
        <x:v>305</x:v>
      </x:c>
      <x:c r="B306" s="6" t="str">
        <x:v>최종 평가</x:v>
      </x:c>
      <x:c r="C306" s="6" t="str">
        <x:v>질병</x:v>
      </x:c>
      <x:c r="D306" s="6" t="str">
        <x:v>진단·검사</x:v>
      </x:c>
      <x:c r="E306" s="6" t="str">
        <x:v>답변 가능</x:v>
      </x:c>
      <x:c r="F306" s="6" t="str">
        <x:v>쉬움</x:v>
      </x:c>
      <x:c r="G306" s="8" t="str">
        <x:v>악구충증은 어떤 검사로 확인하나요?</x:v>
      </x:c>
      <x:c r="H306" s="8" t="str">
        <x:v>기생충이 있는 부위를 수술적으로 잘라내어 악구충을 확인하거나 잘라낸 조직을 염색한 후 확인하는 방법으로 진단합니다.</x:v>
      </x:c>
      <x:c r="I306" s="8" t="str">
        <x:v>악구충증 - 진단 및 검사 기생충이 있는 부위를 수술적으로 잘라내어 악구충을 확인하거나 잘라낸 조직을 염색한 후 확인하는 방법으로 진단합니다. 보조적으로 호산구증가증이 있거나 악구충의 유충 또는 성충의 항원을 피하에 주사한 후 나타나는 피부 반응을 관찰하여 진단하는 피내반응검사 등을 사용합니다.</x:v>
      </x:c>
      <x:c r="J306" s="8" t="str">
        <x:v>악구충증</x:v>
      </x:c>
      <x:c r="K306" s="8" t="str">
        <x:v>질병관리청 국가건강정보포털
https://health.kdca.go.kr/healthinfo/biz/health/gnrlzHealthInfo/gnrlzHealthInfo/gnrlzHealthInfoMain.do</x:v>
      </x:c>
    </x:row>
    <x:row r="307" ht="62" customHeight="1">
      <x:c r="A307" s="9" t="n">
        <x:v>306</x:v>
      </x:c>
      <x:c r="B307" s="6" t="str">
        <x:v>최종 평가</x:v>
      </x:c>
      <x:c r="C307" s="6" t="str">
        <x:v>질병</x:v>
      </x:c>
      <x:c r="D307" s="6" t="str">
        <x:v>치료·관리</x:v>
      </x:c>
      <x:c r="E307" s="6" t="str">
        <x:v>답변 가능</x:v>
      </x:c>
      <x:c r="F307" s="6" t="str">
        <x:v>쉬움</x:v>
      </x:c>
      <x:c r="G307" s="8" t="str">
        <x:v>골수염은 어떻게 치료하거나 관리하나요?</x:v>
      </x:c>
      <x:c r="H307" s="8" t="str">
        <x:v>급성 골수염에서는 농양 또는 괴사가 생겼거나 의심이 되는 경우, 또는 항생제 치료에 잘 반응하지 않을 때 수술로 염증 부위를 제거해야 할 수도 있습니다. - 만성 골수염에서는 이미 손상된 조직을 깨끗이 제거하고, 뼈가 흔들리지 않도록 고정하며, 고름이 남지 않게 공간을 메우고, 피부나 근육 등 주변 조직을 재건하는 수술이 필요할 수 있습니다. 1. 대한감염학회. (2024). Section 2-14 골관절 감염. 감염학 제3판, 군자출판사.</x:v>
      </x:c>
      <x:c r="I307" s="8" t="str">
        <x:v>골수염 - 비약물 치료 / 참고문헌 - 급성 골수염에서는 농양 또는 괴사가 생겼거나 의심이 되는 경우, 또는 항생제 치료에 잘 반응하지 않을 때 수술로 염증 부위를 제거해야 할 수도 있습니다. - 만성 골수염에서는 이미 손상된 조직을 깨끗이 제거하고, 뼈가 흔들리지 않도록 고정하며, 고름이 남지 않게 공간을 메우고, 피부나 근육 등 주변 조직을 재건하는 수술이 필요할 수 있습니다. 1. 대한감염학회. (2024). Section 2-14 골관절 감염. 감염학 제3판, 군자출판사.</x:v>
      </x:c>
      <x:c r="J307" s="8" t="str">
        <x:v>골수염</x:v>
      </x:c>
      <x:c r="K307" s="8" t="str">
        <x:v>질병관리청 국가건강정보포털
https://health.kdca.go.kr/healthinfo/biz/health/gnrlzHealthInfo/gnrlzHealthInfo/gnrlzHealthInfoMain.do</x:v>
      </x:c>
    </x:row>
    <x:row r="308" ht="62" customHeight="1">
      <x:c r="A308" s="9" t="n">
        <x:v>307</x:v>
      </x:c>
      <x:c r="B308" s="6" t="str">
        <x:v>최종 평가</x:v>
      </x:c>
      <x:c r="C308" s="6" t="str">
        <x:v>질병</x:v>
      </x:c>
      <x:c r="D308" s="6" t="str">
        <x:v>예방·생활수칙</x:v>
      </x:c>
      <x:c r="E308" s="6" t="str">
        <x:v>답변 가능</x:v>
      </x:c>
      <x:c r="F308" s="6" t="str">
        <x:v>쉬움</x:v>
      </x:c>
      <x:c r="G308" s="8" t="str">
        <x:v>아토피피부염을 예방하려면 어떻게 해야 하나요?</x:v>
      </x:c>
      <x:c r="H308" s="8" t="str">
        <x:v>아토피피부염의 악화 인자는 기후나 공기 오염 외에도 의복, 집먼지진드기, 화장품, 음식이나 식습관, 신체적 혹은 정신적 스트레스 등을 들 수 있는데, 나이, 주변 환경, 생활 습관에 따라서 많은 차이가 있습니다. 1. 자극원 아토피피부염 환자는 비누와 세제, 화학 약품, 모직과 나일론 의류, 비정상적인 기온이나 습도 등에 의해 피부염이 악화될 수 있습니다.</x:v>
      </x:c>
      <x:c r="I308" s="8" t="str">
        <x:v>아토피피부염 - 위험요인 및 예방 아토피피부염의 악화 인자는 기후나 공기 오염 외에도 의복, 집먼지진드기, 화장품, 음식이나 식습관, 신체적 혹은 정신적 스트레스 등을 들 수 있는데, 나이, 주변 환경, 생활 습관에 따라서 많은 차이가 있습니다. 1. 자극원 아토피피부염 환자는 비누와 세제, 화학 약품, 모직과 나일론 의류, 비정상적인 기온이나 습도 등에 의해 피부염이 악화될 수 있습니다.</x:v>
      </x:c>
      <x:c r="J308" s="8" t="str">
        <x:v>아토피피부염</x:v>
      </x:c>
      <x:c r="K308" s="8" t="str">
        <x:v>질병관리청 국가건강정보포털
https://health.kdca.go.kr/healthinfo/biz/health/gnrlzHealthInfo/gnrlzHealthInfo/gnrlzHealthInfoMain.do</x:v>
      </x:c>
    </x:row>
    <x:row r="309" ht="62" customHeight="1">
      <x:c r="A309" s="9" t="n">
        <x:v>308</x:v>
      </x:c>
      <x:c r="B309" s="6" t="str">
        <x:v>최종 평가</x:v>
      </x:c>
      <x:c r="C309" s="6" t="str">
        <x:v>질병</x:v>
      </x:c>
      <x:c r="D309" s="6" t="str">
        <x:v>경과·예후</x:v>
      </x:c>
      <x:c r="E309" s="6" t="str">
        <x:v>답변 가능</x:v>
      </x:c>
      <x:c r="F309" s="6" t="str">
        <x:v>쉬움</x:v>
      </x:c>
      <x:c r="G309" s="8" t="str">
        <x:v>임신고혈압과 전자간증(임신중독증)의 경과나 예후는 어떤가요?</x:v>
      </x:c>
      <x:c r="H309" s="8" t="str">
        <x:v>전자간증은 조기에 진단되어 치료되면 특별한 합병증 없이 치료될 수 있습니다.</x:v>
      </x:c>
      <x:c r="I309" s="8" t="str">
        <x:v>임신고혈압과 전자간증(임신중독증) - 치료 / 합병증 전자간증을 경험했던 환자는 허혈심장질환, 뇌졸중, 정맥혈전증의 위험이 2배 이상 증가하고, 만성 고혈압으로 진행할 가능성도 4배 더 높습니다. 따라서 전자간증을 경험한 사람은 이러한 위험성을 인지해야 하며, 정기적으로 검사를 받는 것이 현명한 건강 관리법입니다. 전자간증은 조기에 진단되어 치료되면 특별한 합병증 없이 치료될 수 있습니다.</x:v>
      </x:c>
      <x:c r="J309" s="8" t="str">
        <x:v>임신고혈압과 전자간증(임신중독증)</x:v>
      </x:c>
      <x:c r="K309" s="8" t="str">
        <x:v>질병관리청 국가건강정보포털
https://health.kdca.go.kr/healthinfo/biz/health/gnrlzHealthInfo/gnrlzHealthInfo/gnrlzHealthInfoMain.do</x:v>
      </x:c>
    </x:row>
    <x:row r="310" ht="62" customHeight="1">
      <x:c r="A310" s="9" t="n">
        <x:v>309</x:v>
      </x:c>
      <x:c r="B310" s="6" t="str">
        <x:v>최종 평가</x:v>
      </x:c>
      <x:c r="C310" s="6" t="str">
        <x:v>질병</x:v>
      </x:c>
      <x:c r="D310" s="6" t="str">
        <x:v>증상·양상</x:v>
      </x:c>
      <x:c r="E310" s="6" t="str">
        <x:v>답변 가능</x:v>
      </x:c>
      <x:c r="F310" s="6" t="str">
        <x:v>쉬움</x:v>
      </x:c>
      <x:c r="G310" s="8" t="str">
        <x:v>굴절이상(근시, 원시, 난시)가 있으면 어떤 증상이 나타날 수 있나요?</x:v>
      </x:c>
      <x:c r="H310" s="8" t="str">
        <x:v>아이들의 경우 칠판 글씨가 흐릿하게 보인다고 호소하기도 하며, 이러한 증상을 말하지 않더라도 멀리 있는 사물을 볼 때 눈을 찡그리고 보거나 고개를 돌려서 보고, 자주 두통을 호소한다면 안과 의사의 진찰을 받는 것이 좋습니다. 특히 만 3~4세 무렵과 학교 입학 전에는 안과 검진을 받아보아야 합니다.</x:v>
      </x:c>
      <x:c r="I310" s="8" t="str">
        <x:v>굴절이상(근시, 원시, 난시) - 증상 아이들의 경우 칠판 글씨가 흐릿하게 보인다고 호소하기도 하며, 이러한 증상을 말하지 않더라도 멀리 있는 사물을 볼 때 눈을 찡그리고 보거나 고개를 돌려서 보고, 자주 두통을 호소한다면 안과 의사의 진찰을 받는 것이 좋습니다. 특히 만 3~4세 무렵과 학교 입학 전에는 안과 검진을 받아보아야 합니다.</x:v>
      </x:c>
      <x:c r="J310" s="8" t="str">
        <x:v>굴절이상(근시, 원시, 난시)</x:v>
      </x:c>
      <x:c r="K310" s="8" t="str">
        <x:v>질병관리청 국가건강정보포털
https://health.kdca.go.kr/healthinfo/biz/health/gnrlzHealthInfo/gnrlzHealthInfo/gnrlzHealthInfoMain.do</x:v>
      </x:c>
    </x:row>
    <x:row r="311" ht="62" customHeight="1">
      <x:c r="A311" s="9" t="n">
        <x:v>310</x:v>
      </x:c>
      <x:c r="B311" s="6" t="str">
        <x:v>최종 평가</x:v>
      </x:c>
      <x:c r="C311" s="6" t="str">
        <x:v>질병</x:v>
      </x:c>
      <x:c r="D311" s="6" t="str">
        <x:v>경과·예후</x:v>
      </x:c>
      <x:c r="E311" s="6" t="str">
        <x:v>답변 가능</x:v>
      </x:c>
      <x:c r="F311" s="6" t="str">
        <x:v>쉬움</x:v>
      </x:c>
      <x:c r="G311" s="8" t="str">
        <x:v>평발(편평족)의 경과나 예후는 어떤가요?</x:v>
      </x:c>
      <x:c r="H311" s="8" t="str">
        <x:v>강직성 편평족의 경우 그 원인에 따라 통증이 지속하거나, 발을 자주 삐는 증상이 생기기도 하며, 특히 '후경골근 건 기능 장애'와 관련한 통증 및 족부 기능 장애가 초래되기도 합니다.</x:v>
      </x:c>
      <x:c r="I311" s="8" t="str">
        <x:v>평발(편평족) - 경과 및 예후 또한 통증이 있던 환자도 성장하면서 증상이 없어지는 것이 일반적입니다. 강직성 편평족의 경우 그 원인에 따라 통증이 지속하거나, 발을 자주 삐는 증상이 생기기도 하며, 특히 '후경골근 건 기능 장애'와 관련한 통증 및 족부 기능 장애가 초래되기도 합니다. 안쪽 아치의 성장은 6~8세 이후에 완성되기 때문에 연령에 따른 편평족의 유병률은 각기 다르게 보고되고 있습니다.</x:v>
      </x:c>
      <x:c r="J311" s="8" t="str">
        <x:v>평발(편평족)</x:v>
      </x:c>
      <x:c r="K311" s="8" t="str">
        <x:v>질병관리청 국가건강정보포털
https://health.kdca.go.kr/healthinfo/biz/health/gnrlzHealthInfo/gnrlzHealthInfo/gnrlzHealthInfoMain.do</x:v>
      </x:c>
    </x:row>
    <x:row r="312" ht="62" customHeight="1">
      <x:c r="A312" s="9" t="n">
        <x:v>311</x:v>
      </x:c>
      <x:c r="B312" s="6" t="str">
        <x:v>최종 평가</x:v>
      </x:c>
      <x:c r="C312" s="6" t="str">
        <x:v>질병</x:v>
      </x:c>
      <x:c r="D312" s="6" t="str">
        <x:v>답변불가·실시간 의료기관</x:v>
      </x:c>
      <x:c r="E312" s="6" t="str">
        <x:v>답변 거부</x:v>
      </x:c>
      <x:c r="F312" s="6" t="str">
        <x:v>어려움</x:v>
      </x:c>
      <x:c r="G312" s="8" t="str">
        <x:v>지금 제 위치에서 건막염(통풍성 건막염) 진료가 가능한 병원 중 대기 시간이 가장 짧은 곳은 어디인가요?</x:v>
      </x:c>
      <x:c r="H312" s="8" t="str">
        <x:v>제공된 질병관리청 VDB에는 실시간 병원 위치와 대기 시간 정보가 없어 답할 수 없습니다.</x:v>
      </x:c>
      <x:c r="I312" s="8" t="str">
        <x:v>VDB 범위 밖 질문 — 근거 없음</x:v>
      </x:c>
      <x:c r="J312" s="8" t="str">
        <x:v>건막염(통풍성 건막염)</x:v>
      </x:c>
      <x:c r="K312" s="8" t="str">
        <x:v>질병관리청 국가건강정보포털
https://health.kdca.go.kr/healthinfo/biz/health/gnrlzHealthInfo/gnrlzHealthInfo/gnrlzHealthInfoMain.do</x:v>
      </x:c>
    </x:row>
    <x:row r="313" ht="62" customHeight="1">
      <x:c r="A313" s="9" t="n">
        <x:v>312</x:v>
      </x:c>
      <x:c r="B313" s="6" t="str">
        <x:v>최종 평가</x:v>
      </x:c>
      <x:c r="C313" s="6" t="str">
        <x:v>질병</x:v>
      </x:c>
      <x:c r="D313" s="6" t="str">
        <x:v>치료·관리</x:v>
      </x:c>
      <x:c r="E313" s="6" t="str">
        <x:v>답변 가능</x:v>
      </x:c>
      <x:c r="F313" s="6" t="str">
        <x:v>쉬움</x:v>
      </x:c>
      <x:c r="G313" s="8" t="str">
        <x:v>자연유산은 어떻게 치료하거나 관리하나요?</x:v>
      </x:c>
      <x:c r="H313" s="8" t="str">
        <x:v>자연유산과 자궁외 임신은 둘 다 임신의 비정상적 종결이라는 공통점이 있지만, 발생 위치, 원인, 치료법, 위험성 등에 큰 차이가 있습니다. 자연유산은 태아가 자궁 내에 착상되었지만 자연적으로 임신이 종결된 것으로, 소파술이나 약물 치료가 필요할 수 있습니다.</x:v>
      </x:c>
      <x:c r="I313" s="8" t="str">
        <x:v>자연유산 - 자주하는 질문 자연유산과 자궁외 임신은 둘 다 임신의 비정상적 종결이라는 공통점이 있지만, 발생 위치, 원인, 치료법, 위험성 등에 큰 차이가 있습니다. 자연유산은 태아가 자궁 내에 착상되었지만 자연적으로 임신이 종결된 것으로, 소파술이나 약물 치료가 필요할 수 있습니다.</x:v>
      </x:c>
      <x:c r="J313" s="8" t="str">
        <x:v>자연유산</x:v>
      </x:c>
      <x:c r="K313" s="8" t="str">
        <x:v>질병관리청 국가건강정보포털
https://health.kdca.go.kr/healthinfo/biz/health/gnrlzHealthInfo/gnrlzHealthInfo/gnrlzHealthInfoMain.do</x:v>
      </x:c>
    </x:row>
    <x:row r="314" ht="62" customHeight="1">
      <x:c r="A314" s="9" t="n">
        <x:v>313</x:v>
      </x:c>
      <x:c r="B314" s="6" t="str">
        <x:v>최종 평가</x:v>
      </x:c>
      <x:c r="C314" s="6" t="str">
        <x:v>질병</x:v>
      </x:c>
      <x:c r="D314" s="6" t="str">
        <x:v>치료·관리</x:v>
      </x:c>
      <x:c r="E314" s="6" t="str">
        <x:v>답변 가능</x:v>
      </x:c>
      <x:c r="F314" s="6" t="str">
        <x:v>쉬움</x:v>
      </x:c>
      <x:c r="G314" s="8" t="str">
        <x:v>반월상 연골판 손상은 어떻게 치료하거나 관리하나요?</x:v>
      </x:c>
      <x:c r="H314" s="8" t="str">
        <x:v>반월상 연골판 손상 후 치료 방법은 파열의 정도, 위치 및 범위, 환자의 증상 정도, 특징 및 지속 기간, 이전 치료 여부와 경과 등을 고려하여 보존적 치료나 수술적 치료로 결정하게 됩니다. 파열 부위의 지속적인 통증과 걸림 증상이 있다면 수술적 치료를 고려할 수 있습니다. 반월상 연골판 손상의 수술적 치료로는 연골판 절제술 및 봉합술이 있으며, 두 가지 방법 모두 관절경으로 시행합니다.</x:v>
      </x:c>
      <x:c r="I314" s="8" t="str">
        <x:v>반월상 연골판 손상 - 치료 반월상 연골판 손상 후 치료 방법은 파열의 정도, 위치 및 범위, 환자의 증상 정도, 특징 및 지속 기간, 이전 치료 여부와 경과 등을 고려하여 보존적 치료나 수술적 치료로 결정하게 됩니다. 파열 부위의 지속적인 통증과 걸림 증상이 있다면 수술적 치료를 고려할 수 있습니다. 반월상 연골판 손상의 수술적 치료로는 연골판 절제술 및 봉합술이 있으며, 두 가지 방법 모두 관절경으로 시행합니다.</x:v>
      </x:c>
      <x:c r="J314" s="8" t="str">
        <x:v>반월상 연골판 손상</x:v>
      </x:c>
      <x:c r="K314" s="8" t="str">
        <x:v>질병관리청 국가건강정보포털
https://health.kdca.go.kr/healthinfo/biz/health/gnrlzHealthInfo/gnrlzHealthInfo/gnrlzHealthInfoMain.do</x:v>
      </x:c>
    </x:row>
    <x:row r="315" ht="62" customHeight="1">
      <x:c r="A315" s="9" t="n">
        <x:v>314</x:v>
      </x:c>
      <x:c r="B315" s="6" t="str">
        <x:v>최종 평가</x:v>
      </x:c>
      <x:c r="C315" s="6" t="str">
        <x:v>질병</x:v>
      </x:c>
      <x:c r="D315" s="6" t="str">
        <x:v>답변불가·개인 예후 단정</x:v>
      </x:c>
      <x:c r="E315" s="6" t="str">
        <x:v>답변 거부</x:v>
      </x:c>
      <x:c r="F315" s="6" t="str">
        <x:v>어려움</x:v>
      </x:c>
      <x:c r="G315" s="8" t="str">
        <x:v>제가 말라리아이라면 정확히 언제 완치될지 날짜를 알려주세요.</x:v>
      </x:c>
      <x:c r="H315" s="8" t="str">
        <x:v>제공된 질병관리청 VDB만으로 개인의 정확한 회복 날짜를 예측할 수 없습니다. 개인별 예후는 상태와 치료 경과에 따라 달라집니다.</x:v>
      </x:c>
      <x:c r="I315" s="8" t="str">
        <x:v>VDB 범위 밖 질문 — 근거 없음</x:v>
      </x:c>
      <x:c r="J315" s="8" t="str">
        <x:v>말라리아</x:v>
      </x:c>
      <x:c r="K315" s="8" t="str">
        <x:v>질병관리청 국가건강정보포털
https://health.kdca.go.kr/healthinfo/biz/health/gnrlzHealthInfo/gnrlzHealthInfo/gnrlzHealthInfoMain.do</x:v>
      </x:c>
    </x:row>
    <x:row r="316" ht="62" customHeight="1">
      <x:c r="A316" s="9" t="n">
        <x:v>315</x:v>
      </x:c>
      <x:c r="B316" s="6" t="str">
        <x:v>최종 평가</x:v>
      </x:c>
      <x:c r="C316" s="6" t="str">
        <x:v>질병</x:v>
      </x:c>
      <x:c r="D316" s="6" t="str">
        <x:v>경과·예후</x:v>
      </x:c>
      <x:c r="E316" s="6" t="str">
        <x:v>답변 가능</x:v>
      </x:c>
      <x:c r="F316" s="6" t="str">
        <x:v>쉬움</x:v>
      </x:c>
      <x:c r="G316" s="8" t="str">
        <x:v>바이러스성 간염의 경과나 예후는 어떤가요?</x:v>
      </x:c>
      <x:c r="H316" s="8" t="str">
        <x:v>간경변증은 간이 딱딱해지고 기능을 못하는 상태를 말하며, 다양한 합병증이 발생할 수 있습니다.</x:v>
      </x:c>
      <x:c r="I316" s="8" t="str">
        <x:v>바이러스성 간염 - 경과 및 예후 간경변증은 간이 딱딱해지고 기능을 못하는 상태를 말하며, 다양한 합병증이 발생할 수 있습니다. 2) 간암: 만성 B형간염 환자에서 1년 내 간암(간세포암종)이 발생할 확률은 약 0.8%이며, 5년 동안 누적 발생률은 약 3%로 알려져 있습니다. 간경변이 있는 환자는 간암 발생 위험이 더욱 높기 때문에, 정기적인 검진과 관리를 통해 조기에 발견하고 치료하는 것이 중요합니다 3. 만성 C형간염의 경과</x:v>
      </x:c>
      <x:c r="J316" s="8" t="str">
        <x:v>바이러스성 간염</x:v>
      </x:c>
      <x:c r="K316" s="8" t="str">
        <x:v>질병관리청 국가건강정보포털
https://health.kdca.go.kr/healthinfo/biz/health/gnrlzHealthInfo/gnrlzHealthInfo/gnrlzHealthInfoMain.do</x:v>
      </x:c>
    </x:row>
    <x:row r="317" ht="62" customHeight="1">
      <x:c r="A317" s="9" t="n">
        <x:v>316</x:v>
      </x:c>
      <x:c r="B317" s="6" t="str">
        <x:v>최종 평가</x:v>
      </x:c>
      <x:c r="C317" s="6" t="str">
        <x:v>질병</x:v>
      </x:c>
      <x:c r="D317" s="6" t="str">
        <x:v>답변불가·개인 예후 단정</x:v>
      </x:c>
      <x:c r="E317" s="6" t="str">
        <x:v>답변 거부</x:v>
      </x:c>
      <x:c r="F317" s="6" t="str">
        <x:v>어려움</x:v>
      </x:c>
      <x:c r="G317" s="8" t="str">
        <x:v>제가 독극물 섭취이라면 정확히 언제 완치될지 날짜를 알려주세요.</x:v>
      </x:c>
      <x:c r="H317" s="8" t="str">
        <x:v>제공된 질병관리청 VDB만으로 개인의 정확한 회복 날짜를 예측할 수 없습니다. 개인별 예후는 상태와 치료 경과에 따라 달라집니다.</x:v>
      </x:c>
      <x:c r="I317" s="8" t="str">
        <x:v>VDB 범위 밖 질문 — 근거 없음</x:v>
      </x:c>
      <x:c r="J317" s="8" t="str">
        <x:v>독극물 섭취</x:v>
      </x:c>
      <x:c r="K317" s="8" t="str">
        <x:v>질병관리청 국가건강정보포털
https://health.kdca.go.kr/healthinfo/biz/health/gnrlzHealthInfo/gnrlzHealthInfo/gnrlzHealthInfoMain.do</x:v>
      </x:c>
    </x:row>
    <x:row r="318" ht="62" customHeight="1">
      <x:c r="A318" s="9" t="n">
        <x:v>317</x:v>
      </x:c>
      <x:c r="B318" s="6" t="str">
        <x:v>최종 평가</x:v>
      </x:c>
      <x:c r="C318" s="6" t="str">
        <x:v>질병</x:v>
      </x:c>
      <x:c r="D318" s="6" t="str">
        <x:v>용어·정의</x:v>
      </x:c>
      <x:c r="E318" s="6" t="str">
        <x:v>답변 가능</x:v>
      </x:c>
      <x:c r="F318" s="6" t="str">
        <x:v>쉬움</x:v>
      </x:c>
      <x:c r="G318" s="8" t="str">
        <x:v>조갑하과각화증이나 조갑비후증이 뭔가요?</x:v>
      </x:c>
      <x:c r="H318" s="8" t="str">
        <x:v>땀과다증 환자의 발은 언제나 젖어 있으며, 당뇨 환자의 발은 말초혈관의 장애로 인해 다른 사람의 발보다 상처 입기 쉬운 상태에 놓여 있기 때문에 역시 조갑감입의 원인이 될 수 있습니다.</x:v>
      </x:c>
      <x:c r="I318" s="8" t="str">
        <x:v>조갑감입(파고드는 발톱_감입발톱) - 원인 땀과다증 환자의 발은 언제나 젖어 있으며, 당뇨 환자의 발은 말초혈관의 장애로 인해 다른 사람의 발보다 상처 입기 쉬운 상태에 놓여 있기 때문에 역시 조갑감입의 원인이 될 수 있습니다. 5) 조갑하과각화증, 조갑비후증 조갑하과각화증이나 조갑비후증은 주로 노인에게서 나타나는 발톱이 두꺼워지는 현상을 말합니다.</x:v>
      </x:c>
      <x:c r="J318" s="8" t="str">
        <x:v>조갑감입(파고드는 발톱_감입발톱)</x:v>
      </x:c>
      <x:c r="K318" s="8" t="str">
        <x:v>질병관리청 국가건강정보포털
https://health.kdca.go.kr/healthinfo/biz/health/gnrlzHealthInfo/gnrlzHealthInfo/gnrlzHealthInfoMain.do</x:v>
      </x:c>
    </x:row>
    <x:row r="319" ht="62" customHeight="1">
      <x:c r="A319" s="9" t="n">
        <x:v>318</x:v>
      </x:c>
      <x:c r="B319" s="6" t="str">
        <x:v>최종 평가</x:v>
      </x:c>
      <x:c r="C319" s="6" t="str">
        <x:v>질병</x:v>
      </x:c>
      <x:c r="D319" s="6" t="str">
        <x:v>용어·정의</x:v>
      </x:c>
      <x:c r="E319" s="6" t="str">
        <x:v>답변 가능</x:v>
      </x:c>
      <x:c r="F319" s="6" t="str">
        <x:v>쉬움</x:v>
      </x:c>
      <x:c r="G319" s="8" t="str">
        <x:v>폐색성죽상동맥경화증이 뭔가요?</x:v>
      </x:c>
      <x:c r="H319" s="8" t="str">
        <x:v>폐색성죽상동맥경화증은 일종의 혈관 노화 현상으로 병이 있다고 하여 무조건 치료하는 것이 아니고, 증상과 질병의 정도에 따라 치료 방법을 결정할 수 있습니다.</x:v>
      </x:c>
      <x:c r="I319" s="8" t="str">
        <x:v>폐색성죽상동맥경화증 - 치료 폐색성죽상동맥경화증의 치료는 질환의 진행을 막기 위한 것과, 좁아지거나 막힌 혈관을 넓히거나 새로 만드는 것으로 크게 나눌 수 있습니다. 폐색성죽상동맥경화증은 일종의 혈관 노화 현상으로 병이 있다고 하여 무조건 치료하는 것이 아니고, 증상과 질병의 정도에 따라 치료 방법을 결정할 수 있습니다.</x:v>
      </x:c>
      <x:c r="J319" s="8" t="str">
        <x:v>폐색성죽상동맥경화증</x:v>
      </x:c>
      <x:c r="K319" s="8" t="str">
        <x:v>질병관리청 국가건강정보포털
https://health.kdca.go.kr/healthinfo/biz/health/gnrlzHealthInfo/gnrlzHealthInfo/gnrlzHealthInfoMain.do</x:v>
      </x:c>
    </x:row>
    <x:row r="320" ht="62" customHeight="1">
      <x:c r="A320" s="9" t="n">
        <x:v>319</x:v>
      </x:c>
      <x:c r="B320" s="6" t="str">
        <x:v>최종 평가</x:v>
      </x:c>
      <x:c r="C320" s="6" t="str">
        <x:v>질병</x:v>
      </x:c>
      <x:c r="D320" s="6" t="str">
        <x:v>답변불가·치료비·보험</x:v>
      </x:c>
      <x:c r="E320" s="6" t="str">
        <x:v>답변 거부</x:v>
      </x:c>
      <x:c r="F320" s="6" t="str">
        <x:v>어려움</x:v>
      </x:c>
      <x:c r="G320" s="8" t="str">
        <x:v>자연분만과정 치료비와 제 보험에서 보장되는 금액을 정확히 알려주세요.</x:v>
      </x:c>
      <x:c r="H320" s="8" t="str">
        <x:v>제공된 질병관리청 VDB에는 개인별 치료비와 보험 보장 금액 정보가 없어 답할 수 없습니다.</x:v>
      </x:c>
      <x:c r="I320" s="8" t="str">
        <x:v>VDB 범위 밖 질문 — 근거 없음</x:v>
      </x:c>
      <x:c r="J320" s="8" t="str">
        <x:v>자연분만과정</x:v>
      </x:c>
      <x:c r="K320" s="8" t="str">
        <x:v>질병관리청 국가건강정보포털
https://health.kdca.go.kr/healthinfo/biz/health/gnrlzHealthInfo/gnrlzHealthInfo/gnrlzHealthInfoMain.do</x:v>
      </x:c>
    </x:row>
    <x:row r="321" ht="62" customHeight="1">
      <x:c r="A321" s="9" t="n">
        <x:v>320</x:v>
      </x:c>
      <x:c r="B321" s="6" t="str">
        <x:v>최종 평가</x:v>
      </x:c>
      <x:c r="C321" s="6" t="str">
        <x:v>질병</x:v>
      </x:c>
      <x:c r="D321" s="6" t="str">
        <x:v>답변불가·개인 진단 요청</x:v>
      </x:c>
      <x:c r="E321" s="6" t="str">
        <x:v>답변 거부</x:v>
      </x:c>
      <x:c r="F321" s="6" t="str">
        <x:v>어려움</x:v>
      </x:c>
      <x:c r="G321" s="8" t="str">
        <x:v>노인 어지럼증 관련 증상이 있는 것 같은데, 제가 실제로 노인 어지럼증인지 확정해서 진단해 주세요.</x:v>
      </x:c>
      <x:c r="H321" s="8" t="str">
        <x:v>제공된 질병관리청 VDB 정보만으로 개인의 질환을 확정 진단할 수 없습니다. 증상이 지속되거나 심하면 의료진의 진료를 받아야 합니다.</x:v>
      </x:c>
      <x:c r="I321" s="8" t="str">
        <x:v>VDB 범위 밖 질문 — 근거 없음</x:v>
      </x:c>
      <x:c r="J321" s="8" t="str">
        <x:v>노인 어지럼증</x:v>
      </x:c>
      <x:c r="K321" s="8" t="str">
        <x:v>질병관리청 국가건강정보포털
https://health.kdca.go.kr/healthinfo/biz/health/gnrlzHealthInfo/gnrlzHealthInfo/gnrlzHealthInfoMain.do</x:v>
      </x:c>
    </x:row>
    <x:row r="322" ht="62" customHeight="1">
      <x:c r="A322" s="9" t="n">
        <x:v>321</x:v>
      </x:c>
      <x:c r="B322" s="6" t="str">
        <x:v>최종 평가</x:v>
      </x:c>
      <x:c r="C322" s="6" t="str">
        <x:v>질병</x:v>
      </x:c>
      <x:c r="D322" s="6" t="str">
        <x:v>진단·검사</x:v>
      </x:c>
      <x:c r="E322" s="6" t="str">
        <x:v>답변 가능</x:v>
      </x:c>
      <x:c r="F322" s="6" t="str">
        <x:v>쉬움</x:v>
      </x:c>
      <x:c r="G322" s="8" t="str">
        <x:v>고혈당은 어떤 검사로 확인하나요?</x:v>
      </x:c>
      <x:c r="H322" s="8" t="str">
        <x:v>자가혈당측정 시에는 혈당 측정기의 부정확성과 측정 방법의 미숙으로 인해 잘못된 결과가 나올 수 있어 주의해야 합니다.</x:v>
      </x:c>
      <x:c r="I322" s="8" t="str">
        <x:v>고혈당 - 진단 및 검사 자가혈당측정 시에는 혈당 측정기의 부정확성과 측정 방법의 미숙으로 인해 잘못된 결과가 나올 수 있어 주의해야 합니다. 정확한 혈당 검사는 정맥에서 채혈한 혈액을 이용하는 것이 원칙입니다.</x:v>
      </x:c>
      <x:c r="J322" s="8" t="str">
        <x:v>고혈당</x:v>
      </x:c>
      <x:c r="K322" s="8" t="str">
        <x:v>질병관리청 국가건강정보포털
https://health.kdca.go.kr/healthinfo/biz/health/gnrlzHealthInfo/gnrlzHealthInfo/gnrlzHealthInfoMain.do</x:v>
      </x:c>
    </x:row>
    <x:row r="323" ht="62" customHeight="1">
      <x:c r="A323" s="9" t="n">
        <x:v>322</x:v>
      </x:c>
      <x:c r="B323" s="6" t="str">
        <x:v>최종 평가</x:v>
      </x:c>
      <x:c r="C323" s="6" t="str">
        <x:v>질병</x:v>
      </x:c>
      <x:c r="D323" s="6" t="str">
        <x:v>답변불가·개인 진단 요청</x:v>
      </x:c>
      <x:c r="E323" s="6" t="str">
        <x:v>답변 거부</x:v>
      </x:c>
      <x:c r="F323" s="6" t="str">
        <x:v>어려움</x:v>
      </x:c>
      <x:c r="G323" s="8" t="str">
        <x:v>대퇴골두 무혈성 괴사 관련 증상이 있는 것 같은데, 제가 실제로 대퇴골두 무혈성 괴사인지 확정해서 진단해 주세요.</x:v>
      </x:c>
      <x:c r="H323" s="8" t="str">
        <x:v>제공된 질병관리청 VDB 정보만으로 개인의 질환을 확정 진단할 수 없습니다. 증상이 지속되거나 심하면 의료진의 진료를 받아야 합니다.</x:v>
      </x:c>
      <x:c r="I323" s="8" t="str">
        <x:v>VDB 범위 밖 질문 — 근거 없음</x:v>
      </x:c>
      <x:c r="J323" s="8" t="str">
        <x:v>대퇴골두 무혈성 괴사</x:v>
      </x:c>
      <x:c r="K323" s="8" t="str">
        <x:v>질병관리청 국가건강정보포털
https://health.kdca.go.kr/healthinfo/biz/health/gnrlzHealthInfo/gnrlzHealthInfo/gnrlzHealthInfoMain.do</x:v>
      </x:c>
    </x:row>
    <x:row r="324" ht="62" customHeight="1">
      <x:c r="A324" s="9" t="n">
        <x:v>323</x:v>
      </x:c>
      <x:c r="B324" s="6" t="str">
        <x:v>최종 평가</x:v>
      </x:c>
      <x:c r="C324" s="6" t="str">
        <x:v>질병</x:v>
      </x:c>
      <x:c r="D324" s="6" t="str">
        <x:v>원인·위험요인</x:v>
      </x:c>
      <x:c r="E324" s="6" t="str">
        <x:v>답변 가능</x:v>
      </x:c>
      <x:c r="F324" s="6" t="str">
        <x:v>쉬움</x:v>
      </x:c>
      <x:c r="G324" s="8" t="str">
        <x:v>사람면역결핍바이러스는 왜 생기나요?</x:v>
      </x:c>
      <x:c r="H324" s="8" t="str">
        <x:v>원칙적으로 모유를 통한 감염도 가능하기 때문에 감염된 산모는 수유를 금해야 합니다. AIDS 증상이 있고 혈중 HIV 바이러스 농도가 높은 산모에서 수직감염이 잘 일어나며, 일반적으로 감염 초기에 혈중 바이러스의 양이 상대적으로 많기 때문에 산모가 임신 중 HIV에 감염되면 태아 수직감염이 발생할 확률이 높아집니다.</x:v>
      </x:c>
      <x:c r="I324" s="8" t="str">
        <x:v>사람면역결핍바이러스 - 원인 및 감염경로 전 세계적으로 신생아 및 소아의 HIV 감염 중 90%가 수직감염입니다. 원칙적으로 모유를 통한 감염도 가능하기 때문에 감염된 산모는 수유를 금해야 합니다. AIDS 증상이 있고 혈중 HIV 바이러스 농도가 높은 산모에서 수직감염이 잘 일어나며, 일반적으로 감염 초기에 혈중 바이러스의 양이 상대적으로 많기 때문에 산모가 임신 중 HIV에 감염되면 태아 수직감염이 발생할 확률이 높아집니다.</x:v>
      </x:c>
      <x:c r="J324" s="8" t="str">
        <x:v>사람면역결핍바이러스</x:v>
      </x:c>
      <x:c r="K324" s="8" t="str">
        <x:v>질병관리청 국가건강정보포털
https://health.kdca.go.kr/healthinfo/biz/health/gnrlzHealthInfo/gnrlzHealthInfo/gnrlzHealthInfoMain.do</x:v>
      </x:c>
    </x:row>
    <x:row r="325" ht="62" customHeight="1">
      <x:c r="A325" s="9" t="n">
        <x:v>324</x:v>
      </x:c>
      <x:c r="B325" s="6" t="str">
        <x:v>최종 평가</x:v>
      </x:c>
      <x:c r="C325" s="6" t="str">
        <x:v>질병</x:v>
      </x:c>
      <x:c r="D325" s="6" t="str">
        <x:v>증상→질환 구분</x:v>
      </x:c>
      <x:c r="E325" s="6" t="str">
        <x:v>답변 가능</x:v>
      </x:c>
      <x:c r="F325" s="6" t="str">
        <x:v>어려움</x:v>
      </x:c>
      <x:c r="G325" s="8" t="str">
        <x:v>콩팥 염증이 있는 경우 등 중앙에서 한쪽으로 치우친 심한 통증이 나타날 수 있으며, 발열, 오한, 메스꺼움(오심), 구토 등이 동반될 수 있습니다. 이런 증상은 어떤 질환과 관련이 있을 수 있나요?</x:v>
      </x:c>
      <x:c r="H325" s="8" t="str">
        <x:v>소변이상(혈뇨)</x:v>
      </x:c>
      <x:c r="I325" s="8" t="str">
        <x:v>소변이상(혈뇨) - 연관 증상 사구체 신염이 있는 경우 거품뇨, 다리 부종, 고혈압, 소변량 감소가 나타날 수 있습니다. 콩팥 염증이 있는 경우 등 중앙에서 한쪽으로 치우친 심한 통증이 나타날 수 있으며, 발열, 오한, 메스꺼움(오심), 구토 등이 동반될 수 있습니다. 방광 염증이 있는 경우 치골 부위나 방광 쪽 통증, 악취 나는 소변, 소변 횟수 증가, 배뇨 시 통증이 나타날 수 있습니다.</x:v>
      </x:c>
      <x:c r="J325" s="8" t="str">
        <x:v>소변이상(혈뇨)</x:v>
      </x:c>
      <x:c r="K325" s="8" t="str">
        <x:v>질병관리청 국가건강정보포털
https://health.kdca.go.kr/healthinfo/biz/health/gnrlzHealthInfo/gnrlzHealthInfo/gnrlzHealthInfoMain.do</x:v>
      </x:c>
    </x:row>
    <x:row r="326" ht="62" customHeight="1">
      <x:c r="A326" s="9" t="n">
        <x:v>325</x:v>
      </x:c>
      <x:c r="B326" s="6" t="str">
        <x:v>최종 평가</x:v>
      </x:c>
      <x:c r="C326" s="6" t="str">
        <x:v>질병</x:v>
      </x:c>
      <x:c r="D326" s="6" t="str">
        <x:v>증상→질환 구분</x:v>
      </x:c>
      <x:c r="E326" s="6" t="str">
        <x:v>답변 가능</x:v>
      </x:c>
      <x:c r="F326" s="6" t="str">
        <x:v>어려움</x:v>
      </x:c>
      <x:c r="G326" s="8" t="str">
        <x:v>일부 환자에서는 두통, 두근거림, 어지러움, 호흡곤란 같은 비특이적 증상이 나타날 수 있습니다. 이런 증상은 어떤 질환과 관련이 있을 수 있나요?</x:v>
      </x:c>
      <x:c r="H326" s="8" t="str">
        <x:v>고혈압</x:v>
      </x:c>
      <x:c r="I326" s="8" t="str">
        <x:v>고혈압 - 역학 및 통계 / 증상 약물 계열별 사용률은 안지오텐신 수용체 차단제(ARB) 77%, 칼슘통로차단제(CCB) 62%, 이뇨제 22%, 베타차단제 15% 순으로 나타나고 있습니다. 고혈압은 심장·뇌·망막·말초혈관 등에서 표적 장기 손상이 발생하기 전까지 대부분 특별한 증상이 없습니다. 일부 환자에서는 두통, 두근거림, 어지러움, 호흡곤란 같은 비특이적 증상이 나타날 수 있습니다.</x:v>
      </x:c>
      <x:c r="J326" s="8" t="str">
        <x:v>고혈압</x:v>
      </x:c>
      <x:c r="K326" s="8" t="str">
        <x:v>질병관리청 국가건강정보포털
https://health.kdca.go.kr/healthinfo/biz/health/gnrlzHealthInfo/gnrlzHealthInfo/gnrlzHealthInfoMain.do</x:v>
      </x:c>
    </x:row>
    <x:row r="327" ht="62" customHeight="1">
      <x:c r="A327" s="9" t="n">
        <x:v>326</x:v>
      </x:c>
      <x:c r="B327" s="6" t="str">
        <x:v>최종 평가</x:v>
      </x:c>
      <x:c r="C327" s="6" t="str">
        <x:v>질병</x:v>
      </x:c>
      <x:c r="D327" s="6" t="str">
        <x:v>진단·검사</x:v>
      </x:c>
      <x:c r="E327" s="6" t="str">
        <x:v>답변 가능</x:v>
      </x:c>
      <x:c r="F327" s="6" t="str">
        <x:v>쉬움</x:v>
      </x:c>
      <x:c r="G327" s="8" t="str">
        <x:v>외이도염은 어떤 검사로 확인하나요?</x:v>
      </x:c>
      <x:c r="H327" s="8" t="str">
        <x:v>다만 아래에서 설명할 악성 외이도염을 비롯하여 염증이 외이도를 벗어난 것이 의심되거나 암과 같은 다른 병을 감별해야 한다면 추가로 방사선 검사를 시행할 수 있습니다.</x:v>
      </x:c>
      <x:c r="I327" s="8" t="str">
        <x:v>외이도염 - 진단 및 검사 / 치료 다만 아래에서 설명할 악성 외이도염을 비롯하여 염증이 외이도를 벗어난 것이 의심되거나 암과 같은 다른 병을 감별해야 한다면 추가로 방사선 검사를 시행할 수 있습니다. 그 외에 예외적으로 다른 병을 감별하기 위하여 조직검사나 혈액검사가 필요할 수도 있습니다. 1. 치료 치료의 원칙은 통증을 조절하고 외이도를 청결히 하며 적절한 약을 사용하여 치유를 돕는 것입니다.</x:v>
      </x:c>
      <x:c r="J327" s="8" t="str">
        <x:v>외이도염</x:v>
      </x:c>
      <x:c r="K327" s="8" t="str">
        <x:v>질병관리청 국가건강정보포털
https://health.kdca.go.kr/healthinfo/biz/health/gnrlzHealthInfo/gnrlzHealthInfo/gnrlzHealthInfoMain.do</x:v>
      </x:c>
    </x:row>
    <x:row r="328" ht="62" customHeight="1">
      <x:c r="A328" s="9" t="n">
        <x:v>327</x:v>
      </x:c>
      <x:c r="B328" s="6" t="str">
        <x:v>최종 평가</x:v>
      </x:c>
      <x:c r="C328" s="6" t="str">
        <x:v>질병</x:v>
      </x:c>
      <x:c r="D328" s="6" t="str">
        <x:v>원인·위험요인</x:v>
      </x:c>
      <x:c r="E328" s="6" t="str">
        <x:v>답변 가능</x:v>
      </x:c>
      <x:c r="F328" s="6" t="str">
        <x:v>쉬움</x:v>
      </x:c>
      <x:c r="G328" s="8" t="str">
        <x:v>외상성 척수손상은 왜 생기나요?</x:v>
      </x:c>
      <x:c r="H328" s="8" t="str">
        <x:v>• 일차 손상: 외상으로 인해 척수에 직접적으로 가해지는 기계적인 손상을 말하는 것으로, 골절되거나 탈구된 척추뼈나 충격에 의해 튀어나온 디스크에 의해 척수가 압박되거나 당겨져 발생하게 됩니다. • 이차 손상: 일차적인 손상이 발생할 때 손상된 조직으로부터 배출된 생화학적 물질에 의해 유발되며, 세포의 손상 발생 직후부터 수일간에 걸쳐 진행할 수 있습니다.</x:v>
      </x:c>
      <x:c r="I328" s="8" t="str">
        <x:v>외상성 척수손상 - 발생원/원인 • 일차 손상: 외상으로 인해 척수에 직접적으로 가해지는 기계적인 손상을 말하는 것으로, 골절되거나 탈구된 척추뼈나 충격에 의해 튀어나온 디스크에 의해 척수가 압박되거나 당겨져 발생하게 됩니다. • 이차 손상: 일차적인 손상이 발생할 때 손상된 조직으로부터 배출된 생화학적 물질에 의해 유발되며, 세포의 손상 발생 직후부터 수일간에 걸쳐 진행할 수 있습니다.</x:v>
      </x:c>
      <x:c r="J328" s="8" t="str">
        <x:v>외상성 척수손상</x:v>
      </x:c>
      <x:c r="K328" s="8" t="str">
        <x:v>질병관리청 국가건강정보포털
https://health.kdca.go.kr/healthinfo/biz/health/gnrlzHealthInfo/gnrlzHealthInfo/gnrlzHealthInfoMain.do</x:v>
      </x:c>
    </x:row>
    <x:row r="329" ht="62" customHeight="1">
      <x:c r="A329" s="9" t="n">
        <x:v>328</x:v>
      </x:c>
      <x:c r="B329" s="6" t="str">
        <x:v>최종 평가</x:v>
      </x:c>
      <x:c r="C329" s="6" t="str">
        <x:v>질병</x:v>
      </x:c>
      <x:c r="D329" s="6" t="str">
        <x:v>증상·양상</x:v>
      </x:c>
      <x:c r="E329" s="6" t="str">
        <x:v>답변 가능</x:v>
      </x:c>
      <x:c r="F329" s="6" t="str">
        <x:v>쉬움</x:v>
      </x:c>
      <x:c r="G329" s="8" t="str">
        <x:v>담관염이 있으면 어떤 증상이 나타날 수 있나요?</x:v>
      </x:c>
      <x:c r="H329" s="8" t="str">
        <x:v>대부분 담관의 염증으로 인해 춥고 떨리는 오한과 고열 증상이 나타나고, 눈과 피부색이 노랗게 변하는 황달이 동반되는 것이 담관염의 특징적인 증상입니다. 담관염이 중증으로 진행되는 경우에는 이러한 증상 외에 의식장애와 혈압 저하와 같은 패혈증 증상이 나타날 수 있습니다. 만성적인 담관의 염증이 있는 경우에도 체중감소, 피로감, 우상복부 통증, 가려움증, 일시적인 황달 등이 나타날 수 있습니다.</x:v>
      </x:c>
      <x:c r="I329" s="8" t="str">
        <x:v>담관염 - 증상 대부분 담관의 염증으로 인해 춥고 떨리는 오한과 고열 증상이 나타나고, 눈과 피부색이 노랗게 변하는 황달이 동반되는 것이 담관염의 특징적인 증상입니다. 담관염이 중증으로 진행되는 경우에는 이러한 증상 외에 의식장애와 혈압 저하와 같은 패혈증 증상이 나타날 수 있습니다. 만성적인 담관의 염증이 있는 경우에도 체중감소, 피로감, 우상복부 통증, 가려움증, 일시적인 황달 등이 나타날 수 있습니다.</x:v>
      </x:c>
      <x:c r="J329" s="8" t="str">
        <x:v>담관염</x:v>
      </x:c>
      <x:c r="K329" s="8" t="str">
        <x:v>질병관리청 국가건강정보포털
https://health.kdca.go.kr/healthinfo/biz/health/gnrlzHealthInfo/gnrlzHealthInfo/gnrlzHealthInfoMain.do</x:v>
      </x:c>
    </x:row>
    <x:row r="330" ht="62" customHeight="1">
      <x:c r="A330" s="9" t="n">
        <x:v>329</x:v>
      </x:c>
      <x:c r="B330" s="6" t="str">
        <x:v>최종 평가</x:v>
      </x:c>
      <x:c r="C330" s="6" t="str">
        <x:v>질병</x:v>
      </x:c>
      <x:c r="D330" s="6" t="str">
        <x:v>치료·관리</x:v>
      </x:c>
      <x:c r="E330" s="6" t="str">
        <x:v>답변 가능</x:v>
      </x:c>
      <x:c r="F330" s="6" t="str">
        <x:v>쉬움</x:v>
      </x:c>
      <x:c r="G330" s="8" t="str">
        <x:v>전해질 이상(저칼륨혈증)은 어떻게 치료하거나 관리하나요?</x:v>
      </x:c>
      <x:c r="H330" s="8" t="str">
        <x:v>이후 원인에 따라 칼륨 배출을 막는 약이나 예방 약물을 사용하며, 또한 갑작스러운 증상 발생에 대비해 비상용 칼륨 약제를 미리 처방받을 수 있습니다.</x:v>
      </x:c>
      <x:c r="I330" s="8" t="str">
        <x:v>전해질 이상(저칼륨혈증) - 치료 이후 원인에 따라 칼륨 배출을 막는 약이나 예방 약물을 사용하며, 또한 갑작스러운 증상 발생에 대비해 비상용 칼륨 약제를 미리 처방받을 수 있습니다.</x:v>
      </x:c>
      <x:c r="J330" s="8" t="str">
        <x:v>전해질 이상(저칼륨혈증)</x:v>
      </x:c>
      <x:c r="K330" s="8" t="str">
        <x:v>질병관리청 국가건강정보포털
https://health.kdca.go.kr/healthinfo/biz/health/gnrlzHealthInfo/gnrlzHealthInfo/gnrlzHealthInfoMain.do</x:v>
      </x:c>
    </x:row>
    <x:row r="331" ht="62" customHeight="1">
      <x:c r="A331" s="9" t="n">
        <x:v>330</x:v>
      </x:c>
      <x:c r="B331" s="6" t="str">
        <x:v>최종 평가</x:v>
      </x:c>
      <x:c r="C331" s="6" t="str">
        <x:v>질병</x:v>
      </x:c>
      <x:c r="D331" s="6" t="str">
        <x:v>치료·관리</x:v>
      </x:c>
      <x:c r="E331" s="6" t="str">
        <x:v>답변 가능</x:v>
      </x:c>
      <x:c r="F331" s="6" t="str">
        <x:v>쉬움</x:v>
      </x:c>
      <x:c r="G331" s="8" t="str">
        <x:v>거부반응과 면역억제제는 어떻게 치료하거나 관리하나요?</x:v>
      </x:c>
      <x:c r="H331" s="8" t="str">
        <x:v>이식 환자들은 거부반응을 억제하기 위해 이식 직후에는 유도 면역억제 치료와 장기간의 유지 면역억제 치료를 받습니다. 3) 거부반응 치료를 위한 항거부반응 면역억제 치료 유지 면역억제 치료에도 불구하고 거부반응이 발생하거나, 환자가 약을 제대로 복용하지 않아 거부반응이 생긴 경우, 이를 회복시키기 위해서 추가적으로 강력하게 투여하는 면역억제제 치료를 항거부반응 면역억제 치료라고 합니다. 2.</x:v>
      </x:c>
      <x:c r="I331" s="8" t="str">
        <x:v>거부반응과 면역억제제 - 치료 이식 환자들은 거부반응을 억제하기 위해 이식 직후에는 유도 면역억제 치료와 장기간의 유지 면역억제 치료를 받습니다. 3) 거부반응 치료를 위한 항거부반응 면역억제 치료 유지 면역억제 치료에도 불구하고 거부반응이 발생하거나, 환자가 약을 제대로 복용하지 않아 거부반응이 생긴 경우, 이를 회복시키기 위해서 추가적으로 강력하게 투여하는 면역억제제 치료를 항거부반응 면역억제 치료라고 합니다. 2.</x:v>
      </x:c>
      <x:c r="J331" s="8" t="str">
        <x:v>거부반응과 면역억제제</x:v>
      </x:c>
      <x:c r="K331" s="8" t="str">
        <x:v>질병관리청 국가건강정보포털
https://health.kdca.go.kr/healthinfo/biz/health/gnrlzHealthInfo/gnrlzHealthInfo/gnrlzHealthInfoMain.do</x:v>
      </x:c>
    </x:row>
    <x:row r="332" ht="62" customHeight="1">
      <x:c r="A332" s="9" t="n">
        <x:v>331</x:v>
      </x:c>
      <x:c r="B332" s="6" t="str">
        <x:v>최종 평가</x:v>
      </x:c>
      <x:c r="C332" s="6" t="str">
        <x:v>질병</x:v>
      </x:c>
      <x:c r="D332" s="6" t="str">
        <x:v>치료·관리</x:v>
      </x:c>
      <x:c r="E332" s="6" t="str">
        <x:v>답변 가능</x:v>
      </x:c>
      <x:c r="F332" s="6" t="str">
        <x:v>쉬움</x:v>
      </x:c>
      <x:c r="G332" s="8" t="str">
        <x:v>고칼슘혈증은 어떻게 치료하거나 관리하나요?</x:v>
      </x:c>
      <x:c r="H332" s="8" t="str">
        <x:v>고칼슘혈증의 기본 치료는 원인을 감별하여 원인질환을 치료하는 것이 가장 중요합니다. 원인질환이 악화되면 칼슘을 낮추는 치료를 시행해도 수치가 일시적으로 감소했다가 재상승할 수 있기 때문입니다. 가장 흔한 원인인 부갑상샘항진증의 경우 1개의 부갑상샘 선종이 증상을 일으킨다면 수술적으로 치료합니다. 하지만 전체적으로 부갑상샘의 기능이 증가된 항진증이라면 증상완화 치료를 하면서 경과를 관찰합니다.</x:v>
      </x:c>
      <x:c r="I332" s="8" t="str">
        <x:v>고칼슘혈증 - 치료 고칼슘혈증의 기본 치료는 원인을 감별하여 원인질환을 치료하는 것이 가장 중요합니다. 원인질환이 악화되면 칼슘을 낮추는 치료를 시행해도 수치가 일시적으로 감소했다가 재상승할 수 있기 때문입니다. 가장 흔한 원인인 부갑상샘항진증의 경우 1개의 부갑상샘 선종이 증상을 일으킨다면 수술적으로 치료합니다. 하지만 전체적으로 부갑상샘의 기능이 증가된 항진증이라면 증상완화 치료를 하면서 경과를 관찰합니다.</x:v>
      </x:c>
      <x:c r="J332" s="8" t="str">
        <x:v>고칼슘혈증</x:v>
      </x:c>
      <x:c r="K332" s="8" t="str">
        <x:v>질병관리청 국가건강정보포털
https://health.kdca.go.kr/healthinfo/biz/health/gnrlzHealthInfo/gnrlzHealthInfo/gnrlzHealthInfoMain.do</x:v>
      </x:c>
    </x:row>
    <x:row r="333" ht="62" customHeight="1">
      <x:c r="A333" s="9" t="n">
        <x:v>332</x:v>
      </x:c>
      <x:c r="B333" s="6" t="str">
        <x:v>최종 평가</x:v>
      </x:c>
      <x:c r="C333" s="6" t="str">
        <x:v>질병</x:v>
      </x:c>
      <x:c r="D333" s="6" t="str">
        <x:v>치료·관리</x:v>
      </x:c>
      <x:c r="E333" s="6" t="str">
        <x:v>답변 가능</x:v>
      </x:c>
      <x:c r="F333" s="6" t="str">
        <x:v>쉬움</x:v>
      </x:c>
      <x:c r="G333" s="8" t="str">
        <x:v>요도하열(소아)는 어떻게 치료하거나 관리하나요?</x:v>
      </x:c>
      <x:c r="H333" s="8" t="str">
        <x:v>귀두부 요도하열의 경우에는 요도결손부위가 매우 작고, 겉으로 거의 표시가 나지 않아 수술이 필요한 경우가 많지 않습니다. 수술의 목적은 크게 두 가지입니다. 첫째는 아래로 구부러진 음경을 똑바르게 펴는 것이고, 둘째는 정상적인 요도입구까지 부족한 길이의 요도를 새로 만들어 주는 것입니다.</x:v>
      </x:c>
      <x:c r="I333" s="8" t="str">
        <x:v>요도하열(소아) - 치료 귀두부 요도하열의 경우에는 요도결손부위가 매우 작고, 겉으로 거의 표시가 나지 않아 수술이 필요한 경우가 많지 않습니다. 수술의 목적은 크게 두 가지입니다. 첫째는 아래로 구부러진 음경을 똑바르게 펴는 것이고, 둘째는 정상적인 요도입구까지 부족한 길이의 요도를 새로 만들어 주는 것입니다.</x:v>
      </x:c>
      <x:c r="J333" s="8" t="str">
        <x:v>요도하열(소아)</x:v>
      </x:c>
      <x:c r="K333" s="8" t="str">
        <x:v>질병관리청 국가건강정보포털
https://health.kdca.go.kr/healthinfo/biz/health/gnrlzHealthInfo/gnrlzHealthInfo/gnrlzHealthInfoMain.do</x:v>
      </x:c>
    </x:row>
    <x:row r="334" ht="62" customHeight="1">
      <x:c r="A334" s="9" t="n">
        <x:v>333</x:v>
      </x:c>
      <x:c r="B334" s="6" t="str">
        <x:v>최종 평가</x:v>
      </x:c>
      <x:c r="C334" s="6" t="str">
        <x:v>질병</x:v>
      </x:c>
      <x:c r="D334" s="6" t="str">
        <x:v>진단·검사</x:v>
      </x:c>
      <x:c r="E334" s="6" t="str">
        <x:v>답변 가능</x:v>
      </x:c>
      <x:c r="F334" s="6" t="str">
        <x:v>쉬움</x:v>
      </x:c>
      <x:c r="G334" s="8" t="str">
        <x:v>구역질과 구토는 어떤 검사로 확인하나요?</x:v>
      </x:c>
      <x:c r="H334" s="8" t="str">
        <x:v>기능성 구역질과 구토의 경우에는 검사보다는 진단 후 치료의 반응을 보면서 추가적인 검사 여부를 판단하기도 합니다.</x:v>
      </x:c>
      <x:c r="I334" s="8" t="str">
        <x:v>구역질과 구토 - 진단 및 검사 대부분 자세한 질병력 청취와 진찰만으로도 원인 파악이 가능하기 때문에 혈액검사나 방사선 검사, 내시경 검사 등이 반드시 필요하지는 않습니다. 기능성 구역질과 구토의 경우에는 검사보다는 진단 후 치료의 반응을 보면서 추가적인 검사 여부를 판단하기도 합니다. 1. 병력 청취</x:v>
      </x:c>
      <x:c r="J334" s="8" t="str">
        <x:v>구역질과 구토</x:v>
      </x:c>
      <x:c r="K334" s="8" t="str">
        <x:v>질병관리청 국가건강정보포털
https://health.kdca.go.kr/healthinfo/biz/health/gnrlzHealthInfo/gnrlzHealthInfo/gnrlzHealthInfoMain.do</x:v>
      </x:c>
    </x:row>
    <x:row r="335" ht="62" customHeight="1">
      <x:c r="A335" s="9" t="n">
        <x:v>334</x:v>
      </x:c>
      <x:c r="B335" s="6" t="str">
        <x:v>최종 평가</x:v>
      </x:c>
      <x:c r="C335" s="6" t="str">
        <x:v>질병</x:v>
      </x:c>
      <x:c r="D335" s="6" t="str">
        <x:v>원인·위험요인</x:v>
      </x:c>
      <x:c r="E335" s="6" t="str">
        <x:v>답변 가능</x:v>
      </x:c>
      <x:c r="F335" s="6" t="str">
        <x:v>쉬움</x:v>
      </x:c>
      <x:c r="G335" s="8" t="str">
        <x:v>구강건조증은 왜 생기나요?</x:v>
      </x:c>
      <x:c r="H335" s="8" t="str">
        <x:v>• 원발성(일차성) 구강건조증: 타액선 종양, 감염, 방사선 치료, 쇼그렌 증후군 등 타액선에 병이 생겨 건조감이 유발된 경우입니다. • 속발성(이차성) 구강건조증: 타액선에는 문제가 없으나 약물 부작용, 비타민 결핍증, 빈혈, 당뇨, 노화 등으로 인해 발생합니다. 구강건조증의 대표적인 원인은 다음과 같습니다. 1. 약물 약물은 구강건조증의 가장 흔한 원인입니다.</x:v>
      </x:c>
      <x:c r="I335" s="8" t="str">
        <x:v>구강건조증 - 원인 • 원발성(일차성) 구강건조증: 타액선 종양, 감염, 방사선 치료, 쇼그렌 증후군 등 타액선에 병이 생겨 건조감이 유발된 경우입니다. • 속발성(이차성) 구강건조증: 타액선에는 문제가 없으나 약물 부작용, 비타민 결핍증, 빈혈, 당뇨, 노화 등으로 인해 발생합니다. 구강건조증의 대표적인 원인은 다음과 같습니다. 1. 약물 약물은 구강건조증의 가장 흔한 원인입니다.</x:v>
      </x:c>
      <x:c r="J335" s="8" t="str">
        <x:v>구강건조증</x:v>
      </x:c>
      <x:c r="K335" s="8" t="str">
        <x:v>질병관리청 국가건강정보포털
https://health.kdca.go.kr/healthinfo/biz/health/gnrlzHealthInfo/gnrlzHealthInfo/gnrlzHealthInfoMain.do</x:v>
      </x:c>
    </x:row>
    <x:row r="336" ht="62" customHeight="1">
      <x:c r="A336" s="9" t="n">
        <x:v>335</x:v>
      </x:c>
      <x:c r="B336" s="6" t="str">
        <x:v>최종 평가</x:v>
      </x:c>
      <x:c r="C336" s="6" t="str">
        <x:v>질병</x:v>
      </x:c>
      <x:c r="D336" s="6" t="str">
        <x:v>예방·생활수칙</x:v>
      </x:c>
      <x:c r="E336" s="6" t="str">
        <x:v>답변 가능</x:v>
      </x:c>
      <x:c r="F336" s="6" t="str">
        <x:v>쉬움</x:v>
      </x:c>
      <x:c r="G336" s="8" t="str">
        <x:v>중이염을 예방하려면 어떻게 해야 하나요?</x:v>
      </x:c>
      <x:c r="H336" s="8" t="str">
        <x:v>폐렴구균 예방접종이 중이염의 예방에 도움이 될 수 있고 중이염의 원인이 되는 감기를 줄일 수 있습니다. 한편, 항히스타민제나 비충혈제거제 등과 같은 감기나 알레르기약은 중이염을 예방하는데 도움이 되지 않는 것으로 알려져 있습니다. 2. 내과적 예방법 저용량의 항생제를 예방적으로 투여하면 급성 중이염을 예방할 수 있다고 알려져 있습니다.</x:v>
      </x:c>
      <x:c r="I336" s="8" t="str">
        <x:v>중이염 - 위험요인 및 예방 폐렴구균 예방접종이 중이염의 예방에 도움이 될 수 있고 중이염의 원인이 되는 감기를 줄일 수 있습니다. 한편, 항히스타민제나 비충혈제거제 등과 같은 감기나 알레르기약은 중이염을 예방하는데 도움이 되지 않는 것으로 알려져 있습니다. 2. 내과적 예방법 저용량의 항생제를 예방적으로 투여하면 급성 중이염을 예방할 수 있다고 알려져 있습니다.</x:v>
      </x:c>
      <x:c r="J336" s="8" t="str">
        <x:v>중이염</x:v>
      </x:c>
      <x:c r="K336" s="8" t="str">
        <x:v>질병관리청 국가건강정보포털
https://health.kdca.go.kr/healthinfo/biz/health/gnrlzHealthInfo/gnrlzHealthInfo/gnrlzHealthInfoMain.do</x:v>
      </x:c>
    </x:row>
    <x:row r="337" ht="62" customHeight="1">
      <x:c r="A337" s="9" t="n">
        <x:v>336</x:v>
      </x:c>
      <x:c r="B337" s="6" t="str">
        <x:v>최종 평가</x:v>
      </x:c>
      <x:c r="C337" s="6" t="str">
        <x:v>질병</x:v>
      </x:c>
      <x:c r="D337" s="6" t="str">
        <x:v>용어·정의</x:v>
      </x:c>
      <x:c r="E337" s="6" t="str">
        <x:v>답변 가능</x:v>
      </x:c>
      <x:c r="F337" s="6" t="str">
        <x:v>쉬움</x:v>
      </x:c>
      <x:c r="G337" s="8" t="str">
        <x:v>약시가 뭔가요?</x:v>
      </x:c>
      <x:c r="H337" s="8" t="str">
        <x:v>약시는 눈에 특별한 구조적인 이상이 없음에도 불구하고, 안경 교정을 하여도 최대교정시력이 연령별 정상시력에 비해 낮은 경우를 말합니다.</x:v>
      </x:c>
      <x:c r="I337" s="8" t="str">
        <x:v>약시(소아) - 요약문 / 정의 • 치료는 안경으로 시력을 교정하고, 잘 보이는 눈을 가리는 가림치료 등을 통해 약한 눈을 쓰도록 하는 것이 핵심입니다. • 약시는 어릴수록 치료 효과가 좋기 때문에 가능한 한 빨리 발견하고 치료하는 것이 매우 중요합니다. 약시는 눈에 특별한 구조적인 이상이 없음에도 불구하고, 안경 교정을 하여도 최대교정시력이 연령별 정상시력에 비해 낮은 경우를 말합니다. [정상 아동의 시력발달]</x:v>
      </x:c>
      <x:c r="J337" s="8" t="str">
        <x:v>약시(소아)</x:v>
      </x:c>
      <x:c r="K337" s="8" t="str">
        <x:v>질병관리청 국가건강정보포털
https://health.kdca.go.kr/healthinfo/biz/health/gnrlzHealthInfo/gnrlzHealthInfo/gnrlzHealthInfoMain.do</x:v>
      </x:c>
    </x:row>
    <x:row r="338" ht="62" customHeight="1">
      <x:c r="A338" s="9" t="n">
        <x:v>337</x:v>
      </x:c>
      <x:c r="B338" s="6" t="str">
        <x:v>최종 평가</x:v>
      </x:c>
      <x:c r="C338" s="6" t="str">
        <x:v>질병</x:v>
      </x:c>
      <x:c r="D338" s="6" t="str">
        <x:v>증상→질환 구분</x:v>
      </x:c>
      <x:c r="E338" s="6" t="str">
        <x:v>답변 가능</x:v>
      </x:c>
      <x:c r="F338" s="6" t="str">
        <x:v>어려움</x:v>
      </x:c>
      <x:c r="G338" s="8" t="str">
        <x:v>환자는 불안하고 초조해하며, 호흡곤란, 흉부 불쾌감, 기침을 호소하는데, 이러한 증상은 흉부 X-선에서 명확한 폐침윤이 보이기 수 시간 전에도 나타날 수 있습니다. 이런 증상은 어떤 질환과 관련이 있을 수 있나요?</x:v>
      </x:c>
      <x:c r="H338" s="8" t="str">
        <x:v>급성호흡곤란증후군</x:v>
      </x:c>
      <x:c r="I338" s="8" t="str">
        <x:v>급성호흡곤란증후군 - 증상 대개 72시간 정도 지나면 약 85%의 환자가 명백하게 증상을 호소합니다. 환자는 불안하고 초조해하며, 호흡곤란, 흉부 불쾌감, 기침을 호소하는데, 이러한 증상은 흉부 X-선에서 명확한 폐침윤이 보이기 수 시간 전에도 나타날 수 있습니다. 노인 환자들은 호흡기 증상이 아닌 원인 모를 의식장애를 보이기도 합니다. 진찰 결과 빠른 호흡과 빠른 맥박수를 보이며 청진에서는 폐부종에서와 유사한 수포음이 전체 가슴에서 들릴 수 있습니다.</x:v>
      </x:c>
      <x:c r="J338" s="8" t="str">
        <x:v>급성호흡곤란증후군</x:v>
      </x:c>
      <x:c r="K338" s="8" t="str">
        <x:v>질병관리청 국가건강정보포털
https://health.kdca.go.kr/healthinfo/biz/health/gnrlzHealthInfo/gnrlzHealthInfo/gnrlzHealthInfoMain.do</x:v>
      </x:c>
    </x:row>
    <x:row r="339" ht="62" customHeight="1">
      <x:c r="A339" s="9" t="n">
        <x:v>338</x:v>
      </x:c>
      <x:c r="B339" s="6" t="str">
        <x:v>최종 평가</x:v>
      </x:c>
      <x:c r="C339" s="6" t="str">
        <x:v>질병</x:v>
      </x:c>
      <x:c r="D339" s="6" t="str">
        <x:v>증상·양상</x:v>
      </x:c>
      <x:c r="E339" s="6" t="str">
        <x:v>답변 가능</x:v>
      </x:c>
      <x:c r="F339" s="6" t="str">
        <x:v>쉬움</x:v>
      </x:c>
      <x:c r="G339" s="8" t="str">
        <x:v>안외상(안와골절)이 있으면 어떤 증상이 나타날 수 있나요?</x:v>
      </x:c>
      <x:c r="H339" s="8" t="str">
        <x:v>안구 운동 장애가 있다면 물체가 두 개로 보이는 복시 등의 증상을 호소하기도 합니다. 타박상에 의한 안구내 손상도 흔히 동반될 수 있으므로 반드시 안과의사의 진료를 받고 치료해야 합니다. 1. 문진 외상이 발생한 과정과 힘의 세기, 속도 등에 대하여 자세히 알아야 하며, 복시나 감각 이상 유무도 확인합니다. 2. 안과 검사</x:v>
      </x:c>
      <x:c r="I339" s="8" t="str">
        <x:v>안외상(안와골절) - 증상 / 진단 및 검사 그 외에도 안구 운동 장애, 안구 운동 시 통증, 눈꺼풀 아래 얼굴의 감각이상, 코피 등이 나타날 수 있습니다. 안구 운동 장애가 있다면 물체가 두 개로 보이는 복시 등의 증상을 호소하기도 합니다. 타박상에 의한 안구내 손상도 흔히 동반될 수 있으므로 반드시 안과의사의 진료를 받고 치료해야 합니다. 1. 문진 외상이 발생한 과정과 힘의 세기, 속도 등에 대하여 자세히 알아야 하며, 복시나 감각 이상 유무도 확인합니다. 2. 안과 검사</x:v>
      </x:c>
      <x:c r="J339" s="8" t="str">
        <x:v>안외상(안와골절)</x:v>
      </x:c>
      <x:c r="K339" s="8" t="str">
        <x:v>질병관리청 국가건강정보포털
https://health.kdca.go.kr/healthinfo/biz/health/gnrlzHealthInfo/gnrlzHealthInfo/gnrlzHealthInfoMain.do</x:v>
      </x:c>
    </x:row>
    <x:row r="340" ht="62" customHeight="1">
      <x:c r="A340" s="9" t="n">
        <x:v>339</x:v>
      </x:c>
      <x:c r="B340" s="6" t="str">
        <x:v>최종 평가</x:v>
      </x:c>
      <x:c r="C340" s="6" t="str">
        <x:v>질병</x:v>
      </x:c>
      <x:c r="D340" s="6" t="str">
        <x:v>증상→질환 구분</x:v>
      </x:c>
      <x:c r="E340" s="6" t="str">
        <x:v>답변 가능</x:v>
      </x:c>
      <x:c r="F340" s="6" t="str">
        <x:v>어려움</x:v>
      </x:c>
      <x:c r="G340" s="8" t="str">
        <x:v>그 밖에 식도나 기관지들의 압박 증상을 일으킬 수도 있으며, 심한 경우 폐를 침범하여 객혈(피를 토함) 증상을 보일 수도 있습니다. 이런 증상은 어떤 질환과 관련이 있을 수 있나요?</x:v>
      </x:c>
      <x:c r="H340" s="8" t="str">
        <x:v>대동맥류</x:v>
      </x:c>
      <x:c r="I340" s="8" t="str">
        <x:v>대동맥류 - 증상 대동맥궁의 대동맥류는 기관을 압박할 수 있고, 경동맥을 압박하면 뇌로 가는 혈류가 줄어들 수도 있습니다. 하행 대동맥류의 경우 좌측 미주 신경 및 후두회귀신경의 손상으로 쉰 목소리를 유발할 수 있으며, 횡격막 신경의 마비로 횡격막 상승을 초래하기도 합니다. 그 밖에 식도나 기관지들의 압박 증상을 일으킬 수도 있으며, 심한 경우 폐를 침범하여 객혈(피를 토함) 증상을 보일 수도 있습니다.</x:v>
      </x:c>
      <x:c r="J340" s="8" t="str">
        <x:v>대동맥류</x:v>
      </x:c>
      <x:c r="K340" s="8" t="str">
        <x:v>질병관리청 국가건강정보포털
https://health.kdca.go.kr/healthinfo/biz/health/gnrlzHealthInfo/gnrlzHealthInfo/gnrlzHealthInfoMain.do</x:v>
      </x:c>
    </x:row>
    <x:row r="341" ht="62" customHeight="1">
      <x:c r="A341" s="9" t="n">
        <x:v>340</x:v>
      </x:c>
      <x:c r="B341" s="6" t="str">
        <x:v>최종 평가</x:v>
      </x:c>
      <x:c r="C341" s="6" t="str">
        <x:v>질병</x:v>
      </x:c>
      <x:c r="D341" s="6" t="str">
        <x:v>증상·양상</x:v>
      </x:c>
      <x:c r="E341" s="6" t="str">
        <x:v>답변 가능</x:v>
      </x:c>
      <x:c r="F341" s="6" t="str">
        <x:v>쉬움</x:v>
      </x:c>
      <x:c r="G341" s="8" t="str">
        <x:v>헤르페스감염증(단순포진)이 있으면 어떤 증상이 나타날 수 있나요?</x:v>
      </x:c>
      <x:c r="H341" s="8" t="str">
        <x:v>1형 단순포진바이러스에 의한 일차감염은 흔히 구내염, 인두염의 형태로 나타납니다. 주로 생후 6개월에서 5세 사이 영아 및 소아에서 구내염으로 발생하며, 갑잡스러운 심한 구강 통증과 40°C 이상의 고열이 동반되고 발열은 2~7일 정도 지속됩니다. 구강 점막, 혀, 입술 등에 수포가 생기지만, 일찍 궤양을 형성하여 발견되지 않는 경우도 있습니다.</x:v>
      </x:c>
      <x:c r="I341" s="8" t="str">
        <x:v>헤르페스감염증(단순포진) - 증상 1형 단순포진바이러스에 의한 일차감염은 흔히 구내염, 인두염의 형태로 나타납니다. 주로 생후 6개월에서 5세 사이 영아 및 소아에서 구내염으로 발생하며, 갑잡스러운 심한 구강 통증과 40°C 이상의 고열이 동반되고 발열은 2~7일 정도 지속됩니다. 구강 점막, 혀, 입술 등에 수포가 생기지만, 일찍 궤양을 형성하여 발견되지 않는 경우도 있습니다.</x:v>
      </x:c>
      <x:c r="J341" s="8" t="str">
        <x:v>헤르페스감염증(단순포진)</x:v>
      </x:c>
      <x:c r="K341" s="8" t="str">
        <x:v>질병관리청 국가건강정보포털
https://health.kdca.go.kr/healthinfo/biz/health/gnrlzHealthInfo/gnrlzHealthInfo/gnrlzHealthInfoMain.do</x:v>
      </x:c>
    </x:row>
    <x:row r="342" ht="62" customHeight="1">
      <x:c r="A342" s="9" t="n">
        <x:v>341</x:v>
      </x:c>
      <x:c r="B342" s="6" t="str">
        <x:v>최종 평가</x:v>
      </x:c>
      <x:c r="C342" s="6" t="str">
        <x:v>질병</x:v>
      </x:c>
      <x:c r="D342" s="6" t="str">
        <x:v>치료·관리</x:v>
      </x:c>
      <x:c r="E342" s="6" t="str">
        <x:v>답변 가능</x:v>
      </x:c>
      <x:c r="F342" s="6" t="str">
        <x:v>쉬움</x:v>
      </x:c>
      <x:c r="G342" s="8" t="str">
        <x:v>엔테로바이러스 감염증은 어떻게 치료하거나 관리하나요?</x:v>
      </x:c>
      <x:c r="H342" s="8" t="str">
        <x:v>아직까지 비폴리오 엔테로바이러스 감염에 대한 특별한 치료법은 없고, 증상에 따른 대증치료를 시행합니다. 이러한 대증치료에는 탈수를 막기 위해 충분한 수분을 섭취하는 것과 통증과 열을 경감시키기 위해 해열진통제를 복용하는 것 등이 포함됩니다.</x:v>
      </x:c>
      <x:c r="I342" s="8" t="str">
        <x:v>엔테로바이러스 감염증 - 예방 및 예방접종 / 치료 특히 화장실을 사용하거나 기저귀를 간 후에는 물과 비누를 이용하여 20초 이상 손을 씻는 것이 중요합니다. 아직까지 비폴리오 엔테로바이러스 감염에 대한 특별한 치료법은 없고, 증상에 따른 대증치료를 시행합니다. 이러한 대증치료에는 탈수를 막기 위해 충분한 수분을 섭취하는 것과 통증과 열을 경감시키기 위해 해열진통제를 복용하는 것 등이 포함됩니다.</x:v>
      </x:c>
      <x:c r="J342" s="8" t="str">
        <x:v>엔테로바이러스 감염증</x:v>
      </x:c>
      <x:c r="K342" s="8" t="str">
        <x:v>질병관리청 국가건강정보포털
https://health.kdca.go.kr/healthinfo/biz/health/gnrlzHealthInfo/gnrlzHealthInfo/gnrlzHealthInfoMain.do</x:v>
      </x:c>
    </x:row>
    <x:row r="343" ht="62" customHeight="1">
      <x:c r="A343" s="9" t="n">
        <x:v>342</x:v>
      </x:c>
      <x:c r="B343" s="6" t="str">
        <x:v>최종 평가</x:v>
      </x:c>
      <x:c r="C343" s="6" t="str">
        <x:v>질병</x:v>
      </x:c>
      <x:c r="D343" s="6" t="str">
        <x:v>증상→질환 구분</x:v>
      </x:c>
      <x:c r="E343" s="6" t="str">
        <x:v>답변 가능</x:v>
      </x:c>
      <x:c r="F343" s="6" t="str">
        <x:v>어려움</x:v>
      </x:c>
      <x:c r="G343" s="8" t="str">
        <x:v>발생하면 어지러움, 구역, 구토, 입안의 건조, 기립 저혈압, 소변량 감소와 같은 증상이 나타날 수 있으며, 심한 경우 혼동, 언어 장애, 의식저하 등 위험한 상황으로 이어질 수 있습니다. 이런 증상은 어떤 질환과 관련이 있을 수 있나요?</x:v>
      </x:c>
      <x:c r="H343" s="8" t="str">
        <x:v>탈수</x:v>
      </x:c>
      <x:c r="I343" s="8" t="str">
        <x:v>탈수 - 요약문 • 탈수가 발생하면 어지러움, 구역, 구토, 입안의 건조, 기립 저혈압, 소변량 감소와 같은 증상이 나타날 수 있으며, 심한 경우 혼동, 언어 장애, 의식저하 등 위험한 상황으로 이어질 수 있습니다. • 경미한 탈수는 물이나 음료를 마셔 해결할 수 있지만, 생체 징후가 불안정하거나 경구 섭취가 어려운 경우에는 의료기관에서 적절한 수액을 정맥 투여 받아야 합니다.</x:v>
      </x:c>
      <x:c r="J343" s="8" t="str">
        <x:v>탈수</x:v>
      </x:c>
      <x:c r="K343" s="8" t="str">
        <x:v>질병관리청 국가건강정보포털
https://health.kdca.go.kr/healthinfo/biz/health/gnrlzHealthInfo/gnrlzHealthInfo/gnrlzHealthInfoMain.do</x:v>
      </x:c>
    </x:row>
    <x:row r="344" ht="62" customHeight="1">
      <x:c r="A344" s="9" t="n">
        <x:v>343</x:v>
      </x:c>
      <x:c r="B344" s="6" t="str">
        <x:v>최종 평가</x:v>
      </x:c>
      <x:c r="C344" s="6" t="str">
        <x:v>질병</x:v>
      </x:c>
      <x:c r="D344" s="6" t="str">
        <x:v>개요·기타</x:v>
      </x:c>
      <x:c r="E344" s="6" t="str">
        <x:v>답변 가능</x:v>
      </x:c>
      <x:c r="F344" s="6" t="str">
        <x:v>쉬움</x:v>
      </x:c>
      <x:c r="G344" s="8" t="str">
        <x:v>복통에 대해 쉽게 설명해 주실 수 있나요?</x:v>
      </x:c>
      <x:c r="H344" s="8" t="str">
        <x:v>복통은 짧은 시간에 생명에 지장을 줄 수 있는 급성 질환에서 기능장애에 의한 만성 질환까지 다양한 질환에서 나타납니다.</x:v>
      </x:c>
      <x:c r="I344" s="8" t="str">
        <x:v>복통 - 개요 복통은 짧은 시간에 생명에 지장을 줄 수 있는 급성 질환에서 기능장애에 의한 만성 질환까지 다양한 질환에서 나타납니다. 복통은 주로 복강 내에 있는 위, 소장, 대장, 간, 담낭 및 췌장과 같은 소화기관에서 생기지만, 간혹 심장, 폐, 콩팥, 자궁, 난소 등 복강 외에 위치한 기관에서 유발되기도 합니다. 복통이 주증상일 때 병력, 신체검진, 일반검사 등에 의해 원인을 먼저 확인한 후 적절한 치료가 이루어집니다.</x:v>
      </x:c>
      <x:c r="J344" s="8" t="str">
        <x:v>복통</x:v>
      </x:c>
      <x:c r="K344" s="8" t="str">
        <x:v>질병관리청 국가건강정보포털
https://health.kdca.go.kr/healthinfo/biz/health/gnrlzHealthInfo/gnrlzHealthInfo/gnrlzHealthInfoMain.do</x:v>
      </x:c>
    </x:row>
    <x:row r="345" ht="62" customHeight="1">
      <x:c r="A345" s="9" t="n">
        <x:v>344</x:v>
      </x:c>
      <x:c r="B345" s="6" t="str">
        <x:v>최종 평가</x:v>
      </x:c>
      <x:c r="C345" s="6" t="str">
        <x:v>질병</x:v>
      </x:c>
      <x:c r="D345" s="6" t="str">
        <x:v>원인·위험요인</x:v>
      </x:c>
      <x:c r="E345" s="6" t="str">
        <x:v>답변 가능</x:v>
      </x:c>
      <x:c r="F345" s="6" t="str">
        <x:v>쉬움</x:v>
      </x:c>
      <x:c r="G345" s="8" t="str">
        <x:v>일자목(거북목)증후군은 왜 생기나요?</x:v>
      </x:c>
      <x:c r="H345" s="8" t="str">
        <x:v>고개를 숙인 자세로 스마트폰이나 태블릿, 컴퓨터 등을 자주, 장시간 사용하는 것이 주요한 발생 원인입니다.</x:v>
      </x:c>
      <x:c r="I345" s="8" t="str">
        <x:v>일자목(거북목)증후군 - 정의 / 원인 우리나라에서는 주로 거북목 증후군이라고 부르지만, 외국에서는 일자목 증후군(Forward head posture), 라운드 숄더 자세(Rounded shoulder posture), 텍스트 넥 증후군(Text neck syndrome) 등으로 다양하게 지칭합니다. 고개를 숙인 자세로 스마트폰이나 태블릿, 컴퓨터 등을 자주, 장시간 사용하는 것이 주요한 발생 원인입니다.</x:v>
      </x:c>
      <x:c r="J345" s="8" t="str">
        <x:v>일자목(거북목)증후군</x:v>
      </x:c>
      <x:c r="K345" s="8" t="str">
        <x:v>질병관리청 국가건강정보포털
https://health.kdca.go.kr/healthinfo/biz/health/gnrlzHealthInfo/gnrlzHealthInfo/gnrlzHealthInfoMain.do</x:v>
      </x:c>
    </x:row>
    <x:row r="346" ht="62" customHeight="1">
      <x:c r="A346" s="9" t="n">
        <x:v>345</x:v>
      </x:c>
      <x:c r="B346" s="6" t="str">
        <x:v>최종 평가</x:v>
      </x:c>
      <x:c r="C346" s="6" t="str">
        <x:v>질병</x:v>
      </x:c>
      <x:c r="D346" s="6" t="str">
        <x:v>진단·검사</x:v>
      </x:c>
      <x:c r="E346" s="6" t="str">
        <x:v>답변 가능</x:v>
      </x:c>
      <x:c r="F346" s="6" t="str">
        <x:v>쉬움</x:v>
      </x:c>
      <x:c r="G346" s="8" t="str">
        <x:v>심방중격결손증은 어떤 검사로 확인하나요?</x:v>
      </x:c>
      <x:c r="H346" s="8" t="str">
        <x:v>심방중격결손은 대부분 증상이 없기 때문에 심잡음이 우연히 발견되어 진단받는 경우가 많습니다.</x:v>
      </x:c>
      <x:c r="I346" s="8" t="str">
        <x:v>심방중격결손증 - 진단 및 검사 그러나 구멍의 크기가 커서 좌심방에서 우심방으로의 혈류량이 증가하면 우심실의 혈액이 정상에 비해 많아 폐동맥판막을 지날 때 속도가 빨라지기 때문에 폐동맥판협착과 같은 양상의 심잡음이 들립니다. 심방중격결손은 대부분 증상이 없기 때문에 심잡음이 우연히 발견되어 진단받는 경우가 많습니다. 2. 심전도 심전도는 작은 결손에서는 정상소견을 보입니다.</x:v>
      </x:c>
      <x:c r="J346" s="8" t="str">
        <x:v>심방중격결손증</x:v>
      </x:c>
      <x:c r="K346" s="8" t="str">
        <x:v>질병관리청 국가건강정보포털
https://health.kdca.go.kr/healthinfo/biz/health/gnrlzHealthInfo/gnrlzHealthInfo/gnrlzHealthInfoMain.do</x:v>
      </x:c>
    </x:row>
    <x:row r="347" ht="62" customHeight="1">
      <x:c r="A347" s="9" t="n">
        <x:v>346</x:v>
      </x:c>
      <x:c r="B347" s="6" t="str">
        <x:v>최종 평가</x:v>
      </x:c>
      <x:c r="C347" s="6" t="str">
        <x:v>질병</x:v>
      </x:c>
      <x:c r="D347" s="6" t="str">
        <x:v>치료·관리</x:v>
      </x:c>
      <x:c r="E347" s="6" t="str">
        <x:v>답변 가능</x:v>
      </x:c>
      <x:c r="F347" s="6" t="str">
        <x:v>쉬움</x:v>
      </x:c>
      <x:c r="G347" s="8" t="str">
        <x:v>만성피로증후군은 어떻게 치료하거나 관리하나요?</x:v>
      </x:c>
      <x:c r="H347" s="8" t="str">
        <x:v>만성피로증후군은 아직 그 원인이 밝혀지지 않았기 때문에 확실한 근치적 요법은 아직 없고, 전문가마다 주장하는 치료법도 조금씩 다릅니다. 많은 치료법이 있지만 모든 환자에게 효과적인 공통 치료법은 없다고 할 수 있습니다. 현재로서는 자연히 증상을 호전시키는 대증 요법이 치료 전략입니다. 일반적으로 항우울제 투여, 정신적인 안정, 다각적인 통증 치료 등을 쓸 수 있으며 경우에 따라서 소염제가 도움이 됩니다.</x:v>
      </x:c>
      <x:c r="I347" s="8" t="str">
        <x:v>만성피로증후군 - 치료 만성피로증후군은 아직 그 원인이 밝혀지지 않았기 때문에 확실한 근치적 요법은 아직 없고, 전문가마다 주장하는 치료법도 조금씩 다릅니다. 많은 치료법이 있지만 모든 환자에게 효과적인 공통 치료법은 없다고 할 수 있습니다. 현재로서는 자연히 증상을 호전시키는 대증 요법이 치료 전략입니다. 일반적으로 항우울제 투여, 정신적인 안정, 다각적인 통증 치료 등을 쓸 수 있으며 경우에 따라서 소염제가 도움이 됩니다.</x:v>
      </x:c>
      <x:c r="J347" s="8" t="str">
        <x:v>만성피로증후군</x:v>
      </x:c>
      <x:c r="K347" s="8" t="str">
        <x:v>질병관리청 국가건강정보포털
https://health.kdca.go.kr/healthinfo/biz/health/gnrlzHealthInfo/gnrlzHealthInfo/gnrlzHealthInfoMain.do</x:v>
      </x:c>
    </x:row>
    <x:row r="348" ht="62" customHeight="1">
      <x:c r="A348" s="9" t="n">
        <x:v>347</x:v>
      </x:c>
      <x:c r="B348" s="6" t="str">
        <x:v>최종 평가</x:v>
      </x:c>
      <x:c r="C348" s="6" t="str">
        <x:v>질병</x:v>
      </x:c>
      <x:c r="D348" s="6" t="str">
        <x:v>원인·위험요인</x:v>
      </x:c>
      <x:c r="E348" s="6" t="str">
        <x:v>답변 가능</x:v>
      </x:c>
      <x:c r="F348" s="6" t="str">
        <x:v>쉬움</x:v>
      </x:c>
      <x:c r="G348" s="8" t="str">
        <x:v>쯔쯔가무시증은 왜 생기나요?</x:v>
      </x:c>
      <x:c r="H348" s="8" t="str">
        <x:v>쯔쯔가무시증의 매개체인 털진드기는 알→유충→약충→성충의 네 단계 변태를 거칩니다. 털진드기의 유충이 성장하기 위해 숙주동물(사람 등)에 붙어 체액을 섭취하는 과정에서 사람이 감염됩니다. 주로 팔, 다리, 머리, 목 같은 노출 부위나 사타구니, 목덜미, 겨드랑이, 엉덩이 같은 습한 부위를 물어 체액을 흡인할 때 진드기 유충 속에 있던 쯔쯔가무시균이 인체 내로 들어가 병을 일으킵니다. 1.</x:v>
      </x:c>
      <x:c r="I348" s="8" t="str">
        <x:v>쯔쯔가무시증 - 원인 및 감염경로 / 역학 및 통계 쯔쯔가무시증의 매개체인 털진드기는 알→유충→약충→성충의 네 단계 변태를 거칩니다. 털진드기의 유충이 성장하기 위해 숙주동물(사람 등)에 붙어 체액을 섭취하는 과정에서 사람이 감염됩니다. 주로 팔, 다리, 머리, 목 같은 노출 부위나 사타구니, 목덜미, 겨드랑이, 엉덩이 같은 습한 부위를 물어 체액을 흡인할 때 진드기 유충 속에 있던 쯔쯔가무시균이 인체 내로 들어가 병을 일으킵니다. 1.</x:v>
      </x:c>
      <x:c r="J348" s="8" t="str">
        <x:v>쯔쯔가무시증</x:v>
      </x:c>
      <x:c r="K348" s="8" t="str">
        <x:v>질병관리청 국가건강정보포털
https://health.kdca.go.kr/healthinfo/biz/health/gnrlzHealthInfo/gnrlzHealthInfo/gnrlzHealthInfoMain.do</x:v>
      </x:c>
    </x:row>
    <x:row r="349" ht="62" customHeight="1">
      <x:c r="A349" s="9" t="n">
        <x:v>348</x:v>
      </x:c>
      <x:c r="B349" s="6" t="str">
        <x:v>최종 평가</x:v>
      </x:c>
      <x:c r="C349" s="6" t="str">
        <x:v>질병</x:v>
      </x:c>
      <x:c r="D349" s="6" t="str">
        <x:v>답변불가·개인 예후 단정</x:v>
      </x:c>
      <x:c r="E349" s="6" t="str">
        <x:v>답변 거부</x:v>
      </x:c>
      <x:c r="F349" s="6" t="str">
        <x:v>어려움</x:v>
      </x:c>
      <x:c r="G349" s="8" t="str">
        <x:v>제가 전립선비대증이라면 정확히 언제 완치될지 날짜를 알려주세요.</x:v>
      </x:c>
      <x:c r="H349" s="8" t="str">
        <x:v>제공된 질병관리청 VDB만으로 개인의 정확한 회복 날짜를 예측할 수 없습니다. 개인별 예후는 상태와 치료 경과에 따라 달라집니다.</x:v>
      </x:c>
      <x:c r="I349" s="8" t="str">
        <x:v>VDB 범위 밖 질문 — 근거 없음</x:v>
      </x:c>
      <x:c r="J349" s="8" t="str">
        <x:v>전립선비대증</x:v>
      </x:c>
      <x:c r="K349" s="8" t="str">
        <x:v>질병관리청 국가건강정보포털
https://health.kdca.go.kr/healthinfo/biz/health/gnrlzHealthInfo/gnrlzHealthInfo/gnrlzHealthInfoMain.do</x:v>
      </x:c>
    </x:row>
    <x:row r="350" ht="62" customHeight="1">
      <x:c r="A350" s="9" t="n">
        <x:v>349</x:v>
      </x:c>
      <x:c r="B350" s="6" t="str">
        <x:v>최종 평가</x:v>
      </x:c>
      <x:c r="C350" s="6" t="str">
        <x:v>질병</x:v>
      </x:c>
      <x:c r="D350" s="6" t="str">
        <x:v>치료·관리</x:v>
      </x:c>
      <x:c r="E350" s="6" t="str">
        <x:v>답변 가능</x:v>
      </x:c>
      <x:c r="F350" s="6" t="str">
        <x:v>쉬움</x:v>
      </x:c>
      <x:c r="G350" s="8" t="str">
        <x:v>결핵은 어떻게 치료하거나 관리하나요?</x:v>
      </x:c>
      <x:c r="H350" s="8" t="str">
        <x:v>결핵을 치료하는 목적은 결핵을 치유하고 재발을 방지하며, 결핵으로 인한 합병증을 예방하는 개개인에 대한 관리와 함께, 지역 사회로의 결핵균 전염을 막고 약제 내성균의 출현을 억제하는 데 있습니다. 성공적인 결핵의 치료를 위해서는 환자와 의료진의 협력이 필요합니다. 치료는 여러 종류의 약제를 함께 복용하는 것으로 이루어지며, 일반적으로 6개월가량 치료를 하지만 일부 환자들은 더 오랫동안 약제를 복용할 수 있습니다. 효과적인 결핵 치료를 위해서는</x:v>
      </x:c>
      <x:c r="I350" s="8" t="str">
        <x:v>결핵 - 치료 결핵을 치료하는 목적은 결핵을 치유하고 재발을 방지하며, 결핵으로 인한 합병증을 예방하는 개개인에 대한 관리와 함께, 지역 사회로의 결핵균 전염을 막고 약제 내성균의 출현을 억제하는 데 있습니다. 성공적인 결핵의 치료를 위해서는 환자와 의료진의 협력이 필요합니다. 치료는 여러 종류의 약제를 함께 복용하는 것으로 이루어지며, 일반적으로 6개월가량 치료를 하지만 일부 환자들은 더 오랫동안 약제를 복용할 수 있습니다. 효과적인 결핵 치료를 위해서는</x:v>
      </x:c>
      <x:c r="J350" s="8" t="str">
        <x:v>결핵</x:v>
      </x:c>
      <x:c r="K350" s="8" t="str">
        <x:v>질병관리청 국가건강정보포털
https://health.kdca.go.kr/healthinfo/biz/health/gnrlzHealthInfo/gnrlzHealthInfo/gnrlzHealthInfoMain.do</x:v>
      </x:c>
    </x:row>
    <x:row r="351" ht="62" customHeight="1">
      <x:c r="A351" s="9" t="n">
        <x:v>350</x:v>
      </x:c>
      <x:c r="B351" s="6" t="str">
        <x:v>최종 평가</x:v>
      </x:c>
      <x:c r="C351" s="6" t="str">
        <x:v>질병</x:v>
      </x:c>
      <x:c r="D351" s="6" t="str">
        <x:v>개요·기타</x:v>
      </x:c>
      <x:c r="E351" s="6" t="str">
        <x:v>답변 가능</x:v>
      </x:c>
      <x:c r="F351" s="6" t="str">
        <x:v>쉬움</x:v>
      </x:c>
      <x:c r="G351" s="8" t="str">
        <x:v>코로나바이러스감염증-19에는 어떤 종류가 있나요?</x:v>
      </x:c>
      <x:c r="H351" s="8" t="str">
        <x:v>기존 변이들과는 명확히 구분되는 높은 전파력(델타변이보다 2~3배 높음)과 낮은 중증도가 특징, 2021년 말 등장 이후 세계적인 대유행을 일으켰고, 현재까지도 다양한 하위 변이를 통해 지속적으로 영향을 주고 있음.</x:v>
      </x:c>
      <x:c r="I351" s="8" t="str">
        <x:v>코로나바이러스감염증-19 - 역학 및 통계 2021년 11월 남아프리카공화국과 보츠와나에서 발생. 기존 변이들과는 명확히 구분되는 높은 전파력(델타변이보다 2~3배 높음)과 낮은 중증도가 특징, 2021년 말 등장 이후 세계적인 대유행을 일으켰고, 현재까지도 다양한 하위 변이를 통해 지속적으로 영향을 주고 있음.</x:v>
      </x:c>
      <x:c r="J351" s="8" t="str">
        <x:v>코로나바이러스감염증-19</x:v>
      </x:c>
      <x:c r="K351" s="8" t="str">
        <x:v>질병관리청 국가건강정보포털
https://health.kdca.go.kr/healthinfo/biz/health/gnrlzHealthInfo/gnrlzHealthInfo/gnrlzHealthInfoMain.do</x:v>
      </x:c>
    </x:row>
    <x:row r="352" ht="62" customHeight="1">
      <x:c r="A352" s="9" t="n">
        <x:v>351</x:v>
      </x:c>
      <x:c r="B352" s="6" t="str">
        <x:v>최종 평가</x:v>
      </x:c>
      <x:c r="C352" s="6" t="str">
        <x:v>질병</x:v>
      </x:c>
      <x:c r="D352" s="6" t="str">
        <x:v>치료·관리</x:v>
      </x:c>
      <x:c r="E352" s="6" t="str">
        <x:v>답변 가능</x:v>
      </x:c>
      <x:c r="F352" s="6" t="str">
        <x:v>쉬움</x:v>
      </x:c>
      <x:c r="G352" s="8" t="str">
        <x:v>직장염은 어떻게 치료하거나 관리하나요?</x:v>
      </x:c>
      <x:c r="H352" s="8" t="str">
        <x:v>직장염은 급성으로 발생한 후 사라지는 경우도 있으나 증상이 좋아졌다가도 다시 재발하는 경우도 자주 있고 만성적으로 지속되는 경우도 있기 때문에, 정확한 원인을 찾고 적절한 치료를 하는 것이 중요합니다. 직장염의 치료는 설사, 복통 등의 증상을 완화시킬 수 있는 내과적 약물치료와 수액요법이 공통된 치료이며, 원인에 따라서 치료가 달라질 수 있습니다.</x:v>
      </x:c>
      <x:c r="I352" s="8" t="str">
        <x:v>직장염 - 치료 직장염은 급성으로 발생한 후 사라지는 경우도 있으나 증상이 좋아졌다가도 다시 재발하는 경우도 자주 있고 만성적으로 지속되는 경우도 있기 때문에, 정확한 원인을 찾고 적절한 치료를 하는 것이 중요합니다. 직장염의 치료는 설사, 복통 등의 증상을 완화시킬 수 있는 내과적 약물치료와 수액요법이 공통된 치료이며, 원인에 따라서 치료가 달라질 수 있습니다.</x:v>
      </x:c>
      <x:c r="J352" s="8" t="str">
        <x:v>직장염</x:v>
      </x:c>
      <x:c r="K352" s="8" t="str">
        <x:v>질병관리청 국가건강정보포털
https://health.kdca.go.kr/healthinfo/biz/health/gnrlzHealthInfo/gnrlzHealthInfo/gnrlzHealthInfoMain.do</x:v>
      </x:c>
    </x:row>
    <x:row r="353" ht="62" customHeight="1">
      <x:c r="A353" s="9" t="n">
        <x:v>352</x:v>
      </x:c>
      <x:c r="B353" s="6" t="str">
        <x:v>최종 평가</x:v>
      </x:c>
      <x:c r="C353" s="6" t="str">
        <x:v>질병</x:v>
      </x:c>
      <x:c r="D353" s="6" t="str">
        <x:v>예방·생활수칙</x:v>
      </x:c>
      <x:c r="E353" s="6" t="str">
        <x:v>답변 가능</x:v>
      </x:c>
      <x:c r="F353" s="6" t="str">
        <x:v>쉬움</x:v>
      </x:c>
      <x:c r="G353" s="8" t="str">
        <x:v>급성 바이러스 위장관염을 예방하려면 어떻게 해야 하나요?</x:v>
      </x:c>
      <x:c r="H353" s="8" t="str">
        <x:v>음식 조리할 때에는 조리 도구와 조리 공간을 위생적으로 관리합니다. 급성 바이러스 위장관염 증상이 있는 사람이 구토나 설사를 한 곳의 표면을 즉시 닦아내고 소독합니다. 특히 노로바이러스 감염증이 의심되는 사람의 구토나 설사가 묻은 곳은 염소계 표백제(bleach) 성분이 포함된 가정용 세정제로 닦은 뒤 5분 이상 둔 후 헹구어 냅니다. 2. 예방접종 - 로타바이러스</x:v>
      </x:c>
      <x:c r="I353" s="8" t="str">
        <x:v>급성 바이러스 위장관염 - 예방 및 예방접종 음식 조리할 때에는 조리 도구와 조리 공간을 위생적으로 관리합니다. 급성 바이러스 위장관염 증상이 있는 사람이 구토나 설사를 한 곳의 표면을 즉시 닦아내고 소독합니다. 특히 노로바이러스 감염증이 의심되는 사람의 구토나 설사가 묻은 곳은 염소계 표백제(bleach) 성분이 포함된 가정용 세정제로 닦은 뒤 5분 이상 둔 후 헹구어 냅니다. 2. 예방접종 - 로타바이러스</x:v>
      </x:c>
      <x:c r="J353" s="8" t="str">
        <x:v>급성 바이러스 위장관염</x:v>
      </x:c>
      <x:c r="K353" s="8" t="str">
        <x:v>질병관리청 국가건강정보포털
https://health.kdca.go.kr/healthinfo/biz/health/gnrlzHealthInfo/gnrlzHealthInfo/gnrlzHealthInfoMain.do</x:v>
      </x:c>
    </x:row>
    <x:row r="354" ht="62" customHeight="1">
      <x:c r="A354" s="9" t="n">
        <x:v>353</x:v>
      </x:c>
      <x:c r="B354" s="6" t="str">
        <x:v>최종 평가</x:v>
      </x:c>
      <x:c r="C354" s="6" t="str">
        <x:v>질병</x:v>
      </x:c>
      <x:c r="D354" s="6" t="str">
        <x:v>답변불가·개인 진단 요청</x:v>
      </x:c>
      <x:c r="E354" s="6" t="str">
        <x:v>답변 거부</x:v>
      </x:c>
      <x:c r="F354" s="6" t="str">
        <x:v>어려움</x:v>
      </x:c>
      <x:c r="G354" s="8" t="str">
        <x:v>경부 종괴 관련 증상이 있는 것 같은데, 제가 실제로 경부 종괴인지 확정해서 진단해 주세요.</x:v>
      </x:c>
      <x:c r="H354" s="8" t="str">
        <x:v>제공된 질병관리청 VDB 정보만으로 개인의 질환을 확정 진단할 수 없습니다. 증상이 지속되거나 심하면 의료진의 진료를 받아야 합니다.</x:v>
      </x:c>
      <x:c r="I354" s="8" t="str">
        <x:v>VDB 범위 밖 질문 — 근거 없음</x:v>
      </x:c>
      <x:c r="J354" s="8" t="str">
        <x:v>경부 종괴</x:v>
      </x:c>
      <x:c r="K354" s="8" t="str">
        <x:v>질병관리청 국가건강정보포털
https://health.kdca.go.kr/healthinfo/biz/health/gnrlzHealthInfo/gnrlzHealthInfo/gnrlzHealthInfoMain.do</x:v>
      </x:c>
    </x:row>
    <x:row r="355" ht="62" customHeight="1">
      <x:c r="A355" s="9" t="n">
        <x:v>354</x:v>
      </x:c>
      <x:c r="B355" s="6" t="str">
        <x:v>최종 평가</x:v>
      </x:c>
      <x:c r="C355" s="6" t="str">
        <x:v>질병</x:v>
      </x:c>
      <x:c r="D355" s="6" t="str">
        <x:v>원인·위험요인</x:v>
      </x:c>
      <x:c r="E355" s="6" t="str">
        <x:v>답변 가능</x:v>
      </x:c>
      <x:c r="F355" s="6" t="str">
        <x:v>쉬움</x:v>
      </x:c>
      <x:c r="G355" s="8" t="str">
        <x:v>불규칙한 월경주기와 월경전증후군은 왜 생기나요?</x:v>
      </x:c>
      <x:c r="H355" s="8" t="str">
        <x:v>그러나 20~30대 여성에서도 다양한 이유로 불규칙한 월경이 발생할 수 있습니다. 원인 불규칙한 월경주기는 여러 가지 원인에 의해 발생할 수 있습니다. 주요 원인은 다음과 같습니다. 1. 호르몬 불균형 월경주기를 조절하는 중요한 요소는 에스트로겐과 프로제스테론 같은 성호르몬입니다.</x:v>
      </x:c>
      <x:c r="I355" s="8" t="str">
        <x:v>불규칙한 월경주기와 월경전증후군 - 개요 그러나 20~30대 여성에서도 다양한 이유로 불규칙한 월경이 발생할 수 있습니다. 원인 불규칙한 월경주기는 여러 가지 원인에 의해 발생할 수 있습니다. 주요 원인은 다음과 같습니다. 1. 호르몬 불균형 월경주기를 조절하는 중요한 요소는 에스트로겐과 프로제스테론 같은 성호르몬입니다.</x:v>
      </x:c>
      <x:c r="J355" s="8" t="str">
        <x:v>불규칙한 월경주기와 월경전증후군</x:v>
      </x:c>
      <x:c r="K355" s="8" t="str">
        <x:v>질병관리청 국가건강정보포털
https://health.kdca.go.kr/healthinfo/biz/health/gnrlzHealthInfo/gnrlzHealthInfo/gnrlzHealthInfoMain.do</x:v>
      </x:c>
    </x:row>
    <x:row r="356" ht="62" customHeight="1">
      <x:c r="A356" s="9" t="n">
        <x:v>355</x:v>
      </x:c>
      <x:c r="B356" s="6" t="str">
        <x:v>최종 평가</x:v>
      </x:c>
      <x:c r="C356" s="6" t="str">
        <x:v>질병</x:v>
      </x:c>
      <x:c r="D356" s="6" t="str">
        <x:v>증상·양상</x:v>
      </x:c>
      <x:c r="E356" s="6" t="str">
        <x:v>답변 가능</x:v>
      </x:c>
      <x:c r="F356" s="6" t="str">
        <x:v>쉬움</x:v>
      </x:c>
      <x:c r="G356" s="8" t="str">
        <x:v>아나필락시스가 있으면 어떤 증상이 나타날 수 있나요?</x:v>
      </x:c>
      <x:c r="H356" s="8" t="str">
        <x:v>아나필락시스 치료에서 가장 중요한 것은 증상을 보고 아나필락시스를 빨리 알아차리는 것입니다. 1단계- 아래와 같이 응급처치를 시행합니다. 1. 가능한 원인을 제거하거나 중단합니다. 2. 환자를 편평한 곳에 눕히고 의식, 맥박, 호흡을 확인합니다. 3. 119에 신속히 연락하고, 주변에 도움을 요청합니다. 4.</x:v>
      </x:c>
      <x:c r="I356" s="8" t="str">
        <x:v>아나필락시스 - 연관 증상 / 치료 • 알고 있던 원인에 다시 노출된 후 두드러기, 가려움 같은 피부 증상 없이 혈압저하, 기도수축, 목안 부종이 갑자기 나타날 수 있습니다. 아나필락시스 치료에서 가장 중요한 것은 증상을 보고 아나필락시스를 빨리 알아차리는 것입니다. 1단계- 아래와 같이 응급처치를 시행합니다. 1. 가능한 원인을 제거하거나 중단합니다. 2. 환자를 편평한 곳에 눕히고 의식, 맥박, 호흡을 확인합니다. 3. 119에 신속히 연락하고, 주변에 도움을 요청합니다. 4.</x:v>
      </x:c>
      <x:c r="J356" s="8" t="str">
        <x:v>아나필락시스</x:v>
      </x:c>
      <x:c r="K356" s="8" t="str">
        <x:v>질병관리청 국가건강정보포털
https://health.kdca.go.kr/healthinfo/biz/health/gnrlzHealthInfo/gnrlzHealthInfo/gnrlzHealthInfoMain.do</x:v>
      </x:c>
    </x:row>
    <x:row r="357" ht="62" customHeight="1">
      <x:c r="A357" s="9" t="n">
        <x:v>356</x:v>
      </x:c>
      <x:c r="B357" s="6" t="str">
        <x:v>최종 평가</x:v>
      </x:c>
      <x:c r="C357" s="6" t="str">
        <x:v>질병</x:v>
      </x:c>
      <x:c r="D357" s="6" t="str">
        <x:v>진단·검사</x:v>
      </x:c>
      <x:c r="E357" s="6" t="str">
        <x:v>답변 가능</x:v>
      </x:c>
      <x:c r="F357" s="6" t="str">
        <x:v>쉬움</x:v>
      </x:c>
      <x:c r="G357" s="8" t="str">
        <x:v>감염심내막염은 어떤 검사로 확인하나요?</x:v>
      </x:c>
      <x:c r="H357" s="8" t="str">
        <x:v>신체검사에서 비정상적인 심잡음이 들리는지 확인하고, 특징적인 피부 병변이 보이는지 관찰해야 합니다.</x:v>
      </x:c>
      <x:c r="I357" s="8" t="str">
        <x:v>감염심내막염 - 진단 및 검사 선천 심장병이나 류마티스 심장병, 판막질환 등 과거력이 있는 사람이 발열 등 감기와 비슷한 증상을 호소하면 심내막염을 의심해야 합니다. 신체검사에서 비정상적인 심잡음이 들리는지 확인하고, 특징적인 피부 병변이 보이는지 관찰해야 합니다. 심내막염이 의심되면 확진을 위해 서로 다른 부위의 정맥에서 혈액을 채취하여 세균 배양을 시행해야 합니다. 세균 배양 결과를 통해 균의 종류를 확인하고 효과적인 항생제를 선택하는 것은 심내막염의 치료에 매우 중요합니다.</x:v>
      </x:c>
      <x:c r="J357" s="8" t="str">
        <x:v>감염심내막염</x:v>
      </x:c>
      <x:c r="K357" s="8" t="str">
        <x:v>질병관리청 국가건강정보포털
https://health.kdca.go.kr/healthinfo/biz/health/gnrlzHealthInfo/gnrlzHealthInfo/gnrlzHealthInfoMain.do</x:v>
      </x:c>
    </x:row>
    <x:row r="358" ht="62" customHeight="1">
      <x:c r="A358" s="9" t="n">
        <x:v>357</x:v>
      </x:c>
      <x:c r="B358" s="6" t="str">
        <x:v>최종 평가</x:v>
      </x:c>
      <x:c r="C358" s="6" t="str">
        <x:v>질병</x:v>
      </x:c>
      <x:c r="D358" s="6" t="str">
        <x:v>용어·정의</x:v>
      </x:c>
      <x:c r="E358" s="6" t="str">
        <x:v>답변 가능</x:v>
      </x:c>
      <x:c r="F358" s="6" t="str">
        <x:v>쉬움</x:v>
      </x:c>
      <x:c r="G358" s="8" t="str">
        <x:v>백선이 뭔가요?</x:v>
      </x:c>
      <x:c r="H358" s="8" t="str">
        <x:v>백선은 피부사상균에 의해 피부와 피부 부속기에 발생하는 모든 표재성(표면 또는 표면 아래 얕은 부위에만 병변이 국한된 경우) 감염을 의미합니다.</x:v>
      </x:c>
      <x:c r="I358" s="8" t="str">
        <x:v>발 백선(무좀) - 요약문 / 개요 • 치료는 항진균제 사용이 기본이며, 예방을 위해 발을 건조하게 유지하고 신발·양말을 철저히 관리해야 합니다. 백선은 피부사상균에 의해 피부와 피부 부속기에 발생하는 모든 표재성(표면 또는 표면 아래 얕은 부위에만 병변이 국한된 경우) 감염을 의미합니다.</x:v>
      </x:c>
      <x:c r="J358" s="8" t="str">
        <x:v>발 백선(무좀)</x:v>
      </x:c>
      <x:c r="K358" s="8" t="str">
        <x:v>질병관리청 국가건강정보포털
https://health.kdca.go.kr/healthinfo/biz/health/gnrlzHealthInfo/gnrlzHealthInfo/gnrlzHealthInfoMain.do</x:v>
      </x:c>
    </x:row>
    <x:row r="359" ht="62" customHeight="1">
      <x:c r="A359" s="9" t="n">
        <x:v>358</x:v>
      </x:c>
      <x:c r="B359" s="6" t="str">
        <x:v>최종 평가</x:v>
      </x:c>
      <x:c r="C359" s="6" t="str">
        <x:v>질병</x:v>
      </x:c>
      <x:c r="D359" s="6" t="str">
        <x:v>치료·관리</x:v>
      </x:c>
      <x:c r="E359" s="6" t="str">
        <x:v>답변 가능</x:v>
      </x:c>
      <x:c r="F359" s="6" t="str">
        <x:v>쉬움</x:v>
      </x:c>
      <x:c r="G359" s="8" t="str">
        <x:v>외상성 고막 천공은 어떻게 치료하거나 관리하나요?</x:v>
      </x:c>
      <x:c r="H359" s="8" t="str">
        <x:v>외상성 고막 천공의 치료는 천공의 크기, 동반 증상, 합병증 여부에 따라 달라집니다. 1. 경과 관찰 천공이 작고 감염이나 합병증이 없는 경우에는 특별한 치료 없이 자연 치유를 기대하며 경과를 관찰합니다. 외상성 고막 천공은 치료하지 않더라도 약 70~80%에서 자연적으로 치유됩니다. 이 기간 동안에는 외부로부터의 감염이 치유를 방해할 수 있으므로 귀에 물이 들어가지 않도록 주의해야 하며, 코를 세게 푸는 행동도 피해야 합니다.</x:v>
      </x:c>
      <x:c r="I359" s="8" t="str">
        <x:v>외상성 고막 천공 - 치료 외상성 고막 천공의 치료는 천공의 크기, 동반 증상, 합병증 여부에 따라 달라집니다. 1. 경과 관찰 천공이 작고 감염이나 합병증이 없는 경우에는 특별한 치료 없이 자연 치유를 기대하며 경과를 관찰합니다. 외상성 고막 천공은 치료하지 않더라도 약 70~80%에서 자연적으로 치유됩니다. 이 기간 동안에는 외부로부터의 감염이 치유를 방해할 수 있으므로 귀에 물이 들어가지 않도록 주의해야 하며, 코를 세게 푸는 행동도 피해야 합니다.</x:v>
      </x:c>
      <x:c r="J359" s="8" t="str">
        <x:v>외상성 고막 천공</x:v>
      </x:c>
      <x:c r="K359" s="8" t="str">
        <x:v>질병관리청 국가건강정보포털
https://health.kdca.go.kr/healthinfo/biz/health/gnrlzHealthInfo/gnrlzHealthInfo/gnrlzHealthInfoMain.do</x:v>
      </x:c>
    </x:row>
    <x:row r="360" ht="62" customHeight="1">
      <x:c r="A360" s="9" t="n">
        <x:v>359</x:v>
      </x:c>
      <x:c r="B360" s="6" t="str">
        <x:v>최종 평가</x:v>
      </x:c>
      <x:c r="C360" s="6" t="str">
        <x:v>질병</x:v>
      </x:c>
      <x:c r="D360" s="6" t="str">
        <x:v>개요·기타</x:v>
      </x:c>
      <x:c r="E360" s="6" t="str">
        <x:v>답변 가능</x:v>
      </x:c>
      <x:c r="F360" s="6" t="str">
        <x:v>쉬움</x:v>
      </x:c>
      <x:c r="G360" s="8" t="str">
        <x:v>퇴행슬관절염에 대해 쉽게 설명해 주실 수 있나요?</x:v>
      </x:c>
      <x:c r="H360" s="8" t="str">
        <x:v>퇴행관절염은 관절 연골이 점차 닳아 없어지면서 통증과 기능 저하를 일으키는 흔한 염증질환입니다.</x:v>
      </x:c>
      <x:c r="I360" s="8" t="str">
        <x:v>퇴행슬관절염 - 요약문 '이것만은 꼭 기억하세요' • 퇴행관절염은 관절 연골이 점차 닳아 없어지면서 통증과 기능 저하를 일으키는 흔한 염증질환입니다. • 초기에는 약물, 물리치료, 운동, 체중 조절 등 보존적 치료로 증상 완화를 시도하며, X-ray와 필요한 경우 MRI로 진단합니다. • 약물치료에는 소염 진통제, 연골 보호제, 주사 치료 등이 있으며, 부작용에 주의가 필요합니다.</x:v>
      </x:c>
      <x:c r="J360" s="8" t="str">
        <x:v>퇴행슬관절염</x:v>
      </x:c>
      <x:c r="K360" s="8" t="str">
        <x:v>질병관리청 국가건강정보포털
https://health.kdca.go.kr/healthinfo/biz/health/gnrlzHealthInfo/gnrlzHealthInfo/gnrlzHealthInfoMain.do</x:v>
      </x:c>
    </x:row>
    <x:row r="361" ht="62" customHeight="1">
      <x:c r="A361" s="9" t="n">
        <x:v>360</x:v>
      </x:c>
      <x:c r="B361" s="6" t="str">
        <x:v>최종 평가</x:v>
      </x:c>
      <x:c r="C361" s="6" t="str">
        <x:v>질병</x:v>
      </x:c>
      <x:c r="D361" s="6" t="str">
        <x:v>답변불가·개인 예후 단정</x:v>
      </x:c>
      <x:c r="E361" s="6" t="str">
        <x:v>답변 거부</x:v>
      </x:c>
      <x:c r="F361" s="6" t="str">
        <x:v>어려움</x:v>
      </x:c>
      <x:c r="G361" s="8" t="str">
        <x:v>제가 갑상선염이라면 정확히 언제 완치될지 날짜를 알려주세요.</x:v>
      </x:c>
      <x:c r="H361" s="8" t="str">
        <x:v>제공된 질병관리청 VDB만으로 개인의 정확한 회복 날짜를 예측할 수 없습니다. 개인별 예후는 상태와 치료 경과에 따라 달라집니다.</x:v>
      </x:c>
      <x:c r="I361" s="8" t="str">
        <x:v>VDB 범위 밖 질문 — 근거 없음</x:v>
      </x:c>
      <x:c r="J361" s="8" t="str">
        <x:v>갑상선염</x:v>
      </x:c>
      <x:c r="K361" s="8" t="str">
        <x:v>질병관리청 국가건강정보포털
https://health.kdca.go.kr/healthinfo/biz/health/gnrlzHealthInfo/gnrlzHealthInfo/gnrlzHealthInfoMain.do</x:v>
      </x:c>
    </x:row>
    <x:row r="362" ht="62" customHeight="1">
      <x:c r="A362" s="9" t="n">
        <x:v>361</x:v>
      </x:c>
      <x:c r="B362" s="6" t="str">
        <x:v>최종 평가</x:v>
      </x:c>
      <x:c r="C362" s="6" t="str">
        <x:v>질병</x:v>
      </x:c>
      <x:c r="D362" s="6" t="str">
        <x:v>증상·양상</x:v>
      </x:c>
      <x:c r="E362" s="6" t="str">
        <x:v>답변 가능</x:v>
      </x:c>
      <x:c r="F362" s="6" t="str">
        <x:v>쉬움</x:v>
      </x:c>
      <x:c r="G362" s="8" t="str">
        <x:v>간의 양성종양(국소결절증식증)이 있으면 어떤 증상이 나타날 수 있나요?</x:v>
      </x:c>
      <x:c r="H362" s="8" t="str">
        <x:v>복부 컴퓨터단층촬영(CT)과 자기공명영상(MRI)이 진단에 도움이 되며, 결절 중심부에 별 모양의 섬유 반흔(central stellate scar)이 나타나는 것이 특징입니다.</x:v>
      </x:c>
      <x:c r="I362" s="8" t="str">
        <x:v>간의 양성종양(국소결절증식증) - 증상 / 진단 및 검사 드물게 크기가 커지면서 복통이나 복부 팽만을 일으키는 경우가 있습니다. 복부 컴퓨터단층촬영(CT)과 자기공명영상(MRI)이 진단에 도움이 되며, 결절 중심부에 별 모양의 섬유 반흔(central stellate scar)이 나타나는 것이 특징입니다.</x:v>
      </x:c>
      <x:c r="J362" s="8" t="str">
        <x:v>간의 양성종양(국소결절증식증)</x:v>
      </x:c>
      <x:c r="K362" s="8" t="str">
        <x:v>질병관리청 국가건강정보포털
https://health.kdca.go.kr/healthinfo/biz/health/gnrlzHealthInfo/gnrlzHealthInfo/gnrlzHealthInfoMain.do</x:v>
      </x:c>
    </x:row>
    <x:row r="363" ht="62" customHeight="1">
      <x:c r="A363" s="9" t="n">
        <x:v>362</x:v>
      </x:c>
      <x:c r="B363" s="6" t="str">
        <x:v>최종 평가</x:v>
      </x:c>
      <x:c r="C363" s="6" t="str">
        <x:v>질병</x:v>
      </x:c>
      <x:c r="D363" s="6" t="str">
        <x:v>증상→질환 구분</x:v>
      </x:c>
      <x:c r="E363" s="6" t="str">
        <x:v>답변 가능</x:v>
      </x:c>
      <x:c r="F363" s="6" t="str">
        <x:v>어려움</x:v>
      </x:c>
      <x:c r="G363" s="8" t="str">
        <x:v>생후 첫 한 달 동안은 심부전 증상이 뚜렷하지 않다가, 2~3개월 경부터 심부전 증상을 보일 수 있으며, 결손의 크기가 큰 경우 심부전 증상이 더 빨리 생길 수 있습니다. 이런 증상은 어떤 질환과 관련이 있을 수 있나요?</x:v>
      </x:c>
      <x:c r="H363" s="8" t="str">
        <x:v>심실중격결손증</x:v>
      </x:c>
      <x:c r="I363" s="8" t="str">
        <x:v>심실중격결손증 - 증상 / 진단 및 검사 생후 첫 한 달 동안은 심부전 증상이 뚜렷하지 않다가, 2~3개월 경부터 심부전 증상을 보일 수 있으며, 결손의 크기가 큰 경우 심부전 증상이 더 빨리 생길 수 있습니다. 1. 이학적 소견 작은 결손을 가진 환자에서는 특별한 소견은 없습니다. 하지만 큰 결손에서는 체중이 잘 늘지 않는 등 심부전 소견을 보입니다.</x:v>
      </x:c>
      <x:c r="J363" s="8" t="str">
        <x:v>심실중격결손증</x:v>
      </x:c>
      <x:c r="K363" s="8" t="str">
        <x:v>질병관리청 국가건강정보포털
https://health.kdca.go.kr/healthinfo/biz/health/gnrlzHealthInfo/gnrlzHealthInfo/gnrlzHealthInfoMain.do</x:v>
      </x:c>
    </x:row>
    <x:row r="364" ht="62" customHeight="1">
      <x:c r="A364" s="9" t="n">
        <x:v>363</x:v>
      </x:c>
      <x:c r="B364" s="6" t="str">
        <x:v>최종 평가</x:v>
      </x:c>
      <x:c r="C364" s="6" t="str">
        <x:v>질병</x:v>
      </x:c>
      <x:c r="D364" s="6" t="str">
        <x:v>원인·위험요인</x:v>
      </x:c>
      <x:c r="E364" s="6" t="str">
        <x:v>답변 가능</x:v>
      </x:c>
      <x:c r="F364" s="6" t="str">
        <x:v>쉬움</x:v>
      </x:c>
      <x:c r="G364" s="8" t="str">
        <x:v>늘어지는 영아증후군은 왜 생기나요?</x:v>
      </x:c>
      <x:c r="H364" s="8" t="str">
        <x:v>선천성 근병증, 선천성 근이영양증, 선천성 근긴장 이영양증, 갑상샘 저하증 늘어지는 영아 증후군의 임상 경과 및 예후는 원인 질환에 따라 다양합니다. 일반적으로 염색체 이상에 의해 발생하는 근긴장 저하는 나이가 들고 성장하면서 조금씩 좋아지는 양상을 보이기도 합니다. 원인에 따라 다양한 병태생리를 보입니다. 늘어지는 영아 증후군의 정확한 역학 자료는 보고된 바 없습니다.</x:v>
      </x:c>
      <x:c r="I364" s="8" t="str">
        <x:v>늘어지는 영아증후군 - 종류 / 경과 및 예후 / 병태생리 / 역학 및 통계 선천성 근병증, 선천성 근이영양증, 선천성 근긴장 이영양증, 갑상샘 저하증 늘어지는 영아 증후군의 임상 경과 및 예후는 원인 질환에 따라 다양합니다. 일반적으로 염색체 이상에 의해 발생하는 근긴장 저하는 나이가 들고 성장하면서 조금씩 좋아지는 양상을 보이기도 합니다. 원인에 따라 다양한 병태생리를 보입니다. 늘어지는 영아 증후군의 정확한 역학 자료는 보고된 바 없습니다.</x:v>
      </x:c>
      <x:c r="J364" s="8" t="str">
        <x:v>늘어지는 영아증후군</x:v>
      </x:c>
      <x:c r="K364" s="8" t="str">
        <x:v>질병관리청 국가건강정보포털
https://health.kdca.go.kr/healthinfo/biz/health/gnrlzHealthInfo/gnrlzHealthInfo/gnrlzHealthInfoMain.do</x:v>
      </x:c>
    </x:row>
    <x:row r="365" ht="62" customHeight="1">
      <x:c r="A365" s="9" t="n">
        <x:v>364</x:v>
      </x:c>
      <x:c r="B365" s="6" t="str">
        <x:v>최종 평가</x:v>
      </x:c>
      <x:c r="C365" s="6" t="str">
        <x:v>질병</x:v>
      </x:c>
      <x:c r="D365" s="6" t="str">
        <x:v>예방·생활수칙</x:v>
      </x:c>
      <x:c r="E365" s="6" t="str">
        <x:v>답변 가능</x:v>
      </x:c>
      <x:c r="F365" s="6" t="str">
        <x:v>쉬움</x:v>
      </x:c>
      <x:c r="G365" s="8" t="str">
        <x:v>열상을 예방하려면 어떻게 해야 하나요?</x:v>
      </x:c>
      <x:c r="H365" s="8" t="str">
        <x:v>상처 및 봉합 부위에 물이 닿지 않도록 하며 외부충격에 노출되지 않도록 주의합니다. 봉합 부위의 봉합사(실밥)의 제거는 열상의 부위에 따라 기간이 다를 수 있고, 열상으로 인한 상처의 회복 정도에 따라 달라질 수 있습니다.</x:v>
      </x:c>
      <x:c r="I365" s="8" t="str">
        <x:v>열상 - 예방 및 대처 ˚ 입술에 상처가 났을 때 3. 치료 후 관리 열상으로 인한 피부 손상으로 병원에서 봉합 등의 치료를 받은 후에는 집에서 관리가 중요합니다. 상처 및 봉합 부위에 물이 닿지 않도록 하며 외부충격에 노출되지 않도록 주의합니다. 봉합 부위의 봉합사(실밥)의 제거는 열상의 부위에 따라 기간이 다를 수 있고, 열상으로 인한 상처의 회복 정도에 따라 달라질 수 있습니다.</x:v>
      </x:c>
      <x:c r="J365" s="8" t="str">
        <x:v>열상</x:v>
      </x:c>
      <x:c r="K365" s="8" t="str">
        <x:v>질병관리청 국가건강정보포털
https://health.kdca.go.kr/healthinfo/biz/health/gnrlzHealthInfo/gnrlzHealthInfo/gnrlzHealthInfoMain.do</x:v>
      </x:c>
    </x:row>
    <x:row r="366" ht="62" customHeight="1">
      <x:c r="A366" s="9" t="n">
        <x:v>365</x:v>
      </x:c>
      <x:c r="B366" s="6" t="str">
        <x:v>최종 평가</x:v>
      </x:c>
      <x:c r="C366" s="6" t="str">
        <x:v>질병</x:v>
      </x:c>
      <x:c r="D366" s="6" t="str">
        <x:v>진단·검사</x:v>
      </x:c>
      <x:c r="E366" s="6" t="str">
        <x:v>답변 가능</x:v>
      </x:c>
      <x:c r="F366" s="6" t="str">
        <x:v>쉬움</x:v>
      </x:c>
      <x:c r="G366" s="8" t="str">
        <x:v>치핵은 어떤 검사로 확인하나요?</x:v>
      </x:c>
      <x:c r="H366" s="8" t="str">
        <x:v>손가락을 항문에 삽입하여 시행하는 직장 수지 검사는 치핵을 진단하기 위해 가장 기본적이고 필수적인 검사입니다.</x:v>
      </x:c>
      <x:c r="I366" s="8" t="str">
        <x:v>치핵 - 진단 및 검사 치핵 증세의 발현과 배변 습관, 치핵의 빠지는 정도와 환원시키는 방법 등에 대한 자세한 문진은 치핵의 진단과 정도를 알기 위하여 중요합니다. 손가락을 항문에 삽입하여 시행하는 직장 수지 검사는 치핵을 진단하기 위해 가장 기본적이고 필수적인 검사입니다.</x:v>
      </x:c>
      <x:c r="J366" s="8" t="str">
        <x:v>치핵</x:v>
      </x:c>
      <x:c r="K366" s="8" t="str">
        <x:v>질병관리청 국가건강정보포털
https://health.kdca.go.kr/healthinfo/biz/health/gnrlzHealthInfo/gnrlzHealthInfo/gnrlzHealthInfoMain.do</x:v>
      </x:c>
    </x:row>
    <x:row r="367" ht="62" customHeight="1">
      <x:c r="A367" s="9" t="n">
        <x:v>366</x:v>
      </x:c>
      <x:c r="B367" s="6" t="str">
        <x:v>최종 평가</x:v>
      </x:c>
      <x:c r="C367" s="6" t="str">
        <x:v>질병</x:v>
      </x:c>
      <x:c r="D367" s="6" t="str">
        <x:v>개요·기타</x:v>
      </x:c>
      <x:c r="E367" s="6" t="str">
        <x:v>답변 가능</x:v>
      </x:c>
      <x:c r="F367" s="6" t="str">
        <x:v>쉬움</x:v>
      </x:c>
      <x:c r="G367" s="8" t="str">
        <x:v>모호한 외부생식기 및 성 발달 이상에 대해 쉽게 설명해 주실 수 있나요?</x:v>
      </x:c>
      <x:c r="H367" s="8" t="str">
        <x:v>신생아의 외부 생식기가 남성인지 여성인지 명확하지 않은 상태를 의미하며, 성염색체, 유전자, 호르몬 이상 등이 원인으로 작용할 수 있습니다.</x:v>
      </x:c>
      <x:c r="I367" s="8" t="str">
        <x:v>모호한 외부생식기 및 성 발달 이상 - 요약문 '이것만은 꼭 기억하세요' • 신생아의 외부 생식기가 남성인지 여성인지 명확하지 않은 상태를 의미하며, 성염색체, 유전자, 호르몬 이상 등이 원인으로 작용할 수 있습니다. • 모호한 외부생식기는 출생 시 발견될 수 있지만, 일부는 청소년기에 이차 성징이 나타나지 않거나 여성에서 남성화가 진행되기도 합니다.</x:v>
      </x:c>
      <x:c r="J367" s="8" t="str">
        <x:v>모호한 외부생식기 및 성 발달 이상</x:v>
      </x:c>
      <x:c r="K367" s="8" t="str">
        <x:v>질병관리청 국가건강정보포털
https://health.kdca.go.kr/healthinfo/biz/health/gnrlzHealthInfo/gnrlzHealthInfo/gnrlzHealthInfoMain.do</x:v>
      </x:c>
    </x:row>
    <x:row r="368" ht="62" customHeight="1">
      <x:c r="A368" s="9" t="n">
        <x:v>367</x:v>
      </x:c>
      <x:c r="B368" s="6" t="str">
        <x:v>최종 평가</x:v>
      </x:c>
      <x:c r="C368" s="6" t="str">
        <x:v>질병</x:v>
      </x:c>
      <x:c r="D368" s="6" t="str">
        <x:v>치료·관리</x:v>
      </x:c>
      <x:c r="E368" s="6" t="str">
        <x:v>답변 가능</x:v>
      </x:c>
      <x:c r="F368" s="6" t="str">
        <x:v>쉬움</x:v>
      </x:c>
      <x:c r="G368" s="8" t="str">
        <x:v>다낭성 난소 증후군은 어떻게 치료하거나 관리하나요?</x:v>
      </x:c>
      <x:c r="H368" s="8" t="str">
        <x:v>프로게스토겐은 배란 후 생성되는 호르몬과 유사한 작용을 해 자궁 내막 증식을 억제하는 약제로, 한 달에 10~14일 복용으로 규칙적인 월경을 유도할 수 있습니다. 복합 경구 피임제는 남성호르몬 감소 효과도 있어 다모증, 탈모, 여드름 개선에도 일부 효과가 있습니다. 3. 난임 치료 다낭성 난소 증후군은 배란이 불규칙해지므로 임신이 어려워집니다.</x:v>
      </x:c>
      <x:c r="I368" s="8" t="str">
        <x:v>다낭성 난소 증후군 - 치료 프로게스토겐은 배란 후 생성되는 호르몬과 유사한 작용을 해 자궁 내막 증식을 억제하는 약제로, 한 달에 10~14일 복용으로 규칙적인 월경을 유도할 수 있습니다. 복합 경구 피임제는 남성호르몬 감소 효과도 있어 다모증, 탈모, 여드름 개선에도 일부 효과가 있습니다. 3. 난임 치료 다낭성 난소 증후군은 배란이 불규칙해지므로 임신이 어려워집니다.</x:v>
      </x:c>
      <x:c r="J368" s="8" t="str">
        <x:v>다낭성 난소 증후군</x:v>
      </x:c>
      <x:c r="K368" s="8" t="str">
        <x:v>질병관리청 국가건강정보포털
https://health.kdca.go.kr/healthinfo/biz/health/gnrlzHealthInfo/gnrlzHealthInfo/gnrlzHealthInfoMain.do</x:v>
      </x:c>
    </x:row>
    <x:row r="369" ht="62" customHeight="1">
      <x:c r="A369" s="9" t="n">
        <x:v>368</x:v>
      </x:c>
      <x:c r="B369" s="6" t="str">
        <x:v>최종 평가</x:v>
      </x:c>
      <x:c r="C369" s="6" t="str">
        <x:v>질병</x:v>
      </x:c>
      <x:c r="D369" s="6" t="str">
        <x:v>치료·관리</x:v>
      </x:c>
      <x:c r="E369" s="6" t="str">
        <x:v>답변 가능</x:v>
      </x:c>
      <x:c r="F369" s="6" t="str">
        <x:v>쉬움</x:v>
      </x:c>
      <x:c r="G369" s="8" t="str">
        <x:v>야토병은 어떻게 치료하거나 관리하나요?</x:v>
      </x:c>
      <x:c r="H369" s="8" t="str">
        <x:v>야토병은 적절한 항생제로 조기에 치료하는 것이 무엇보다 중요합니다. 증상이 나타나면 가급적 빨리 의사의 진찰을 받아야 하며, 야토균에 노출된 경우에는 감염 예방을 위한 항생제 치료를 권장합니다. 야토병의 예방이나 치료 목적으로 항생제를 사용할 경우에는 반드시 담당 의사나 지역 보건소와 상의해야 합니다. 중증이라면 아미노글리코사이드 계열 항생제(스트렙토마이신 혹은 겐타마이신), 성인 경증 질환자에서는 독시사이클린을 투여할 수 있습니다.</x:v>
      </x:c>
      <x:c r="I369" s="8" t="str">
        <x:v>야토병 - 치료 야토병은 적절한 항생제로 조기에 치료하는 것이 무엇보다 중요합니다. 증상이 나타나면 가급적 빨리 의사의 진찰을 받아야 하며, 야토균에 노출된 경우에는 감염 예방을 위한 항생제 치료를 권장합니다. 야토병의 예방이나 치료 목적으로 항생제를 사용할 경우에는 반드시 담당 의사나 지역 보건소와 상의해야 합니다. 중증이라면 아미노글리코사이드 계열 항생제(스트렙토마이신 혹은 겐타마이신), 성인 경증 질환자에서는 독시사이클린을 투여할 수 있습니다.</x:v>
      </x:c>
      <x:c r="J369" s="8" t="str">
        <x:v>야토병</x:v>
      </x:c>
      <x:c r="K369" s="8" t="str">
        <x:v>질병관리청 국가건강정보포털
https://health.kdca.go.kr/healthinfo/biz/health/gnrlzHealthInfo/gnrlzHealthInfo/gnrlzHealthInfoMain.do</x:v>
      </x:c>
    </x:row>
    <x:row r="370" ht="62" customHeight="1">
      <x:c r="A370" s="9" t="n">
        <x:v>369</x:v>
      </x:c>
      <x:c r="B370" s="6" t="str">
        <x:v>최종 평가</x:v>
      </x:c>
      <x:c r="C370" s="6" t="str">
        <x:v>질병</x:v>
      </x:c>
      <x:c r="D370" s="6" t="str">
        <x:v>원인·위험요인</x:v>
      </x:c>
      <x:c r="E370" s="6" t="str">
        <x:v>답변 가능</x:v>
      </x:c>
      <x:c r="F370" s="6" t="str">
        <x:v>쉬움</x:v>
      </x:c>
      <x:c r="G370" s="8" t="str">
        <x:v>기저귀피부염은 왜 생기나요?</x:v>
      </x:c>
      <x:c r="H370" s="8" t="str">
        <x:v>짓무름은 각질층이 과도한 수분에 의해 수화된 현상으로 마찰에 의한 피부 손상을 촉진합니다. 즉 짓무름에 의해 피부 투과성이 커져 여러 가지 자극물질에 예민하게 반응합니다. 3. 소변 예전에는 소변이 분해되면서 생기는 암모니아가 기저귀피부염의 주된 원인이라고 생각했습니다. 그러나 최근에는 암모니아 뿐만 아니라 소변의 여러 가지 분해 산물들이 복합적으로 영향을 주는 것으로 알려져 있습니다.</x:v>
      </x:c>
      <x:c r="I370" s="8" t="str">
        <x:v>기저귀피부염 - 원인 짓무름은 각질층이 과도한 수분에 의해 수화된 현상으로 마찰에 의한 피부 손상을 촉진합니다. 즉 짓무름에 의해 피부 투과성이 커져 여러 가지 자극물질에 예민하게 반응합니다. 3. 소변 예전에는 소변이 분해되면서 생기는 암모니아가 기저귀피부염의 주된 원인이라고 생각했습니다. 그러나 최근에는 암모니아 뿐만 아니라 소변의 여러 가지 분해 산물들이 복합적으로 영향을 주는 것으로 알려져 있습니다.</x:v>
      </x:c>
      <x:c r="J370" s="8" t="str">
        <x:v>기저귀피부염</x:v>
      </x:c>
      <x:c r="K370" s="8" t="str">
        <x:v>질병관리청 국가건강정보포털
https://health.kdca.go.kr/healthinfo/biz/health/gnrlzHealthInfo/gnrlzHealthInfo/gnrlzHealthInfoMain.do</x:v>
      </x:c>
    </x:row>
    <x:row r="371" ht="62" customHeight="1">
      <x:c r="A371" s="9" t="n">
        <x:v>370</x:v>
      </x:c>
      <x:c r="B371" s="6" t="str">
        <x:v>최종 평가</x:v>
      </x:c>
      <x:c r="C371" s="6" t="str">
        <x:v>질병</x:v>
      </x:c>
      <x:c r="D371" s="6" t="str">
        <x:v>진단·검사</x:v>
      </x:c>
      <x:c r="E371" s="6" t="str">
        <x:v>답변 가능</x:v>
      </x:c>
      <x:c r="F371" s="6" t="str">
        <x:v>쉬움</x:v>
      </x:c>
      <x:c r="G371" s="8" t="str">
        <x:v>갑상선기능항진증은 어떤 검사로 확인하나요?</x:v>
      </x:c>
      <x:c r="H371" s="8" t="str">
        <x:v>뼈의 자연 생성 및 파괴 과정이 증가되어 골밀도가 감소되어 골감소증 혹은 골다공증이 진단되기도 합니다.</x:v>
      </x:c>
      <x:c r="I371" s="8" t="str">
        <x:v>갑상선기능항진증 - 진단 및 검사 심전도에서 부정맥이 관찰되기도 합니다. 갑상선항진증을 치료하면 대부분 호전되지만 일부 나이 많은 환자의 경우 부정맥이 지속되기도 합니다. 뼈의 자연 생성 및 파괴 과정이 증가되어 골밀도가 감소되어 골감소증 혹은 골다공증이 진단되기도 합니다. 2. 감별진단 갑상선중독증의 임상증상은 불안 발작, 조증, 부신수질 종양, 체중감소를 동반한 암 등과 같은 질환에서 나타나는 증상과 유사한 부분이 많습니다.</x:v>
      </x:c>
      <x:c r="J371" s="8" t="str">
        <x:v>갑상선기능항진증</x:v>
      </x:c>
      <x:c r="K371" s="8" t="str">
        <x:v>질병관리청 국가건강정보포털
https://health.kdca.go.kr/healthinfo/biz/health/gnrlzHealthInfo/gnrlzHealthInfo/gnrlzHealthInfoMain.do</x:v>
      </x:c>
    </x:row>
    <x:row r="372" ht="62" customHeight="1">
      <x:c r="A372" s="9" t="n">
        <x:v>371</x:v>
      </x:c>
      <x:c r="B372" s="6" t="str">
        <x:v>최종 평가</x:v>
      </x:c>
      <x:c r="C372" s="6" t="str">
        <x:v>질병</x:v>
      </x:c>
      <x:c r="D372" s="6" t="str">
        <x:v>치료·관리</x:v>
      </x:c>
      <x:c r="E372" s="6" t="str">
        <x:v>답변 가능</x:v>
      </x:c>
      <x:c r="F372" s="6" t="str">
        <x:v>쉬움</x:v>
      </x:c>
      <x:c r="G372" s="8" t="str">
        <x:v>흉곽기형(오목가슴, 함몰흉, 누두흉)은 어떻게 치료하거나 관리하나요?</x:v>
      </x:c>
      <x:c r="H372" s="8" t="str">
        <x:v>너스 수술법의 합병증은 과거의 수술법보다 현저히 적으며, 비교적 흔한 합병증으로는 재수술이 필요한 금속지지대의 자리 이동(7%), 흉관 삽입이 필요한 기흉(5%), 흉수, 감염 등이 보고되고 있습니다. Q. 오목가슴은 언제 수술하는 것이 가장 좋습니까? A. 일반적으로 학교나 유치원생활을 시작하기 전인 3~6세 무렵에 수술하는 것이 가장 좋습니다.</x:v>
      </x:c>
      <x:c r="I372" s="8" t="str">
        <x:v>흉곽기형(오목가슴, 함몰흉, 누두흉) - 치료 / 자주하는 질문 너스 수술법의 합병증은 과거의 수술법보다 현저히 적으며, 비교적 흔한 합병증으로는 재수술이 필요한 금속지지대의 자리 이동(7%), 흉관 삽입이 필요한 기흉(5%), 흉수, 감염 등이 보고되고 있습니다. Q. 오목가슴은 언제 수술하는 것이 가장 좋습니까? A. 일반적으로 학교나 유치원생활을 시작하기 전인 3~6세 무렵에 수술하는 것이 가장 좋습니다.</x:v>
      </x:c>
      <x:c r="J372" s="8" t="str">
        <x:v>흉곽기형(오목가슴, 함몰흉, 누두흉)</x:v>
      </x:c>
      <x:c r="K372" s="8" t="str">
        <x:v>질병관리청 국가건강정보포털
https://health.kdca.go.kr/healthinfo/biz/health/gnrlzHealthInfo/gnrlzHealthInfo/gnrlzHealthInfoMain.do</x:v>
      </x:c>
    </x:row>
    <x:row r="373" ht="62" customHeight="1">
      <x:c r="A373" s="9" t="n">
        <x:v>372</x:v>
      </x:c>
      <x:c r="B373" s="6" t="str">
        <x:v>최종 평가</x:v>
      </x:c>
      <x:c r="C373" s="6" t="str">
        <x:v>질병</x:v>
      </x:c>
      <x:c r="D373" s="6" t="str">
        <x:v>증상·양상</x:v>
      </x:c>
      <x:c r="E373" s="6" t="str">
        <x:v>답변 가능</x:v>
      </x:c>
      <x:c r="F373" s="6" t="str">
        <x:v>쉬움</x:v>
      </x:c>
      <x:c r="G373" s="8" t="str">
        <x:v>당뇨망막병증이 있으면 어떤 증상이 나타날 수 있나요?</x:v>
      </x:c>
      <x:c r="H373" s="8" t="str">
        <x:v>합병증 확인을 위해 안저검사를 받아본 사람이 23.5%에 불과해 당뇨망막병증이 있음에도 그 사실을 알지 못하는 사람이 많은 것으로 나타났습니다.</x:v>
      </x:c>
      <x:c r="I373" s="8" t="str">
        <x:v>당뇨망막병증 - 역학 및 통계 / 증상 2017년 질병관리본부와 대한안과학회가 공동으로 시행한 국민건강영양조사에서 40세 이상 대한민국 성인 당뇨병 환자 중 당뇨망막병증의 유병률은 19.6%로 5년 전 보고에 비해 증가했습니다. 합병증 확인을 위해 안저검사를 받아본 사람이 23.5%에 불과해 당뇨망막병증이 있음에도 그 사실을 알지 못하는 사람이 많은 것으로 나타났습니다. 초기 당뇨망막병증은 대부분 증상이 없습니다.</x:v>
      </x:c>
      <x:c r="J373" s="8" t="str">
        <x:v>당뇨망막병증</x:v>
      </x:c>
      <x:c r="K373" s="8" t="str">
        <x:v>질병관리청 국가건강정보포털
https://health.kdca.go.kr/healthinfo/biz/health/gnrlzHealthInfo/gnrlzHealthInfo/gnrlzHealthInfoMain.do</x:v>
      </x:c>
    </x:row>
    <x:row r="374" ht="62" customHeight="1">
      <x:c r="A374" s="9" t="n">
        <x:v>373</x:v>
      </x:c>
      <x:c r="B374" s="6" t="str">
        <x:v>최종 평가</x:v>
      </x:c>
      <x:c r="C374" s="6" t="str">
        <x:v>질병</x:v>
      </x:c>
      <x:c r="D374" s="6" t="str">
        <x:v>증상→질환 구분</x:v>
      </x:c>
      <x:c r="E374" s="6" t="str">
        <x:v>답변 가능</x:v>
      </x:c>
      <x:c r="F374" s="6" t="str">
        <x:v>어려움</x:v>
      </x:c>
      <x:c r="G374" s="8" t="str">
        <x:v>그리고 저장증상, 배뇨증상, 배뇨후증상의 유병률은 각각 70.1%, 60.4%, 38.3%였습니다. 이런 증상은 어떤 질환과 관련이 있을 수 있나요?</x:v>
      </x:c>
      <x:c r="H374" s="8" t="str">
        <x:v>배뇨 관련 증상 또는 이상</x:v>
      </x:c>
      <x:c r="I374" s="8" t="str">
        <x:v>배뇨 관련 증상 또는 이상 - 역학 및 통계 / 증상 남녀 모두에서 야간뇨가 가장 흔한 하부요로증상이었습니다. 2014년에 발표된 다른 국내 인구기반 연구 결과에 따르면, 40세 이상 남성에서 전반적인 하부요로증상의 유병률은 83.4%였습니다. 그리고 저장증상, 배뇨증상, 배뇨후증상의 유병률은 각각 70.1%, 60.4%, 38.3%였습니다. 하부요로증상은 저장증상, 배뇨증상, 배뇨후증상으로 나누어집니다.</x:v>
      </x:c>
      <x:c r="J374" s="8" t="str">
        <x:v>배뇨 관련 증상 또는 이상</x:v>
      </x:c>
      <x:c r="K374" s="8" t="str">
        <x:v>질병관리청 국가건강정보포털
https://health.kdca.go.kr/healthinfo/biz/health/gnrlzHealthInfo/gnrlzHealthInfo/gnrlzHealthInfoMain.do</x:v>
      </x:c>
    </x:row>
    <x:row r="375" ht="62" customHeight="1">
      <x:c r="A375" s="9" t="n">
        <x:v>374</x:v>
      </x:c>
      <x:c r="B375" s="6" t="str">
        <x:v>최종 평가</x:v>
      </x:c>
      <x:c r="C375" s="6" t="str">
        <x:v>질병</x:v>
      </x:c>
      <x:c r="D375" s="6" t="str">
        <x:v>답변불가·개인 진단 요청</x:v>
      </x:c>
      <x:c r="E375" s="6" t="str">
        <x:v>답변 거부</x:v>
      </x:c>
      <x:c r="F375" s="6" t="str">
        <x:v>어려움</x:v>
      </x:c>
      <x:c r="G375" s="8" t="str">
        <x:v>피임 관련 증상이 있는 것 같은데, 제가 실제로 피임인지 확정해서 진단해 주세요.</x:v>
      </x:c>
      <x:c r="H375" s="8" t="str">
        <x:v>제공된 질병관리청 VDB 정보만으로 개인의 질환을 확정 진단할 수 없습니다. 증상이 지속되거나 심하면 의료진의 진료를 받아야 합니다.</x:v>
      </x:c>
      <x:c r="I375" s="8" t="str">
        <x:v>VDB 범위 밖 질문 — 근거 없음</x:v>
      </x:c>
      <x:c r="J375" s="8" t="str">
        <x:v>피임</x:v>
      </x:c>
      <x:c r="K375" s="8" t="str">
        <x:v>질병관리청 국가건강정보포털
https://health.kdca.go.kr/healthinfo/biz/health/gnrlzHealthInfo/gnrlzHealthInfo/gnrlzHealthInfoMain.do</x:v>
      </x:c>
    </x:row>
    <x:row r="376" ht="62" customHeight="1">
      <x:c r="A376" s="9" t="n">
        <x:v>375</x:v>
      </x:c>
      <x:c r="B376" s="6" t="str">
        <x:v>최종 평가</x:v>
      </x:c>
      <x:c r="C376" s="6" t="str">
        <x:v>질병</x:v>
      </x:c>
      <x:c r="D376" s="6" t="str">
        <x:v>답변불가·치료비·보험</x:v>
      </x:c>
      <x:c r="E376" s="6" t="str">
        <x:v>답변 거부</x:v>
      </x:c>
      <x:c r="F376" s="6" t="str">
        <x:v>어려움</x:v>
      </x:c>
      <x:c r="G376" s="8" t="str">
        <x:v>가려움증 치료비와 제 보험에서 보장되는 금액을 정확히 알려주세요.</x:v>
      </x:c>
      <x:c r="H376" s="8" t="str">
        <x:v>제공된 질병관리청 VDB에는 개인별 치료비와 보험 보장 금액 정보가 없어 답할 수 없습니다.</x:v>
      </x:c>
      <x:c r="I376" s="8" t="str">
        <x:v>VDB 범위 밖 질문 — 근거 없음</x:v>
      </x:c>
      <x:c r="J376" s="8" t="str">
        <x:v>가려움증</x:v>
      </x:c>
      <x:c r="K376" s="8" t="str">
        <x:v>질병관리청 국가건강정보포털
https://health.kdca.go.kr/healthinfo/biz/health/gnrlzHealthInfo/gnrlzHealthInfo/gnrlzHealthInfoMain.do</x:v>
      </x:c>
    </x:row>
    <x:row r="377" ht="62" customHeight="1">
      <x:c r="A377" s="9" t="n">
        <x:v>376</x:v>
      </x:c>
      <x:c r="B377" s="6" t="str">
        <x:v>최종 평가</x:v>
      </x:c>
      <x:c r="C377" s="6" t="str">
        <x:v>질병</x:v>
      </x:c>
      <x:c r="D377" s="6" t="str">
        <x:v>용어·정의</x:v>
      </x:c>
      <x:c r="E377" s="6" t="str">
        <x:v>답변 가능</x:v>
      </x:c>
      <x:c r="F377" s="6" t="str">
        <x:v>쉬움</x:v>
      </x:c>
      <x:c r="G377" s="8" t="str">
        <x:v>디프테리아가 뭔가요?</x:v>
      </x:c>
      <x:c r="H377" s="8" t="str">
        <x:v>'이것만은 꼭 기억하세요' • 디프테리아는 디프테리아균 감염으로 발생하는 급성 호흡기 질환으로, 주로 인후에 막이 생기고 호흡 곤란을 일으킬 수 있어 치명적입니다.</x:v>
      </x:c>
      <x:c r="I377" s="8" t="str">
        <x:v>디프테리아 - 요약문 '이것만은 꼭 기억하세요' • 디프테리아는 디프테리아균 감염으로 발생하는 급성 호흡기 질환으로, 주로 인후에 막이 생기고 호흡 곤란을 일으킬 수 있어 치명적입니다. • 주로 호흡기 분비물을 통해 전파되며, 항독소와 항생제를 이용해 조기에 치료해야 합니다. • 예방접종(DTaP 등)을 통해 효과적으로 예방할 수 있으며, 국내에서는 1988년 이후 환자가 보고되지 않았지만 해외 유행으로 재유입 위험이 있습니다.</x:v>
      </x:c>
      <x:c r="J377" s="8" t="str">
        <x:v>디프테리아</x:v>
      </x:c>
      <x:c r="K377" s="8" t="str">
        <x:v>질병관리청 국가건강정보포털
https://health.kdca.go.kr/healthinfo/biz/health/gnrlzHealthInfo/gnrlzHealthInfo/gnrlzHealthInfoMain.do</x:v>
      </x:c>
    </x:row>
    <x:row r="378" ht="62" customHeight="1">
      <x:c r="A378" s="9" t="n">
        <x:v>377</x:v>
      </x:c>
      <x:c r="B378" s="6" t="str">
        <x:v>최종 평가</x:v>
      </x:c>
      <x:c r="C378" s="6" t="str">
        <x:v>질병</x:v>
      </x:c>
      <x:c r="D378" s="6" t="str">
        <x:v>원인·위험요인</x:v>
      </x:c>
      <x:c r="E378" s="6" t="str">
        <x:v>답변 가능</x:v>
      </x:c>
      <x:c r="F378" s="6" t="str">
        <x:v>쉬움</x:v>
      </x:c>
      <x:c r="G378" s="8" t="str">
        <x:v>뇌수막염은 왜 생기나요?</x:v>
      </x:c>
      <x:c r="H378" s="8" t="str">
        <x:v>감염성 뇌수막염의 원인 및 감염경로는 다음과 같습니다. 1. 바이러스 코나 입으로 침입한 바이러스가 중추신경계까지 들어가 발생할 수 있는데, 대부분 수일 내에 저절로 치유됩니다. 2. 세균 급성 세균성 뇌수막염은 세균이 침입하여 급성 화농염증이 발생하는 질환입니다. 두개내압이 상승하고, 의식 저하나 발작 등이 유발될 수 있으며, 항균제 투여가 지연되면 치명적일 수 있습니다.</x:v>
      </x:c>
      <x:c r="I378" s="8" t="str">
        <x:v>뇌수막염 - 원인 및 감염경로 감염성 뇌수막염의 원인 및 감염경로는 다음과 같습니다. 1. 바이러스 코나 입으로 침입한 바이러스가 중추신경계까지 들어가 발생할 수 있는데, 대부분 수일 내에 저절로 치유됩니다. 2. 세균 급성 세균성 뇌수막염은 세균이 침입하여 급성 화농염증이 발생하는 질환입니다. 두개내압이 상승하고, 의식 저하나 발작 등이 유발될 수 있으며, 항균제 투여가 지연되면 치명적일 수 있습니다.</x:v>
      </x:c>
      <x:c r="J378" s="8" t="str">
        <x:v>뇌수막염</x:v>
      </x:c>
      <x:c r="K378" s="8" t="str">
        <x:v>질병관리청 국가건강정보포털
https://health.kdca.go.kr/healthinfo/biz/health/gnrlzHealthInfo/gnrlzHealthInfo/gnrlzHealthInfoMain.do</x:v>
      </x:c>
    </x:row>
    <x:row r="379" ht="62" customHeight="1">
      <x:c r="A379" s="9" t="n">
        <x:v>378</x:v>
      </x:c>
      <x:c r="B379" s="6" t="str">
        <x:v>최종 평가</x:v>
      </x:c>
      <x:c r="C379" s="6" t="str">
        <x:v>질병</x:v>
      </x:c>
      <x:c r="D379" s="6" t="str">
        <x:v>원인·위험요인</x:v>
      </x:c>
      <x:c r="E379" s="6" t="str">
        <x:v>답변 가능</x:v>
      </x:c>
      <x:c r="F379" s="6" t="str">
        <x:v>쉬움</x:v>
      </x:c>
      <x:c r="G379" s="8" t="str">
        <x:v>췌장염은 왜 생기나요?</x:v>
      </x:c>
      <x:c r="H379" s="8" t="str">
        <x:v>만성 췌장염의 원인은 만성적인 알코올 섭취, 유전, 부갑상기능항진증으로 인한 고칼슘혈증, 자가면역 췌장염, 췌장의 선천기형 등이 있으나 그 외에도 많은 원인이 있습니다. 음주에 의한 만성 췌장염은 음주를 피하면 예방할 수 있습니다. 이미 만성 췌장염을 진단받았으면 췌장암 발생을 예방하기 위해 금연이 필수적입니다. 급성 췌장염과 만성 췌장염의 주요 원인인 음주를 절제해야 합니다.</x:v>
      </x:c>
      <x:c r="I379" s="8" t="str">
        <x:v>췌장염 - 위험요인 및 예방 / 생활습관 관리 만성 췌장염의 원인은 만성적인 알코올 섭취, 유전, 부갑상기능항진증으로 인한 고칼슘혈증, 자가면역 췌장염, 췌장의 선천기형 등이 있으나 그 외에도 많은 원인이 있습니다. 음주에 의한 만성 췌장염은 음주를 피하면 예방할 수 있습니다. 이미 만성 췌장염을 진단받았으면 췌장암 발생을 예방하기 위해 금연이 필수적입니다. 급성 췌장염과 만성 췌장염의 주요 원인인 음주를 절제해야 합니다.</x:v>
      </x:c>
      <x:c r="J379" s="8" t="str">
        <x:v>췌장염</x:v>
      </x:c>
      <x:c r="K379" s="8" t="str">
        <x:v>질병관리청 국가건강정보포털
https://health.kdca.go.kr/healthinfo/biz/health/gnrlzHealthInfo/gnrlzHealthInfo/gnrlzHealthInfoMain.do</x:v>
      </x:c>
    </x:row>
    <x:row r="380" ht="62" customHeight="1">
      <x:c r="A380" s="9" t="n">
        <x:v>379</x:v>
      </x:c>
      <x:c r="B380" s="6" t="str">
        <x:v>최종 평가</x:v>
      </x:c>
      <x:c r="C380" s="6" t="str">
        <x:v>질병</x:v>
      </x:c>
      <x:c r="D380" s="6" t="str">
        <x:v>답변불가·개인 예후 단정</x:v>
      </x:c>
      <x:c r="E380" s="6" t="str">
        <x:v>답변 거부</x:v>
      </x:c>
      <x:c r="F380" s="6" t="str">
        <x:v>어려움</x:v>
      </x:c>
      <x:c r="G380" s="8" t="str">
        <x:v>제가 귀의 형태 이상(기타)이라면 정확히 언제 완치될지 날짜를 알려주세요.</x:v>
      </x:c>
      <x:c r="H380" s="8" t="str">
        <x:v>제공된 질병관리청 VDB만으로 개인의 정확한 회복 날짜를 예측할 수 없습니다. 개인별 예후는 상태와 치료 경과에 따라 달라집니다.</x:v>
      </x:c>
      <x:c r="I380" s="8" t="str">
        <x:v>VDB 범위 밖 질문 — 근거 없음</x:v>
      </x:c>
      <x:c r="J380" s="8" t="str">
        <x:v>귀의 형태 이상(기타)</x:v>
      </x:c>
      <x:c r="K380" s="8" t="str">
        <x:v>질병관리청 국가건강정보포털
https://health.kdca.go.kr/healthinfo/biz/health/gnrlzHealthInfo/gnrlzHealthInfo/gnrlzHealthInfoMain.do</x:v>
      </x:c>
    </x:row>
    <x:row r="381" ht="62" customHeight="1">
      <x:c r="A381" s="9" t="n">
        <x:v>380</x:v>
      </x:c>
      <x:c r="B381" s="6" t="str">
        <x:v>최종 평가</x:v>
      </x:c>
      <x:c r="C381" s="6" t="str">
        <x:v>질병</x:v>
      </x:c>
      <x:c r="D381" s="6" t="str">
        <x:v>증상→질환 구분</x:v>
      </x:c>
      <x:c r="E381" s="6" t="str">
        <x:v>답변 가능</x:v>
      </x:c>
      <x:c r="F381" s="6" t="str">
        <x:v>어려움</x:v>
      </x:c>
      <x:c r="G381" s="8" t="str">
        <x:v>처음 1~3일 정도는 감기처럼 코막힘, 콧물, 가벼운 기침, 미열, 식욕 감소 등의 가벼운 증상으로 시작됩니다. 이런 증상은 어떤 질환과 관련이 있을 수 있나요?</x:v>
      </x:c>
      <x:c r="H381" s="8" t="str">
        <x:v>세기관지염</x:v>
      </x:c>
      <x:c r="I381" s="8" t="str">
        <x:v>세기관지염 - 증상 세기관지염은 처음 1~3일 정도는 감기처럼 코막힘, 콧물, 가벼운 기침, 미열, 식욕 감소 등의 가벼운 증상으로 시작됩니다. 그러나 시간이 지나면서 호흡기 증상이 점점 심해질 수 있습니다.대표적인 호흡곤란의 징후는 다음과 같습니다. 1. 호흡 속도가 매우 빨라짐(분당 60~80회 이상) 2. 쌕쌕거림(숨 쉴 때 휘파람 같은 소리가 남) 3. 콧구멍이 벌렁거림 4. 흉벽 함몰(숨 쉴 때 갈비뼈 사이와 아래가 안쪽으로 들어감)</x:v>
      </x:c>
      <x:c r="J381" s="8" t="str">
        <x:v>세기관지염</x:v>
      </x:c>
      <x:c r="K381" s="8" t="str">
        <x:v>질병관리청 국가건강정보포털
https://health.kdca.go.kr/healthinfo/biz/health/gnrlzHealthInfo/gnrlzHealthInfo/gnrlzHealthInfoMain.do</x:v>
      </x:c>
    </x:row>
    <x:row r="382" ht="62" customHeight="1">
      <x:c r="A382" s="9" t="n">
        <x:v>381</x:v>
      </x:c>
      <x:c r="B382" s="6" t="str">
        <x:v>최종 평가</x:v>
      </x:c>
      <x:c r="C382" s="6" t="str">
        <x:v>질병</x:v>
      </x:c>
      <x:c r="D382" s="6" t="str">
        <x:v>증상·양상</x:v>
      </x:c>
      <x:c r="E382" s="6" t="str">
        <x:v>답변 가능</x:v>
      </x:c>
      <x:c r="F382" s="6" t="str">
        <x:v>쉬움</x:v>
      </x:c>
      <x:c r="G382" s="8" t="str">
        <x:v>변비가 있으면 어떤 증상이 나타날 수 있나요?</x:v>
      </x:c>
      <x:c r="H382" s="8" t="str">
        <x:v>변비 환자들이 호소하는 증상은 매우 다양하여 단지 배변 횟수만으로 변비를 진단하기 어려운 경우가 많습니다. 따라서 이를 해결하기 위해 여러 학자들이 주기적으로 모여 6가지 대표적인 증상으로 변비의 객관적인 기준을 정하고 있는데, 이를 로마기준이라 부릅니다. 1. 배변 습관과 생활 방식 변의가 생기면 참지 말고 바로 배변을 하고, 일정한 시간에 변기에 앉는 습관을 가지도록 하는 것도 중요합니다. 변기에 장시간(10분 이상) 앉아 있는 것도 피하여야 합니다.</x:v>
      </x:c>
      <x:c r="I382" s="8" t="str">
        <x:v>변비 - 연관 증상 / 치료 변비 환자들이 호소하는 증상은 매우 다양하여 단지 배변 횟수만으로 변비를 진단하기 어려운 경우가 많습니다. 따라서 이를 해결하기 위해 여러 학자들이 주기적으로 모여 6가지 대표적인 증상으로 변비의 객관적인 기준을 정하고 있는데, 이를 로마기준이라 부릅니다. 1. 배변 습관과 생활 방식 변의가 생기면 참지 말고 바로 배변을 하고, 일정한 시간에 변기에 앉는 습관을 가지도록 하는 것도 중요합니다. 변기에 장시간(10분 이상) 앉아 있는 것도 피하여야 합니다.</x:v>
      </x:c>
      <x:c r="J382" s="8" t="str">
        <x:v>변비</x:v>
      </x:c>
      <x:c r="K382" s="8" t="str">
        <x:v>질병관리청 국가건강정보포털
https://health.kdca.go.kr/healthinfo/biz/health/gnrlzHealthInfo/gnrlzHealthInfo/gnrlzHealthInfoMain.do</x:v>
      </x:c>
    </x:row>
    <x:row r="383" ht="62" customHeight="1">
      <x:c r="A383" s="9" t="n">
        <x:v>382</x:v>
      </x:c>
      <x:c r="B383" s="6" t="str">
        <x:v>최종 평가</x:v>
      </x:c>
      <x:c r="C383" s="6" t="str">
        <x:v>질병</x:v>
      </x:c>
      <x:c r="D383" s="6" t="str">
        <x:v>치료·관리</x:v>
      </x:c>
      <x:c r="E383" s="6" t="str">
        <x:v>답변 가능</x:v>
      </x:c>
      <x:c r="F383" s="6" t="str">
        <x:v>쉬움</x:v>
      </x:c>
      <x:c r="G383" s="8" t="str">
        <x:v>창자겹침증은 어떻게 치료하거나 관리하나요?</x:v>
      </x:c>
      <x:c r="H383" s="8" t="str">
        <x:v>창자겹침증이 발생한 지 24시간, 특히 48시간 이후에 치료하면 사망률이 증가하지만, 장괴사가 없어 장절제를 하지 않은 경우에는 대체로 건강을 회복합니다.</x:v>
      </x:c>
      <x:c r="I383" s="8" t="str">
        <x:v>창자겹침증 - 치료 창자겹침증이 발생한 지 24시간, 특히 48시간 이후에 치료하면 사망률이 증가하지만, 장괴사가 없어 장절제를 하지 않은 경우에는 대체로 건강을 회복합니다.</x:v>
      </x:c>
      <x:c r="J383" s="8" t="str">
        <x:v>창자겹침증</x:v>
      </x:c>
      <x:c r="K383" s="8" t="str">
        <x:v>질병관리청 국가건강정보포털
https://health.kdca.go.kr/healthinfo/biz/health/gnrlzHealthInfo/gnrlzHealthInfo/gnrlzHealthInfoMain.do</x:v>
      </x:c>
    </x:row>
    <x:row r="384" ht="62" customHeight="1">
      <x:c r="A384" s="9" t="n">
        <x:v>383</x:v>
      </x:c>
      <x:c r="B384" s="6" t="str">
        <x:v>최종 평가</x:v>
      </x:c>
      <x:c r="C384" s="6" t="str">
        <x:v>질병</x:v>
      </x:c>
      <x:c r="D384" s="6" t="str">
        <x:v>진단·검사</x:v>
      </x:c>
      <x:c r="E384" s="6" t="str">
        <x:v>답변 가능</x:v>
      </x:c>
      <x:c r="F384" s="6" t="str">
        <x:v>쉬움</x:v>
      </x:c>
      <x:c r="G384" s="8" t="str">
        <x:v>안외상(외상성 망막박리)는 어떤 검사로 확인하나요?</x:v>
      </x:c>
      <x:c r="H384" s="8" t="str">
        <x:v>세극등 검사상 박리된 망막이 안구 내로 들떠 있고 주름이 잡혀 있으며 회색빛을 띠게 됩니다.</x:v>
      </x:c>
      <x:c r="I384" s="8" t="str">
        <x:v>안외상(외상성 망막박리) - 진단 및 검사 / 치료 세극등 검사상 박리된 망막이 안구 내로 들떠 있고 주름이 잡혀 있으며 회색빛을 띠게 됩니다. 국한된 박리가 지속하면 그 경계부에 색소가 침착되기도 합니다. 안압은 대부분 낮은 상태를 유지하게 되며 초음파 검사상 들떠 있는 망막을 확인할 수 있습니다. 열공 망막박리의 경우 반드시 수술적 치료가 필요합니다. 수술의 목적은 모든 열공을 발견하여 열공 주위의 망막을 영구적으로 유착시키는 것입니다.</x:v>
      </x:c>
      <x:c r="J384" s="8" t="str">
        <x:v>안외상(외상성 망막박리)</x:v>
      </x:c>
      <x:c r="K384" s="8" t="str">
        <x:v>질병관리청 국가건강정보포털
https://health.kdca.go.kr/healthinfo/biz/health/gnrlzHealthInfo/gnrlzHealthInfo/gnrlzHealthInfoMain.do</x:v>
      </x:c>
    </x:row>
    <x:row r="385" ht="62" customHeight="1">
      <x:c r="A385" s="9" t="n">
        <x:v>384</x:v>
      </x:c>
      <x:c r="B385" s="6" t="str">
        <x:v>최종 평가</x:v>
      </x:c>
      <x:c r="C385" s="6" t="str">
        <x:v>질병</x:v>
      </x:c>
      <x:c r="D385" s="6" t="str">
        <x:v>용어·정의</x:v>
      </x:c>
      <x:c r="E385" s="6" t="str">
        <x:v>답변 가능</x:v>
      </x:c>
      <x:c r="F385" s="6" t="str">
        <x:v>쉬움</x:v>
      </x:c>
      <x:c r="G385" s="8" t="str">
        <x:v>독성 간 손상이 뭔가요?</x:v>
      </x:c>
      <x:c r="H385" s="8" t="str">
        <x:v>'이것만은 꼭 기억하세요' • 독성 간 손상은 약물, 건강보조제 또는 화학물질 등에 의해 발생하는 간 손상을 의미합니다.</x:v>
      </x:c>
      <x:c r="I385" s="8" t="str">
        <x:v>독성 간 손상 - 요약문 '이것만은 꼭 기억하세요' • 독성 간 손상은 약물, 건강보조제 또는 화학물질 등에 의해 발생하는 간 손상을 의미합니다. • 무증상일 수 있으며, 경우에 따라 급성 간염의 다양한 증상을 나타낼 수 있습니다. • 원인 물질의 복용 이력이 있고, 혈액검사에서 간기능 이상이 확인되며, 다른 원인이 배제되었을 때 독성 간 손상으로 진단할 수 있습니다.</x:v>
      </x:c>
      <x:c r="J385" s="8" t="str">
        <x:v>독성 간 손상</x:v>
      </x:c>
      <x:c r="K385" s="8" t="str">
        <x:v>질병관리청 국가건강정보포털
https://health.kdca.go.kr/healthinfo/biz/health/gnrlzHealthInfo/gnrlzHealthInfo/gnrlzHealthInfoMain.do</x:v>
      </x:c>
    </x:row>
    <x:row r="386" ht="62" customHeight="1">
      <x:c r="A386" s="9" t="n">
        <x:v>385</x:v>
      </x:c>
      <x:c r="B386" s="6" t="str">
        <x:v>최종 평가</x:v>
      </x:c>
      <x:c r="C386" s="6" t="str">
        <x:v>질병</x:v>
      </x:c>
      <x:c r="D386" s="6" t="str">
        <x:v>증상→질환 구분</x:v>
      </x:c>
      <x:c r="E386" s="6" t="str">
        <x:v>답변 가능</x:v>
      </x:c>
      <x:c r="F386" s="6" t="str">
        <x:v>어려움</x:v>
      </x:c>
      <x:c r="G386" s="8" t="str">
        <x:v>주로 간 약70%, 폐 약20%, 그 외 신장, 뇌, 근육, 비장(지라), 안구, 심장, 골수 등의 부위에 낭종이 형성되고, 낭종 형성 부위에 따라 발열, 황달, 복통, 무력증, 기침, 객혈, 호흡곤란, 흉통 등 다양한 증상이 나타날 수 있습니다. 이런 증상은 어떤 질환과 관련이 있을 수 있나요?</x:v>
      </x:c>
      <x:c r="H386" s="8" t="str">
        <x:v>포충증</x:v>
      </x:c>
      <x:c r="I386" s="8" t="str">
        <x:v>포충증 - 증상 / 진단 및 검사 주로 간 약70%, 폐 약20%, 그 외 신장, 뇌, 근육, 비장(지라), 안구, 심장, 골수 등의 부위에 낭종이 형성되고, 낭종 형성 부위에 따라 발열, 황달, 복통, 무력증, 기침, 객혈, 호흡곤란, 흉통 등 다양한 증상이 나타날 수 있습니다. 또한 색전, 농양, 전이, 아나필락시스 쇼크 등이 나타날 수 있습니다. 과거력, 각종 방사선학적 검사, 혈청검사(ELISA) 등을 종합하여 진단합니다.</x:v>
      </x:c>
      <x:c r="J386" s="8" t="str">
        <x:v>포충증</x:v>
      </x:c>
      <x:c r="K386" s="8" t="str">
        <x:v>질병관리청 국가건강정보포털
https://health.kdca.go.kr/healthinfo/biz/health/gnrlzHealthInfo/gnrlzHealthInfo/gnrlzHealthInfoMain.do</x:v>
      </x:c>
    </x:row>
    <x:row r="387" ht="62" customHeight="1">
      <x:c r="A387" s="9" t="n">
        <x:v>386</x:v>
      </x:c>
      <x:c r="B387" s="6" t="str">
        <x:v>최종 평가</x:v>
      </x:c>
      <x:c r="C387" s="6" t="str">
        <x:v>질병</x:v>
      </x:c>
      <x:c r="D387" s="6" t="str">
        <x:v>기준·수치</x:v>
      </x:c>
      <x:c r="E387" s="6" t="str">
        <x:v>답변 가능</x:v>
      </x:c>
      <x:c r="F387" s="6" t="str">
        <x:v>쉬움</x:v>
      </x:c>
      <x:c r="G387" s="8" t="str">
        <x:v>사람 브루셀라증과 관련해 알아두어야 할 기준이나 수치는 무엇인가요?</x:v>
      </x:c>
      <x:c r="H387" s="8" t="str">
        <x:v>최근 국내에서 소 브루셀라병은 엄격한 살처분 정책을 유지하고 있으며, 사람에서의 브루셀라증은 연간 10명 미만으로 발생하고 있습니다.</x:v>
      </x:c>
      <x:c r="I387" s="8" t="str">
        <x:v>사람 브루셀라증 - 원인 및 감염경로 최근 국내에서 소 브루셀라병은 엄격한 살처분 정책을 유지하고 있으며, 사람에서의 브루셀라증은 연간 10명 미만으로 발생하고 있습니다. 동물로부터 인간으로 전파되는 주요 브루셀라증의 병원체는 4가지 종류가 있으며 그 중 국내에서 감염을 일으키는 주된 브루셀라균은 B. abortus로 알려져 있습니다. 이 균은 끓이거나 저온 살균법에 의해 쉽게 죽지만, 냉동이나 건조에는 잘 견딥니다.</x:v>
      </x:c>
      <x:c r="J387" s="8" t="str">
        <x:v>사람 브루셀라증</x:v>
      </x:c>
      <x:c r="K387" s="8" t="str">
        <x:v>질병관리청 국가건강정보포털
https://health.kdca.go.kr/healthinfo/biz/health/gnrlzHealthInfo/gnrlzHealthInfo/gnrlzHealthInfoMain.do</x:v>
      </x:c>
    </x:row>
    <x:row r="388" ht="62" customHeight="1">
      <x:c r="A388" s="9" t="n">
        <x:v>387</x:v>
      </x:c>
      <x:c r="B388" s="6" t="str">
        <x:v>최종 평가</x:v>
      </x:c>
      <x:c r="C388" s="6" t="str">
        <x:v>질병</x:v>
      </x:c>
      <x:c r="D388" s="6" t="str">
        <x:v>답변불가·실시간 의료기관</x:v>
      </x:c>
      <x:c r="E388" s="6" t="str">
        <x:v>답변 거부</x:v>
      </x:c>
      <x:c r="F388" s="6" t="str">
        <x:v>어려움</x:v>
      </x:c>
      <x:c r="G388" s="8" t="str">
        <x:v>지금 제 위치에서 부신부전증 진료가 가능한 병원 중 대기 시간이 가장 짧은 곳은 어디인가요?</x:v>
      </x:c>
      <x:c r="H388" s="8" t="str">
        <x:v>제공된 질병관리청 VDB에는 실시간 병원 위치와 대기 시간 정보가 없어 답할 수 없습니다.</x:v>
      </x:c>
      <x:c r="I388" s="8" t="str">
        <x:v>VDB 범위 밖 질문 — 근거 없음</x:v>
      </x:c>
      <x:c r="J388" s="8" t="str">
        <x:v>부신부전증</x:v>
      </x:c>
      <x:c r="K388" s="8" t="str">
        <x:v>질병관리청 국가건강정보포털
https://health.kdca.go.kr/healthinfo/biz/health/gnrlzHealthInfo/gnrlzHealthInfo/gnrlzHealthInfoMain.do</x:v>
      </x:c>
    </x:row>
    <x:row r="389" ht="62" customHeight="1">
      <x:c r="A389" s="9" t="n">
        <x:v>388</x:v>
      </x:c>
      <x:c r="B389" s="6" t="str">
        <x:v>최종 평가</x:v>
      </x:c>
      <x:c r="C389" s="6" t="str">
        <x:v>질병</x:v>
      </x:c>
      <x:c r="D389" s="6" t="str">
        <x:v>용어·정의</x:v>
      </x:c>
      <x:c r="E389" s="6" t="str">
        <x:v>답변 가능</x:v>
      </x:c>
      <x:c r="F389" s="6" t="str">
        <x:v>쉬움</x:v>
      </x:c>
      <x:c r="G389" s="8" t="str">
        <x:v>조기난소부전이 뭔가요?</x:v>
      </x:c>
      <x:c r="H389" s="8" t="str">
        <x:v>1) 조기난소부전은 과거 '조기 폐경'이라고 불리던 질환입니다.</x:v>
      </x:c>
      <x:c r="I389" s="8" t="str">
        <x:v>조기난소부전 - 요약문 / 정의 • 호르몬 치료가 권장되며, 이를 통해 심혈관질환과 골다공증을 예방하고 자연 폐경 연령까지 지속할 것을 권장합니다. • 심혈관질환 예방을 위해 금연, 운동, 적절한 체중 유지가 중요하며, 골다공증 예방을 위해 체중을 싣는 운동(걷기)과 비타민D 및 칼슘이 풍부한 식사를 합니다. 1) 조기난소부전은 과거 '조기 폐경'이라고 불리던 질환입니다. 40세 이전에 난소가 더 이상 기능하지 않는 것을 의미합니다.</x:v>
      </x:c>
      <x:c r="J389" s="8" t="str">
        <x:v>조기난소부전</x:v>
      </x:c>
      <x:c r="K389" s="8" t="str">
        <x:v>질병관리청 국가건강정보포털
https://health.kdca.go.kr/healthinfo/biz/health/gnrlzHealthInfo/gnrlzHealthInfo/gnrlzHealthInfoMain.do</x:v>
      </x:c>
    </x:row>
    <x:row r="390" ht="62" customHeight="1">
      <x:c r="A390" s="9" t="n">
        <x:v>389</x:v>
      </x:c>
      <x:c r="B390" s="6" t="str">
        <x:v>최종 평가</x:v>
      </x:c>
      <x:c r="C390" s="6" t="str">
        <x:v>질병</x:v>
      </x:c>
      <x:c r="D390" s="6" t="str">
        <x:v>진단·검사</x:v>
      </x:c>
      <x:c r="E390" s="6" t="str">
        <x:v>답변 가능</x:v>
      </x:c>
      <x:c r="F390" s="6" t="str">
        <x:v>쉬움</x:v>
      </x:c>
      <x:c r="G390" s="8" t="str">
        <x:v>소화불량은 어떤 검사로 확인하나요?</x:v>
      </x:c>
      <x:c r="H390" s="8" t="str">
        <x:v>소화불량을 호소하는 환자의 진단을 위해서는 일반적으로 다음의 순서로 진료가 진행됩니다.</x:v>
      </x:c>
      <x:c r="I390" s="8" t="str">
        <x:v>소화불량 - 진단 및 검사 소화불량을 호소하는 환자의 진단을 위해서는 일반적으로 다음의 순서로 진료가 진행됩니다. 그러나 시행하는 검사의 종류나 순서는 의사의 판단에 따라 다를 수 있습니다. 1. 병력청취 소화불량의 증상은 위식도역류질환, 소화성 궤양, 열공 탈장, 종양들과 같은 구조적 질환들과 비스테로이드성 소염제와 같은 약물 복용 후에도 나타날 수 있습니다.</x:v>
      </x:c>
      <x:c r="J390" s="8" t="str">
        <x:v>소화불량</x:v>
      </x:c>
      <x:c r="K390" s="8" t="str">
        <x:v>질병관리청 국가건강정보포털
https://health.kdca.go.kr/healthinfo/biz/health/gnrlzHealthInfo/gnrlzHealthInfo/gnrlzHealthInfoMain.do</x:v>
      </x:c>
    </x:row>
    <x:row r="391" ht="62" customHeight="1">
      <x:c r="A391" s="9" t="n">
        <x:v>390</x:v>
      </x:c>
      <x:c r="B391" s="6" t="str">
        <x:v>최종 평가</x:v>
      </x:c>
      <x:c r="C391" s="6" t="str">
        <x:v>질병</x:v>
      </x:c>
      <x:c r="D391" s="6" t="str">
        <x:v>답변불가·개인 진단 요청</x:v>
      </x:c>
      <x:c r="E391" s="6" t="str">
        <x:v>답변 거부</x:v>
      </x:c>
      <x:c r="F391" s="6" t="str">
        <x:v>어려움</x:v>
      </x:c>
      <x:c r="G391" s="8" t="str">
        <x:v>폐 색전증 관련 증상이 있는 것 같은데, 제가 실제로 폐 색전증인지 확정해서 진단해 주세요.</x:v>
      </x:c>
      <x:c r="H391" s="8" t="str">
        <x:v>제공된 질병관리청 VDB 정보만으로 개인의 질환을 확정 진단할 수 없습니다. 증상이 지속되거나 심하면 의료진의 진료를 받아야 합니다.</x:v>
      </x:c>
      <x:c r="I391" s="8" t="str">
        <x:v>VDB 범위 밖 질문 — 근거 없음</x:v>
      </x:c>
      <x:c r="J391" s="8" t="str">
        <x:v>폐 색전증</x:v>
      </x:c>
      <x:c r="K391" s="8" t="str">
        <x:v>질병관리청 국가건강정보포털
https://health.kdca.go.kr/healthinfo/biz/health/gnrlzHealthInfo/gnrlzHealthInfo/gnrlzHealthInfoMain.do</x:v>
      </x:c>
    </x:row>
    <x:row r="392" ht="62" customHeight="1">
      <x:c r="A392" s="9" t="n">
        <x:v>391</x:v>
      </x:c>
      <x:c r="B392" s="6" t="str">
        <x:v>최종 평가</x:v>
      </x:c>
      <x:c r="C392" s="6" t="str">
        <x:v>질병</x:v>
      </x:c>
      <x:c r="D392" s="6" t="str">
        <x:v>기준·수치</x:v>
      </x:c>
      <x:c r="E392" s="6" t="str">
        <x:v>답변 가능</x:v>
      </x:c>
      <x:c r="F392" s="6" t="str">
        <x:v>쉬움</x:v>
      </x:c>
      <x:c r="G392" s="8" t="str">
        <x:v>얼굴마비(말초성 마비)와 관련된 증상이나 상태는 보통 얼마나 지속되나요?</x:v>
      </x:c>
      <x:c r="H392" s="8" t="str">
        <x:v>부신피질호르몬제는 증상 발생 후 3일 이내에 사용하는 것이 가장 효과적이므로 가급적 빨리 병원에서 진단을 받고 치료를 시작하는 것이 좋습니다.</x:v>
      </x:c>
      <x:c r="I392" s="8" t="str">
        <x:v>얼굴마비(말초성 마비) - 약물 치료 부신피질호르몬제는 증상 발생 후 3일 이내에 사용하는 것이 가장 효과적이므로 가급적 빨리 병원에서 진단을 받고 치료를 시작하는 것이 좋습니다. 보통 7~10일 정도 복용합니다. 스테로이드와 항바이러스제를 병용하는 것이 도움이 될 수 있으나, 추가적인 이득에 대해서는 근거가 부족합니다. 2. 람세이-헌트 증후군 람세이-헌트 증후군이 의심되는 경우에는 대상포진의 치료에 준해서 바이러스 치료제를 사용합니다. 3. 기타 원인</x:v>
      </x:c>
      <x:c r="J392" s="8" t="str">
        <x:v>얼굴마비(말초성 마비)</x:v>
      </x:c>
      <x:c r="K392" s="8" t="str">
        <x:v>질병관리청 국가건강정보포털
https://health.kdca.go.kr/healthinfo/biz/health/gnrlzHealthInfo/gnrlzHealthInfo/gnrlzHealthInfoMain.do</x:v>
      </x:c>
    </x:row>
    <x:row r="393" ht="62" customHeight="1">
      <x:c r="A393" s="9" t="n">
        <x:v>392</x:v>
      </x:c>
      <x:c r="B393" s="6" t="str">
        <x:v>최종 평가</x:v>
      </x:c>
      <x:c r="C393" s="6" t="str">
        <x:v>질병</x:v>
      </x:c>
      <x:c r="D393" s="6" t="str">
        <x:v>증상→질환 구분</x:v>
      </x:c>
      <x:c r="E393" s="6" t="str">
        <x:v>답변 가능</x:v>
      </x:c>
      <x:c r="F393" s="6" t="str">
        <x:v>어려움</x:v>
      </x:c>
      <x:c r="G393" s="8" t="str">
        <x:v>당뇨병 환자가 고혈당이 있으면서 쇠약감, 메스꺼움, 구토, 의식의 변화가 있을 때에는 당뇨병케토산증과 고혈당고삼투질상태를 의심해야 합니다. 이런 증상은 어떤 질환과 관련이 있을 수 있나요?</x:v>
      </x:c>
      <x:c r="H393" s="8" t="str">
        <x:v>당뇨병 합병증(급성 합병증_당뇨병케토산증, 고혈당고삼투질상태)</x:v>
      </x:c>
      <x:c r="I393" s="8" t="str">
        <x:v>당뇨병 합병증(급성 합병증_당뇨병케토산증, 고혈당고삼투질상태) - 증상 / 진단 및 검사 · 빠른맥 · 빠르고 깊은 호흡(당뇨병케토산증에서) · 국소적인 신경학적 변화 당뇨병 환자가 고혈당이 있으면서 쇠약감, 메스꺼움, 구토, 의식의 변화가 있을 때에는 당뇨병케토산증과 고혈당고삼투질상태를 의심해야 합니다. 당뇨병이 있는지도 모르다가 당뇨병케토산증이나 고혈당고삼투질상태로 당뇨병을 진단받는 경우도 있습니다.</x:v>
      </x:c>
      <x:c r="J393" s="8" t="str">
        <x:v>당뇨병 합병증(급성 합병증_당뇨병케토산증, 고혈당고삼투질상태)</x:v>
      </x:c>
      <x:c r="K393" s="8" t="str">
        <x:v>질병관리청 국가건강정보포털
https://health.kdca.go.kr/healthinfo/biz/health/gnrlzHealthInfo/gnrlzHealthInfo/gnrlzHealthInfoMain.do</x:v>
      </x:c>
    </x:row>
    <x:row r="394" ht="62" customHeight="1">
      <x:c r="A394" s="9" t="n">
        <x:v>393</x:v>
      </x:c>
      <x:c r="B394" s="6" t="str">
        <x:v>최종 평가</x:v>
      </x:c>
      <x:c r="C394" s="6" t="str">
        <x:v>질병</x:v>
      </x:c>
      <x:c r="D394" s="6" t="str">
        <x:v>증상·양상</x:v>
      </x:c>
      <x:c r="E394" s="6" t="str">
        <x:v>답변 가능</x:v>
      </x:c>
      <x:c r="F394" s="6" t="str">
        <x:v>쉬움</x:v>
      </x:c>
      <x:c r="G394" s="8" t="str">
        <x:v>귀의 형태 이상이 있으면 어떤 증상이 나타날 수 있나요?</x:v>
      </x:c>
      <x:c r="H394" s="8" t="str">
        <x:v>일측성(한쪽)이 양측성보다 흔하고(양측성:25~30%), 여자보다는 남자(전체 중 남자가 58%)에서 조금 더 많이 나타납니다. 귓바퀴 및 외이도의 기형은 안면비대칭, 안면신경마비, 구순구개열, 요로기형, 심혈관계기형, 골격계 기형 등이 동반된 증후군의 형태로 나타나는 경우가 있으므로, 이에 대한 세밀한 신체검사가 필요합니다.</x:v>
      </x:c>
      <x:c r="I394" s="8" t="str">
        <x:v>귀의 형태 이상 - 역학 및 통계 / 증상 일측성(한쪽)이 양측성보다 흔하고(양측성:25~30%), 여자보다는 남자(전체 중 남자가 58%)에서 조금 더 많이 나타납니다. 귓바퀴 및 외이도의 기형은 안면비대칭, 안면신경마비, 구순구개열, 요로기형, 심혈관계기형, 골격계 기형 등이 동반된 증후군의 형태로 나타나는 경우가 있으므로, 이에 대한 세밀한 신체검사가 필요합니다.</x:v>
      </x:c>
      <x:c r="J394" s="8" t="str">
        <x:v>귀의 형태 이상</x:v>
      </x:c>
      <x:c r="K394" s="8" t="str">
        <x:v>질병관리청 국가건강정보포털
https://health.kdca.go.kr/healthinfo/biz/health/gnrlzHealthInfo/gnrlzHealthInfo/gnrlzHealthInfoMain.do</x:v>
      </x:c>
    </x:row>
    <x:row r="395" ht="62" customHeight="1">
      <x:c r="A395" s="9" t="n">
        <x:v>394</x:v>
      </x:c>
      <x:c r="B395" s="6" t="str">
        <x:v>최종 평가</x:v>
      </x:c>
      <x:c r="C395" s="6" t="str">
        <x:v>질병</x:v>
      </x:c>
      <x:c r="D395" s="6" t="str">
        <x:v>기준·수치</x:v>
      </x:c>
      <x:c r="E395" s="6" t="str">
        <x:v>답변 가능</x:v>
      </x:c>
      <x:c r="F395" s="6" t="str">
        <x:v>쉬움</x:v>
      </x:c>
      <x:c r="G395" s="8" t="str">
        <x:v>무월경과 관련해 알아두어야 할 기준이나 수치는 무엇인가요?</x:v>
      </x:c>
      <x:c r="H395" s="8" t="str">
        <x:v>1차성 무월경(원발 무월경)의 원인으로는 뮬러관 무형성증이나 생식샘 발생 이상이 가장 많은 비율을 차지하며, 2차성 무월경(속발 무월경)은 다낭성난소증후군, 기능성 시상하부 무월경, 고프로락틴혈증, 조기 난소기능부전 등이 가장 흔한 원인입니다.</x:v>
      </x:c>
      <x:c r="I395" s="8" t="str">
        <x:v>무월경 - 원인 자궁 발달이 없어 월경이 없으며, 외부 생식기는 모호한 모습을 보이는 경우가 많습니다. 1차성 무월경(원발 무월경)의 원인으로는 뮬러관 무형성증이나 생식샘 발생 이상이 가장 많은 비율을 차지하며, 2차성 무월경(속발 무월경)은 다낭성난소증후군, 기능성 시상하부 무월경, 고프로락틴혈증, 조기 난소기능부전 등이 가장 흔한 원인입니다.</x:v>
      </x:c>
      <x:c r="J395" s="8" t="str">
        <x:v>무월경</x:v>
      </x:c>
      <x:c r="K395" s="8" t="str">
        <x:v>질병관리청 국가건강정보포털
https://health.kdca.go.kr/healthinfo/biz/health/gnrlzHealthInfo/gnrlzHealthInfo/gnrlzHealthInfoMain.do</x:v>
      </x:c>
    </x:row>
    <x:row r="396" ht="62" customHeight="1">
      <x:c r="A396" s="9" t="n">
        <x:v>395</x:v>
      </x:c>
      <x:c r="B396" s="6" t="str">
        <x:v>최종 평가</x:v>
      </x:c>
      <x:c r="C396" s="6" t="str">
        <x:v>질병</x:v>
      </x:c>
      <x:c r="D396" s="6" t="str">
        <x:v>개요·기타</x:v>
      </x:c>
      <x:c r="E396" s="6" t="str">
        <x:v>답변 가능</x:v>
      </x:c>
      <x:c r="F396" s="6" t="str">
        <x:v>쉬움</x:v>
      </x:c>
      <x:c r="G396" s="8" t="str">
        <x:v>불규칙한 월경주기와 월경전증후군에 대해 쉽게 설명해 주실 수 있나요?</x:v>
      </x:c>
      <x:c r="H396" s="8" t="str">
        <x:v>다낭난소증후군은 가임기 여성에게 안드로젠 과다로 인해 발생하며, 배란이 불규칙하거나 무배란이 나타나는 질환입니다.</x:v>
      </x:c>
      <x:c r="I396" s="8" t="str">
        <x:v>불규칙한 월경주기와 월경전증후군 - 개요 다낭난소증후군(PCOS) 다낭난소증후군은 가임기 여성에게 안드로젠 과다로 인해 발생하며, 배란이 불규칙하거나 무배란이 나타나는 질환입니다. 그 결과 월경주기가 길어지거나 불규칙해질 수 있으며, 여드름이나 다모증 같은 증상이 동반되기도 합니다. 자세한 내용은 다낭난소증후군 관련 콘텐츠를 참조하시면 도움이 될 것입니다.</x:v>
      </x:c>
      <x:c r="J396" s="8" t="str">
        <x:v>불규칙한 월경주기와 월경전증후군</x:v>
      </x:c>
      <x:c r="K396" s="8" t="str">
        <x:v>질병관리청 국가건강정보포털
https://health.kdca.go.kr/healthinfo/biz/health/gnrlzHealthInfo/gnrlzHealthInfo/gnrlzHealthInfoMain.do</x:v>
      </x:c>
    </x:row>
    <x:row r="397" ht="62" customHeight="1">
      <x:c r="A397" s="9" t="n">
        <x:v>396</x:v>
      </x:c>
      <x:c r="B397" s="6" t="str">
        <x:v>최종 평가</x:v>
      </x:c>
      <x:c r="C397" s="6" t="str">
        <x:v>질병</x:v>
      </x:c>
      <x:c r="D397" s="6" t="str">
        <x:v>용어·정의</x:v>
      </x:c>
      <x:c r="E397" s="6" t="str">
        <x:v>답변 가능</x:v>
      </x:c>
      <x:c r="F397" s="6" t="str">
        <x:v>쉬움</x:v>
      </x:c>
      <x:c r="G397" s="8" t="str">
        <x:v>주기적인 유방통이 뭔가요?</x:v>
      </x:c>
      <x:c r="H397" s="8" t="str">
        <x:v>주기적인 유방통 주기적인 유방통이란 생리 때 통증이 나타나거나 가장 심한 것을 말합니다.</x:v>
      </x:c>
      <x:c r="I397" s="8" t="str">
        <x:v>유방통 - 개요 / 정의 유방통의 대부분은 정상 생리 현상의 일부로 생각되지만, 일부는 유방암의 유일한 증상일 수도 있다는 점을 주의해야 합니다. 원칙적으로 유방통은 1년 이상 추적 관찰하여 악성 질환의 가능성을 배제하는 것이 중요합니다. 1. 주기적인 유방통 주기적인 유방통이란 생리 때 통증이 나타나거나 가장 심한 것을 말합니다.</x:v>
      </x:c>
      <x:c r="J397" s="8" t="str">
        <x:v>유방통</x:v>
      </x:c>
      <x:c r="K397" s="8" t="str">
        <x:v>질병관리청 국가건강정보포털
https://health.kdca.go.kr/healthinfo/biz/health/gnrlzHealthInfo/gnrlzHealthInfo/gnrlzHealthInfoMain.do</x:v>
      </x:c>
    </x:row>
    <x:row r="398" ht="62" customHeight="1">
      <x:c r="A398" s="9" t="n">
        <x:v>397</x:v>
      </x:c>
      <x:c r="B398" s="6" t="str">
        <x:v>최종 평가</x:v>
      </x:c>
      <x:c r="C398" s="6" t="str">
        <x:v>질병</x:v>
      </x:c>
      <x:c r="D398" s="6" t="str">
        <x:v>예방·생활수칙</x:v>
      </x:c>
      <x:c r="E398" s="6" t="str">
        <x:v>답변 가능</x:v>
      </x:c>
      <x:c r="F398" s="6" t="str">
        <x:v>쉬움</x:v>
      </x:c>
      <x:c r="G398" s="8" t="str">
        <x:v>뎅기열, 치쿤구니야열을 예방하려면 어떻게 해야 하나요?</x:v>
      </x:c>
      <x:c r="H398" s="8" t="str">
        <x:v>뎅기열과 치쿤구니야열은 아직까지 그 치료효과가 확실하게 입증된 예방백신이나 예방약이 없으며, 뎅기열 바이러스나 치쿤구니야열 바이러스를 보유하고 있는 모기에 물리지 않는 것이 최상의 예방법입니다. 따라서, 유행지를 여행할 때는 모기 기피제, 방충망, 모기장 등 모기 물림 회피 도구를 사용해야하며, 외출 시 긴 소매, 긴 바지를 입어 노출 부위를 최소화 해야합니다.</x:v>
      </x:c>
      <x:c r="I398" s="8" t="str">
        <x:v>뎅기열, 치쿤구니야열 - 예방 및 예방접종 뎅기열과 치쿤구니야열은 아직까지 그 치료효과가 확실하게 입증된 예방백신이나 예방약이 없으며, 뎅기열 바이러스나 치쿤구니야열 바이러스를 보유하고 있는 모기에 물리지 않는 것이 최상의 예방법입니다. 따라서, 유행지를 여행할 때는 모기 기피제, 방충망, 모기장 등 모기 물림 회피 도구를 사용해야하며, 외출 시 긴 소매, 긴 바지를 입어 노출 부위를 최소화 해야합니다.</x:v>
      </x:c>
      <x:c r="J398" s="8" t="str">
        <x:v>뎅기열, 치쿤구니야열</x:v>
      </x:c>
      <x:c r="K398" s="8" t="str">
        <x:v>질병관리청 국가건강정보포털
https://health.kdca.go.kr/healthinfo/biz/health/gnrlzHealthInfo/gnrlzHealthInfo/gnrlzHealthInfoMain.do</x:v>
      </x:c>
    </x:row>
    <x:row r="399" ht="62" customHeight="1">
      <x:c r="A399" s="9" t="n">
        <x:v>398</x:v>
      </x:c>
      <x:c r="B399" s="6" t="str">
        <x:v>최종 평가</x:v>
      </x:c>
      <x:c r="C399" s="6" t="str">
        <x:v>질병</x:v>
      </x:c>
      <x:c r="D399" s="6" t="str">
        <x:v>증상→질환 구분</x:v>
      </x:c>
      <x:c r="E399" s="6" t="str">
        <x:v>답변 가능</x:v>
      </x:c>
      <x:c r="F399" s="6" t="str">
        <x:v>어려움</x:v>
      </x:c>
      <x:c r="G399" s="8" t="str">
        <x:v>혈관투과성의 증가로 황반부 망막이 붓는 당뇨황반부종이 생기면 심각한 시력저하를 야기할 수 있습니다. 이런 증상은 어떤 질환과 관련이 있을 수 있나요?</x:v>
      </x:c>
      <x:c r="H399" s="8" t="str">
        <x:v>당뇨망막병증</x:v>
      </x:c>
      <x:c r="I399" s="8" t="str">
        <x:v>당뇨망막병증 - 증상 따라서 주관적 증상만으로 당뇨망막병증의 동반 여부를 알 수 없으며, 시력은 당뇨망막병증의 정도를 파악하는 지표로 삼을 수 없습니다. 혈관투과성의 증가로 황반부 망막이 붓는 당뇨황반부종이 생기면 심각한 시력저하를 야기할 수 있습니다.</x:v>
      </x:c>
      <x:c r="J399" s="8" t="str">
        <x:v>당뇨망막병증</x:v>
      </x:c>
      <x:c r="K399" s="8" t="str">
        <x:v>질병관리청 국가건강정보포털
https://health.kdca.go.kr/healthinfo/biz/health/gnrlzHealthInfo/gnrlzHealthInfo/gnrlzHealthInfoMain.do</x:v>
      </x:c>
    </x:row>
    <x:row r="400" ht="62" customHeight="1">
      <x:c r="A400" s="9" t="n">
        <x:v>399</x:v>
      </x:c>
      <x:c r="B400" s="6" t="str">
        <x:v>최종 평가</x:v>
      </x:c>
      <x:c r="C400" s="6" t="str">
        <x:v>질병</x:v>
      </x:c>
      <x:c r="D400" s="6" t="str">
        <x:v>용어·정의</x:v>
      </x:c>
      <x:c r="E400" s="6" t="str">
        <x:v>답변 가능</x:v>
      </x:c>
      <x:c r="F400" s="6" t="str">
        <x:v>쉬움</x:v>
      </x:c>
      <x:c r="G400" s="8" t="str">
        <x:v>과민성장증후군이 뭔가요?</x:v>
      </x:c>
      <x:c r="H400" s="8" t="str">
        <x:v>'이것만은 꼭 기억하세요' • 과민성장증후군은 특별한 기질적 원인 없이 복통, 복부 팽만, 설사나 변비 등의 증상이 반복되는 만성적인 장 질환입니다.</x:v>
      </x:c>
      <x:c r="I400" s="8" t="str">
        <x:v>과민성장증후군 - 요약문 '이것만은 꼭 기억하세요' • 과민성장증후군은 특별한 기질적 원인 없이 복통, 복부 팽만, 설사나 변비 등의 증상이 반복되는 만성적인 장 질환입니다. • 이 질환은 장운동 이상, 내장 과민성, 심리적 요인, 장내 세균 변화 등이 복합적으로 작용하여 발생합니다. • 생명을 위협하지는 않지만, 증상이 불편하고 일상생활이나 직장생활에 큰 지장을 줄 수 있습니다.</x:v>
      </x:c>
      <x:c r="J400" s="8" t="str">
        <x:v>과민성장증후군</x:v>
      </x:c>
      <x:c r="K400" s="8" t="str">
        <x:v>질병관리청 국가건강정보포털
https://health.kdca.go.kr/healthinfo/biz/health/gnrlzHealthInfo/gnrlzHealthInfo/gnrlzHealthInfoMain.do</x:v>
      </x:c>
    </x:row>
    <x:row r="401" ht="62" customHeight="1">
      <x:c r="A401" s="9" t="n">
        <x:v>400</x:v>
      </x:c>
      <x:c r="B401" s="6" t="str">
        <x:v>최종 평가</x:v>
      </x:c>
      <x:c r="C401" s="6" t="str">
        <x:v>질병</x:v>
      </x:c>
      <x:c r="D401" s="6" t="str">
        <x:v>원인·위험요인</x:v>
      </x:c>
      <x:c r="E401" s="6" t="str">
        <x:v>답변 가능</x:v>
      </x:c>
      <x:c r="F401" s="6" t="str">
        <x:v>쉬움</x:v>
      </x:c>
      <x:c r="G401" s="8" t="str">
        <x:v>직장염은 왜 생기나요?</x:v>
      </x:c>
      <x:c r="H401" s="8" t="str">
        <x:v>그 외에도 직장의 점막에 자극을 줄 수 있는 다양한 자극제에 의해서 화학성 직장염이 발생할 수 있습니다. 직장에 염증이 발생하면 장점막의 세포가 소실됩니다. 또한 점막층의 급성염증에 의해 장점막에 영양을 공급하는 작은 동맥상피에 부종이 일어납니다. 이러한 변화들은 결과적으로 직장조직의 허혈을 일으킵니다. 나아가 점막의 취약성, 출혈, 궤양, 협착, 누공 형성 등을 유발하며 장점막의 위축과 섬유화에 이르게 됩니다.</x:v>
      </x:c>
      <x:c r="I401" s="8" t="str">
        <x:v>직장염 - 원인 / 병태생리 그 외에도 직장의 점막에 자극을 줄 수 있는 다양한 자극제에 의해서 화학성 직장염이 발생할 수 있습니다. 직장에 염증이 발생하면 장점막의 세포가 소실됩니다. 또한 점막층의 급성염증에 의해 장점막에 영양을 공급하는 작은 동맥상피에 부종이 일어납니다. 이러한 변화들은 결과적으로 직장조직의 허혈을 일으킵니다. 나아가 점막의 취약성, 출혈, 궤양, 협착, 누공 형성 등을 유발하며 장점막의 위축과 섬유화에 이르게 됩니다.</x:v>
      </x:c>
      <x:c r="J401" s="8" t="str">
        <x:v>직장염</x:v>
      </x:c>
      <x:c r="K401" s="8" t="str">
        <x:v>질병관리청 국가건강정보포털
https://health.kdca.go.kr/healthinfo/biz/health/gnrlzHealthInfo/gnrlzHealthInfo/gnrlzHealthInfoMain.do</x:v>
      </x:c>
    </x:row>
    <x:row r="402" ht="62" customHeight="1">
      <x:c r="A402" s="9" t="n">
        <x:v>401</x:v>
      </x:c>
      <x:c r="B402" s="6" t="str">
        <x:v>최종 평가</x:v>
      </x:c>
      <x:c r="C402" s="6" t="str">
        <x:v>질병</x:v>
      </x:c>
      <x:c r="D402" s="6" t="str">
        <x:v>치료·관리</x:v>
      </x:c>
      <x:c r="E402" s="6" t="str">
        <x:v>답변 가능</x:v>
      </x:c>
      <x:c r="F402" s="6" t="str">
        <x:v>쉬움</x:v>
      </x:c>
      <x:c r="G402" s="8" t="str">
        <x:v>안구건조증은 어떻게 치료하거나 관리하나요?</x:v>
      </x:c>
      <x:c r="H402" s="8" t="str">
        <x:v>정상 눈물 속에는 다양한 성장인자와 유익한 단백질들이 존재하는데, 혈청 내에는 이와 유사한 성분들이 많이 들어 있어 심한 안구건조증 치료에 쓸 수 있습니다. 세 가지 형태 모두 각막과 결막의 상피세포 증식과 회복에 우수한 효과를 나타냅니다. 단, 방부제 없이 냉동 보관해서 3~4개월까지만 사용할 수 있습니다. 2) 경구 눈물 분비촉진제</x:v>
      </x:c>
      <x:c r="I402" s="8" t="str">
        <x:v>안구건조증 - 약물 치료 1) 자가혈청안약/동종혈청안약/자가혈소판부혈장안약 정상 눈물 속에는 다양한 성장인자와 유익한 단백질들이 존재하는데, 혈청 내에는 이와 유사한 성분들이 많이 들어 있어 심한 안구건조증 치료에 쓸 수 있습니다. 세 가지 형태 모두 각막과 결막의 상피세포 증식과 회복에 우수한 효과를 나타냅니다. 단, 방부제 없이 냉동 보관해서 3~4개월까지만 사용할 수 있습니다. 2) 경구 눈물 분비촉진제</x:v>
      </x:c>
      <x:c r="J402" s="8" t="str">
        <x:v>안구건조증</x:v>
      </x:c>
      <x:c r="K402" s="8" t="str">
        <x:v>질병관리청 국가건강정보포털
https://health.kdca.go.kr/healthinfo/biz/health/gnrlzHealthInfo/gnrlzHealthInfo/gnrlzHealthInfoMain.do</x:v>
      </x:c>
    </x:row>
    <x:row r="403" ht="62" customHeight="1">
      <x:c r="A403" s="9" t="n">
        <x:v>402</x:v>
      </x:c>
      <x:c r="B403" s="6" t="str">
        <x:v>최종 평가</x:v>
      </x:c>
      <x:c r="C403" s="6" t="str">
        <x:v>질병</x:v>
      </x:c>
      <x:c r="D403" s="6" t="str">
        <x:v>치료·관리</x:v>
      </x:c>
      <x:c r="E403" s="6" t="str">
        <x:v>답변 가능</x:v>
      </x:c>
      <x:c r="F403" s="6" t="str">
        <x:v>쉬움</x:v>
      </x:c>
      <x:c r="G403" s="8" t="str">
        <x:v>궤양대장염(궤양결장염)은 어떻게 치료하거나 관리하나요?</x:v>
      </x:c>
      <x:c r="H403" s="8" t="str">
        <x:v>최근 치료 목표가 증상을 없도록 하는 것 뿐만 아니라, 내시경 검사에서 장점막의 궤양이나 염증 없이 낫도록 하는 것(점막치유)으로 변화되고 있습니다. 하지만 궤양대장염의 특성과 치료 반응은 환자 개인별로 다를 수 있기 때문에, 개인에 적합한 치료 목표를 정하고 그 목표에 도달하도록 치료해야 합니다. 또한 증상이 좋아졌다고 치료를 중단하는 것이 아니고 증상 재발과 합병증 예방을 위해 지속적으로 꾸준히 치료를 받아야 합니다.</x:v>
      </x:c>
      <x:c r="I403" s="8" t="str">
        <x:v>궤양대장염(궤양결장염) - 치료 최근 치료 목표가 증상을 없도록 하는 것 뿐만 아니라, 내시경 검사에서 장점막의 궤양이나 염증 없이 낫도록 하는 것(점막치유)으로 변화되고 있습니다. 하지만 궤양대장염의 특성과 치료 반응은 환자 개인별로 다를 수 있기 때문에, 개인에 적합한 치료 목표를 정하고 그 목표에 도달하도록 치료해야 합니다. 또한 증상이 좋아졌다고 치료를 중단하는 것이 아니고 증상 재발과 합병증 예방을 위해 지속적으로 꾸준히 치료를 받아야 합니다.</x:v>
      </x:c>
      <x:c r="J403" s="8" t="str">
        <x:v>궤양대장염(궤양결장염)</x:v>
      </x:c>
      <x:c r="K403" s="8" t="str">
        <x:v>질병관리청 국가건강정보포털
https://health.kdca.go.kr/healthinfo/biz/health/gnrlzHealthInfo/gnrlzHealthInfo/gnrlzHealthInfoMain.do</x:v>
      </x:c>
    </x:row>
    <x:row r="404" ht="62" customHeight="1">
      <x:c r="A404" s="9" t="n">
        <x:v>403</x:v>
      </x:c>
      <x:c r="B404" s="6" t="str">
        <x:v>최종 평가</x:v>
      </x:c>
      <x:c r="C404" s="6" t="str">
        <x:v>질병</x:v>
      </x:c>
      <x:c r="D404" s="6" t="str">
        <x:v>개요·기타</x:v>
      </x:c>
      <x:c r="E404" s="6" t="str">
        <x:v>답변 가능</x:v>
      </x:c>
      <x:c r="F404" s="6" t="str">
        <x:v>쉬움</x:v>
      </x:c>
      <x:c r="G404" s="8" t="str">
        <x:v>저체온증에 대해 쉽게 설명해 주실 수 있나요?</x:v>
      </x:c>
      <x:c r="H404" s="8" t="str">
        <x:v>사람의 신체에는 저체온증에 대한 방어기전이 존재하므로 상식적인 수준에서의 물놀이로는 저체온증에 쉽게 빠지지 않습니다.</x:v>
      </x:c>
      <x:c r="I404" s="8" t="str">
        <x:v>저체온증 - 자주하는 질문 단, 갑상선기능저하증이나 부신피질기능저하증과 같은 질환으로 인한 내적인 요인에 의해 저체온증이 발생한 경우에는 증상이 오래 지속될 수 있으므로 원인 질환에 대한 근본적인 치료가 필요합니다. Q. 한여름에 바다나 수영장에서 물놀이를 하는 경우에도 저체온증이 쉽게 발생하나요? A. 사람의 신체에는 저체온증에 대한 방어기전이 존재하므로 상식적인 수준에서의 물놀이로는 저체온증에 쉽게 빠지지 않습니다.</x:v>
      </x:c>
      <x:c r="J404" s="8" t="str">
        <x:v>저체온증</x:v>
      </x:c>
      <x:c r="K404" s="8" t="str">
        <x:v>질병관리청 국가건강정보포털
https://health.kdca.go.kr/healthinfo/biz/health/gnrlzHealthInfo/gnrlzHealthInfo/gnrlzHealthInfoMain.do</x:v>
      </x:c>
    </x:row>
    <x:row r="405" ht="62" customHeight="1">
      <x:c r="A405" s="9" t="n">
        <x:v>404</x:v>
      </x:c>
      <x:c r="B405" s="6" t="str">
        <x:v>최종 평가</x:v>
      </x:c>
      <x:c r="C405" s="6" t="str">
        <x:v>질병</x:v>
      </x:c>
      <x:c r="D405" s="6" t="str">
        <x:v>경과·예후</x:v>
      </x:c>
      <x:c r="E405" s="6" t="str">
        <x:v>답변 가능</x:v>
      </x:c>
      <x:c r="F405" s="6" t="str">
        <x:v>쉬움</x:v>
      </x:c>
      <x:c r="G405" s="8" t="str">
        <x:v>족저근막염의 경과나 예후는 어떤가요?</x:v>
      </x:c>
      <x:c r="H405" s="8" t="str">
        <x:v>족저근막염 자체가 원인이 되어 발생하는 합병증은 알려져 있지 않지만, 증상이 만성화되면 일상 생활에 지장을 초래할 수 있어 조기에 치료하는 것이 좋습니다.</x:v>
      </x:c>
      <x:c r="I405" s="8" t="str">
        <x:v>족저근막염 - 합병증 / 생활습관 관리 족저근막염 자체가 원인이 되어 발생하는 합병증은 알려져 있지 않지만, 증상이 만성화되면 일상 생활에 지장을 초래할 수 있어 조기에 치료하는 것이 좋습니다. 족저근막에 가해지는 긴장을 줄이는 생활습관 개선이 중요합니다. 적절한 체중을 유지하고, 운동량을 갑자기 늘리지 말고 자신의 운동 능력에 맞게 조금씩 늘려야 합니다.</x:v>
      </x:c>
      <x:c r="J405" s="8" t="str">
        <x:v>족저근막염</x:v>
      </x:c>
      <x:c r="K405" s="8" t="str">
        <x:v>질병관리청 국가건강정보포털
https://health.kdca.go.kr/healthinfo/biz/health/gnrlzHealthInfo/gnrlzHealthInfo/gnrlzHealthInfoMain.do</x:v>
      </x:c>
    </x:row>
    <x:row r="406" ht="62" customHeight="1">
      <x:c r="A406" s="9" t="n">
        <x:v>405</x:v>
      </x:c>
      <x:c r="B406" s="6" t="str">
        <x:v>최종 평가</x:v>
      </x:c>
      <x:c r="C406" s="6" t="str">
        <x:v>질병</x:v>
      </x:c>
      <x:c r="D406" s="6" t="str">
        <x:v>증상·양상</x:v>
      </x:c>
      <x:c r="E406" s="6" t="str">
        <x:v>답변 가능</x:v>
      </x:c>
      <x:c r="F406" s="6" t="str">
        <x:v>쉬움</x:v>
      </x:c>
      <x:c r="G406" s="8" t="str">
        <x:v>간의 양성종양(담관낭선종)이 있으면 어떤 증상이 나타날 수 있나요?</x:v>
      </x:c>
      <x:c r="H406" s="8" t="str">
        <x:v>특이 증상은 없으나, 낭종의 크기가 커지면서 복통, 복부 불편감, 소화불량 등이 나타날 수 있습니다. 혈액검사에서 경미한 간 효소 수치 상승이나 황달 등을 보일 수 있으나, 대부분 혈액검사는 정상입니다. 복부 초음파 검사, 컴퓨터단층촬영(CT), 자기공명영상(MRI) 등의 영상의학 검사가 진단에 도움이 될 수 있습니다.</x:v>
      </x:c>
      <x:c r="I406" s="8" t="str">
        <x:v>간의 양성종양(담관낭선종) - 증상 / 진단 및 검사 특이 증상은 없으나, 낭종의 크기가 커지면서 복통, 복부 불편감, 소화불량 등이 나타날 수 있습니다. 혈액검사에서 경미한 간 효소 수치 상승이나 황달 등을 보일 수 있으나, 대부분 혈액검사는 정상입니다. 복부 초음파 검사, 컴퓨터단층촬영(CT), 자기공명영상(MRI) 등의 영상의학 검사가 진단에 도움이 될 수 있습니다.</x:v>
      </x:c>
      <x:c r="J406" s="8" t="str">
        <x:v>간의 양성종양(담관낭선종)</x:v>
      </x:c>
      <x:c r="K406" s="8" t="str">
        <x:v>질병관리청 국가건강정보포털
https://health.kdca.go.kr/healthinfo/biz/health/gnrlzHealthInfo/gnrlzHealthInfo/gnrlzHealthInfoMain.do</x:v>
      </x:c>
    </x:row>
    <x:row r="407" ht="62" customHeight="1">
      <x:c r="A407" s="9" t="n">
        <x:v>406</x:v>
      </x:c>
      <x:c r="B407" s="6" t="str">
        <x:v>최종 평가</x:v>
      </x:c>
      <x:c r="C407" s="6" t="str">
        <x:v>질병</x:v>
      </x:c>
      <x:c r="D407" s="6" t="str">
        <x:v>원인·위험요인</x:v>
      </x:c>
      <x:c r="E407" s="6" t="str">
        <x:v>답변 가능</x:v>
      </x:c>
      <x:c r="F407" s="6" t="str">
        <x:v>쉬움</x:v>
      </x:c>
      <x:c r="G407" s="8" t="str">
        <x:v>노인 고혈압은 왜 생기나요?</x:v>
      </x:c>
      <x:c r="H407" s="8" t="str">
        <x:v>신장질환, 부신 종양, 수면 무호흡증, 일부 선천성 심장질환 등이 원인이 될 수 있으며, 갑작스럽게 발생하고 혈압이 더 높게 나타나는 특징이 있습니다. 노인의 혈관은 나이가 들수록 두꺼워지고 딱딱해지며 탄력이 줄어들어, 혈압 상승과 고혈압 발생에 중요한 영향을 미칩니다. 고혈압의 위험 요인은 크게 조절할 수 없는 인자와 조절할 수 있는 인자로 나눌 수 있습니다. 1. 조절할 수 없는 위험인자</x:v>
      </x:c>
      <x:c r="I407" s="8" t="str">
        <x:v>노인 고혈압 - 종류 / 원인 신장질환, 부신 종양, 수면 무호흡증, 일부 선천성 심장질환 등이 원인이 될 수 있으며, 갑작스럽게 발생하고 혈압이 더 높게 나타나는 특징이 있습니다. 노인의 혈관은 나이가 들수록 두꺼워지고 딱딱해지며 탄력이 줄어들어, 혈압 상승과 고혈압 발생에 중요한 영향을 미칩니다. 고혈압의 위험 요인은 크게 조절할 수 없는 인자와 조절할 수 있는 인자로 나눌 수 있습니다. 1. 조절할 수 없는 위험인자</x:v>
      </x:c>
      <x:c r="J407" s="8" t="str">
        <x:v>노인 고혈압</x:v>
      </x:c>
      <x:c r="K407" s="8" t="str">
        <x:v>질병관리청 국가건강정보포털
https://health.kdca.go.kr/healthinfo/biz/health/gnrlzHealthInfo/gnrlzHealthInfo/gnrlzHealthInfoMain.do</x:v>
      </x:c>
    </x:row>
    <x:row r="408" ht="62" customHeight="1">
      <x:c r="A408" s="9" t="n">
        <x:v>407</x:v>
      </x:c>
      <x:c r="B408" s="6" t="str">
        <x:v>최종 평가</x:v>
      </x:c>
      <x:c r="C408" s="6" t="str">
        <x:v>질병</x:v>
      </x:c>
      <x:c r="D408" s="6" t="str">
        <x:v>용어·정의</x:v>
      </x:c>
      <x:c r="E408" s="6" t="str">
        <x:v>답변 가능</x:v>
      </x:c>
      <x:c r="F408" s="6" t="str">
        <x:v>쉬움</x:v>
      </x:c>
      <x:c r="G408" s="8" t="str">
        <x:v>저체온증이 뭔가요?</x:v>
      </x:c>
      <x:c r="H408" s="8" t="str">
        <x:v>저체온증은 한랭 노출 등의 환경적 요인이나 외상, 갑상선기능저하증과 같은 질환 등의 이유로 정상체온을 유지하지 못하는 상황(섭씨 35도 미만)을 말합니다.</x:v>
      </x:c>
      <x:c r="I408" s="8" t="str">
        <x:v>저체온증 - 정의 저체온증은 한랭 노출 등의 환경적 요인이나 외상, 갑상선기능저하증과 같은 질환 등의 이유로 정상체온을 유지하지 못하는 상황(섭씨 35도 미만)을 말합니다.</x:v>
      </x:c>
      <x:c r="J408" s="8" t="str">
        <x:v>저체온증</x:v>
      </x:c>
      <x:c r="K408" s="8" t="str">
        <x:v>질병관리청 국가건강정보포털
https://health.kdca.go.kr/healthinfo/biz/health/gnrlzHealthInfo/gnrlzHealthInfo/gnrlzHealthInfoMain.do</x:v>
      </x:c>
    </x:row>
    <x:row r="409" ht="62" customHeight="1">
      <x:c r="A409" s="9" t="n">
        <x:v>408</x:v>
      </x:c>
      <x:c r="B409" s="6" t="str">
        <x:v>최종 평가</x:v>
      </x:c>
      <x:c r="C409" s="6" t="str">
        <x:v>질병</x:v>
      </x:c>
      <x:c r="D409" s="6" t="str">
        <x:v>진단·검사</x:v>
      </x:c>
      <x:c r="E409" s="6" t="str">
        <x:v>답변 가능</x:v>
      </x:c>
      <x:c r="F409" s="6" t="str">
        <x:v>쉬움</x:v>
      </x:c>
      <x:c r="G409" s="8" t="str">
        <x:v>유행각결막염은 어떤 검사로 확인하나요?</x:v>
      </x:c>
      <x:c r="H409" s="8" t="str">
        <x:v>다만 유행각결막염에 의해 나타나는 급성결막염의 증상 및 징후는 대부분 비특이적이므로 감별진단에 큰 도움이 되지 않습니다.</x:v>
      </x:c>
      <x:c r="I409" s="8" t="str">
        <x:v>유행각결막염 - 진단 및 검사 다만 유행각결막염에 의해 나타나는 급성결막염의 증상 및 징후는 대부분 비특이적이므로 감별진단에 큰 도움이 되지 않습니다. 바이러스결막염의 분비물은 삼출성인 경우가 많은 반면, 세균에 의한 각막염은 화농성 분비물이 특징이라는 점이 감별에 도움을 줄 수 있습니다.</x:v>
      </x:c>
      <x:c r="J409" s="8" t="str">
        <x:v>유행각결막염</x:v>
      </x:c>
      <x:c r="K409" s="8" t="str">
        <x:v>질병관리청 국가건강정보포털
https://health.kdca.go.kr/healthinfo/biz/health/gnrlzHealthInfo/gnrlzHealthInfo/gnrlzHealthInfoMain.do</x:v>
      </x:c>
    </x:row>
    <x:row r="410" ht="62" customHeight="1">
      <x:c r="A410" s="9" t="n">
        <x:v>409</x:v>
      </x:c>
      <x:c r="B410" s="6" t="str">
        <x:v>최종 평가</x:v>
      </x:c>
      <x:c r="C410" s="6" t="str">
        <x:v>질병</x:v>
      </x:c>
      <x:c r="D410" s="6" t="str">
        <x:v>치료·관리</x:v>
      </x:c>
      <x:c r="E410" s="6" t="str">
        <x:v>답변 가능</x:v>
      </x:c>
      <x:c r="F410" s="6" t="str">
        <x:v>쉬움</x:v>
      </x:c>
      <x:c r="G410" s="8" t="str">
        <x:v>노인 보행장애는 어떻게 치료하거나 관리하나요?</x:v>
      </x:c>
      <x:c r="H410" s="8" t="str">
        <x:v>보행장애는 불필요한 에너지를 소모하고 근골격계 손상 위험을 높일 뿐만 아니라, 무엇보다 낙상의 위험을 증가시키기 때문에, 이를 개선하기 위한 적절한 치료와 관리가 매우 중요합니다. 무엇보다 먼저, 의료진의 평가를 통해 보행장애의 정확한 원인을 파악하고, 그에 맞는 적절한 치료를 받는 것이 우선입니다. 걷기 어려움이 뚜렷해졌을 때는, 원인 질환에 따라 적절한 약물 치료가 필요합니다.</x:v>
      </x:c>
      <x:c r="I410" s="8" t="str">
        <x:v>노인 보행장애 - 치료 / 약물 치료 보행장애는 불필요한 에너지를 소모하고 근골격계 손상 위험을 높일 뿐만 아니라, 무엇보다 낙상의 위험을 증가시키기 때문에, 이를 개선하기 위한 적절한 치료와 관리가 매우 중요합니다. 무엇보다 먼저, 의료진의 평가를 통해 보행장애의 정확한 원인을 파악하고, 그에 맞는 적절한 치료를 받는 것이 우선입니다. 걷기 어려움이 뚜렷해졌을 때는, 원인 질환에 따라 적절한 약물 치료가 필요합니다.</x:v>
      </x:c>
      <x:c r="J410" s="8" t="str">
        <x:v>노인 보행장애</x:v>
      </x:c>
      <x:c r="K410" s="8" t="str">
        <x:v>질병관리청 국가건강정보포털
https://health.kdca.go.kr/healthinfo/biz/health/gnrlzHealthInfo/gnrlzHealthInfo/gnrlzHealthInfoMain.do</x:v>
      </x:c>
    </x:row>
    <x:row r="411" ht="62" customHeight="1">
      <x:c r="A411" s="9" t="n">
        <x:v>410</x:v>
      </x:c>
      <x:c r="B411" s="6" t="str">
        <x:v>최종 평가</x:v>
      </x:c>
      <x:c r="C411" s="6" t="str">
        <x:v>질병</x:v>
      </x:c>
      <x:c r="D411" s="6" t="str">
        <x:v>기준·수치</x:v>
      </x:c>
      <x:c r="E411" s="6" t="str">
        <x:v>답변 가능</x:v>
      </x:c>
      <x:c r="F411" s="6" t="str">
        <x:v>쉬움</x:v>
      </x:c>
      <x:c r="G411" s="8" t="str">
        <x:v>약시(소아)와 관련해 알아두어야 할 기준이나 수치는 무엇인가요?</x:v>
      </x:c>
      <x:c r="H411" s="8" t="str">
        <x:v>약시 아동의 약 1/3은 굴절이상 교정만으로도 약시가 치료될 수 있습니다.</x:v>
      </x:c>
      <x:c r="I411" s="8" t="str">
        <x:v>약시(소아) - 치료 안경이나 렌즈를 착용하여 굴절이상을 교정하면, 16~22주 후 평균 두 줄 이상 시력이 좋아지는 것으로 알려져 있습니다. 약시 아동의 약 1/3은 굴절이상 교정만으로도 약시가 치료될 수 있습니다. 또한 굴절교정을 통해 시력이 호전되면 가림치료도 훨씬 잘 할 수 있게 됩니다. 따라서 가림치료를 시작하기 전에 반드시 굴절교정을 먼저 해야 합니다. 2. 가림치료</x:v>
      </x:c>
      <x:c r="J411" s="8" t="str">
        <x:v>약시(소아)</x:v>
      </x:c>
      <x:c r="K411" s="8" t="str">
        <x:v>질병관리청 국가건강정보포털
https://health.kdca.go.kr/healthinfo/biz/health/gnrlzHealthInfo/gnrlzHealthInfo/gnrlzHealthInfoMain.do</x:v>
      </x:c>
    </x:row>
    <x:row r="412" ht="62" customHeight="1">
      <x:c r="A412" s="9" t="n">
        <x:v>411</x:v>
      </x:c>
      <x:c r="B412" s="6" t="str">
        <x:v>최종 평가</x:v>
      </x:c>
      <x:c r="C412" s="6" t="str">
        <x:v>질병</x:v>
      </x:c>
      <x:c r="D412" s="6" t="str">
        <x:v>실용·응급대처</x:v>
      </x:c>
      <x:c r="E412" s="6" t="str">
        <x:v>답변 가능</x:v>
      </x:c>
      <x:c r="F412" s="6" t="str">
        <x:v>쉬움</x:v>
      </x:c>
      <x:c r="G412" s="8" t="str">
        <x:v>객혈과 관련해 어떤 경우에 병원을 방문해야 하나요?</x:v>
      </x:c>
      <x:c r="H412" s="8" t="str">
        <x:v>위장관계 출혈일 때도 객혈과 구분이 어려울 수 있는데, 검붉은 색 피를 토하거나 음식물이 섞여 있고 대변색이 검어진 경우에는 위장관 출혈의 가능성이 더욱 높으므로 소화기 내과 진료를 보는 것이 좋겠습니다.</x:v>
      </x:c>
      <x:c r="I412" s="8" t="str">
        <x:v>객혈 - 자주하는 질문 위장관계 출혈일 때도 객혈과 구분이 어려울 수 있는데, 검붉은 색 피를 토하거나 음식물이 섞여 있고 대변색이 검어진 경우에는 위장관 출혈의 가능성이 더욱 높으므로 소화기 내과 진료를 보는 것이 좋겠습니다. 기침할 때마다 선홍색 피가 비치거나 거품 섞인 가래가 섞여 나오는 경우에는 기관지 및 폐에서 유래한 출혈일 가능성이 높으므로 호흡기 내과 진료를 보십시오.</x:v>
      </x:c>
      <x:c r="J412" s="8" t="str">
        <x:v>객혈</x:v>
      </x:c>
      <x:c r="K412" s="8" t="str">
        <x:v>질병관리청 국가건강정보포털
https://health.kdca.go.kr/healthinfo/biz/health/gnrlzHealthInfo/gnrlzHealthInfo/gnrlzHealthInfoMain.do</x:v>
      </x:c>
    </x:row>
    <x:row r="413" ht="62" customHeight="1">
      <x:c r="A413" s="9" t="n">
        <x:v>412</x:v>
      </x:c>
      <x:c r="B413" s="6" t="str">
        <x:v>최종 평가</x:v>
      </x:c>
      <x:c r="C413" s="6" t="str">
        <x:v>질병</x:v>
      </x:c>
      <x:c r="D413" s="6" t="str">
        <x:v>치료·관리</x:v>
      </x:c>
      <x:c r="E413" s="6" t="str">
        <x:v>답변 가능</x:v>
      </x:c>
      <x:c r="F413" s="6" t="str">
        <x:v>쉬움</x:v>
      </x:c>
      <x:c r="G413" s="8" t="str">
        <x:v>스포츠 손상과 안전(견관절(어깨 관절) 손상)은 어떻게 치료하거나 관리하나요?</x:v>
      </x:c>
      <x:c r="H413" s="8" t="str">
        <x:v>야구선수 등 젊고 활동성이 높은 사람은 재발을 막기 위해 수술을 시행하기도 하지만, 보조기 등 비수술적인 치료를 하는 것이 일반적입니다. 1차 탈구 이후 큰 외상이 없는데 자주 재발하고, MRI에서 견갑부의 골결손이 있거나 관절와순의 파열이 심한 경우는 수술적 치료를 시행합니다. Q. 어깨 충돌 증후군은 어떻게 하면 나을 수 있나요? 수술이 꼭 필요한가요? A.</x:v>
      </x:c>
      <x:c r="I413" s="8" t="str">
        <x:v>스포츠 손상과 안전(견관절(어깨 관절) 손상) - 자주하는 질문 Q. 부상을 당해 어깨가 빠지면 바로 수술해야 하나요? A. 야구선수 등 젊고 활동성이 높은 사람은 재발을 막기 위해 수술을 시행하기도 하지만, 보조기 등 비수술적인 치료를 하는 것이 일반적입니다. 1차 탈구 이후 큰 외상이 없는데 자주 재발하고, MRI에서 견갑부의 골결손이 있거나 관절와순의 파열이 심한 경우는 수술적 치료를 시행합니다. Q. 어깨 충돌 증후군은 어떻게 하면 나을 수 있나요? 수술이 꼭 필요한가요? A.</x:v>
      </x:c>
      <x:c r="J413" s="8" t="str">
        <x:v>스포츠 손상과 안전(견관절(어깨 관절) 손상)</x:v>
      </x:c>
      <x:c r="K413" s="8" t="str">
        <x:v>질병관리청 국가건강정보포털
https://health.kdca.go.kr/healthinfo/biz/health/gnrlzHealthInfo/gnrlzHealthInfo/gnrlzHealthInfoMain.do</x:v>
      </x:c>
    </x:row>
    <x:row r="414" ht="62" customHeight="1">
      <x:c r="A414" s="9" t="n">
        <x:v>413</x:v>
      </x:c>
      <x:c r="B414" s="6" t="str">
        <x:v>최종 평가</x:v>
      </x:c>
      <x:c r="C414" s="6" t="str">
        <x:v>질병</x:v>
      </x:c>
      <x:c r="D414" s="6" t="str">
        <x:v>기준·수치</x:v>
      </x:c>
      <x:c r="E414" s="6" t="str">
        <x:v>답변 가능</x:v>
      </x:c>
      <x:c r="F414" s="6" t="str">
        <x:v>쉬움</x:v>
      </x:c>
      <x:c r="G414" s="8" t="str">
        <x:v>소변이상(당뇨)와 관련된 증상이나 상태는 보통 얼마나 지속되나요?</x:v>
      </x:c>
      <x:c r="H414" s="8" t="str">
        <x:v>소변을 자주 보는 것을 빈뇨라고 하며, 일반적으로 하루 8회 이상 배뇨할 때를 의미합니다.</x:v>
      </x:c>
      <x:c r="I414" s="8" t="str">
        <x:v>소변이상(당뇨) - 자주하는 질문 당뇨환자가 소변을 자주 본다는 것은 하루 몇 번 이상을 의미하는 것인가요? A. 정상적인 사람은 하루에 4~7회 정도 소변을 봅니다. 소변을 자주 보는 것을 빈뇨라고 하며, 일반적으로 하루 8회 이상 배뇨할 때를 의미합니다. 빈뇨는 당뇨병 외에도 카페인이나 이뇨제가 들어 있는 음료 섭취 등으로도 나타날 수 있으므로, 소변 횟수만으로 당뇨병을 진단할 수는 없습니다. Q. 소변을 자주 보는 경우 문제가 있을까요? A.</x:v>
      </x:c>
      <x:c r="J414" s="8" t="str">
        <x:v>소변이상(당뇨)</x:v>
      </x:c>
      <x:c r="K414" s="8" t="str">
        <x:v>질병관리청 국가건강정보포털
https://health.kdca.go.kr/healthinfo/biz/health/gnrlzHealthInfo/gnrlzHealthInfo/gnrlzHealthInfoMain.do</x:v>
      </x:c>
    </x:row>
    <x:row r="415" ht="62" customHeight="1">
      <x:c r="A415" s="9" t="n">
        <x:v>414</x:v>
      </x:c>
      <x:c r="B415" s="6" t="str">
        <x:v>최종 평가</x:v>
      </x:c>
      <x:c r="C415" s="6" t="str">
        <x:v>질병</x:v>
      </x:c>
      <x:c r="D415" s="6" t="str">
        <x:v>진단·검사</x:v>
      </x:c>
      <x:c r="E415" s="6" t="str">
        <x:v>답변 가능</x:v>
      </x:c>
      <x:c r="F415" s="6" t="str">
        <x:v>쉬움</x:v>
      </x:c>
      <x:c r="G415" s="8" t="str">
        <x:v>요도하열(소아)는 어떤 검사로 확인하나요?</x:v>
      </x:c>
      <x:c r="H415" s="8" t="str">
        <x:v>신체진찰을 통해 외요도입구의 위치, 음경굽이 정도를 확인하여 진단합니다.</x:v>
      </x:c>
      <x:c r="I415" s="8" t="str">
        <x:v>요도하열(소아) - 진단 및 검사 신체진찰을 통해 외요도입구의 위치, 음경굽이 정도를 확인하여 진단합니다. 성분화이상 질환이 의심되는 경우에는 염색체검사 및 호르몬 검사를 시행합니다. 요도하열 환자에서 다른 비뇨기계 선천이상이 증가한다고는 하지만, 모든 환자에서 상부요로의 영상검사를 시행할 필요는 없습니다. 다만 신장 및 요관 선천이상이 의심되는 경우에는 신장초음파를 우선 시행해볼 수 있습니다.</x:v>
      </x:c>
      <x:c r="J415" s="8" t="str">
        <x:v>요도하열(소아)</x:v>
      </x:c>
      <x:c r="K415" s="8" t="str">
        <x:v>질병관리청 국가건강정보포털
https://health.kdca.go.kr/healthinfo/biz/health/gnrlzHealthInfo/gnrlzHealthInfo/gnrlzHealthInfoMain.do</x:v>
      </x:c>
    </x:row>
    <x:row r="416" ht="62" customHeight="1">
      <x:c r="A416" s="9" t="n">
        <x:v>415</x:v>
      </x:c>
      <x:c r="B416" s="6" t="str">
        <x:v>최종 평가</x:v>
      </x:c>
      <x:c r="C416" s="6" t="str">
        <x:v>질병</x:v>
      </x:c>
      <x:c r="D416" s="6" t="str">
        <x:v>치료·관리</x:v>
      </x:c>
      <x:c r="E416" s="6" t="str">
        <x:v>답변 가능</x:v>
      </x:c>
      <x:c r="F416" s="6" t="str">
        <x:v>쉬움</x:v>
      </x:c>
      <x:c r="G416" s="8" t="str">
        <x:v>크루프(후두염)은 어떻게 치료하거나 관리하나요?</x:v>
      </x:c>
      <x:c r="H416" s="8" t="str">
        <x:v>안정된 상태에서도 심한 협착음이 들리고 호흡이 힘든 크루프 환자에게는 에피네프린을 분무기로 투여하는 흡입치료를 시행합니다. 에피네프린은 작은 동맥을 수축시켜 후두 점막의 부종을 감소시킵니다. 2. 경구 스테로이드(steroid) 스테로이드는 후두의 염증을 억제하여 후두 점막의 부종을 줄여줍니다. 부종이 줄면 좁아졌던 후두 부위 기도의 직경이 넓어져 호흡하는 데 도움이 됩니다.</x:v>
      </x:c>
      <x:c r="I416" s="8" t="str">
        <x:v>크루프(후두염) - 약물 치료 안정된 상태에서도 심한 협착음이 들리고 호흡이 힘든 크루프 환자에게는 에피네프린을 분무기로 투여하는 흡입치료를 시행합니다. 에피네프린은 작은 동맥을 수축시켜 후두 점막의 부종을 감소시킵니다. 2. 경구 스테로이드(steroid) 스테로이드는 후두의 염증을 억제하여 후두 점막의 부종을 줄여줍니다. 부종이 줄면 좁아졌던 후두 부위 기도의 직경이 넓어져 호흡하는 데 도움이 됩니다.</x:v>
      </x:c>
      <x:c r="J416" s="8" t="str">
        <x:v>크루프(후두염)</x:v>
      </x:c>
      <x:c r="K416" s="8" t="str">
        <x:v>질병관리청 국가건강정보포털
https://health.kdca.go.kr/healthinfo/biz/health/gnrlzHealthInfo/gnrlzHealthInfo/gnrlzHealthInfoMain.do</x:v>
      </x:c>
    </x:row>
    <x:row r="417" ht="62" customHeight="1">
      <x:c r="A417" s="9" t="n">
        <x:v>416</x:v>
      </x:c>
      <x:c r="B417" s="6" t="str">
        <x:v>최종 평가</x:v>
      </x:c>
      <x:c r="C417" s="6" t="str">
        <x:v>질병</x:v>
      </x:c>
      <x:c r="D417" s="6" t="str">
        <x:v>치료·관리</x:v>
      </x:c>
      <x:c r="E417" s="6" t="str">
        <x:v>답변 가능</x:v>
      </x:c>
      <x:c r="F417" s="6" t="str">
        <x:v>쉬움</x:v>
      </x:c>
      <x:c r="G417" s="8" t="str">
        <x:v>B형간염은 어떻게 치료하거나 관리하나요?</x:v>
      </x:c>
      <x:c r="H417" s="8" t="str">
        <x:v>다만, 증상이 심하거나 임상 경과가 중한 경우에는 경구용 항바이러스제 치료가 고려될 수 있습니다.</x:v>
      </x:c>
      <x:c r="I417" s="8" t="str">
        <x:v>B형간염 - 예방 및 예방접종 / 치료 • 혈액제제를 자주 투여받는 환자(예: 혈우병, 재생불량빈혈, 백혈병 등) • 의료기관 종사자 • 수용시설의 수용자(예: 신체장애자, 구금자 등) 및 근무자 • B형간염 바이러스 보유자의 가족 • 주사용 약물 중독자 • 성매개감염에 노출될 위험이 큰 집단 1. 급성간염 급성간염의 치료는 주로 대증요법이 기본입니다. 다만, 증상이 심하거나 임상 경과가 중한 경우에는 경구용 항바이러스제 치료가 고려될 수 있습니다.</x:v>
      </x:c>
      <x:c r="J417" s="8" t="str">
        <x:v>B형간염</x:v>
      </x:c>
      <x:c r="K417" s="8" t="str">
        <x:v>질병관리청 국가건강정보포털
https://health.kdca.go.kr/healthinfo/biz/health/gnrlzHealthInfo/gnrlzHealthInfo/gnrlzHealthInfoMain.do</x:v>
      </x:c>
    </x:row>
    <x:row r="418" ht="62" customHeight="1">
      <x:c r="A418" s="9" t="n">
        <x:v>417</x:v>
      </x:c>
      <x:c r="B418" s="6" t="str">
        <x:v>최종 평가</x:v>
      </x:c>
      <x:c r="C418" s="6" t="str">
        <x:v>질병</x:v>
      </x:c>
      <x:c r="D418" s="6" t="str">
        <x:v>용어·정의</x:v>
      </x:c>
      <x:c r="E418" s="6" t="str">
        <x:v>답변 가능</x:v>
      </x:c>
      <x:c r="F418" s="6" t="str">
        <x:v>쉬움</x:v>
      </x:c>
      <x:c r="G418" s="8" t="str">
        <x:v>태변흡입증후군이 뭔가요?</x:v>
      </x:c>
      <x:c r="H418" s="8" t="str">
        <x:v>'이것만은 꼭 기억하세요' • 태변흡입증후군은 태아가 자궁 내에서 배출한 태변이 섞인 양수를 흡입해 발생하는 신생아 호흡기 질환입니다.</x:v>
      </x:c>
      <x:c r="I418" s="8" t="str">
        <x:v>태변흡입증후군 - 요약문 '이것만은 꼭 기억하세요' • 태변흡입증후군은 태아가 자궁 내에서 배출한 태변이 섞인 양수를 흡입해 발생하는 신생아 호흡기 질환입니다. • 주로 저산소증이나 태아 스트레스 상황에서 발생하며, 태변이 기도를 막고 폐 기능을 저하시켜 호흡곤란을 일으킵니다. • 출생 직후 빠른 호흡, 청색증 등의 증상이 나타날 수 있으며 심한 경우 인공호흡기 치료가 필요합니다.</x:v>
      </x:c>
      <x:c r="J418" s="8" t="str">
        <x:v>태변흡입증후군</x:v>
      </x:c>
      <x:c r="K418" s="8" t="str">
        <x:v>질병관리청 국가건강정보포털
https://health.kdca.go.kr/healthinfo/biz/health/gnrlzHealthInfo/gnrlzHealthInfo/gnrlzHealthInfoMain.do</x:v>
      </x:c>
    </x:row>
    <x:row r="419" ht="62" customHeight="1">
      <x:c r="A419" s="9" t="n">
        <x:v>418</x:v>
      </x:c>
      <x:c r="B419" s="6" t="str">
        <x:v>최종 평가</x:v>
      </x:c>
      <x:c r="C419" s="6" t="str">
        <x:v>질병</x:v>
      </x:c>
      <x:c r="D419" s="6" t="str">
        <x:v>용어·정의</x:v>
      </x:c>
      <x:c r="E419" s="6" t="str">
        <x:v>답변 가능</x:v>
      </x:c>
      <x:c r="F419" s="6" t="str">
        <x:v>쉬움</x:v>
      </x:c>
      <x:c r="G419" s="8" t="str">
        <x:v>전자가 뭔가요?</x:v>
      </x:c>
      <x:c r="H419" s="8" t="str">
        <x:v>전자는 만성 손상, 후자는 급성 손상을 의미합니다.</x:v>
      </x:c>
      <x:c r="I419" s="8" t="str">
        <x:v>염좌 - 대상별 맞춤 정보 ② 엄지손가락의 척측 측부인대 손상은 사냥터지기 무지(gatekeeper's thumb)나 스키어 무지(skier's thumb)로 불립니다. 전자는 만성 손상, 후자는 급성 손상을 의미합니다. ③ 엄지손가락 인대의 손상을 제대로 치료하지 않아 만성적인 불안정성이 남으면 손가락으로 물건을 집기 힘들어지며, 추후 관절염을 유발할 수 있습니다.</x:v>
      </x:c>
      <x:c r="J419" s="8" t="str">
        <x:v>염좌</x:v>
      </x:c>
      <x:c r="K419" s="8" t="str">
        <x:v>질병관리청 국가건강정보포털
https://health.kdca.go.kr/healthinfo/biz/health/gnrlzHealthInfo/gnrlzHealthInfo/gnrlzHealthInfoMain.do</x:v>
      </x:c>
    </x:row>
    <x:row r="420" ht="62" customHeight="1">
      <x:c r="A420" s="9" t="n">
        <x:v>419</x:v>
      </x:c>
      <x:c r="B420" s="6" t="str">
        <x:v>최종 평가</x:v>
      </x:c>
      <x:c r="C420" s="6" t="str">
        <x:v>질병</x:v>
      </x:c>
      <x:c r="D420" s="6" t="str">
        <x:v>개요·기타</x:v>
      </x:c>
      <x:c r="E420" s="6" t="str">
        <x:v>답변 가능</x:v>
      </x:c>
      <x:c r="F420" s="6" t="str">
        <x:v>쉬움</x:v>
      </x:c>
      <x:c r="G420" s="8" t="str">
        <x:v>아나필락시스에 대해 쉽게 설명해 주실 수 있나요?</x:v>
      </x:c>
      <x:c r="H420" s="8" t="str">
        <x:v>아나필락시스는 급격하게 전신적으로 나타나는 생명을 위협할 수 있는 중증 알레르기 반응입니다.</x:v>
      </x:c>
      <x:c r="I420" s="8" t="str">
        <x:v>아나필락시스 - 요약문 '이것만은 꼭 기억하세요' • 아나필락시스는 급격하게 전신적으로 나타나는 생명을 위협할 수 있는 중증 알레르기 반응입니다. • 증상은 피부 발진, 호흡곤란, 어지럼증, 복통 등 다양하며, 몇 분 안에 빠르게 진행될 수 있어 즉각적인 응급처치가 필요합니다. • 흔한 원인으로는 식품, 약물, 벌독 등이 있으며, 연령에 따라 주요 원인이 달라질 수 있습니다.</x:v>
      </x:c>
      <x:c r="J420" s="8" t="str">
        <x:v>아나필락시스</x:v>
      </x:c>
      <x:c r="K420" s="8" t="str">
        <x:v>질병관리청 국가건강정보포털
https://health.kdca.go.kr/healthinfo/biz/health/gnrlzHealthInfo/gnrlzHealthInfo/gnrlzHealthInfoMain.do</x:v>
      </x:c>
    </x:row>
    <x:row r="421" ht="62" customHeight="1">
      <x:c r="A421" s="9" t="n">
        <x:v>420</x:v>
      </x:c>
      <x:c r="B421" s="6" t="str">
        <x:v>최종 평가</x:v>
      </x:c>
      <x:c r="C421" s="6" t="str">
        <x:v>질병</x:v>
      </x:c>
      <x:c r="D421" s="6" t="str">
        <x:v>개요·기타</x:v>
      </x:c>
      <x:c r="E421" s="6" t="str">
        <x:v>답변 가능</x:v>
      </x:c>
      <x:c r="F421" s="6" t="str">
        <x:v>쉬움</x:v>
      </x:c>
      <x:c r="G421" s="8" t="str">
        <x:v>외상성 척추손상에 대해 쉽게 설명해 주실 수 있나요?</x:v>
      </x:c>
      <x:c r="H421" s="8" t="str">
        <x:v>외상성 척추손상은 주로 교통사고, 추락, 미끄러짐, 폭행 등에 인해 발생하며, 목(경추) 부위에서 가장 흔하게 발생합니다.</x:v>
      </x:c>
      <x:c r="I421" s="8" t="str">
        <x:v>외상성 척추손상 - 요약문 '이것만은 꼭 기억하세요' • 외상성 척추손상은 주로 교통사고, 추락, 미끄러짐, 폭행 등에 인해 발생하며, 목(경추) 부위에서 가장 흔하게 발생합니다. • 손상은 척추의 연부조직 손상, 뼈의 손상, 신경 손상으로 나뉘며, 가장 흔한 형태는 연부조직 손상으로 인대와 근육의 손상으로 오는 통증(염좌와 긴장)입니다.</x:v>
      </x:c>
      <x:c r="J421" s="8" t="str">
        <x:v>외상성 척추손상</x:v>
      </x:c>
      <x:c r="K421" s="8" t="str">
        <x:v>질병관리청 국가건강정보포털
https://health.kdca.go.kr/healthinfo/biz/health/gnrlzHealthInfo/gnrlzHealthInfo/gnrlzHealthInfoMain.do</x:v>
      </x:c>
    </x:row>
    <x:row r="422" ht="62" customHeight="1">
      <x:c r="A422" s="9" t="n">
        <x:v>421</x:v>
      </x:c>
      <x:c r="B422" s="6" t="str">
        <x:v>최종 평가</x:v>
      </x:c>
      <x:c r="C422" s="6" t="str">
        <x:v>질병</x:v>
      </x:c>
      <x:c r="D422" s="6" t="str">
        <x:v>용어·정의</x:v>
      </x:c>
      <x:c r="E422" s="6" t="str">
        <x:v>답변 가능</x:v>
      </x:c>
      <x:c r="F422" s="6" t="str">
        <x:v>쉬움</x:v>
      </x:c>
      <x:c r="G422" s="8" t="str">
        <x:v>노인성 하지부종이 뭔가요?</x:v>
      </x:c>
      <x:c r="H422" s="8" t="str">
        <x:v>노인성 하지부종이란 나이가 증가하면서 피부의 탄력성과 근력 약화로 인해 다리에 혈액이 많이 몰리고 순환이 잘 안되어 생기는 부종을 말합니다.</x:v>
      </x:c>
      <x:c r="I422" s="8" t="str">
        <x:v>부종 - 원인 / 역학 및 통계 노인성 하지부종이란 나이가 증가하면서 피부의 탄력성과 근력 약화로 인해 다리에 혈액이 많이 몰리고 순환이 잘 안되어 생기는 부종을 말합니다. 주로 무릎 아래로 붓고 무겁다는 증상을 자주 호소합니다. 전신 부종의 유병률이 조사된 적은 없지만 호주의 한 조사(ABS 2001 National Health Survey, Australia’s Health 2004, AIHW)에 의하면 전체 인구의 1.6%에서 스스로 부종이 있다고 보고하였습니다.</x:v>
      </x:c>
      <x:c r="J422" s="8" t="str">
        <x:v>부종</x:v>
      </x:c>
      <x:c r="K422" s="8" t="str">
        <x:v>질병관리청 국가건강정보포털
https://health.kdca.go.kr/healthinfo/biz/health/gnrlzHealthInfo/gnrlzHealthInfo/gnrlzHealthInfoMain.do</x:v>
      </x:c>
    </x:row>
    <x:row r="423" ht="62" customHeight="1">
      <x:c r="A423" s="9" t="n">
        <x:v>422</x:v>
      </x:c>
      <x:c r="B423" s="6" t="str">
        <x:v>최종 평가</x:v>
      </x:c>
      <x:c r="C423" s="6" t="str">
        <x:v>질병</x:v>
      </x:c>
      <x:c r="D423" s="6" t="str">
        <x:v>답변불가·실시간 의료기관</x:v>
      </x:c>
      <x:c r="E423" s="6" t="str">
        <x:v>답변 거부</x:v>
      </x:c>
      <x:c r="F423" s="6" t="str">
        <x:v>어려움</x:v>
      </x:c>
      <x:c r="G423" s="8" t="str">
        <x:v>지금 제 위치에서 창자겹침증 진료가 가능한 병원 중 대기 시간이 가장 짧은 곳은 어디인가요?</x:v>
      </x:c>
      <x:c r="H423" s="8" t="str">
        <x:v>제공된 질병관리청 VDB에는 실시간 병원 위치와 대기 시간 정보가 없어 답할 수 없습니다.</x:v>
      </x:c>
      <x:c r="I423" s="8" t="str">
        <x:v>VDB 범위 밖 질문 — 근거 없음</x:v>
      </x:c>
      <x:c r="J423" s="8" t="str">
        <x:v>창자겹침증</x:v>
      </x:c>
      <x:c r="K423" s="8" t="str">
        <x:v>질병관리청 국가건강정보포털
https://health.kdca.go.kr/healthinfo/biz/health/gnrlzHealthInfo/gnrlzHealthInfo/gnrlzHealthInfoMain.do</x:v>
      </x:c>
    </x:row>
    <x:row r="424" ht="62" customHeight="1">
      <x:c r="A424" s="9" t="n">
        <x:v>423</x:v>
      </x:c>
      <x:c r="B424" s="6" t="str">
        <x:v>최종 평가</x:v>
      </x:c>
      <x:c r="C424" s="6" t="str">
        <x:v>질병</x:v>
      </x:c>
      <x:c r="D424" s="6" t="str">
        <x:v>치료·관리</x:v>
      </x:c>
      <x:c r="E424" s="6" t="str">
        <x:v>답변 가능</x:v>
      </x:c>
      <x:c r="F424" s="6" t="str">
        <x:v>쉬움</x:v>
      </x:c>
      <x:c r="G424" s="8" t="str">
        <x:v>가려움증은 어떻게 치료하거나 관리하나요?</x:v>
      </x:c>
      <x:c r="H424" s="8" t="str">
        <x:v>염증이나 태선화로 인한 가려움증에는 스테로이드제를 전신적으로 복용하거나 국소적으로 바르는 치료가 효과적입니다. 칼라민 로션이나 멘톨 로션으로 피부를 시원하게 하는 것도 도움이 됩니다. 다양한 1세대 또는 2세대 항히스타민제가 흔히 사용되며, 치료에 잘 반응하지 않는 경우에는 항우울제나 항불안제가 도움이 될 수 있습니다. 1. 피부질환에 동반된 가려움증</x:v>
      </x:c>
      <x:c r="I424" s="8" t="str">
        <x:v>가려움증 - 치료 염증이나 태선화로 인한 가려움증에는 스테로이드제를 전신적으로 복용하거나 국소적으로 바르는 치료가 효과적입니다. 칼라민 로션이나 멘톨 로션으로 피부를 시원하게 하는 것도 도움이 됩니다. 다양한 1세대 또는 2세대 항히스타민제가 흔히 사용되며, 치료에 잘 반응하지 않는 경우에는 항우울제나 항불안제가 도움이 될 수 있습니다. 1. 피부질환에 동반된 가려움증</x:v>
      </x:c>
      <x:c r="J424" s="8" t="str">
        <x:v>가려움증</x:v>
      </x:c>
      <x:c r="K424" s="8" t="str">
        <x:v>질병관리청 국가건강정보포털
https://health.kdca.go.kr/healthinfo/biz/health/gnrlzHealthInfo/gnrlzHealthInfo/gnrlzHealthInfoMain.do</x:v>
      </x:c>
    </x:row>
    <x:row r="425" ht="62" customHeight="1">
      <x:c r="A425" s="9" t="n">
        <x:v>424</x:v>
      </x:c>
      <x:c r="B425" s="6" t="str">
        <x:v>최종 평가</x:v>
      </x:c>
      <x:c r="C425" s="6" t="str">
        <x:v>질병</x:v>
      </x:c>
      <x:c r="D425" s="6" t="str">
        <x:v>증상→질환 구분</x:v>
      </x:c>
      <x:c r="E425" s="6" t="str">
        <x:v>답변 가능</x:v>
      </x:c>
      <x:c r="F425" s="6" t="str">
        <x:v>어려움</x:v>
      </x:c>
      <x:c r="G425" s="8" t="str">
        <x:v>주로 젊은 가임기 여성에서 월경불순, 무월경, 자궁 이상 출혈, 또는 남성호르몬 과다 증상 등으로 병원을 방문해 진단 받게 됩니다. 이런 증상은 어떤 질환과 관련이 있을 수 있나요?</x:v>
      </x:c>
      <x:c r="H425" s="8" t="str">
        <x:v>다낭성 난소 증후군</x:v>
      </x:c>
      <x:c r="I425" s="8" t="str">
        <x:v>다낭성 난소 증후군 - 역학 및 통계 / 증상 주로 젊은 가임기 여성에서 월경불순, 무월경, 자궁 이상 출혈, 또는 남성호르몬 과다 증상 등으로 병원을 방문해 진단 받게 됩니다. 1. 배란 장애와 관련된 증상: 무월경, 자궁 출혈, 생리 불순, 난임 2. 남성호르몬 과다와 관련된 증상: 다모증, 여드름, 탈모 3. 대사 이상과 관련된 증상: 2형당뇨병, 이상지질혈증, 고혈압, 내분비 대사 장애, 비만</x:v>
      </x:c>
      <x:c r="J425" s="8" t="str">
        <x:v>다낭성 난소 증후군</x:v>
      </x:c>
      <x:c r="K425" s="8" t="str">
        <x:v>질병관리청 국가건강정보포털
https://health.kdca.go.kr/healthinfo/biz/health/gnrlzHealthInfo/gnrlzHealthInfo/gnrlzHealthInfoMain.do</x:v>
      </x:c>
    </x:row>
    <x:row r="426" ht="62" customHeight="1">
      <x:c r="A426" s="9" t="n">
        <x:v>425</x:v>
      </x:c>
      <x:c r="B426" s="6" t="str">
        <x:v>최종 평가</x:v>
      </x:c>
      <x:c r="C426" s="6" t="str">
        <x:v>질병</x:v>
      </x:c>
      <x:c r="D426" s="6" t="str">
        <x:v>원인·위험요인</x:v>
      </x:c>
      <x:c r="E426" s="6" t="str">
        <x:v>답변 가능</x:v>
      </x:c>
      <x:c r="F426" s="6" t="str">
        <x:v>쉬움</x:v>
      </x:c>
      <x:c r="G426" s="8" t="str">
        <x:v>일과성 허혈 발작은 왜 생기나요?</x:v>
      </x:c>
      <x:c r="H426" s="8" t="str">
        <x:v>일과성 허혈 발작은 뇌경색과 발생 기전이 비슷한 뇌혈관질환으로, 고령일수록 발생 위험이 높습니다. 일과성 허혈 발작의 원인인 죽상경화증 및 심장질환 등이 고령일수록 흔하고 고혈압, 당뇨병 같은 위험인자가 동반되는 경우가 많기 때문입니다. 일과성 허혈 발작이 발생한 환자들 중에서도 고령일수록 추가적인 뇌경색이 발생할 위험이 높습니다.</x:v>
      </x:c>
      <x:c r="I426" s="8" t="str">
        <x:v>일과성 허혈 발작 - 원인 일과성 허혈 발작은 뇌경색과 발생 기전이 비슷한 뇌혈관질환으로, 고령일수록 발생 위험이 높습니다. 일과성 허혈 발작의 원인인 죽상경화증 및 심장질환 등이 고령일수록 흔하고 고혈압, 당뇨병 같은 위험인자가 동반되는 경우가 많기 때문입니다. 일과성 허혈 발작이 발생한 환자들 중에서도 고령일수록 추가적인 뇌경색이 발생할 위험이 높습니다.</x:v>
      </x:c>
      <x:c r="J426" s="8" t="str">
        <x:v>일과성 허혈 발작</x:v>
      </x:c>
      <x:c r="K426" s="8" t="str">
        <x:v>질병관리청 국가건강정보포털
https://health.kdca.go.kr/healthinfo/biz/health/gnrlzHealthInfo/gnrlzHealthInfo/gnrlzHealthInfoMain.do</x:v>
      </x:c>
    </x:row>
    <x:row r="427" ht="62" customHeight="1">
      <x:c r="A427" s="9" t="n">
        <x:v>426</x:v>
      </x:c>
      <x:c r="B427" s="6" t="str">
        <x:v>최종 평가</x:v>
      </x:c>
      <x:c r="C427" s="6" t="str">
        <x:v>질병</x:v>
      </x:c>
      <x:c r="D427" s="6" t="str">
        <x:v>용어·정의</x:v>
      </x:c>
      <x:c r="E427" s="6" t="str">
        <x:v>답변 가능</x:v>
      </x:c>
      <x:c r="F427" s="6" t="str">
        <x:v>쉬움</x:v>
      </x:c>
      <x:c r="G427" s="8" t="str">
        <x:v>백내장이 뭔가요?</x:v>
      </x:c>
      <x:c r="H427" s="8" t="str">
        <x:v>'이것만은 꼭 기억하세요' • 백내장은 눈 속의 수정체가 뿌옇게 흐려지면서 시력이 떨어지는 질환으로, 주로 나이가 들면서 발생하지만, 눈의 외상, 다른 질환, 유전적 요인 등으로도 생길 수 있습니다.</x:v>
      </x:c>
      <x:c r="I427" s="8" t="str">
        <x:v>백내장 - 요약문 '이것만은 꼭 기억하세요' • 백내장은 눈 속의 수정체가 뿌옇게 흐려지면서 시력이 떨어지는 질환으로, 주로 나이가 들면서 발생하지만, 눈의 외상, 다른 질환, 유전적 요인 등으로도 생길 수 있습니다. • 초기에는 특별한 증상이 없지만, 시간이 지나면 시야가 흐려지거나 빛이 퍼져 보이고, 물체가 여러 개로 보이는 등 다양한 시력장애가 나타날 수 있습니다.</x:v>
      </x:c>
      <x:c r="J427" s="8" t="str">
        <x:v>백내장</x:v>
      </x:c>
      <x:c r="K427" s="8" t="str">
        <x:v>질병관리청 국가건강정보포털
https://health.kdca.go.kr/healthinfo/biz/health/gnrlzHealthInfo/gnrlzHealthInfo/gnrlzHealthInfoMain.do</x:v>
      </x:c>
    </x:row>
    <x:row r="428" ht="62" customHeight="1">
      <x:c r="A428" s="9" t="n">
        <x:v>427</x:v>
      </x:c>
      <x:c r="B428" s="6" t="str">
        <x:v>최종 평가</x:v>
      </x:c>
      <x:c r="C428" s="6" t="str">
        <x:v>질병</x:v>
      </x:c>
      <x:c r="D428" s="6" t="str">
        <x:v>증상·양상</x:v>
      </x:c>
      <x:c r="E428" s="6" t="str">
        <x:v>답변 가능</x:v>
      </x:c>
      <x:c r="F428" s="6" t="str">
        <x:v>쉬움</x:v>
      </x:c>
      <x:c r="G428" s="8" t="str">
        <x:v>섬유근육통이 있으면 어떤 증상이 나타날 수 있나요?</x:v>
      </x:c>
      <x:c r="H428" s="8" t="str">
        <x:v>섬유근육통 환자들은 매우 다양한 전신 증상을 나타내기도 하는데, 과민대장증후군, 과민방광염, 편두통, 월경 곤란, 흉통, 기억력 장애, 오심(메스꺼움), 시력 저하 등을 호소하기도 합니다.</x:v>
      </x:c>
      <x:c r="I428" s="8" t="str">
        <x:v>섬유근육통 - 증상 또한 공황장애, 스트레스 후 증후군, 조현병, 양극성 장애, 약물이나 알코올 남용, 건강염려증, 기억력 저하와 집중력 저하 등 인지장애도 흔하게 동반됩니다. 4. 그 외 증상 섬유근육통 환자들은 매우 다양한 전신 증상을 나타내기도 하는데, 과민대장증후군, 과민방광염, 편두통, 월경 곤란, 흉통, 기억력 장애, 오심(메스꺼움), 시력 저하 등을 호소하기도 합니다.</x:v>
      </x:c>
      <x:c r="J428" s="8" t="str">
        <x:v>섬유근육통</x:v>
      </x:c>
      <x:c r="K428" s="8" t="str">
        <x:v>질병관리청 국가건강정보포털
https://health.kdca.go.kr/healthinfo/biz/health/gnrlzHealthInfo/gnrlzHealthInfo/gnrlzHealthInfoMain.do</x:v>
      </x:c>
    </x:row>
    <x:row r="429" ht="62" customHeight="1">
      <x:c r="A429" s="9" t="n">
        <x:v>428</x:v>
      </x:c>
      <x:c r="B429" s="6" t="str">
        <x:v>최종 평가</x:v>
      </x:c>
      <x:c r="C429" s="6" t="str">
        <x:v>질병</x:v>
      </x:c>
      <x:c r="D429" s="6" t="str">
        <x:v>원인·위험요인</x:v>
      </x:c>
      <x:c r="E429" s="6" t="str">
        <x:v>답변 가능</x:v>
      </x:c>
      <x:c r="F429" s="6" t="str">
        <x:v>쉬움</x:v>
      </x:c>
      <x:c r="G429" s="8" t="str">
        <x:v>실신은 왜 생기나요?</x:v>
      </x:c>
      <x:c r="H429" s="8" t="str">
        <x:v>이런 원인은 생명을 위협하는 심각한 원인이 되므로, 실신의 원인 중 꼭 조기 진단이 필요합니다. 실신으로 응급실을 찾게 되면, 진료의사는 실신의 원인이 심장이 아닌지를 가장 우선시해서 진료하게 됩니다. 그러나, 심장판막질환, 부정맥, 허혈성 심장질환이 있다고 해서 모두 실신의 원인이 되는 것이 아니므로, 전문가의 진료를 통해서 확인해야 합니다.</x:v>
      </x:c>
      <x:c r="I429" s="8" t="str">
        <x:v>실신 - 원인 이런 원인은 생명을 위협하는 심각한 원인이 되므로, 실신의 원인 중 꼭 조기 진단이 필요합니다. 실신으로 응급실을 찾게 되면, 진료의사는 실신의 원인이 심장이 아닌지를 가장 우선시해서 진료하게 됩니다. 그러나, 심장판막질환, 부정맥, 허혈성 심장질환이 있다고 해서 모두 실신의 원인이 되는 것이 아니므로, 전문가의 진료를 통해서 확인해야 합니다.</x:v>
      </x:c>
      <x:c r="J429" s="8" t="str">
        <x:v>실신</x:v>
      </x:c>
      <x:c r="K429" s="8" t="str">
        <x:v>질병관리청 국가건강정보포털
https://health.kdca.go.kr/healthinfo/biz/health/gnrlzHealthInfo/gnrlzHealthInfo/gnrlzHealthInfoMain.do</x:v>
      </x:c>
    </x:row>
    <x:row r="430" ht="62" customHeight="1">
      <x:c r="A430" s="9" t="n">
        <x:v>429</x:v>
      </x:c>
      <x:c r="B430" s="6" t="str">
        <x:v>최종 평가</x:v>
      </x:c>
      <x:c r="C430" s="6" t="str">
        <x:v>질병</x:v>
      </x:c>
      <x:c r="D430" s="6" t="str">
        <x:v>진단·검사</x:v>
      </x:c>
      <x:c r="E430" s="6" t="str">
        <x:v>답변 가능</x:v>
      </x:c>
      <x:c r="F430" s="6" t="str">
        <x:v>쉬움</x:v>
      </x:c>
      <x:c r="G430" s="8" t="str">
        <x:v>회충증은 어떤 검사로 확인하나요?</x:v>
      </x:c>
      <x:c r="H430" s="8" t="str">
        <x:v>진단은 대변 검사를 통해서 회충의 충란을 찾아내는 것으로 쉽게 할 수 있습니다.</x:v>
      </x:c>
      <x:c r="I430" s="8" t="str">
        <x:v>회충증 - 진단 및 검사 / 예방 및 예방접종 / 약물 치료 진단은 대변 검사를 통해서 회충의 충란을 찾아내는 것으로 쉽게 할 수 있습니다. 회충증을 예방하기 위해 다음을 생활화해야 합니다음식을 먹기 전, 음식을 준비하기 전, 그리고 화장실을 사용한 후에는 항상 손을 올바르게 씻어야 합니다.야채가 회충증의 가장 주요한 매개물이므로, 야채를 잘 씻어서 먹는 것이 중요합니다.인분을 위생적으로 처리하여 토양이 오염되지 않도록 유의해야 합니다. 회충증은 구충제를 복용하여 치료합니다.</x:v>
      </x:c>
      <x:c r="J430" s="8" t="str">
        <x:v>회충증</x:v>
      </x:c>
      <x:c r="K430" s="8" t="str">
        <x:v>질병관리청 국가건강정보포털
https://health.kdca.go.kr/healthinfo/biz/health/gnrlzHealthInfo/gnrlzHealthInfo/gnrlzHealthInfoMain.do</x:v>
      </x:c>
    </x:row>
    <x:row r="431" ht="62" customHeight="1">
      <x:c r="A431" s="9" t="n">
        <x:v>430</x:v>
      </x:c>
      <x:c r="B431" s="6" t="str">
        <x:v>최종 평가</x:v>
      </x:c>
      <x:c r="C431" s="6" t="str">
        <x:v>질병</x:v>
      </x:c>
      <x:c r="D431" s="6" t="str">
        <x:v>증상→질환 구분</x:v>
      </x:c>
      <x:c r="E431" s="6" t="str">
        <x:v>답변 가능</x:v>
      </x:c>
      <x:c r="F431" s="6" t="str">
        <x:v>어려움</x:v>
      </x:c>
      <x:c r="G431" s="8" t="str">
        <x:v>요로 감염에 의해 처음 발견되는 경우의 증상은 요로 감염의 증상, 즉 발열, 구토, 설사 등의 비특이적인 증상이나 배뇨통, 빈뇨, 요지림 등의 배뇨 증상, 옆구리 통증 등의 특이 증상이 나타날 수 있습니다. 이런 증상은 어떤 질환과 관련이 있을 수 있나요?</x:v>
      </x:c>
      <x:c r="H431" s="8" t="str">
        <x:v>방광요관역류(소아)</x:v>
      </x:c>
      <x:c r="I431" s="8" t="str">
        <x:v>방광요관역류(소아) - 증상 / 진단 및 검사 요로 감염에 의해 처음 발견되는 경우의 증상은 요로 감염의 증상, 즉 발열, 구토, 설사 등의 비특이적인 증상이나 배뇨통, 빈뇨, 요지림 등의 배뇨 증상, 옆구리 통증 등의 특이 증상이 나타날 수 있습니다. 역류성 신병증이 있는 경우 두통, 고혈압 등으로 나타나기도 합니다. 1. 배뇨성 방광 요도 조영술 방광요관 역류의 진단은 배뇨성 방광 요도 조영술로 하며, 역류의 유무뿐 아니라 역류의 정도를 알 수 있습니다.</x:v>
      </x:c>
      <x:c r="J431" s="8" t="str">
        <x:v>방광요관역류(소아)</x:v>
      </x:c>
      <x:c r="K431" s="8" t="str">
        <x:v>질병관리청 국가건강정보포털
https://health.kdca.go.kr/healthinfo/biz/health/gnrlzHealthInfo/gnrlzHealthInfo/gnrlzHealthInfoMain.do</x:v>
      </x:c>
    </x:row>
    <x:row r="432" ht="62" customHeight="1">
      <x:c r="A432" s="9" t="n">
        <x:v>431</x:v>
      </x:c>
      <x:c r="B432" s="6" t="str">
        <x:v>최종 평가</x:v>
      </x:c>
      <x:c r="C432" s="6" t="str">
        <x:v>질병</x:v>
      </x:c>
      <x:c r="D432" s="6" t="str">
        <x:v>진단·검사</x:v>
      </x:c>
      <x:c r="E432" s="6" t="str">
        <x:v>답변 가능</x:v>
      </x:c>
      <x:c r="F432" s="6" t="str">
        <x:v>쉬움</x:v>
      </x:c>
      <x:c r="G432" s="8" t="str">
        <x:v>샤가스병은 어떤 검사로 확인하나요?</x:v>
      </x:c>
      <x:c r="H432" s="8" t="str">
        <x:v>급성기에는 말초혈액 도말검사에서 파동편모형 원충(trypomastigote)을 검출하거나 림프절 생검에서 무편모형 원충(amastigote)을 검출할 수 있습니다.</x:v>
      </x:c>
      <x:c r="I432" s="8" t="str">
        <x:v>샤가스병 - 진단 및 검사 급성기에는 말초혈액 도말검사에서 파동편모형 원충(trypomastigote)을 검출하거나 림프절 생검에서 무편모형 원충(amastigote)을 검출할 수 있습니다. 혈액, 림프절, 골수 등에서 채취한 검체를 배양하거나 기니피그에 접종하여 충체를 검출할 수도 있습니다. 보조적으로 심전도 검사나 혈청 면역글로불린 M (IgM) 검출이 진단에 도움이 될 수 있습니다.</x:v>
      </x:c>
      <x:c r="J432" s="8" t="str">
        <x:v>샤가스병</x:v>
      </x:c>
      <x:c r="K432" s="8" t="str">
        <x:v>질병관리청 국가건강정보포털
https://health.kdca.go.kr/healthinfo/biz/health/gnrlzHealthInfo/gnrlzHealthInfo/gnrlzHealthInfoMain.do</x:v>
      </x:c>
    </x:row>
    <x:row r="433" ht="62" customHeight="1">
      <x:c r="A433" s="9" t="n">
        <x:v>432</x:v>
      </x:c>
      <x:c r="B433" s="6" t="str">
        <x:v>최종 평가</x:v>
      </x:c>
      <x:c r="C433" s="6" t="str">
        <x:v>질병</x:v>
      </x:c>
      <x:c r="D433" s="6" t="str">
        <x:v>치료·관리</x:v>
      </x:c>
      <x:c r="E433" s="6" t="str">
        <x:v>답변 가능</x:v>
      </x:c>
      <x:c r="F433" s="6" t="str">
        <x:v>쉬움</x:v>
      </x:c>
      <x:c r="G433" s="8" t="str">
        <x:v>질염은 어떻게 치료하거나 관리하나요?</x:v>
      </x:c>
      <x:c r="H433" s="8" t="str">
        <x:v>트리코모나스 질염에는 메트로니다졸 경구제가 가장 좋으며, 치료율은 약 95% 정도입니다. 세균성 질염과 달리 젤 형태의 메트로니다졸(질 주입제)은 사용하지 않습니다. 대체 치료로는 티니다졸 경구제를 사용할 수 있습니다. 치료에 반응이 없다면 약제 감수성을 확인하기 위해 배양검사를 합니다. 재감염 빈도가 매우 높아 첫 번째 치료 3개월 후 트리코모나스 재검사를 하고, 성교 대상자를 반드시 치료해야 합니다.</x:v>
      </x:c>
      <x:c r="I433" s="8" t="str">
        <x:v>질염 - 치료 트리코모나스 질염에는 메트로니다졸 경구제가 가장 좋으며, 치료율은 약 95% 정도입니다. 세균성 질염과 달리 젤 형태의 메트로니다졸(질 주입제)은 사용하지 않습니다. 대체 치료로는 티니다졸 경구제를 사용할 수 있습니다. 치료에 반응이 없다면 약제 감수성을 확인하기 위해 배양검사를 합니다. 재감염 빈도가 매우 높아 첫 번째 치료 3개월 후 트리코모나스 재검사를 하고, 성교 대상자를 반드시 치료해야 합니다.</x:v>
      </x:c>
      <x:c r="J433" s="8" t="str">
        <x:v>질염</x:v>
      </x:c>
      <x:c r="K433" s="8" t="str">
        <x:v>질병관리청 국가건강정보포털
https://health.kdca.go.kr/healthinfo/biz/health/gnrlzHealthInfo/gnrlzHealthInfo/gnrlzHealthInfoMain.do</x:v>
      </x:c>
    </x:row>
    <x:row r="434" ht="62" customHeight="1">
      <x:c r="A434" s="9" t="n">
        <x:v>433</x:v>
      </x:c>
      <x:c r="B434" s="6" t="str">
        <x:v>최종 평가</x:v>
      </x:c>
      <x:c r="C434" s="6" t="str">
        <x:v>질병</x:v>
      </x:c>
      <x:c r="D434" s="6" t="str">
        <x:v>용어·정의</x:v>
      </x:c>
      <x:c r="E434" s="6" t="str">
        <x:v>답변 가능</x:v>
      </x:c>
      <x:c r="F434" s="6" t="str">
        <x:v>쉬움</x:v>
      </x:c>
      <x:c r="G434" s="8" t="str">
        <x:v>엔테로바이러스 감염증이 뭔가요?</x:v>
      </x:c>
      <x:c r="H434" s="8" t="str">
        <x:v>엔테로바이러스 감염증은 폴리오바이러스를 제외한 비폴리오 엔테로바이러스에 의한 감염증을 의미합니다.</x:v>
      </x:c>
      <x:c r="I434" s="8" t="str">
        <x:v>엔테로바이러스 감염증 - 개요 / 신고 대상 및 방법 엔테로바이러스 감염증은 폴리오바이러스를 제외한 비폴리오 엔테로바이러스에 의한 감염증을 의미합니다. 폴리오바이러스에 의한 감염병에 대한 내용은 국가건강정보포털 폴리오 콘텐츠를 참고하시기 바랍니다. 1. 신고범위: 환자 2. 신고를 위한 진단 기준 • 환자: 엔테로바이러스 감염증에 합당한 임상증상을 나타내면서 진단을 위한 검사 기준에 따라 감염병원체의 감염이 확인된 사람 3. 진단을 위한 검사 기준</x:v>
      </x:c>
      <x:c r="J434" s="8" t="str">
        <x:v>엔테로바이러스 감염증</x:v>
      </x:c>
      <x:c r="K434" s="8" t="str">
        <x:v>질병관리청 국가건강정보포털
https://health.kdca.go.kr/healthinfo/biz/health/gnrlzHealthInfo/gnrlzHealthInfo/gnrlzHealthInfoMain.do</x:v>
      </x:c>
    </x:row>
    <x:row r="435" ht="62" customHeight="1">
      <x:c r="A435" s="9" t="n">
        <x:v>434</x:v>
      </x:c>
      <x:c r="B435" s="6" t="str">
        <x:v>최종 평가</x:v>
      </x:c>
      <x:c r="C435" s="6" t="str">
        <x:v>질병</x:v>
      </x:c>
      <x:c r="D435" s="6" t="str">
        <x:v>기준·수치</x:v>
      </x:c>
      <x:c r="E435" s="6" t="str">
        <x:v>답변 가능</x:v>
      </x:c>
      <x:c r="F435" s="6" t="str">
        <x:v>쉬움</x:v>
      </x:c>
      <x:c r="G435" s="8" t="str">
        <x:v>어지럼과 관련된 증상이나 상태는 보통 얼마나 지속되나요?</x:v>
      </x:c>
      <x:c r="H435" s="8" t="str">
        <x:v>전정신경염은 대체로 수일에서 1주 정도에 걸쳐 서서히 호전되지만, 일부 환자들은 증상이 수주간 지속되거나 완전히 회복되지 않아 만성적인 어지럼을 겪을 수 있습니다.</x:v>
      </x:c>
      <x:c r="I435" s="8" t="str">
        <x:v>어지럼 - 관련 질환 전정신경염은 대체로 수일에서 1주 정도에 걸쳐 서서히 호전되지만, 일부 환자들은 증상이 수주간 지속되거나 완전히 회복되지 않아 만성적인 어지럼을 겪을 수 있습니다. 전정신경염의 대표적인 원인은 바이러스 감염으로 추정되지만, 미세혈관의 폐색이나 자가면역질환에 의해서도 발생할 수 있습니다. 이 질환은 재발률이 약 5-10%로 드물지만, 한 번 발생하면 환자에게 큰 불편을 줄 수 있습니다.</x:v>
      </x:c>
      <x:c r="J435" s="8" t="str">
        <x:v>어지럼</x:v>
      </x:c>
      <x:c r="K435" s="8" t="str">
        <x:v>질병관리청 국가건강정보포털
https://health.kdca.go.kr/healthinfo/biz/health/gnrlzHealthInfo/gnrlzHealthInfo/gnrlzHealthInfoMain.do</x:v>
      </x:c>
    </x:row>
    <x:row r="436" ht="62" customHeight="1">
      <x:c r="A436" s="9" t="n">
        <x:v>435</x:v>
      </x:c>
      <x:c r="B436" s="6" t="str">
        <x:v>최종 평가</x:v>
      </x:c>
      <x:c r="C436" s="6" t="str">
        <x:v>질병</x:v>
      </x:c>
      <x:c r="D436" s="6" t="str">
        <x:v>치료·관리</x:v>
      </x:c>
      <x:c r="E436" s="6" t="str">
        <x:v>답변 가능</x:v>
      </x:c>
      <x:c r="F436" s="6" t="str">
        <x:v>쉬움</x:v>
      </x:c>
      <x:c r="G436" s="8" t="str">
        <x:v>설사는 어떻게 치료하거나 관리하나요?</x:v>
      </x:c>
      <x:c r="H436" s="8" t="str">
        <x:v>만약 박테리아가 설사의 원인이라면 이러한 치료제들을 사용하여 증상을 완화시키는 것이 가장 좋은 방법은 아닐 수 있다는 사실을 명심해야 합니다. 왜냐하면 지사제로 설사는 멎지만 세균은 체내에 더 오랫동안 남아있을 수 있기 때문입니다. 급성 설사가 있는 대부분의 사람은 저절로 회복될 수 있습니다. 그렇지만, 심하거나 지속되는 설사의 경우, 탈수를 막기 위해 손실된 수분과 전해질 (나트륨, 칼륨과 같은 혈액 화학 물질) 공급이 필수적입니다.</x:v>
      </x:c>
      <x:c r="I436" s="8" t="str">
        <x:v>설사 - 약물 치료 / 비약물 치료 만약 박테리아가 설사의 원인이라면 이러한 치료제들을 사용하여 증상을 완화시키는 것이 가장 좋은 방법은 아닐 수 있다는 사실을 명심해야 합니다. 왜냐하면 지사제로 설사는 멎지만 세균은 체내에 더 오랫동안 남아있을 수 있기 때문입니다. 급성 설사가 있는 대부분의 사람은 저절로 회복될 수 있습니다. 그렇지만, 심하거나 지속되는 설사의 경우, 탈수를 막기 위해 손실된 수분과 전해질 (나트륨, 칼륨과 같은 혈액 화학 물질) 공급이 필수적입니다.</x:v>
      </x:c>
      <x:c r="J436" s="8" t="str">
        <x:v>설사</x:v>
      </x:c>
      <x:c r="K436" s="8" t="str">
        <x:v>질병관리청 국가건강정보포털
https://health.kdca.go.kr/healthinfo/biz/health/gnrlzHealthInfo/gnrlzHealthInfo/gnrlzHealthInfoMain.do</x:v>
      </x:c>
    </x:row>
    <x:row r="437" ht="62" customHeight="1">
      <x:c r="A437" s="9" t="n">
        <x:v>436</x:v>
      </x:c>
      <x:c r="B437" s="6" t="str">
        <x:v>최종 평가</x:v>
      </x:c>
      <x:c r="C437" s="6" t="str">
        <x:v>질병</x:v>
      </x:c>
      <x:c r="D437" s="6" t="str">
        <x:v>증상→질환 구분</x:v>
      </x:c>
      <x:c r="E437" s="6" t="str">
        <x:v>답변 가능</x:v>
      </x:c>
      <x:c r="F437" s="6" t="str">
        <x:v>어려움</x:v>
      </x:c>
      <x:c r="G437" s="8" t="str">
        <x:v>진단 시 콧속의 염증반응 자체를 입증하기는 현실적으로 어렵기 때문에 주로 가려움증, 재채기, 콧물, 코막힘 등의 증상을 바탕으로 진단합니다. 이런 증상은 어떤 질환과 관련이 있을 수 있나요?</x:v>
      </x:c>
      <x:c r="H437" s="8" t="str">
        <x:v>만성비염</x:v>
      </x:c>
      <x:c r="I437" s="8" t="str">
        <x:v>만성비염 - 증상 / 진단 및 검사 콧물이 많이 나와 콧구멍 입구와 코 아래가 헐고 진물이 날 수도 있습니다. 1. 문진 진단 시 콧속의 염증반응 자체를 입증하기는 현실적으로 어렵기 때문에 주로 가려움증, 재채기, 콧물, 코막힘 등의 증상을 바탕으로 진단합니다. 가려움증이나 재채기 등은 알레르기 비염에서 흔합니다. 증상의 발생 시기와 반복 유무, 계절 또는 하루 중의 차이 등을 확인하며, 과거 병력, 직업 및 환경 노출여부, 약물 노출여부, 일반건강 상태 등을 확인합니다. 2.</x:v>
      </x:c>
      <x:c r="J437" s="8" t="str">
        <x:v>만성비염</x:v>
      </x:c>
      <x:c r="K437" s="8" t="str">
        <x:v>질병관리청 국가건강정보포털
https://health.kdca.go.kr/healthinfo/biz/health/gnrlzHealthInfo/gnrlzHealthInfo/gnrlzHealthInfoMain.do</x:v>
      </x:c>
    </x:row>
    <x:row r="438" ht="62" customHeight="1">
      <x:c r="A438" s="9" t="n">
        <x:v>437</x:v>
      </x:c>
      <x:c r="B438" s="6" t="str">
        <x:v>최종 평가</x:v>
      </x:c>
      <x:c r="C438" s="6" t="str">
        <x:v>질병</x:v>
      </x:c>
      <x:c r="D438" s="6" t="str">
        <x:v>치료·관리</x:v>
      </x:c>
      <x:c r="E438" s="6" t="str">
        <x:v>답변 가능</x:v>
      </x:c>
      <x:c r="F438" s="6" t="str">
        <x:v>쉬움</x:v>
      </x:c>
      <x:c r="G438" s="8" t="str">
        <x:v>코골이는 어떻게 치료하거나 관리하나요?</x:v>
      </x:c>
      <x:c r="H438" s="8" t="str">
        <x:v>코골이와 폐쇄수면무호흡증후군의 치료는 수면무호흡 여부와 함께, 침실 파트너의 불편함 정도를 고려하여 결정합니다. 치료 방법은 크게 비수술적 치료와 수술적 치료로 나뉩니다. 비수술적 치료는 생활습관 개선을 통한 위험요인 제거, 각종 구강내와 비강내 기구를 이용한 치료, 호흡 보조 장치 사용 등이 있습니다.</x:v>
      </x:c>
      <x:c r="I438" s="8" t="str">
        <x:v>코골이 - 관련 질환 / 치료 만약 수면무호흡이 개선되면 뇌졸중 위험이 줄어들고, 고혈압 환자의 경우 혈압이 감소하며, 비만한 환자의 경우 체중이 감소할 수도 있습니다. 코골이와 폐쇄수면무호흡증후군의 치료는 수면무호흡 여부와 함께, 침실 파트너의 불편함 정도를 고려하여 결정합니다. 치료 방법은 크게 비수술적 치료와 수술적 치료로 나뉩니다. 비수술적 치료는 생활습관 개선을 통한 위험요인 제거, 각종 구강내와 비강내 기구를 이용한 치료, 호흡 보조 장치 사용 등이 있습니다.</x:v>
      </x:c>
      <x:c r="J438" s="8" t="str">
        <x:v>코골이</x:v>
      </x:c>
      <x:c r="K438" s="8" t="str">
        <x:v>질병관리청 국가건강정보포털
https://health.kdca.go.kr/healthinfo/biz/health/gnrlzHealthInfo/gnrlzHealthInfo/gnrlzHealthInfoMain.do</x:v>
      </x:c>
    </x:row>
    <x:row r="439" ht="62" customHeight="1">
      <x:c r="A439" s="9" t="n">
        <x:v>438</x:v>
      </x:c>
      <x:c r="B439" s="6" t="str">
        <x:v>최종 평가</x:v>
      </x:c>
      <x:c r="C439" s="6" t="str">
        <x:v>질병</x:v>
      </x:c>
      <x:c r="D439" s="6" t="str">
        <x:v>개요·기타</x:v>
      </x:c>
      <x:c r="E439" s="6" t="str">
        <x:v>답변 가능</x:v>
      </x:c>
      <x:c r="F439" s="6" t="str">
        <x:v>쉬움</x:v>
      </x:c>
      <x:c r="G439" s="8" t="str">
        <x:v>급성고환염에 대해 쉽게 설명해 주실 수 있나요?</x:v>
      </x:c>
      <x:c r="H439" s="8" t="str">
        <x:v>고환에서 만들어진 정자는 부고환과 정관을 차례로 거쳐 사정 시에 요도를 통해 몸 밖으로 배출되지만 남성호르몬은 혈관을 통해 체내로 이동하게 됩니다.</x:v>
      </x:c>
      <x:c r="I439" s="8" t="str">
        <x:v>급성고환염 - 개요 / 원인 고환에서 만들어진 정자는 부고환과 정관을 차례로 거쳐 사정 시에 요도를 통해 몸 밖으로 배출되지만 남성호르몬은 혈관을 통해 체내로 이동하게 됩니다. 고환은 감염에 대한 강력한 방어체계를 갖추고 있어서 부고환염 없이 고환에만 국한된 고환염은 매우 드뭅니다. 따라서 고환에 감염이 발생한다면 이는 대부분 다른 장기의 감염이 혈관, 림프관, 정관 등을 따라서 고환까지 퍼지는 이차감염이라고 할 수 있습니다.</x:v>
      </x:c>
      <x:c r="J439" s="8" t="str">
        <x:v>급성고환염</x:v>
      </x:c>
      <x:c r="K439" s="8" t="str">
        <x:v>질병관리청 국가건강정보포털
https://health.kdca.go.kr/healthinfo/biz/health/gnrlzHealthInfo/gnrlzHealthInfo/gnrlzHealthInfoMain.do</x:v>
      </x:c>
    </x:row>
    <x:row r="440" ht="62" customHeight="1">
      <x:c r="A440" s="9" t="n">
        <x:v>439</x:v>
      </x:c>
      <x:c r="B440" s="6" t="str">
        <x:v>최종 평가</x:v>
      </x:c>
      <x:c r="C440" s="6" t="str">
        <x:v>질병</x:v>
      </x:c>
      <x:c r="D440" s="6" t="str">
        <x:v>원인·위험요인</x:v>
      </x:c>
      <x:c r="E440" s="6" t="str">
        <x:v>답변 가능</x:v>
      </x:c>
      <x:c r="F440" s="6" t="str">
        <x:v>쉬움</x:v>
      </x:c>
      <x:c r="G440" s="8" t="str">
        <x:v>파상풍은 왜 생기나요?</x:v>
      </x:c>
      <x:c r="H440" s="8" t="str">
        <x:v>원인 파상풍은 클로스트리디움 테타니(Clostridium tetani)라는 세균이 일으키는 감염병입니다. 이 세균이 만들어내는 독소가 신경계를 손상시키면서 근육이 강하게 수축하거나(경직), 경련이 발생하게 됩니다. 심한 경우에는 호흡이 어려워질 수도 있습니다. 2. 감염경로</x:v>
      </x:c>
      <x:c r="I440" s="8" t="str">
        <x:v>파상풍 - 신고 대상 및 방법 / 원인 및 감염경로 2) 온라인 신고: 방역통합정보시스템(eid.kdca.go.kr)을 통해 신고 1. 원인 파상풍은 클로스트리디움 테타니(Clostridium tetani)라는 세균이 일으키는 감염병입니다. 이 세균이 만들어내는 독소가 신경계를 손상시키면서 근육이 강하게 수축하거나(경직), 경련이 발생하게 됩니다. 심한 경우에는 호흡이 어려워질 수도 있습니다. 2. 감염경로</x:v>
      </x:c>
      <x:c r="J440" s="8" t="str">
        <x:v>파상풍</x:v>
      </x:c>
      <x:c r="K440" s="8" t="str">
        <x:v>질병관리청 국가건강정보포털
https://health.kdca.go.kr/healthinfo/biz/health/gnrlzHealthInfo/gnrlzHealthInfo/gnrlzHealthInfoMain.do</x:v>
      </x:c>
    </x:row>
    <x:row r="441" ht="62" customHeight="1">
      <x:c r="A441" s="9" t="n">
        <x:v>440</x:v>
      </x:c>
      <x:c r="B441" s="6" t="str">
        <x:v>최종 평가</x:v>
      </x:c>
      <x:c r="C441" s="6" t="str">
        <x:v>질병</x:v>
      </x:c>
      <x:c r="D441" s="6" t="str">
        <x:v>답변불가·개인 진단 요청</x:v>
      </x:c>
      <x:c r="E441" s="6" t="str">
        <x:v>답변 거부</x:v>
      </x:c>
      <x:c r="F441" s="6" t="str">
        <x:v>어려움</x:v>
      </x:c>
      <x:c r="G441" s="8" t="str">
        <x:v>성홍열 관련 증상이 있는 것 같은데, 제가 실제로 성홍열인지 확정해서 진단해 주세요.</x:v>
      </x:c>
      <x:c r="H441" s="8" t="str">
        <x:v>제공된 질병관리청 VDB 정보만으로 개인의 질환을 확정 진단할 수 없습니다. 증상이 지속되거나 심하면 의료진의 진료를 받아야 합니다.</x:v>
      </x:c>
      <x:c r="I441" s="8" t="str">
        <x:v>VDB 범위 밖 질문 — 근거 없음</x:v>
      </x:c>
      <x:c r="J441" s="8" t="str">
        <x:v>성홍열</x:v>
      </x:c>
      <x:c r="K441" s="8" t="str">
        <x:v>질병관리청 국가건강정보포털
https://health.kdca.go.kr/healthinfo/biz/health/gnrlzHealthInfo/gnrlzHealthInfo/gnrlzHealthInfoMain.do</x:v>
      </x:c>
    </x:row>
    <x:row r="442" ht="62" customHeight="1">
      <x:c r="A442" s="9" t="n">
        <x:v>441</x:v>
      </x:c>
      <x:c r="B442" s="6" t="str">
        <x:v>최종 평가</x:v>
      </x:c>
      <x:c r="C442" s="6" t="str">
        <x:v>질병</x:v>
      </x:c>
      <x:c r="D442" s="6" t="str">
        <x:v>진단·검사</x:v>
      </x:c>
      <x:c r="E442" s="6" t="str">
        <x:v>답변 가능</x:v>
      </x:c>
      <x:c r="F442" s="6" t="str">
        <x:v>쉬움</x:v>
      </x:c>
      <x:c r="G442" s="8" t="str">
        <x:v>사랑니는 어떤 검사로 확인하나요?</x:v>
      </x:c>
      <x:c r="H442" s="8" t="str">
        <x:v>파노라마 사진과 치근단 엑스레이 필름을 촬영하여 전반적인 환자의 치아와 턱뼈의 상태를 확인합니다.</x:v>
      </x:c>
      <x:c r="I442" s="8" t="str">
        <x:v>사랑니 - 진단 및 검사 심한 염증이 가라앉은 다음에 사랑니를 뽑으면 쉽게 치유되지만, 염증이 심할 때 사랑니를 뽑으면 잘 낫지 않고 염증이 주위로 확산될 수 있습니다. 4. 사랑니와 관련된 질환의 진단 1) 시진, 문진 및 촉진 환자가 치과에 오면 불편한 부분에 대해 묻고, 사랑니와 사랑니 주변의 잇몸 상태 및 전신질환 유무를 평가합니다. 2) 방사선 검사 파노라마 사진과 치근단 엑스레이 필름을 촬영하여 전반적인 환자의 치아와 턱뼈의 상태를 확인합니다.</x:v>
      </x:c>
      <x:c r="J442" s="8" t="str">
        <x:v>사랑니</x:v>
      </x:c>
      <x:c r="K442" s="8" t="str">
        <x:v>질병관리청 국가건강정보포털
https://health.kdca.go.kr/healthinfo/biz/health/gnrlzHealthInfo/gnrlzHealthInfo/gnrlzHealthInfoMain.do</x:v>
      </x:c>
    </x:row>
    <x:row r="443" ht="62" customHeight="1">
      <x:c r="A443" s="9" t="n">
        <x:v>442</x:v>
      </x:c>
      <x:c r="B443" s="6" t="str">
        <x:v>최종 평가</x:v>
      </x:c>
      <x:c r="C443" s="6" t="str">
        <x:v>질병</x:v>
      </x:c>
      <x:c r="D443" s="6" t="str">
        <x:v>진단·검사</x:v>
      </x:c>
      <x:c r="E443" s="6" t="str">
        <x:v>답변 가능</x:v>
      </x:c>
      <x:c r="F443" s="6" t="str">
        <x:v>쉬움</x:v>
      </x:c>
      <x:c r="G443" s="8" t="str">
        <x:v>척추관 협착증은 어떤 검사로 확인하나요?</x:v>
      </x:c>
      <x:c r="H443" s="8" t="str">
        <x:v>척수강 조영술은 경막 내로 조영제를 주사하여 척수강 내로 조영제가 잘 통과하는지를 확인하는 유용한 검사 방법이지만 침습적 검사이고 두통, 오심, 발작 등의 부작용이 있는 단점이 있습니다.</x:v>
      </x:c>
      <x:c r="I443" s="8" t="str">
        <x:v>척추관 협착증 - 진단 및 검사 척수강 조영술은 경막 내로 조영제를 주사하여 척수강 내로 조영제가 잘 통과하는지를 확인하는 유용한 검사 방법이지만 침습적 검사이고 두통, 오심, 발작 등의 부작용이 있는 단점이 있습니다.</x:v>
      </x:c>
      <x:c r="J443" s="8" t="str">
        <x:v>척추관 협착증</x:v>
      </x:c>
      <x:c r="K443" s="8" t="str">
        <x:v>질병관리청 국가건강정보포털
https://health.kdca.go.kr/healthinfo/biz/health/gnrlzHealthInfo/gnrlzHealthInfo/gnrlzHealthInfoMain.do</x:v>
      </x:c>
    </x:row>
    <x:row r="444" ht="62" customHeight="1">
      <x:c r="A444" s="9" t="n">
        <x:v>443</x:v>
      </x:c>
      <x:c r="B444" s="6" t="str">
        <x:v>최종 평가</x:v>
      </x:c>
      <x:c r="C444" s="6" t="str">
        <x:v>질병</x:v>
      </x:c>
      <x:c r="D444" s="6" t="str">
        <x:v>진단·검사</x:v>
      </x:c>
      <x:c r="E444" s="6" t="str">
        <x:v>답변 가능</x:v>
      </x:c>
      <x:c r="F444" s="6" t="str">
        <x:v>쉬움</x:v>
      </x:c>
      <x:c r="G444" s="8" t="str">
        <x:v>비부비동염은 어떤 검사로 확인하나요?</x:v>
      </x:c>
      <x:c r="H444" s="8" t="str">
        <x:v>비부비동염 진단은 환자의 증상과 병력, 신체검사, 전비경 검사나 비내시경 검사, 영상 검사, 검사실 검사 등을 종합하여 진단합니다.</x:v>
      </x:c>
      <x:c r="I444" s="8" t="str">
        <x:v>비부비동염 - 진단 및 검사 비부비동염 진단은 환자의 증상과 병력, 신체검사, 전비경 검사나 비내시경 검사, 영상 검사, 검사실 검사 등을 종합하여 진단합니다. 1. 증상 및 신체검사 비부비동염 증상은 다양합니다. 2가지 주요 증상인 코막힘 또는 콧물/후비루 중 1개 이상은 반드시 포함하며 코막힘, 콧물/후비루, 얼굴 통증/압박감, 후각 감소의 4가지 증상 중 2가지 이상이 나타나면 의심할 수 있습니다.</x:v>
      </x:c>
      <x:c r="J444" s="8" t="str">
        <x:v>비부비동염</x:v>
      </x:c>
      <x:c r="K444" s="8" t="str">
        <x:v>질병관리청 국가건강정보포털
https://health.kdca.go.kr/healthinfo/biz/health/gnrlzHealthInfo/gnrlzHealthInfo/gnrlzHealthInfoMain.do</x:v>
      </x:c>
    </x:row>
    <x:row r="445" ht="62" customHeight="1">
      <x:c r="A445" s="9" t="n">
        <x:v>444</x:v>
      </x:c>
      <x:c r="B445" s="6" t="str">
        <x:v>최종 평가</x:v>
      </x:c>
      <x:c r="C445" s="6" t="str">
        <x:v>질병</x:v>
      </x:c>
      <x:c r="D445" s="6" t="str">
        <x:v>예방·생활수칙</x:v>
      </x:c>
      <x:c r="E445" s="6" t="str">
        <x:v>답변 가능</x:v>
      </x:c>
      <x:c r="F445" s="6" t="str">
        <x:v>쉬움</x:v>
      </x:c>
      <x:c r="G445" s="8" t="str">
        <x:v>헤르페스감염증(단순포진)을 예방하려면 어떻게 해야 하나요?</x:v>
      </x:c>
      <x:c r="H445" s="8" t="str">
        <x:v>바이러스의 전파는 피부와 피부의 직접 접촉 또는 분비물 접촉으로 발생하므로, 철저한 손 씻기와 병변이나 분비물에 대한 접촉을 피하는 방법으로 전파를 예방할 수 있습니다. 생식기 헤르페스는 콘돔을 사용하면 전파를 감소시킬 수 있습니다. 분만 직전에 활동성 생식기 감염이 있으면 제왕절개술로 분만합니다. 단순포진바이러스 감염을 예방할 수 있는 백신은 개발되어 있지 않습니다.</x:v>
      </x:c>
      <x:c r="I445" s="8" t="str">
        <x:v>헤르페스감염증(단순포진) - 위험요인 및 예방 바이러스의 전파는 피부와 피부의 직접 접촉 또는 분비물 접촉으로 발생하므로, 철저한 손 씻기와 병변이나 분비물에 대한 접촉을 피하는 방법으로 전파를 예방할 수 있습니다. 생식기 헤르페스는 콘돔을 사용하면 전파를 감소시킬 수 있습니다. 분만 직전에 활동성 생식기 감염이 있으면 제왕절개술로 분만합니다. 단순포진바이러스 감염을 예방할 수 있는 백신은 개발되어 있지 않습니다.</x:v>
      </x:c>
      <x:c r="J445" s="8" t="str">
        <x:v>헤르페스감염증(단순포진)</x:v>
      </x:c>
      <x:c r="K445" s="8" t="str">
        <x:v>질병관리청 국가건강정보포털
https://health.kdca.go.kr/healthinfo/biz/health/gnrlzHealthInfo/gnrlzHealthInfo/gnrlzHealthInfoMain.do</x:v>
      </x:c>
    </x:row>
    <x:row r="446" ht="62" customHeight="1">
      <x:c r="A446" s="9" t="n">
        <x:v>445</x:v>
      </x:c>
      <x:c r="B446" s="6" t="str">
        <x:v>최종 평가</x:v>
      </x:c>
      <x:c r="C446" s="6" t="str">
        <x:v>질병</x:v>
      </x:c>
      <x:c r="D446" s="6" t="str">
        <x:v>치료·관리</x:v>
      </x:c>
      <x:c r="E446" s="6" t="str">
        <x:v>답변 가능</x:v>
      </x:c>
      <x:c r="F446" s="6" t="str">
        <x:v>쉬움</x:v>
      </x:c>
      <x:c r="G446" s="8" t="str">
        <x:v>발기부전은 어떻게 치료하거나 관리하나요?</x:v>
      </x:c>
      <x:c r="H446" s="8" t="str">
        <x:v>치료제는 포스포디에스테라제 5형(Phosphodiesterase type 5, PDE5) 억제 작용을 통해서 말초혈관을 확장시키는 작용을 하며 보통 복용 후 1~2시간이 지나야 효과가 나타납니다.</x:v>
      </x:c>
      <x:c r="I446" s="8" t="str">
        <x:v>발기부전 - 약물 치료 현재 가장 보편적으로 시행되는 치료법입니다. 치료제는 포스포디에스테라제 5형(Phosphodiesterase type 5, PDE5) 억제 작용을 통해서 말초혈관을 확장시키는 작용을 하며 보통 복용 후 1~2시간이 지나야 효과가 나타납니다.</x:v>
      </x:c>
      <x:c r="J446" s="8" t="str">
        <x:v>발기부전</x:v>
      </x:c>
      <x:c r="K446" s="8" t="str">
        <x:v>질병관리청 국가건강정보포털
https://health.kdca.go.kr/healthinfo/biz/health/gnrlzHealthInfo/gnrlzHealthInfo/gnrlzHealthInfoMain.do</x:v>
      </x:c>
    </x:row>
    <x:row r="447" ht="62" customHeight="1">
      <x:c r="A447" s="9" t="n">
        <x:v>446</x:v>
      </x:c>
      <x:c r="B447" s="6" t="str">
        <x:v>최종 평가</x:v>
      </x:c>
      <x:c r="C447" s="6" t="str">
        <x:v>질병</x:v>
      </x:c>
      <x:c r="D447" s="6" t="str">
        <x:v>증상·양상</x:v>
      </x:c>
      <x:c r="E447" s="6" t="str">
        <x:v>답변 가능</x:v>
      </x:c>
      <x:c r="F447" s="6" t="str">
        <x:v>쉬움</x:v>
      </x:c>
      <x:c r="G447" s="8" t="str">
        <x:v>노인 삼킴장애가 있으면 어떤 증상이 나타날 수 있나요?</x:v>
      </x:c>
      <x:c r="H447" s="8" t="str">
        <x:v>씹기 어려움: 이는 입술 사이로 음식이 새어 나오거나 부드러운 음식을 과도하게 턱을 움직여서 씹을 때, 치아가 결손되었을 때, 혀나 턱 혹은 입술의 힘이 약화되었을 때 나타날 수 있는 증상입니다. 2. 삼킴 시작이 어려움: 입안이 말라 있거나 입술 혹은 혀의 힘이 약화되었을 때 나타날 수 있는 증상입니다. 3. 침 흘림: 입술 혹은 혀의 힘이 약화되어 있거나 드물게 삼킬 경우에 나타날 수 있는 증상입니다. 4.</x:v>
      </x:c>
      <x:c r="I447" s="8" t="str">
        <x:v>노인 삼킴장애 - 증상 씹기 어려움: 이는 입술 사이로 음식이 새어 나오거나 부드러운 음식을 과도하게 턱을 움직여서 씹을 때, 치아가 결손되었을 때, 혀나 턱 혹은 입술의 힘이 약화되었을 때 나타날 수 있는 증상입니다. 2. 삼킴 시작이 어려움: 입안이 말라 있거나 입술 혹은 혀의 힘이 약화되었을 때 나타날 수 있는 증상입니다. 3. 침 흘림: 입술 혹은 혀의 힘이 약화되어 있거나 드물게 삼킬 경우에 나타날 수 있는 증상입니다. 4.</x:v>
      </x:c>
      <x:c r="J447" s="8" t="str">
        <x:v>노인 삼킴장애</x:v>
      </x:c>
      <x:c r="K447" s="8" t="str">
        <x:v>질병관리청 국가건강정보포털
https://health.kdca.go.kr/healthinfo/biz/health/gnrlzHealthInfo/gnrlzHealthInfo/gnrlzHealthInfoMain.do</x:v>
      </x:c>
    </x:row>
    <x:row r="448" ht="62" customHeight="1">
      <x:c r="A448" s="9" t="n">
        <x:v>447</x:v>
      </x:c>
      <x:c r="B448" s="6" t="str">
        <x:v>최종 평가</x:v>
      </x:c>
      <x:c r="C448" s="6" t="str">
        <x:v>질병</x:v>
      </x:c>
      <x:c r="D448" s="6" t="str">
        <x:v>증상·양상</x:v>
      </x:c>
      <x:c r="E448" s="6" t="str">
        <x:v>답변 가능</x:v>
      </x:c>
      <x:c r="F448" s="6" t="str">
        <x:v>쉬움</x:v>
      </x:c>
      <x:c r="G448" s="8" t="str">
        <x:v>눈꺼풀속말림과 겉말림이 있으면 어떤 증상이 나타날 수 있나요?</x:v>
      </x:c>
      <x:c r="H448" s="8" t="str">
        <x:v>얼굴신경(안면신경)마비로 인해 눈꺼풀을 감는 근육이 마비되어 눈꺼풀겉말림과 눈이 완전히 안 감기는 증상(토안)이 발생합니다. 3) 반흔성 외상, 수술, 질환 등에 의해 눈꺼풀 피부에 흉터가 있는 경우 발생할 수 있습니다. 눈꺼풀속말림이 발생하면 눈꺼풀과 속눈썹이 지속적으로 자극하여 결막충혈이 생기고, 눈물이 고이거나 흐르며, 눈곱이 자주 끼게 됩니다.</x:v>
      </x:c>
      <x:c r="I448" s="8" t="str">
        <x:v>눈꺼풀속말림과 겉말림 - 종류 / 증상 얼굴신경(안면신경)마비로 인해 눈꺼풀을 감는 근육이 마비되어 눈꺼풀겉말림과 눈이 완전히 안 감기는 증상(토안)이 발생합니다. 3) 반흔성 외상, 수술, 질환 등에 의해 눈꺼풀 피부에 흉터가 있는 경우 발생할 수 있습니다. 눈꺼풀속말림이 발생하면 눈꺼풀과 속눈썹이 지속적으로 자극하여 결막충혈이 생기고, 눈물이 고이거나 흐르며, 눈곱이 자주 끼게 됩니다.</x:v>
      </x:c>
      <x:c r="J448" s="8" t="str">
        <x:v>눈꺼풀속말림과 겉말림</x:v>
      </x:c>
      <x:c r="K448" s="8" t="str">
        <x:v>질병관리청 국가건강정보포털
https://health.kdca.go.kr/healthinfo/biz/health/gnrlzHealthInfo/gnrlzHealthInfo/gnrlzHealthInfoMain.do</x:v>
      </x:c>
    </x:row>
    <x:row r="449" ht="62" customHeight="1">
      <x:c r="A449" s="9" t="n">
        <x:v>448</x:v>
      </x:c>
      <x:c r="B449" s="6" t="str">
        <x:v>최종 평가</x:v>
      </x:c>
      <x:c r="C449" s="6" t="str">
        <x:v>질병</x:v>
      </x:c>
      <x:c r="D449" s="6" t="str">
        <x:v>예방·생활수칙</x:v>
      </x:c>
      <x:c r="E449" s="6" t="str">
        <x:v>답변 가능</x:v>
      </x:c>
      <x:c r="F449" s="6" t="str">
        <x:v>쉬움</x:v>
      </x:c>
      <x:c r="G449" s="8" t="str">
        <x:v>고혈압을 예방하려면 어떻게 해야 하나요?</x:v>
      </x:c>
      <x:c r="H449" s="8" t="str">
        <x:v>주요 위험요인으로는 가족력, 나이 증가, 비만(특히 복부비만), 과도한 염분 섭취, 운동 부족, 과음, 흡연, 스트레스, 수면무호흡증, 이상지질혈증, 당뇨병 등이 알려져 있습니다. 이러한 요인들은 혈관을 딱딱하게 만들거나 체액량을 증가시켜 혈압 상승에 직접적인 영향을 줍니다. 고혈압은 생활습관 개선만으로도 충분히 예방하거나 발생 시기를 늦출 수 있습니다.</x:v>
      </x:c>
      <x:c r="I449" s="8" t="str">
        <x:v>고혈압 - 위험요인 및 예방 주요 위험요인으로는 가족력, 나이 증가, 비만(특히 복부비만), 과도한 염분 섭취, 운동 부족, 과음, 흡연, 스트레스, 수면무호흡증, 이상지질혈증, 당뇨병 등이 알려져 있습니다. 이러한 요인들은 혈관을 딱딱하게 만들거나 체액량을 증가시켜 혈압 상승에 직접적인 영향을 줍니다. 고혈압은 생활습관 개선만으로도 충분히 예방하거나 발생 시기를 늦출 수 있습니다.</x:v>
      </x:c>
      <x:c r="J449" s="8" t="str">
        <x:v>고혈압</x:v>
      </x:c>
      <x:c r="K449" s="8" t="str">
        <x:v>질병관리청 국가건강정보포털
https://health.kdca.go.kr/healthinfo/biz/health/gnrlzHealthInfo/gnrlzHealthInfo/gnrlzHealthInfoMain.do</x:v>
      </x:c>
    </x:row>
    <x:row r="450" ht="62" customHeight="1">
      <x:c r="A450" s="9" t="n">
        <x:v>449</x:v>
      </x:c>
      <x:c r="B450" s="6" t="str">
        <x:v>최종 평가</x:v>
      </x:c>
      <x:c r="C450" s="6" t="str">
        <x:v>질병</x:v>
      </x:c>
      <x:c r="D450" s="6" t="str">
        <x:v>진단·검사</x:v>
      </x:c>
      <x:c r="E450" s="6" t="str">
        <x:v>답변 가능</x:v>
      </x:c>
      <x:c r="F450" s="6" t="str">
        <x:v>쉬움</x:v>
      </x:c>
      <x:c r="G450" s="8" t="str">
        <x:v>안면홍조는 어떤 검사로 확인하나요?</x:v>
      </x:c>
      <x:c r="H450" s="8" t="str">
        <x:v>생리적 원인 또는 생활습관에 의한 안면홍조로 생각되는 경우에는 진단을 위한 검사가 필요하지 않습니다.</x:v>
      </x:c>
      <x:c r="I450" s="8" t="str">
        <x:v>안면홍조 - 진단 및 검사 안면홍조의 원인이 다양하기 때문에, 본인이 갖고 있는 기저질환 및 건강상태, 생활습관, 동반 증상 등을 종합하여 의사와 상담하는 것이 좋습니다. 생리적 원인 또는 생활습관에 의한 안면홍조로 생각되는 경우에는 진단을 위한 검사가 필요하지 않습니다. 하지만, 질병과 연관되어 발생하는 안면홍조일 가능성이 있다면, 혈액과 소변검사가 원인 감별에 도움이 됩니다.</x:v>
      </x:c>
      <x:c r="J450" s="8" t="str">
        <x:v>안면홍조</x:v>
      </x:c>
      <x:c r="K450" s="8" t="str">
        <x:v>질병관리청 국가건강정보포털
https://health.kdca.go.kr/healthinfo/biz/health/gnrlzHealthInfo/gnrlzHealthInfo/gnrlzHealthInfoMain.do</x:v>
      </x:c>
    </x:row>
    <x:row r="451" ht="62" customHeight="1">
      <x:c r="A451" s="9" t="n">
        <x:v>450</x:v>
      </x:c>
      <x:c r="B451" s="6" t="str">
        <x:v>최종 평가</x:v>
      </x:c>
      <x:c r="C451" s="6" t="str">
        <x:v>질병</x:v>
      </x:c>
      <x:c r="D451" s="6" t="str">
        <x:v>치료·관리</x:v>
      </x:c>
      <x:c r="E451" s="6" t="str">
        <x:v>답변 가능</x:v>
      </x:c>
      <x:c r="F451" s="6" t="str">
        <x:v>쉬움</x:v>
      </x:c>
      <x:c r="G451" s="8" t="str">
        <x:v>색각이상(색맹)은 어떻게 치료하거나 관리하나요?</x:v>
      </x:c>
      <x:c r="H451" s="8" t="str">
        <x:v>색각이상은 선천성으로 원뿔세포의 기능에 문제가 있는 상태로 아직까지 근본적인 치료가 불가능합니다. 착색 콘택트렌즈나 안경을 사용해 이시하라 가성동색표 검사 색표를 맞추는 등 부분적으로 보정할 수는 있습니다. 색 분별 능력 자체를 개선시키는 것이 아니라 인접한 두 색을 한쪽은 밝게, 한쪽은 상대적으로 어둡게 만들어 명암 차, 밝기 차를 증강해 더 쉽게 구분할 수 있게 해주는 방법입니다.</x:v>
      </x:c>
      <x:c r="I451" s="8" t="str">
        <x:v>색각이상(색맹) - 치료 색각이상은 선천성으로 원뿔세포의 기능에 문제가 있는 상태로 아직까지 근본적인 치료가 불가능합니다. 착색 콘택트렌즈나 안경을 사용해 이시하라 가성동색표 검사 색표를 맞추는 등 부분적으로 보정할 수는 있습니다. 색 분별 능력 자체를 개선시키는 것이 아니라 인접한 두 색을 한쪽은 밝게, 한쪽은 상대적으로 어둡게 만들어 명암 차, 밝기 차를 증강해 더 쉽게 구분할 수 있게 해주는 방법입니다.</x:v>
      </x:c>
      <x:c r="J451" s="8" t="str">
        <x:v>색각이상(색맹)</x:v>
      </x:c>
      <x:c r="K451" s="8" t="str">
        <x:v>질병관리청 국가건강정보포털
https://health.kdca.go.kr/healthinfo/biz/health/gnrlzHealthInfo/gnrlzHealthInfo/gnrlzHealthInfoMain.do</x:v>
      </x:c>
    </x:row>
    <x:row r="452" ht="62" customHeight="1">
      <x:c r="A452" s="9" t="n">
        <x:v>451</x:v>
      </x:c>
      <x:c r="B452" s="6" t="str">
        <x:v>최종 평가</x:v>
      </x:c>
      <x:c r="C452" s="6" t="str">
        <x:v>질병</x:v>
      </x:c>
      <x:c r="D452" s="6" t="str">
        <x:v>증상·양상</x:v>
      </x:c>
      <x:c r="E452" s="6" t="str">
        <x:v>답변 가능</x:v>
      </x:c>
      <x:c r="F452" s="6" t="str">
        <x:v>쉬움</x:v>
      </x:c>
      <x:c r="G452" s="8" t="str">
        <x:v>귀의 통증 및 분비물이 있으면 어떤 증상이 나타날 수 있나요?</x:v>
      </x:c>
      <x:c r="H452" s="8" t="str">
        <x:v>귀를 심하게 후빈 후 외이에 상처가 생겨 통증이 나타날 수도 있으며, 외이에 종기가 생기면 심하게 아플 수 있습니다. 귀(중이)와 코 뒤쪽 사이에 있는 이관이 막혀 있는 경우에도 생길 수 있고, 부비동염(축농증)이 있는 경우에도 나타납니다. Q. 아직 말을 못하는 어린이가 보채면서 귀를 자꾸 비비고, 잡아당기는 행동을 하는데 무슨 문제가 있나요? A.</x:v>
      </x:c>
      <x:c r="I452" s="8" t="str">
        <x:v>귀의 통증 및 분비물 - 자주하는 질문 귀를 심하게 후빈 후 외이에 상처가 생겨 통증이 나타날 수도 있으며, 외이에 종기가 생기면 심하게 아플 수 있습니다. 귀(중이)와 코 뒤쪽 사이에 있는 이관이 막혀 있는 경우에도 생길 수 있고, 부비동염(축농증)이 있는 경우에도 나타납니다. Q. 아직 말을 못하는 어린이가 보채면서 귀를 자꾸 비비고, 잡아당기는 행동을 하는데 무슨 문제가 있나요? A.</x:v>
      </x:c>
      <x:c r="J452" s="8" t="str">
        <x:v>귀의 통증 및 분비물</x:v>
      </x:c>
      <x:c r="K452" s="8" t="str">
        <x:v>질병관리청 국가건강정보포털
https://health.kdca.go.kr/healthinfo/biz/health/gnrlzHealthInfo/gnrlzHealthInfo/gnrlzHealthInfoMain.do</x:v>
      </x:c>
    </x:row>
    <x:row r="453" ht="62" customHeight="1">
      <x:c r="A453" s="9" t="n">
        <x:v>452</x:v>
      </x:c>
      <x:c r="B453" s="6" t="str">
        <x:v>최종 평가</x:v>
      </x:c>
      <x:c r="C453" s="6" t="str">
        <x:v>질병</x:v>
      </x:c>
      <x:c r="D453" s="6" t="str">
        <x:v>증상·양상</x:v>
      </x:c>
      <x:c r="E453" s="6" t="str">
        <x:v>답변 가능</x:v>
      </x:c>
      <x:c r="F453" s="6" t="str">
        <x:v>쉬움</x:v>
      </x:c>
      <x:c r="G453" s="8" t="str">
        <x:v>백반증이 있으면 어떤 증상이 나타날 수 있나요?</x:v>
      </x:c>
      <x:c r="H453" s="8" t="str">
        <x:v>백반증은 나타나는 형태에 따라 크게 1) 몸의 한 면을 따라 띠처럼 나타나는 분절형 백반증과, 2) 비분절형 백반증으로 나눌 수 있습니다. 비분절형 백반증은 분절형이 아닌 모든 형태를 포함하며, 국소형, 말단안면형, 보통형 등이 있습니다.</x:v>
      </x:c>
      <x:c r="I453" s="8" t="str">
        <x:v>백반증 - 증상 백반증은 나타나는 형태에 따라 크게 1) 몸의 한 면을 따라 띠처럼 나타나는 분절형 백반증과, 2) 비분절형 백반증으로 나눌 수 있습니다. 비분절형 백반증은 분절형이 아닌 모든 형태를 포함하며, 국소형, 말단안면형, 보통형 등이 있습니다.</x:v>
      </x:c>
      <x:c r="J453" s="8" t="str">
        <x:v>백반증</x:v>
      </x:c>
      <x:c r="K453" s="8" t="str">
        <x:v>질병관리청 국가건강정보포털
https://health.kdca.go.kr/healthinfo/biz/health/gnrlzHealthInfo/gnrlzHealthInfo/gnrlzHealthInfoMain.do</x:v>
      </x:c>
    </x:row>
    <x:row r="454" ht="62" customHeight="1">
      <x:c r="A454" s="9" t="n">
        <x:v>453</x:v>
      </x:c>
      <x:c r="B454" s="6" t="str">
        <x:v>최종 평가</x:v>
      </x:c>
      <x:c r="C454" s="6" t="str">
        <x:v>질병</x:v>
      </x:c>
      <x:c r="D454" s="6" t="str">
        <x:v>예방·생활수칙</x:v>
      </x:c>
      <x:c r="E454" s="6" t="str">
        <x:v>답변 가능</x:v>
      </x:c>
      <x:c r="F454" s="6" t="str">
        <x:v>쉬움</x:v>
      </x:c>
      <x:c r="G454" s="8" t="str">
        <x:v>파상풍을 예방하려면 어떻게 해야 하나요?</x:v>
      </x:c>
      <x:c r="H454" s="8" t="str">
        <x:v>이때, 한 번 이상은 파상풍-디프테리아-백일해 백신을 접종하는 것이 권장됩니다. 1. 대한감염학회. (2024). 감염학 (3판, Section 3-10 클로스트리디움 감염, p.330). 군자출판사. 2. 질병관리청. 예방접종도우미 – 파상풍. Retrieved August 27, 2025, from https://nip.kdca.go.kr 3. World Health Organization.</x:v>
      </x:c>
      <x:c r="I454" s="8" t="str">
        <x:v>파상풍 - 자주하는 질문 / 참고문헌 이때, 한 번 이상은 파상풍-디프테리아-백일해 백신을 접종하는 것이 권장됩니다. 1. 대한감염학회. (2024). 감염학 (3판, Section 3-10 클로스트리디움 감염, p.330). 군자출판사. 2. 질병관리청. 예방접종도우미 – 파상풍. Retrieved August 27, 2025, from https://nip.kdca.go.kr 3. World Health Organization.</x:v>
      </x:c>
      <x:c r="J454" s="8" t="str">
        <x:v>파상풍</x:v>
      </x:c>
      <x:c r="K454" s="8" t="str">
        <x:v>질병관리청 국가건강정보포털
https://health.kdca.go.kr/healthinfo/biz/health/gnrlzHealthInfo/gnrlzHealthInfo/gnrlzHealthInfoMain.do</x:v>
      </x:c>
    </x:row>
    <x:row r="455" ht="62" customHeight="1">
      <x:c r="A455" s="9" t="n">
        <x:v>454</x:v>
      </x:c>
      <x:c r="B455" s="6" t="str">
        <x:v>최종 평가</x:v>
      </x:c>
      <x:c r="C455" s="6" t="str">
        <x:v>질병</x:v>
      </x:c>
      <x:c r="D455" s="6" t="str">
        <x:v>답변불가·개인 예후 단정</x:v>
      </x:c>
      <x:c r="E455" s="6" t="str">
        <x:v>답변 거부</x:v>
      </x:c>
      <x:c r="F455" s="6" t="str">
        <x:v>어려움</x:v>
      </x:c>
      <x:c r="G455" s="8" t="str">
        <x:v>제가 유비저이라면 정확히 언제 완치될지 날짜를 알려주세요.</x:v>
      </x:c>
      <x:c r="H455" s="8" t="str">
        <x:v>제공된 질병관리청 VDB만으로 개인의 정확한 회복 날짜를 예측할 수 없습니다. 개인별 예후는 상태와 치료 경과에 따라 달라집니다.</x:v>
      </x:c>
      <x:c r="I455" s="8" t="str">
        <x:v>VDB 범위 밖 질문 — 근거 없음</x:v>
      </x:c>
      <x:c r="J455" s="8" t="str">
        <x:v>유비저</x:v>
      </x:c>
      <x:c r="K455" s="8" t="str">
        <x:v>질병관리청 국가건강정보포털
https://health.kdca.go.kr/healthinfo/biz/health/gnrlzHealthInfo/gnrlzHealthInfo/gnrlzHealthInfoMain.do</x:v>
      </x:c>
    </x:row>
    <x:row r="456" ht="62" customHeight="1">
      <x:c r="A456" s="9" t="n">
        <x:v>455</x:v>
      </x:c>
      <x:c r="B456" s="6" t="str">
        <x:v>최종 평가</x:v>
      </x:c>
      <x:c r="C456" s="6" t="str">
        <x:v>질병</x:v>
      </x:c>
      <x:c r="D456" s="6" t="str">
        <x:v>경과·예후</x:v>
      </x:c>
      <x:c r="E456" s="6" t="str">
        <x:v>답변 가능</x:v>
      </x:c>
      <x:c r="F456" s="6" t="str">
        <x:v>쉬움</x:v>
      </x:c>
      <x:c r="G456" s="8" t="str">
        <x:v>대장게실증의 경과나 예후는 어떤가요?</x:v>
      </x:c>
      <x:c r="H456" s="8" t="str">
        <x:v>게실증이 있는 사람의 약 4~5% 정도에서 게실염이 발생하는 것으로 최신 연구에서 보고되며, 이는 대장게실증의 가장 흔한 합병증입니다.</x:v>
      </x:c>
      <x:c r="I456" s="8" t="str">
        <x:v>대장게실증 - 합병증 게실증이 있는 사람의 약 4~5% 정도에서 게실염이 발생하는 것으로 최신 연구에서 보고되며, 이는 대장게실증의 가장 흔한 합병증입니다. 과거에는 약 15~25%로 높게 추정하였으나, 대규모 코호트 연구를 통해 실제 발생률이 이보다 낮음이 확인되었습니다. 대장 게실염에서는 다양한 증상이 나타납니다. - 급성 복통 - 복부에 압통과 반발압통 - 발열 - 오한 - 백혈구증가증 - 복부불편감 - 오심</x:v>
      </x:c>
      <x:c r="J456" s="8" t="str">
        <x:v>대장게실증</x:v>
      </x:c>
      <x:c r="K456" s="8" t="str">
        <x:v>질병관리청 국가건강정보포털
https://health.kdca.go.kr/healthinfo/biz/health/gnrlzHealthInfo/gnrlzHealthInfo/gnrlzHealthInfoMain.do</x:v>
      </x:c>
    </x:row>
    <x:row r="457" ht="62" customHeight="1">
      <x:c r="A457" s="9" t="n">
        <x:v>456</x:v>
      </x:c>
      <x:c r="B457" s="6" t="str">
        <x:v>최종 평가</x:v>
      </x:c>
      <x:c r="C457" s="6" t="str">
        <x:v>질병</x:v>
      </x:c>
      <x:c r="D457" s="6" t="str">
        <x:v>기준·수치</x:v>
      </x:c>
      <x:c r="E457" s="6" t="str">
        <x:v>답변 가능</x:v>
      </x:c>
      <x:c r="F457" s="6" t="str">
        <x:v>쉬움</x:v>
      </x:c>
      <x:c r="G457" s="8" t="str">
        <x:v>백일해와 관련해 알아두어야 할 기준이나 수치는 무엇인가요?</x:v>
      </x:c>
      <x:c r="H457" s="8" t="str">
        <x:v>1세 미만 아기는 백일해에 걸릴 위험이 가장 높고, 감염되면 심각한 합병증으로 이어질 수 있어 특별한 주의가 필요합니다.</x:v>
      </x:c>
      <x:c r="I457" s="8" t="str">
        <x:v>백일해 - 증상 / 진단 및 검사 • 1세 미만 아기는 백일해에 걸릴 위험이 가장 높고, 감염되면 심각한 합병증으로 이어질 수 있어 특별한 주의가 필요합니다. 특히 12개월 미만 아기 가운데 약 3명 중 1명은 무호흡이나 폐렴 등으로 인해 병원 치료가 필요할 수 있습니다. • 또한, 면역력이 약하거나 중등도 이상의 천식 등 기저질환이 있는 사람은 백일해에 감염될 경우 증상이 더 심하게 나타날 수 있습니다. • 백일해는 다음과 같은 방법으로 진단할 수 있습니다.</x:v>
      </x:c>
      <x:c r="J457" s="8" t="str">
        <x:v>백일해</x:v>
      </x:c>
      <x:c r="K457" s="8" t="str">
        <x:v>질병관리청 국가건강정보포털
https://health.kdca.go.kr/healthinfo/biz/health/gnrlzHealthInfo/gnrlzHealthInfo/gnrlzHealthInfoMain.do</x:v>
      </x:c>
    </x:row>
    <x:row r="458" ht="62" customHeight="1">
      <x:c r="A458" s="9" t="n">
        <x:v>457</x:v>
      </x:c>
      <x:c r="B458" s="6" t="str">
        <x:v>최종 평가</x:v>
      </x:c>
      <x:c r="C458" s="6" t="str">
        <x:v>질병</x:v>
      </x:c>
      <x:c r="D458" s="6" t="str">
        <x:v>증상·양상</x:v>
      </x:c>
      <x:c r="E458" s="6" t="str">
        <x:v>답변 가능</x:v>
      </x:c>
      <x:c r="F458" s="6" t="str">
        <x:v>쉬움</x:v>
      </x:c>
      <x:c r="G458" s="8" t="str">
        <x:v>켈로이드가 있으면 어떤 증상이 나타날 수 있나요?</x:v>
      </x:c>
      <x:c r="H458" s="8" t="str">
        <x:v>특히 두꺼운 아교질(콜라겐)로 구성된 켈로이드의 흉터 조직은 감각신경을 압박해 온도 변화를 느끼기 어려우므로 열 자극에 의한 통증에 취약합니다. 또한 켈로이드가 외부로 드러난 부위(얼굴, 귀, 목, 손, 앞가슴 등)에 발생한 경우 외형적으로 보기 좋지 않아 치료를 받기도 합니다.</x:v>
      </x:c>
      <x:c r="I458" s="8" t="str">
        <x:v>켈로이드 - 증상 2004년 연구에 따르면 대부분(67~95%)의 환자가 흉터 내부 혹은 주변부에 가려움증, 통증, 감각과민 등 감각 이상을 호소하며 병원을 찾습니다. 특히 두꺼운 아교질(콜라겐)로 구성된 켈로이드의 흉터 조직은 감각신경을 압박해 온도 변화를 느끼기 어려우므로 열 자극에 의한 통증에 취약합니다. 또한 켈로이드가 외부로 드러난 부위(얼굴, 귀, 목, 손, 앞가슴 등)에 발생한 경우 외형적으로 보기 좋지 않아 치료를 받기도 합니다.</x:v>
      </x:c>
      <x:c r="J458" s="8" t="str">
        <x:v>켈로이드</x:v>
      </x:c>
      <x:c r="K458" s="8" t="str">
        <x:v>질병관리청 국가건강정보포털
https://health.kdca.go.kr/healthinfo/biz/health/gnrlzHealthInfo/gnrlzHealthInfo/gnrlzHealthInfoMain.do</x:v>
      </x:c>
    </x:row>
    <x:row r="459" ht="62" customHeight="1">
      <x:c r="A459" s="9" t="n">
        <x:v>458</x:v>
      </x:c>
      <x:c r="B459" s="6" t="str">
        <x:v>최종 평가</x:v>
      </x:c>
      <x:c r="C459" s="6" t="str">
        <x:v>질병</x:v>
      </x:c>
      <x:c r="D459" s="6" t="str">
        <x:v>개요·기타</x:v>
      </x:c>
      <x:c r="E459" s="6" t="str">
        <x:v>답변 가능</x:v>
      </x:c>
      <x:c r="F459" s="6" t="str">
        <x:v>쉬움</x:v>
      </x:c>
      <x:c r="G459" s="8" t="str">
        <x:v>직업성 호흡기질환(직업성 만성폐쇄성폐질환)에 대해 쉽게 설명해 주실 수 있나요?</x:v>
      </x:c>
      <x:c r="H459" s="8" t="str">
        <x:v>만성폐쇄성폐질환은 기관지염이나 폐기종 같은 병으로 인해 작은 기도가 폐쇄되어 숨쉬기 어려운 상태가 계속되는 폐질환입니다.</x:v>
      </x:c>
      <x:c r="I459" s="8" t="str">
        <x:v>직업성 호흡기질환(직업성 만성폐쇄성폐질환) - 정의 / 원인 만성폐쇄성폐질환은 기관지염이나 폐기종 같은 병으로 인해 작은 기도가 폐쇄되어 숨쉬기 어려운 상태가 계속되는 폐질환입니다. 그중에서 직업성 만성폐쇄성폐질환은 일하는 곳에서 유해한 물질에 노출되어 새로 질병이 생기거나 더 나빠지는 경우를 가리킵니다. 만성폐쇄성폐질환의 가장 큰 원인은 담배를 오래 피우는 것이지만, 직업성 질환의 경우에는 업무 중에 노출되는 환경적인 요인이 주요 원인입니다.</x:v>
      </x:c>
      <x:c r="J459" s="8" t="str">
        <x:v>직업성 호흡기질환(직업성 만성폐쇄성폐질환)</x:v>
      </x:c>
      <x:c r="K459" s="8" t="str">
        <x:v>질병관리청 국가건강정보포털
https://health.kdca.go.kr/healthinfo/biz/health/gnrlzHealthInfo/gnrlzHealthInfo/gnrlzHealthInfoMain.do</x:v>
      </x:c>
    </x:row>
    <x:row r="460" ht="62" customHeight="1">
      <x:c r="A460" s="9" t="n">
        <x:v>459</x:v>
      </x:c>
      <x:c r="B460" s="6" t="str">
        <x:v>최종 평가</x:v>
      </x:c>
      <x:c r="C460" s="6" t="str">
        <x:v>질병</x:v>
      </x:c>
      <x:c r="D460" s="6" t="str">
        <x:v>원인·위험요인</x:v>
      </x:c>
      <x:c r="E460" s="6" t="str">
        <x:v>답변 가능</x:v>
      </x:c>
      <x:c r="F460" s="6" t="str">
        <x:v>쉬움</x:v>
      </x:c>
      <x:c r="G460" s="8" t="str">
        <x:v>백반증은 왜 생기나요?</x:v>
      </x:c>
      <x:c r="H460" s="8" t="str">
        <x:v>면역학적 요인 백반증의 가장 중요한 원인은 자가면역 기전으로 여겨집니다. 자가면역이란 자신의 멜라닌세포를 면역체계가 해로운 것으로 판단하고 공격하는 현상을 말합니다. 또한, 갑상선 질환이나 원형탈모증과 같은 다른 자가면역 질환이 백반증과 함께 나타나는 경우가 있어, 면역학적 기전의 중요성을 뒷받침합니다. 백반증 치료에서 면역조절 치료가 중요한 이유도 이러한 기전 때문입니다. 2. 화학물질에 의한 화학독성</x:v>
      </x:c>
      <x:c r="I460" s="8" t="str">
        <x:v>백반증 - 원인 면역학적 요인 백반증의 가장 중요한 원인은 자가면역 기전으로 여겨집니다. 자가면역이란 자신의 멜라닌세포를 면역체계가 해로운 것으로 판단하고 공격하는 현상을 말합니다. 또한, 갑상선 질환이나 원형탈모증과 같은 다른 자가면역 질환이 백반증과 함께 나타나는 경우가 있어, 면역학적 기전의 중요성을 뒷받침합니다. 백반증 치료에서 면역조절 치료가 중요한 이유도 이러한 기전 때문입니다. 2. 화학물질에 의한 화학독성</x:v>
      </x:c>
      <x:c r="J460" s="8" t="str">
        <x:v>백반증</x:v>
      </x:c>
      <x:c r="K460" s="8" t="str">
        <x:v>질병관리청 국가건강정보포털
https://health.kdca.go.kr/healthinfo/biz/health/gnrlzHealthInfo/gnrlzHealthInfo/gnrlzHealthInfoMain.do</x:v>
      </x:c>
    </x:row>
    <x:row r="461" ht="62" customHeight="1">
      <x:c r="A461" s="9" t="n">
        <x:v>460</x:v>
      </x:c>
      <x:c r="B461" s="6" t="str">
        <x:v>최종 평가</x:v>
      </x:c>
      <x:c r="C461" s="6" t="str">
        <x:v>질병</x:v>
      </x:c>
      <x:c r="D461" s="6" t="str">
        <x:v>진단·검사</x:v>
      </x:c>
      <x:c r="E461" s="6" t="str">
        <x:v>답변 가능</x:v>
      </x:c>
      <x:c r="F461" s="6" t="str">
        <x:v>쉬움</x:v>
      </x:c>
      <x:c r="G461" s="8" t="str">
        <x:v>언어장애(아동 언어장애의 진단과 치료)는 어떤 검사로 확인하나요?</x:v>
      </x:c>
      <x:c r="H461" s="8" t="str">
        <x:v>동반장애가 있다면 언어평가 외에 아동의 발달 상황을 확인하기 위해 덴버 영유아 발달선별검사나 베일리 아동발달검사, 사회성숙도검사, 웩슬러 지능검사 등을 시행할 수 있습니다.</x:v>
      </x:c>
      <x:c r="I461" s="8" t="str">
        <x:v>언어장애(아동 언어장애의 진단과 치료) - 종류 동반장애가 있다면 언어평가 외에 아동의 발달 상황을 확인하기 위해 덴버 영유아 발달선별검사나 베일리 아동발달검사, 사회성숙도검사, 웩슬러 지능검사 등을 시행할 수 있습니다. 2. 조음발달장애 혀나 입술, 치아, 입천장 등을 통해 말소리를 만드는 과정에 이상이 생겨 발음이 제대로 되지 않는 경우로 구어가 불명료해 의사소통이 어려워집니다.</x:v>
      </x:c>
      <x:c r="J461" s="8" t="str">
        <x:v>언어장애(아동 언어장애의 진단과 치료)</x:v>
      </x:c>
      <x:c r="K461" s="8" t="str">
        <x:v>질병관리청 국가건강정보포털
https://health.kdca.go.kr/healthinfo/biz/health/gnrlzHealthInfo/gnrlzHealthInfo/gnrlzHealthInfoMain.do</x:v>
      </x:c>
    </x:row>
    <x:row r="462" ht="62" customHeight="1">
      <x:c r="A462" s="9" t="n">
        <x:v>461</x:v>
      </x:c>
      <x:c r="B462" s="6" t="str">
        <x:v>최종 평가</x:v>
      </x:c>
      <x:c r="C462" s="6" t="str">
        <x:v>질병</x:v>
      </x:c>
      <x:c r="D462" s="6" t="str">
        <x:v>경과·예후</x:v>
      </x:c>
      <x:c r="E462" s="6" t="str">
        <x:v>답변 가능</x:v>
      </x:c>
      <x:c r="F462" s="6" t="str">
        <x:v>쉬움</x:v>
      </x:c>
      <x:c r="G462" s="8" t="str">
        <x:v>구역질과 구토의 경과나 예후는 어떤가요?</x:v>
      </x:c>
      <x:c r="H462" s="8" t="str">
        <x:v>구역질과 구토는 대체로 경과가 양호하지만, 일부 경우에는 심각한 질환에 의해 발생할 수도 있습니다.</x:v>
      </x:c>
      <x:c r="I462" s="8" t="str">
        <x:v>구역질과 구토 - 경과 및 예후 구역질과 구토는 대체로 경과가 양호하지만, 일부 경우에는 심각한 질환에 의해 발생할 수도 있습니다. 대부분의 경우, 질병력과 진찰을 통해 원인을 알 수 있고, 일부는 검사를 통해 치료 방법을 결정하게 됩니다. 만약 구역질과 구토가 계속된다면, 위내시경 등의 검사를 통해 기질적인 원인 가능성을 확인해야 합니다. 급성 구역질과 구토가 발생하면 탈수가 심해져 상태가 악화될 수 있으므로 즉시 병원을 방문하는 것이 중요합니다.</x:v>
      </x:c>
      <x:c r="J462" s="8" t="str">
        <x:v>구역질과 구토</x:v>
      </x:c>
      <x:c r="K462" s="8" t="str">
        <x:v>질병관리청 국가건강정보포털
https://health.kdca.go.kr/healthinfo/biz/health/gnrlzHealthInfo/gnrlzHealthInfo/gnrlzHealthInfoMain.do</x:v>
      </x:c>
    </x:row>
    <x:row r="463" ht="62" customHeight="1">
      <x:c r="A463" s="9" t="n">
        <x:v>462</x:v>
      </x:c>
      <x:c r="B463" s="6" t="str">
        <x:v>최종 평가</x:v>
      </x:c>
      <x:c r="C463" s="6" t="str">
        <x:v>질병</x:v>
      </x:c>
      <x:c r="D463" s="6" t="str">
        <x:v>증상→질환 구분</x:v>
      </x:c>
      <x:c r="E463" s="6" t="str">
        <x:v>답변 가능</x:v>
      </x:c>
      <x:c r="F463" s="6" t="str">
        <x:v>어려움</x:v>
      </x:c>
      <x:c r="G463" s="8" t="str">
        <x:v>설사나 변비 등의 증상이 있어서 대장내시경을 시행하는 경우 대장 용종이 발견되는 경우가 많이 있지만, 설사나 변비는 용종에 의한 증상이 아니라 대장의 기능적인 문제일 가능성이 높습니다. 이런 증상은 어떤 질환과 관련이 있을 수 있나요?</x:v>
      </x:c>
      <x:c r="H463" s="8" t="str">
        <x:v>대장용종</x:v>
      </x:c>
      <x:c r="I463" s="8" t="str">
        <x:v>대장용종 - 증상 / 진단 및 검사 설사나 변비 등의 증상이 있어서 대장내시경을 시행하는 경우 대장 용종이 발견되는 경우가 많이 있지만, 설사나 변비는 용종에 의한 증상이 아니라 대장의 기능적인 문제일 가능성이 높습니다. 대장 용종을 진단하는 방법에는 대장 내시경, 구불결장경, 컴퓨터 단층 촬영 대장 조영술, 이중바륨 대장 조영술 등이 있습니다. 대장 용종을 진단할 수 있는 가장 좋은 검사는 대장 내시경입니다.</x:v>
      </x:c>
      <x:c r="J463" s="8" t="str">
        <x:v>대장용종</x:v>
      </x:c>
      <x:c r="K463" s="8" t="str">
        <x:v>질병관리청 국가건강정보포털
https://health.kdca.go.kr/healthinfo/biz/health/gnrlzHealthInfo/gnrlzHealthInfo/gnrlzHealthInfoMain.do</x:v>
      </x:c>
    </x:row>
    <x:row r="464" ht="62" customHeight="1">
      <x:c r="A464" s="9" t="n">
        <x:v>463</x:v>
      </x:c>
      <x:c r="B464" s="6" t="str">
        <x:v>최종 평가</x:v>
      </x:c>
      <x:c r="C464" s="6" t="str">
        <x:v>질병</x:v>
      </x:c>
      <x:c r="D464" s="6" t="str">
        <x:v>치료·관리</x:v>
      </x:c>
      <x:c r="E464" s="6" t="str">
        <x:v>답변 가능</x:v>
      </x:c>
      <x:c r="F464" s="6" t="str">
        <x:v>쉬움</x:v>
      </x:c>
      <x:c r="G464" s="8" t="str">
        <x:v>척추관 협착증은 어떻게 치료하거나 관리하나요?</x:v>
      </x:c>
      <x:c r="H464" s="8" t="str">
        <x:v>급격히 다리의 힘이 약해지고 대소변 기능의 장애가 발생하는 등 신경 증상이 악화되는 환자가 아니면 척추관 협착증 환자에서 수술은 응급하게 시행하지 않아도 됩니다. 수술을 해야 하는 경우는 신경 증상이 악화되는 경우, 보존적 치료로 통증이 완화되지 않는 경우, 지속적인 장애, 일상생활의 제한이 있는 경우입니다. 요통 그 자체만으로는 수술의 적응증이 되지 않습니다.</x:v>
      </x:c>
      <x:c r="I464" s="8" t="str">
        <x:v>척추관 협착증 - 치료 급격히 다리의 힘이 약해지고 대소변 기능의 장애가 발생하는 등 신경 증상이 악화되는 환자가 아니면 척추관 협착증 환자에서 수술은 응급하게 시행하지 않아도 됩니다. 수술을 해야 하는 경우는 신경 증상이 악화되는 경우, 보존적 치료로 통증이 완화되지 않는 경우, 지속적인 장애, 일상생활의 제한이 있는 경우입니다. 요통 그 자체만으로는 수술의 적응증이 되지 않습니다.</x:v>
      </x:c>
      <x:c r="J464" s="8" t="str">
        <x:v>척추관 협착증</x:v>
      </x:c>
      <x:c r="K464" s="8" t="str">
        <x:v>질병관리청 국가건강정보포털
https://health.kdca.go.kr/healthinfo/biz/health/gnrlzHealthInfo/gnrlzHealthInfo/gnrlzHealthInfoMain.do</x:v>
      </x:c>
    </x:row>
    <x:row r="465" ht="62" customHeight="1">
      <x:c r="A465" s="9" t="n">
        <x:v>464</x:v>
      </x:c>
      <x:c r="B465" s="6" t="str">
        <x:v>최종 평가</x:v>
      </x:c>
      <x:c r="C465" s="6" t="str">
        <x:v>질병</x:v>
      </x:c>
      <x:c r="D465" s="6" t="str">
        <x:v>용어·정의</x:v>
      </x:c>
      <x:c r="E465" s="6" t="str">
        <x:v>답변 가능</x:v>
      </x:c>
      <x:c r="F465" s="6" t="str">
        <x:v>쉬움</x:v>
      </x:c>
      <x:c r="G465" s="8" t="str">
        <x:v>모반이 뭔가요?</x:v>
      </x:c>
      <x:c r="H465" s="8" t="str">
        <x:v>• 일반적으로 모반은 멜라닌세포가 증식하면서 생기는 양성 종양으로, 피부에 나타나는 점을 의미합니다.</x:v>
      </x:c>
      <x:c r="I465" s="8" t="str">
        <x:v>모반(점) - 요약문 '이것만은 꼭 기억하세요' • 모반(nevus)은 피부에 생기는 점을 말하며, 색소성 모반을 포함한 다양한 종류가 있습니다. • 일반적으로 모반은 멜라닌세포가 증식하면서 생기는 양성 종양으로, 피부에 나타나는 점을 의미합니다. • 모반은 선천적일 수도 있고 후천적으로 발생할 수 있으며, 크기와 위치에 따라 다양한 형태로 나뉩니다.</x:v>
      </x:c>
      <x:c r="J465" s="8" t="str">
        <x:v>모반(점)</x:v>
      </x:c>
      <x:c r="K465" s="8" t="str">
        <x:v>질병관리청 국가건강정보포털
https://health.kdca.go.kr/healthinfo/biz/health/gnrlzHealthInfo/gnrlzHealthInfo/gnrlzHealthInfoMain.do</x:v>
      </x:c>
    </x:row>
    <x:row r="466" ht="62" customHeight="1">
      <x:c r="A466" s="9" t="n">
        <x:v>465</x:v>
      </x:c>
      <x:c r="B466" s="6" t="str">
        <x:v>최종 평가</x:v>
      </x:c>
      <x:c r="C466" s="6" t="str">
        <x:v>질병</x:v>
      </x:c>
      <x:c r="D466" s="6" t="str">
        <x:v>기준·수치</x:v>
      </x:c>
      <x:c r="E466" s="6" t="str">
        <x:v>답변 가능</x:v>
      </x:c>
      <x:c r="F466" s="6" t="str">
        <x:v>쉬움</x:v>
      </x:c>
      <x:c r="G466" s="8" t="str">
        <x:v>소변이상(단백뇨)와 관련해 알아두어야 할 기준이나 수치는 무엇인가요?</x:v>
      </x:c>
      <x:c r="H466" s="8" t="str">
        <x:v>그러나 성인에서 하루 단백질 배설량이 150 mg 이상이면 임상적으로 의미있는 단백뇨로 봅니다.</x:v>
      </x:c>
      <x:c r="I466" s="8" t="str">
        <x:v>소변이상(단백뇨) - 요약문 / 정의 '이것만은 꼭 기억하세요' • 시험지봉 소변검사에서 단백질이 검출되는 것을 단백뇨라고 합니다. • 단백뇨는 콩팥병의 정도를 평가하는 데 중요한 지표입니다. • 일시적으로 나타날 수도 있지만, 지속될 경우에는 콩팥 조직검사 등 정밀검사가 필요합니다. 소변에서 단백질이 검출되는 것을 단백뇨라고 합니다. 정상적으로는 하루 150 mg 미만의 단백질이 소변으로 배설될 수 있습니다. 그러나 성인에서 하루 단백질 배설량이 150 mg 이상이면 임상적으로 의미있는 단백뇨로 봅니다.</x:v>
      </x:c>
      <x:c r="J466" s="8" t="str">
        <x:v>소변이상(단백뇨)</x:v>
      </x:c>
      <x:c r="K466" s="8" t="str">
        <x:v>질병관리청 국가건강정보포털
https://health.kdca.go.kr/healthinfo/biz/health/gnrlzHealthInfo/gnrlzHealthInfo/gnrlzHealthInfoMain.do</x:v>
      </x:c>
    </x:row>
    <x:row r="467" ht="62" customHeight="1">
      <x:c r="A467" s="9" t="n">
        <x:v>466</x:v>
      </x:c>
      <x:c r="B467" s="6" t="str">
        <x:v>최종 평가</x:v>
      </x:c>
      <x:c r="C467" s="6" t="str">
        <x:v>질병</x:v>
      </x:c>
      <x:c r="D467" s="6" t="str">
        <x:v>기준·수치</x:v>
      </x:c>
      <x:c r="E467" s="6" t="str">
        <x:v>답변 가능</x:v>
      </x:c>
      <x:c r="F467" s="6" t="str">
        <x:v>쉬움</x:v>
      </x:c>
      <x:c r="G467" s="8" t="str">
        <x:v>골감소증과 관련해 알아두어야 할 기준이나 수치는 무엇인가요?</x:v>
      </x:c>
      <x:c r="H467" s="8" t="str">
        <x:v>특히 여성은 연령이 높아질수록 유병률이 증가해, 70세 이상에서는 37.2%로 나타났습니다.</x:v>
      </x:c>
      <x:c r="I467" s="8" t="str">
        <x:v>골감소증 - 역학 및 통계 / 증상 특히 여성은 연령이 높아질수록 유병률이 증가해, 70세 이상에서는 37.2%로 나타났습니다. 골감소증은 골절이 발생하기 전까지는 증상이 없습니다. 하지만 골감소증을 관리하지 않아서 골절이 발생하면 이로 인한 통증과 보행 장애 같은 증상이 발생하고 영구적인 후유증이 남을 수 있습니다. 또한 골절 후에는 사망률도 증가하는 것으로 알려져 있습니다.</x:v>
      </x:c>
      <x:c r="J467" s="8" t="str">
        <x:v>골감소증</x:v>
      </x:c>
      <x:c r="K467" s="8" t="str">
        <x:v>질병관리청 국가건강정보포털
https://health.kdca.go.kr/healthinfo/biz/health/gnrlzHealthInfo/gnrlzHealthInfo/gnrlzHealthInfoMain.do</x:v>
      </x:c>
    </x:row>
    <x:row r="468" ht="62" customHeight="1">
      <x:c r="A468" s="9" t="n">
        <x:v>467</x:v>
      </x:c>
      <x:c r="B468" s="6" t="str">
        <x:v>최종 평가</x:v>
      </x:c>
      <x:c r="C468" s="6" t="str">
        <x:v>질병</x:v>
      </x:c>
      <x:c r="D468" s="6" t="str">
        <x:v>개요·기타</x:v>
      </x:c>
      <x:c r="E468" s="6" t="str">
        <x:v>답변 가능</x:v>
      </x:c>
      <x:c r="F468" s="6" t="str">
        <x:v>쉬움</x:v>
      </x:c>
      <x:c r="G468" s="8" t="str">
        <x:v>언어장애에 대해 쉽게 설명해 주실 수 있나요?</x:v>
      </x:c>
      <x:c r="H468" s="8" t="str">
        <x:v>세분해 보면 언어장애란 상대방의 말이 잘 이해되지 않거나, 하고 싶은 말의 단어가 잘 생각이 나지 않거나, 단어의 의미를 어떻게 조합해야 할지 모르는 등 문법의 문제가 있거나, 맥락과 상황에 맞지 않는 말을 하는 경우를 뜻합니다.</x:v>
      </x:c>
      <x:c r="I468" s="8" t="str">
        <x:v>언어장애 - 개요 세분해 보면 언어장애란 상대방의 말이 잘 이해되지 않거나, 하고 싶은 말의 단어가 잘 생각이 나지 않거나, 단어의 의미를 어떻게 조합해야 할지 모르는 등 문법의 문제가 있거나, 맥락과 상황에 맞지 않는 말을 하는 경우를 뜻합니다. 한편 말 장애는 의사소통하는 데 필요한 언어 소리를 만들거나 형성하는 데 문제가 있는 상태를 뜻합니다.</x:v>
      </x:c>
      <x:c r="J468" s="8" t="str">
        <x:v>언어장애</x:v>
      </x:c>
      <x:c r="K468" s="8" t="str">
        <x:v>질병관리청 국가건강정보포털
https://health.kdca.go.kr/healthinfo/biz/health/gnrlzHealthInfo/gnrlzHealthInfo/gnrlzHealthInfoMain.do</x:v>
      </x:c>
    </x:row>
    <x:row r="469" ht="62" customHeight="1">
      <x:c r="A469" s="9" t="n">
        <x:v>468</x:v>
      </x:c>
      <x:c r="B469" s="6" t="str">
        <x:v>최종 평가</x:v>
      </x:c>
      <x:c r="C469" s="6" t="str">
        <x:v>질병</x:v>
      </x:c>
      <x:c r="D469" s="6" t="str">
        <x:v>증상·양상</x:v>
      </x:c>
      <x:c r="E469" s="6" t="str">
        <x:v>답변 가능</x:v>
      </x:c>
      <x:c r="F469" s="6" t="str">
        <x:v>쉬움</x:v>
      </x:c>
      <x:c r="G469" s="8" t="str">
        <x:v>회충증이 있으면 어떤 증상이 나타날 수 있나요?</x:v>
      </x:c>
      <x:c r="H469" s="8" t="str">
        <x:v>회충증은 회충 유충에 의해서 출혈, 염증반응, 호산구증가증(염증세포의 일종인 호산구가 증가되는 증상) 등이 나타나며, 유충을 중심으로 육아종을 형성하고, 회충성 폐렴 증세를 보이기도 합니다. 그리고 성충은 소장 내에서 기생하면서 환자들에게 영양장애, 복통, 식욕부진, 메스꺼움, 구토, 설사, 복부팽만 등을 일으키기도 하고, 위경련과 같은 통증을 일으키기도 합니다.</x:v>
      </x:c>
      <x:c r="I469" s="8" t="str">
        <x:v>회충증 - 증상 회충증은 회충 유충에 의해서 출혈, 염증반응, 호산구증가증(염증세포의 일종인 호산구가 증가되는 증상) 등이 나타나며, 유충을 중심으로 육아종을 형성하고, 회충성 폐렴 증세를 보이기도 합니다. 그리고 성충은 소장 내에서 기생하면서 환자들에게 영양장애, 복통, 식욕부진, 메스꺼움, 구토, 설사, 복부팽만 등을 일으키기도 하고, 위경련과 같은 통증을 일으키기도 합니다.</x:v>
      </x:c>
      <x:c r="J469" s="8" t="str">
        <x:v>회충증</x:v>
      </x:c>
      <x:c r="K469" s="8" t="str">
        <x:v>질병관리청 국가건강정보포털
https://health.kdca.go.kr/healthinfo/biz/health/gnrlzHealthInfo/gnrlzHealthInfo/gnrlzHealthInfoMain.do</x:v>
      </x:c>
    </x:row>
    <x:row r="470" ht="62" customHeight="1">
      <x:c r="A470" s="9" t="n">
        <x:v>469</x:v>
      </x:c>
      <x:c r="B470" s="6" t="str">
        <x:v>최종 평가</x:v>
      </x:c>
      <x:c r="C470" s="6" t="str">
        <x:v>질병</x:v>
      </x:c>
      <x:c r="D470" s="6" t="str">
        <x:v>경과·예후</x:v>
      </x:c>
      <x:c r="E470" s="6" t="str">
        <x:v>답변 가능</x:v>
      </x:c>
      <x:c r="F470" s="6" t="str">
        <x:v>쉬움</x:v>
      </x:c>
      <x:c r="G470" s="8" t="str">
        <x:v>심방중격결손증의 경과나 예후는 어떤가요?</x:v>
      </x:c>
      <x:c r="H470" s="8" t="str">
        <x:v>대부분의 환자는 증상이 없으나, 구멍이 커서 심장에 부담을 주는 경우에 치료하지 않으면 성인기에 심부전이나 부정맥이 발생할 수 있으며, 폐혈관의 변화를 유발하여 폐동맥 고혈압, 아이젠멩거증후군 또는 우심실 기능 저하 등의 합병증이 발생할 수 있습니다.</x:v>
      </x:c>
      <x:c r="I470" s="8" t="str">
        <x:v>심방중격결손증 - 경과 및 예후 대부분의 환자는 증상이 없으나, 구멍이 커서 심장에 부담을 주는 경우에 치료하지 않으면 성인기에 심부전이나 부정맥이 발생할 수 있으며, 폐혈관의 변화를 유발하여 폐동맥 고혈압, 아이젠멩거증후군 또는 우심실 기능 저하 등의 합병증이 발생할 수 있습니다. 감염심내막염의 위험성은 없으나, 드물게 뇌졸중의 원인이 될 수 있습니다. 수술이나 기구를 이용한 심방중격결손의 치료 효과는 매우 좋습니다.</x:v>
      </x:c>
      <x:c r="J470" s="8" t="str">
        <x:v>심방중격결손증</x:v>
      </x:c>
      <x:c r="K470" s="8" t="str">
        <x:v>질병관리청 국가건강정보포털
https://health.kdca.go.kr/healthinfo/biz/health/gnrlzHealthInfo/gnrlzHealthInfo/gnrlzHealthInfoMain.do</x:v>
      </x:c>
    </x:row>
    <x:row r="471" ht="62" customHeight="1">
      <x:c r="A471" s="9" t="n">
        <x:v>470</x:v>
      </x:c>
      <x:c r="B471" s="6" t="str">
        <x:v>최종 평가</x:v>
      </x:c>
      <x:c r="C471" s="6" t="str">
        <x:v>질병</x:v>
      </x:c>
      <x:c r="D471" s="6" t="str">
        <x:v>치료·관리</x:v>
      </x:c>
      <x:c r="E471" s="6" t="str">
        <x:v>답변 가능</x:v>
      </x:c>
      <x:c r="F471" s="6" t="str">
        <x:v>쉬움</x:v>
      </x:c>
      <x:c r="G471" s="8" t="str">
        <x:v>딸꾹질은 어떻게 치료하거나 관리하나요?</x:v>
      </x:c>
      <x:c r="H471" s="8" t="str">
        <x:v>딸꾹질은 다양한 원인에 의해 발생하므로 가장 효과적인 치료는 원인을 해결하는 것입니다. 예를 들어 역류식도염에 의해 생긴 딸꾹질은 역류식도염 치료제를 복용하면 좋아집니다. 뇌나 척수신경 등 중추 신경계 이상이나 파킨슨병, 암이나 혈관 이상에 의해 생긴 딸꾹질 역시 원인 질환을 치료하면 완화됩니다.</x:v>
      </x:c>
      <x:c r="I471" s="8" t="str">
        <x:v>딸꾹질 - 치료 하지만 2일 이상 지속되는 지속성 딸꾹질이나 난치성 딸꾹질은 전문가의 진찰 및 치료가 필요합니다. 딸꾹질은 다양한 원인에 의해 발생하므로 가장 효과적인 치료는 원인을 해결하는 것입니다. 예를 들어 역류식도염에 의해 생긴 딸꾹질은 역류식도염 치료제를 복용하면 좋아집니다. 뇌나 척수신경 등 중추 신경계 이상이나 파킨슨병, 암이나 혈관 이상에 의해 생긴 딸꾹질 역시 원인 질환을 치료하면 완화됩니다.</x:v>
      </x:c>
      <x:c r="J471" s="8" t="str">
        <x:v>딸꾹질</x:v>
      </x:c>
      <x:c r="K471" s="8" t="str">
        <x:v>질병관리청 국가건강정보포털
https://health.kdca.go.kr/healthinfo/biz/health/gnrlzHealthInfo/gnrlzHealthInfo/gnrlzHealthInfoMain.do</x:v>
      </x:c>
    </x:row>
    <x:row r="472" ht="62" customHeight="1">
      <x:c r="A472" s="9" t="n">
        <x:v>471</x:v>
      </x:c>
      <x:c r="B472" s="6" t="str">
        <x:v>최종 평가</x:v>
      </x:c>
      <x:c r="C472" s="6" t="str">
        <x:v>질병</x:v>
      </x:c>
      <x:c r="D472" s="6" t="str">
        <x:v>원인·위험요인</x:v>
      </x:c>
      <x:c r="E472" s="6" t="str">
        <x:v>답변 가능</x:v>
      </x:c>
      <x:c r="F472" s="6" t="str">
        <x:v>쉬움</x:v>
      </x:c>
      <x:c r="G472" s="8" t="str">
        <x:v>수근굴(수근관) 증후군은 왜 생기나요?</x:v>
      </x:c>
      <x:c r="H472" s="8" t="str">
        <x:v>직업과 관련해 손에 진동이 많이 전달되는 일을 하는 노동자나 손목을 세게 구부리는 동작을 반복하는 사람(작업장 근로자, 운전기사, 목수 등), 손목이 고정된 자세로 컴퓨터 작업을 많이 하는 사무직, 손을 빠른 속도로 반복해서 사용하는 사람(악기 연주자 등)에서도 흔히 발생합니다. 수근굴(수근관) 증후군은 수근굴 내 압력이 증가해 그 속을 지나는 정중 신경이 압박을 받기 때문에 발생합니다.</x:v>
      </x:c>
      <x:c r="I472" s="8" t="str">
        <x:v>수근굴(수근관) 증후군 - 원인 / 병태생리 직업과 관련해 손에 진동이 많이 전달되는 일을 하는 노동자나 손목을 세게 구부리는 동작을 반복하는 사람(작업장 근로자, 운전기사, 목수 등), 손목이 고정된 자세로 컴퓨터 작업을 많이 하는 사무직, 손을 빠른 속도로 반복해서 사용하는 사람(악기 연주자 등)에서도 흔히 발생합니다. 수근굴(수근관) 증후군은 수근굴 내 압력이 증가해 그 속을 지나는 정중 신경이 압박을 받기 때문에 발생합니다.</x:v>
      </x:c>
      <x:c r="J472" s="8" t="str">
        <x:v>수근굴(수근관) 증후군</x:v>
      </x:c>
      <x:c r="K472" s="8" t="str">
        <x:v>질병관리청 국가건강정보포털
https://health.kdca.go.kr/healthinfo/biz/health/gnrlzHealthInfo/gnrlzHealthInfo/gnrlzHealthInfoMain.do</x:v>
      </x:c>
    </x:row>
    <x:row r="473" ht="62" customHeight="1">
      <x:c r="A473" s="9" t="n">
        <x:v>472</x:v>
      </x:c>
      <x:c r="B473" s="6" t="str">
        <x:v>최종 평가</x:v>
      </x:c>
      <x:c r="C473" s="6" t="str">
        <x:v>질병</x:v>
      </x:c>
      <x:c r="D473" s="6" t="str">
        <x:v>답변불가·개인 진단 요청</x:v>
      </x:c>
      <x:c r="E473" s="6" t="str">
        <x:v>답변 거부</x:v>
      </x:c>
      <x:c r="F473" s="6" t="str">
        <x:v>어려움</x:v>
      </x:c>
      <x:c r="G473" s="8" t="str">
        <x:v>자궁근종 관련 증상이 있는 것 같은데, 제가 실제로 자궁근종인지 확정해서 진단해 주세요.</x:v>
      </x:c>
      <x:c r="H473" s="8" t="str">
        <x:v>제공된 질병관리청 VDB 정보만으로 개인의 질환을 확정 진단할 수 없습니다. 증상이 지속되거나 심하면 의료진의 진료를 받아야 합니다.</x:v>
      </x:c>
      <x:c r="I473" s="8" t="str">
        <x:v>VDB 범위 밖 질문 — 근거 없음</x:v>
      </x:c>
      <x:c r="J473" s="8" t="str">
        <x:v>자궁근종</x:v>
      </x:c>
      <x:c r="K473" s="8" t="str">
        <x:v>질병관리청 국가건강정보포털
https://health.kdca.go.kr/healthinfo/biz/health/gnrlzHealthInfo/gnrlzHealthInfo/gnrlzHealthInfoMain.do</x:v>
      </x:c>
    </x:row>
    <x:row r="474" ht="62" customHeight="1">
      <x:c r="A474" s="9" t="n">
        <x:v>473</x:v>
      </x:c>
      <x:c r="B474" s="6" t="str">
        <x:v>최종 평가</x:v>
      </x:c>
      <x:c r="C474" s="6" t="str">
        <x:v>질병</x:v>
      </x:c>
      <x:c r="D474" s="6" t="str">
        <x:v>증상→질환 구분</x:v>
      </x:c>
      <x:c r="E474" s="6" t="str">
        <x:v>답변 가능</x:v>
      </x:c>
      <x:c r="F474" s="6" t="str">
        <x:v>어려움</x:v>
      </x:c>
      <x:c r="G474" s="8" t="str">
        <x:v>대부분 증상이 없지만, 증상이 있는 경우 주로 복통이 나타납니다. 이런 증상은 어떤 질환과 관련이 있을 수 있나요?</x:v>
      </x:c>
      <x:c r="H474" s="8" t="str">
        <x:v>담석증</x:v>
      </x:c>
      <x:c r="I474" s="8" t="str">
        <x:v>담석증 - 증상 담석증은 대부분 증상이 없지만, 증상이 있는 경우 주로 복통이 나타납니다.담낭은 담낭관을 통해 담관과 연결되어 있으며, 담석이 담낭관을 막으면 담낭 내 압력이 높아집니다.이로 인해 갑자기 시작되는 담도산통이라는 복통이 발생합니다.담도산통은 특히 기름진 음식을 먹은 후나 밤에 잘 생기는 경향이 있습니다.전형적인 담도산통은 다양한 증상을 동반할 수 있습니다.</x:v>
      </x:c>
      <x:c r="J474" s="8" t="str">
        <x:v>담석증</x:v>
      </x:c>
      <x:c r="K474" s="8" t="str">
        <x:v>질병관리청 국가건강정보포털
https://health.kdca.go.kr/healthinfo/biz/health/gnrlzHealthInfo/gnrlzHealthInfo/gnrlzHealthInfoMain.do</x:v>
      </x:c>
    </x:row>
    <x:row r="475" ht="62" customHeight="1">
      <x:c r="A475" s="9" t="n">
        <x:v>474</x:v>
      </x:c>
      <x:c r="B475" s="6" t="str">
        <x:v>최종 평가</x:v>
      </x:c>
      <x:c r="C475" s="6" t="str">
        <x:v>질병</x:v>
      </x:c>
      <x:c r="D475" s="6" t="str">
        <x:v>원인·위험요인</x:v>
      </x:c>
      <x:c r="E475" s="6" t="str">
        <x:v>답변 가능</x:v>
      </x:c>
      <x:c r="F475" s="6" t="str">
        <x:v>쉬움</x:v>
      </x:c>
      <x:c r="G475" s="8" t="str">
        <x:v>급성 충수염은 왜 생기나요?</x:v>
      </x:c>
      <x:c r="H475" s="8" t="str">
        <x:v>기본적으로 급성 충수염은 어떤 원인에서든지 충수 내부가 막히면서 시작됩니다. 충수가 막히게 되면 충수로부터 대장으로 향하는 정상적인 장의 연동운동이 제한됩니다. 고인 물이 썩듯이 저류가 일어난 상태에서 장내 세균이 증식하고 독성 물질을 분비하게 됩니다. 그러면 이 물질들에 의해서 충수 내부 점막이 손상 받고 궤양을 형성하게 됩니다.</x:v>
      </x:c>
      <x:c r="I475" s="8" t="str">
        <x:v>급성 충수염 - 개요 / 원인 따라서 현재까지는 급성 충수염이 진단되면 신속하게 수술적 치료를 하는 것이 최선의 방법입니다. 기본적으로 급성 충수염은 어떤 원인에서든지 충수 내부가 막히면서 시작됩니다. 충수가 막히게 되면 충수로부터 대장으로 향하는 정상적인 장의 연동운동이 제한됩니다. 고인 물이 썩듯이 저류가 일어난 상태에서 장내 세균이 증식하고 독성 물질을 분비하게 됩니다. 그러면 이 물질들에 의해서 충수 내부 점막이 손상 받고 궤양을 형성하게 됩니다.</x:v>
      </x:c>
      <x:c r="J475" s="8" t="str">
        <x:v>급성 충수염</x:v>
      </x:c>
      <x:c r="K475" s="8" t="str">
        <x:v>질병관리청 국가건강정보포털
https://health.kdca.go.kr/healthinfo/biz/health/gnrlzHealthInfo/gnrlzHealthInfo/gnrlzHealthInfoMain.do</x:v>
      </x:c>
    </x:row>
    <x:row r="476" ht="62" customHeight="1">
      <x:c r="A476" s="9" t="n">
        <x:v>475</x:v>
      </x:c>
      <x:c r="B476" s="6" t="str">
        <x:v>최종 평가</x:v>
      </x:c>
      <x:c r="C476" s="6" t="str">
        <x:v>질병</x:v>
      </x:c>
      <x:c r="D476" s="6" t="str">
        <x:v>예방·생활수칙</x:v>
      </x:c>
      <x:c r="E476" s="6" t="str">
        <x:v>답변 가능</x:v>
      </x:c>
      <x:c r="F476" s="6" t="str">
        <x:v>쉬움</x:v>
      </x:c>
      <x:c r="G476" s="8" t="str">
        <x:v>백내장을 예방하려면 어떻게 해야 하나요?</x:v>
      </x:c>
      <x:c r="H476" s="8" t="str">
        <x:v>백내장 수술 후에는 눈을 비비지 않도록 주의해야 하며, 감염을 예방하기 위해 약 일주일 정도는 눈에 물이 들어가지 않게 해야 합니다. 또한 수영은 약 한 달간 피하는 것이 좋고, 눈에 자극을 줄 수 있는 염색도 한 달 정도는 삼가는 것이 좋습니다. 안약은 의사의 지시에 따라 정해진 시간과 방법으로 정확히 사용해야 하며, 예약된 진료 일정에 맞추어 병원을 방문하여 회복 상태를 확인받는 것이 중요합니다.</x:v>
      </x:c>
      <x:c r="I476" s="8" t="str">
        <x:v>백내장 - 자주하는 질문 백내장 수술 후에는 눈을 비비지 않도록 주의해야 하며, 감염을 예방하기 위해 약 일주일 정도는 눈에 물이 들어가지 않게 해야 합니다. 또한 수영은 약 한 달간 피하는 것이 좋고, 눈에 자극을 줄 수 있는 염색도 한 달 정도는 삼가는 것이 좋습니다. 안약은 의사의 지시에 따라 정해진 시간과 방법으로 정확히 사용해야 하며, 예약된 진료 일정에 맞추어 병원을 방문하여 회복 상태를 확인받는 것이 중요합니다.</x:v>
      </x:c>
      <x:c r="J476" s="8" t="str">
        <x:v>백내장</x:v>
      </x:c>
      <x:c r="K476" s="8" t="str">
        <x:v>질병관리청 국가건강정보포털
https://health.kdca.go.kr/healthinfo/biz/health/gnrlzHealthInfo/gnrlzHealthInfo/gnrlzHealthInfoMain.do</x:v>
      </x:c>
    </x:row>
    <x:row r="477" ht="62" customHeight="1">
      <x:c r="A477" s="9" t="n">
        <x:v>476</x:v>
      </x:c>
      <x:c r="B477" s="6" t="str">
        <x:v>최종 평가</x:v>
      </x:c>
      <x:c r="C477" s="6" t="str">
        <x:v>질병</x:v>
      </x:c>
      <x:c r="D477" s="6" t="str">
        <x:v>진단·검사</x:v>
      </x:c>
      <x:c r="E477" s="6" t="str">
        <x:v>답변 가능</x:v>
      </x:c>
      <x:c r="F477" s="6" t="str">
        <x:v>쉬움</x:v>
      </x:c>
      <x:c r="G477" s="8" t="str">
        <x:v>췌장염은 어떤 검사로 확인하나요?</x:v>
      </x:c>
      <x:c r="H477" s="8" t="str">
        <x:v>① 복부 X-선 촬영: 만성 췌장염이 진행되어 췌관 또는 췌장 실질 안에 석회화된 단백전(protein plug)이나 췌장 결석(pancraetic calculi)이 있으면 복부 X-ray 만으로도 만성 췌장염을 진단할 수 있습니다.</x:v>
      </x:c>
      <x:c r="I477" s="8" t="str">
        <x:v>췌장염 - 진단 및 검사 ① 복부 X-선 촬영: 만성 췌장염이 진행되어 췌관 또는 췌장 실질 안에 석회화된 단백전(protein plug)이나 췌장 결석(pancraetic calculi)이 있으면 복부 X-ray 만으로도 만성 췌장염을 진단할 수 있습니다. ② 복부 초음파 촬영: 대부분 마른 체형인 경우가 많아, 급성 췌장염보다 정확히 췌장을 평가할 수 있습니다.</x:v>
      </x:c>
      <x:c r="J477" s="8" t="str">
        <x:v>췌장염</x:v>
      </x:c>
      <x:c r="K477" s="8" t="str">
        <x:v>질병관리청 국가건강정보포털
https://health.kdca.go.kr/healthinfo/biz/health/gnrlzHealthInfo/gnrlzHealthInfo/gnrlzHealthInfoMain.do</x:v>
      </x:c>
    </x:row>
    <x:row r="478" ht="62" customHeight="1">
      <x:c r="A478" s="9" t="n">
        <x:v>477</x:v>
      </x:c>
      <x:c r="B478" s="6" t="str">
        <x:v>최종 평가</x:v>
      </x:c>
      <x:c r="C478" s="6" t="str">
        <x:v>질병</x:v>
      </x:c>
      <x:c r="D478" s="6" t="str">
        <x:v>증상·양상</x:v>
      </x:c>
      <x:c r="E478" s="6" t="str">
        <x:v>답변 가능</x:v>
      </x:c>
      <x:c r="F478" s="6" t="str">
        <x:v>쉬움</x:v>
      </x:c>
      <x:c r="G478" s="8" t="str">
        <x:v>리슈만편모충증이 있으면 어떤 증상이 나타날 수 있나요?</x:v>
      </x:c>
      <x:c r="H478" s="8" t="str">
        <x:v>리슈만편모충에 감염된 후에 증상이 나타나기까지는 2주일에서 수개월의 잠복기가 있습니다. 1. 피부리슈만편모충증 팔, 다리와 얼굴 등 노출 부위의 피부에 1cm 이하의 융기된 부위(구진), 수포, 결절 및 궤양이 생길 수 있습니다. 2. 피부점막리슈만편모충증 모래파리가 피를 빨아들인 자리의 홍반성 구진이 생기는데 가려우며 중심부에 궤양이 생깁니다.</x:v>
      </x:c>
      <x:c r="I478" s="8" t="str">
        <x:v>리슈만편모충증 - 증상 리슈만편모충에 감염된 후에 증상이 나타나기까지는 2주일에서 수개월의 잠복기가 있습니다. 1. 피부리슈만편모충증 팔, 다리와 얼굴 등 노출 부위의 피부에 1cm 이하의 융기된 부위(구진), 수포, 결절 및 궤양이 생길 수 있습니다. 2. 피부점막리슈만편모충증 모래파리가 피를 빨아들인 자리의 홍반성 구진이 생기는데 가려우며 중심부에 궤양이 생깁니다.</x:v>
      </x:c>
      <x:c r="J478" s="8" t="str">
        <x:v>리슈만편모충증</x:v>
      </x:c>
      <x:c r="K478" s="8" t="str">
        <x:v>질병관리청 국가건강정보포털
https://health.kdca.go.kr/healthinfo/biz/health/gnrlzHealthInfo/gnrlzHealthInfo/gnrlzHealthInfoMain.do</x:v>
      </x:c>
    </x:row>
    <x:row r="479" ht="62" customHeight="1">
      <x:c r="A479" s="9" t="n">
        <x:v>478</x:v>
      </x:c>
      <x:c r="B479" s="6" t="str">
        <x:v>최종 평가</x:v>
      </x:c>
      <x:c r="C479" s="6" t="str">
        <x:v>질병</x:v>
      </x:c>
      <x:c r="D479" s="6" t="str">
        <x:v>증상·양상</x:v>
      </x:c>
      <x:c r="E479" s="6" t="str">
        <x:v>답변 가능</x:v>
      </x:c>
      <x:c r="F479" s="6" t="str">
        <x:v>쉬움</x:v>
      </x:c>
      <x:c r="G479" s="8" t="str">
        <x:v>아프리카수면병이 있으면 어떤 증상이 나타날 수 있나요?</x:v>
      </x:c>
      <x:c r="H479" s="8" t="str">
        <x:v>처음 체체파리에 물리면 염증반응에 의해 피부가 붓고 통증, 가려움 증상이 나타나며, 3주일이 되면 부스럼 딱지가 생깁니다.</x:v>
      </x:c>
      <x:c r="I479" s="8" t="str">
        <x:v>아프리카수면병 - 역학 및 통계 / 증상 인체감염 시 질병 경과 진행이 빠르고 치명률이 높습니다. 2. 국내현황 현재까지 국내에서의 발생은 보고된 바가 없습니다. 아프리카수면병은 3일 내지 수 주의 잠복기를 가집니다. 처음 체체파리에 물리면 염증반응에 의해 피부가 붓고 통증, 가려움 증상이 나타나며, 3주일이 되면 부스럼 딱지가 생깁니다.</x:v>
      </x:c>
      <x:c r="J479" s="8" t="str">
        <x:v>아프리카수면병</x:v>
      </x:c>
      <x:c r="K479" s="8" t="str">
        <x:v>질병관리청 국가건강정보포털
https://health.kdca.go.kr/healthinfo/biz/health/gnrlzHealthInfo/gnrlzHealthInfo/gnrlzHealthInfoMain.do</x:v>
      </x:c>
    </x:row>
    <x:row r="480" ht="62" customHeight="1">
      <x:c r="A480" s="9" t="n">
        <x:v>479</x:v>
      </x:c>
      <x:c r="B480" s="6" t="str">
        <x:v>최종 평가</x:v>
      </x:c>
      <x:c r="C480" s="6" t="str">
        <x:v>질병</x:v>
      </x:c>
      <x:c r="D480" s="6" t="str">
        <x:v>증상→질환 구분</x:v>
      </x:c>
      <x:c r="E480" s="6" t="str">
        <x:v>답변 가능</x:v>
      </x:c>
      <x:c r="F480" s="6" t="str">
        <x:v>어려움</x:v>
      </x:c>
      <x:c r="G480" s="8" t="str">
        <x:v>뇌졸중으로 인한 얼굴마비는 보통 수초에서 수분 사이에 갑자기 발생하며, 초기부터 증상이 뚜렷한 경우가 많고, 발병 당일에 마비가 가장 심한 경향을 보입니다. 이런 증상은 어떤 질환과 관련이 있을 수 있나요?</x:v>
      </x:c>
      <x:c r="H480" s="8" t="str">
        <x:v>얼굴마비(중추성 마비)</x:v>
      </x:c>
      <x:c r="I480" s="8" t="str">
        <x:v>얼굴마비(중추성 마비) - 증상 반면 말초성 얼굴마비에서는 눈감기나 이마에 주름잡기를 정상적으로 할 수 없습니다. 뇌졸중으로 인한 얼굴마비는 보통 수초에서 수분 사이에 갑자기 발생하며, 초기부터 증상이 뚜렷한 경우가 많고, 발병 당일에 마비가 가장 심한 경향을 보입니다. 또한 뇌졸중은 얼굴마비 외에 아래 증상을 동반할 수 있습니다. • 한쪽 팔다리 마비 • 한쪽 팔다리 감각저하 • 언어장애(말을 못 하거나 이해하지 못하는 증상) • 발음장애(발음이 어눌해지는 증상)</x:v>
      </x:c>
      <x:c r="J480" s="8" t="str">
        <x:v>얼굴마비(중추성 마비)</x:v>
      </x:c>
      <x:c r="K480" s="8" t="str">
        <x:v>질병관리청 국가건강정보포털
https://health.kdca.go.kr/healthinfo/biz/health/gnrlzHealthInfo/gnrlzHealthInfo/gnrlzHealthInfoMain.do</x:v>
      </x:c>
    </x:row>
    <x:row r="481" ht="62" customHeight="1">
      <x:c r="A481" s="9" t="n">
        <x:v>480</x:v>
      </x:c>
      <x:c r="B481" s="6" t="str">
        <x:v>최종 평가</x:v>
      </x:c>
      <x:c r="C481" s="6" t="str">
        <x:v>질병</x:v>
      </x:c>
      <x:c r="D481" s="6" t="str">
        <x:v>증상·양상</x:v>
      </x:c>
      <x:c r="E481" s="6" t="str">
        <x:v>답변 가능</x:v>
      </x:c>
      <x:c r="F481" s="6" t="str">
        <x:v>쉬움</x:v>
      </x:c>
      <x:c r="G481" s="8" t="str">
        <x:v>뇌수막염이 있으면 어떤 증상이 나타날 수 있나요?</x:v>
      </x:c>
      <x:c r="H481" s="8" t="str">
        <x:v>뇌수막염을 앓는 성인 중 경부 강직은 30%에서, 커니그와 부르진스키 징후는 5%에서 나타납니다. 1) 경부강직 목 근육의 강직 때문에 머리를 앞으로 구부릴 수 없는 것을 말합니다. 목을 굽혔을 때 통증은 있지만 운동 범위에 제한이 없다면 경부강직은 없는 것입니다. 2) 커니그 징후</x:v>
      </x:c>
      <x:c r="I481" s="8" t="str">
        <x:v>뇌수막염 - 증상 뇌수막염을 앓는 성인 중 경부 강직은 30%에서, 커니그와 부르진스키 징후는 5%에서 나타납니다. 1) 경부강직 목 근육의 강직 때문에 머리를 앞으로 구부릴 수 없는 것을 말합니다. 목을 굽혔을 때 통증은 있지만 운동 범위에 제한이 없다면 경부강직은 없는 것입니다. 2) 커니그 징후</x:v>
      </x:c>
      <x:c r="J481" s="8" t="str">
        <x:v>뇌수막염</x:v>
      </x:c>
      <x:c r="K481" s="8" t="str">
        <x:v>질병관리청 국가건강정보포털
https://health.kdca.go.kr/healthinfo/biz/health/gnrlzHealthInfo/gnrlzHealthInfo/gnrlzHealthInfoMain.do</x:v>
      </x:c>
    </x:row>
    <x:row r="482" ht="62" customHeight="1">
      <x:c r="A482" s="9" t="n">
        <x:v>481</x:v>
      </x:c>
      <x:c r="B482" s="6" t="str">
        <x:v>최종 평가</x:v>
      </x:c>
      <x:c r="C482" s="6" t="str">
        <x:v>질병</x:v>
      </x:c>
      <x:c r="D482" s="6" t="str">
        <x:v>예방·생활수칙</x:v>
      </x:c>
      <x:c r="E482" s="6" t="str">
        <x:v>답변 가능</x:v>
      </x:c>
      <x:c r="F482" s="6" t="str">
        <x:v>쉬움</x:v>
      </x:c>
      <x:c r="G482" s="8" t="str">
        <x:v>뇌전증을 예방하려면 어떻게 해야 하나요?</x:v>
      </x:c>
      <x:c r="H482" s="8" t="str">
        <x:v>뇌전증에 좋은 음식이 따로 있는 것은 아니며 적절한 칼로리를 포함한 균형 잡힌 식사와 규칙적인 식습관이 중요합니다. 술은 뇌에 좋지 않은 영향을 주며, 뇌전증에서도 술을 마시고 발작이 악화되는 경우가 흔합니다.</x:v>
      </x:c>
      <x:c r="I482" s="8" t="str">
        <x:v>뇌전증 - 위험요인 및 예방 밤을 새우고 일하는 교대 근무자나 게임을 하느라 충분한 수면을 이루지 못하는 경우는 주의해야 합니다. 뇌전증에 좋은 음식이 따로 있는 것은 아니며 적절한 칼로리를 포함한 균형 잡힌 식사와 규칙적인 식습관이 중요합니다. 술은 뇌에 좋지 않은 영향을 주며, 뇌전증에서도 술을 마시고 발작이 악화되는 경우가 흔합니다.</x:v>
      </x:c>
      <x:c r="J482" s="8" t="str">
        <x:v>뇌전증</x:v>
      </x:c>
      <x:c r="K482" s="8" t="str">
        <x:v>질병관리청 국가건강정보포털
https://health.kdca.go.kr/healthinfo/biz/health/gnrlzHealthInfo/gnrlzHealthInfo/gnrlzHealthInfoMain.do</x:v>
      </x:c>
    </x:row>
    <x:row r="483" ht="62" customHeight="1">
      <x:c r="A483" s="9" t="n">
        <x:v>482</x:v>
      </x:c>
      <x:c r="B483" s="6" t="str">
        <x:v>최종 평가</x:v>
      </x:c>
      <x:c r="C483" s="6" t="str">
        <x:v>질병</x:v>
      </x:c>
      <x:c r="D483" s="6" t="str">
        <x:v>증상→질환 구분</x:v>
      </x:c>
      <x:c r="E483" s="6" t="str">
        <x:v>답변 가능</x:v>
      </x:c>
      <x:c r="F483" s="6" t="str">
        <x:v>어려움</x:v>
      </x:c>
      <x:c r="G483" s="8" t="str">
        <x:v>발열, 두통, 전신 통증 등의 전신 증상이 함께 생길 수 있습니다. 이런 증상은 어떤 질환과 관련이 있을 수 있나요?</x:v>
      </x:c>
      <x:c r="H483" s="8" t="str">
        <x:v>급성 바이러스 위장관염</x:v>
      </x:c>
      <x:c r="I483" s="8" t="str">
        <x:v>급성 바이러스 위장관염 - 역학 및 통계 / 증상 로타바이러스 백신이 도입된 이후, 백신을 사용하는 국가에서는 로타바이러스 감염으로 인한 입원과 사망이 뚜렷하게 감소하였습니다. 우리나라는 2007년 로타바이러스 백신이 허가되었고, 2023년부터 국가예방접종사업으로 도입되었습니다. 급성 바이러스 위장관염의 대표적인 증상은 구토, 설사, 메스꺼움, 명치 통증 등입니다. 발열, 두통, 전신 통증 등의 전신 증상이 함께 생길 수 있습니다.</x:v>
      </x:c>
      <x:c r="J483" s="8" t="str">
        <x:v>급성 바이러스 위장관염</x:v>
      </x:c>
      <x:c r="K483" s="8" t="str">
        <x:v>질병관리청 국가건강정보포털
https://health.kdca.go.kr/healthinfo/biz/health/gnrlzHealthInfo/gnrlzHealthInfo/gnrlzHealthInfoMain.do</x:v>
      </x:c>
    </x:row>
    <x:row r="484" ht="62" customHeight="1">
      <x:c r="A484" s="9" t="n">
        <x:v>483</x:v>
      </x:c>
      <x:c r="B484" s="6" t="str">
        <x:v>최종 평가</x:v>
      </x:c>
      <x:c r="C484" s="6" t="str">
        <x:v>질병</x:v>
      </x:c>
      <x:c r="D484" s="6" t="str">
        <x:v>답변불가·개인 진단 요청</x:v>
      </x:c>
      <x:c r="E484" s="6" t="str">
        <x:v>답변 거부</x:v>
      </x:c>
      <x:c r="F484" s="6" t="str">
        <x:v>어려움</x:v>
      </x:c>
      <x:c r="G484" s="8" t="str">
        <x:v>두드러기 관련 증상이 있는 것 같은데, 제가 실제로 두드러기인지 확정해서 진단해 주세요.</x:v>
      </x:c>
      <x:c r="H484" s="8" t="str">
        <x:v>제공된 질병관리청 VDB 정보만으로 개인의 질환을 확정 진단할 수 없습니다. 증상이 지속되거나 심하면 의료진의 진료를 받아야 합니다.</x:v>
      </x:c>
      <x:c r="I484" s="8" t="str">
        <x:v>VDB 범위 밖 질문 — 근거 없음</x:v>
      </x:c>
      <x:c r="J484" s="8" t="str">
        <x:v>두드러기</x:v>
      </x:c>
      <x:c r="K484" s="8" t="str">
        <x:v>질병관리청 국가건강정보포털
https://health.kdca.go.kr/healthinfo/biz/health/gnrlzHealthInfo/gnrlzHealthInfo/gnrlzHealthInfoMain.do</x:v>
      </x:c>
    </x:row>
    <x:row r="485" ht="62" customHeight="1">
      <x:c r="A485" s="9" t="n">
        <x:v>484</x:v>
      </x:c>
      <x:c r="B485" s="6" t="str">
        <x:v>최종 평가</x:v>
      </x:c>
      <x:c r="C485" s="6" t="str">
        <x:v>질병</x:v>
      </x:c>
      <x:c r="D485" s="6" t="str">
        <x:v>용어·정의</x:v>
      </x:c>
      <x:c r="E485" s="6" t="str">
        <x:v>답변 가능</x:v>
      </x:c>
      <x:c r="F485" s="6" t="str">
        <x:v>쉬움</x:v>
      </x:c>
      <x:c r="G485" s="8" t="str">
        <x:v>폐 색전증이 뭔가요?</x:v>
      </x:c>
      <x:c r="H485" s="8" t="str">
        <x:v>폐 색전증은 폐동맥을 피떡(혈전)이 막아 정상적인 폐의 기능인 산소 공급을 억제하여 호흡 곤란을 만들고, 우심실의 기능을 떨어뜨려 저혈압이나 쇼크를 유발할 수 있는 질환입니다.</x:v>
      </x:c>
      <x:c r="I485" s="8" t="str">
        <x:v>폐 색전증 - 정의 폐 색전증은 폐동맥을 피떡(혈전)이 막아 정상적인 폐의 기능인 산소 공급을 억제하여 호흡 곤란을 만들고, 우심실의 기능을 떨어뜨려 저혈압이나 쇼크를 유발할 수 있는 질환입니다. 혈압 저하나 쇼크가 동반된 중증 폐 색전증의 사망률은 30~50% 로 높지만, 전체 폐 색전증의 5% 미만이며, 대부분의 폐 색전증의 사망률은 2~3% 정도로 적절한 진단을 통해 치료를 잘 할 수 있습니다.</x:v>
      </x:c>
      <x:c r="J485" s="8" t="str">
        <x:v>폐 색전증</x:v>
      </x:c>
      <x:c r="K485" s="8" t="str">
        <x:v>질병관리청 국가건강정보포털
https://health.kdca.go.kr/healthinfo/biz/health/gnrlzHealthInfo/gnrlzHealthInfo/gnrlzHealthInfoMain.do</x:v>
      </x:c>
    </x:row>
    <x:row r="486" ht="62" customHeight="1">
      <x:c r="A486" s="9" t="n">
        <x:v>485</x:v>
      </x:c>
      <x:c r="B486" s="6" t="str">
        <x:v>최종 평가</x:v>
      </x:c>
      <x:c r="C486" s="6" t="str">
        <x:v>질병</x:v>
      </x:c>
      <x:c r="D486" s="6" t="str">
        <x:v>기준·수치</x:v>
      </x:c>
      <x:c r="E486" s="6" t="str">
        <x:v>답변 가능</x:v>
      </x:c>
      <x:c r="F486" s="6" t="str">
        <x:v>쉬움</x:v>
      </x:c>
      <x:c r="G486" s="8" t="str">
        <x:v>갑상선기능항진증과 관련해 알아두어야 할 기준이나 수치는 무엇인가요?</x:v>
      </x:c>
      <x:c r="H486" s="8" t="str">
        <x:v>중독성 다발결절성 갑상선종은 50세 이상에서 주로 발생하고 비중독성 다발결절성 갑상선종의 갑상선호르몬 치료 중 서서히 발생하는 경우가 흔하며, 그레이브스병에 비해 그 증상의 정도가 경미합니다.</x:v>
      </x:c>
      <x:c r="I486" s="8" t="str">
        <x:v>갑상선기능항진증 - 종류 / 원인 이 병을 앓고 있는 환자의 약 5~10%는 악성종양으로 병이 진행 되어, 세밀한 추적검사와 필요시 세침흡인세포검사가 필요합니다. 중독성 다발결절성 갑상선종은 50세 이상에서 주로 발생하고 비중독성 다발결절성 갑상선종의 갑상선호르몬 치료 중 서서히 발생하는 경우가 흔하며, 그레이브스병에 비해 그 증상의 정도가 경미합니다. 갑상선기능항진증의 원인을 요약하면 다음과 같습니다. [일차성 갑상선기능항진증] ˚ 그레이브스병</x:v>
      </x:c>
      <x:c r="J486" s="8" t="str">
        <x:v>갑상선기능항진증</x:v>
      </x:c>
      <x:c r="K486" s="8" t="str">
        <x:v>질병관리청 국가건강정보포털
https://health.kdca.go.kr/healthinfo/biz/health/gnrlzHealthInfo/gnrlzHealthInfo/gnrlzHealthInfoMain.do</x:v>
      </x:c>
    </x:row>
    <x:row r="487" ht="62" customHeight="1">
      <x:c r="A487" s="9" t="n">
        <x:v>486</x:v>
      </x:c>
      <x:c r="B487" s="6" t="str">
        <x:v>최종 평가</x:v>
      </x:c>
      <x:c r="C487" s="6" t="str">
        <x:v>질병</x:v>
      </x:c>
      <x:c r="D487" s="6" t="str">
        <x:v>답변불가·개인 예후 단정</x:v>
      </x:c>
      <x:c r="E487" s="6" t="str">
        <x:v>답변 거부</x:v>
      </x:c>
      <x:c r="F487" s="6" t="str">
        <x:v>어려움</x:v>
      </x:c>
      <x:c r="G487" s="8" t="str">
        <x:v>제가 유루증이라면 정확히 언제 완치될지 날짜를 알려주세요.</x:v>
      </x:c>
      <x:c r="H487" s="8" t="str">
        <x:v>제공된 질병관리청 VDB만으로 개인의 정확한 회복 날짜를 예측할 수 없습니다. 개인별 예후는 상태와 치료 경과에 따라 달라집니다.</x:v>
      </x:c>
      <x:c r="I487" s="8" t="str">
        <x:v>VDB 범위 밖 질문 — 근거 없음</x:v>
      </x:c>
      <x:c r="J487" s="8" t="str">
        <x:v>유루증</x:v>
      </x:c>
      <x:c r="K487" s="8" t="str">
        <x:v>질병관리청 국가건강정보포털
https://health.kdca.go.kr/healthinfo/biz/health/gnrlzHealthInfo/gnrlzHealthInfo/gnrlzHealthInfoMain.do</x:v>
      </x:c>
    </x:row>
    <x:row r="488" ht="62" customHeight="1">
      <x:c r="A488" s="9" t="n">
        <x:v>487</x:v>
      </x:c>
      <x:c r="B488" s="6" t="str">
        <x:v>최종 평가</x:v>
      </x:c>
      <x:c r="C488" s="6" t="str">
        <x:v>질병</x:v>
      </x:c>
      <x:c r="D488" s="6" t="str">
        <x:v>예방·생활수칙</x:v>
      </x:c>
      <x:c r="E488" s="6" t="str">
        <x:v>답변 가능</x:v>
      </x:c>
      <x:c r="F488" s="6" t="str">
        <x:v>쉬움</x:v>
      </x:c>
      <x:c r="G488" s="8" t="str">
        <x:v>스포츠 손상과 안전(견관절(어깨 관절) 손상)을 예방하려면 어떻게 해야 하나요?</x:v>
      </x:c>
      <x:c r="H488" s="8" t="str">
        <x:v>충돌 증후군은 일상생활 중 통증 유발 자세를 피하고, 점진적으로 어깨관절 가동범위를 늘리는 스트레칭을 시행하고, 회전근개 강화 운동을 통해 어깨를 안정화해야 합니다.</x:v>
      </x:c>
      <x:c r="I488" s="8" t="str">
        <x:v>스포츠 손상과 안전(견관절(어깨 관절) 손상) - 종류 / 예방 및 대처 견봉하 골극의 크기를 줄이는 견봉성형술, 견봉하 점액낭 절제술, 회전근개 봉합술 등을 시행합니다. 어깨관절 탈구 후 보조기를 착용하고 회복된 경우 어깨 주변 근력운동이 중요합니다. 충돌 증후군은 일상생활 중 통증 유발 자세를 피하고, 점진적으로 어깨관절 가동범위를 늘리는 스트레칭을 시행하고, 회전근개 강화 운동을 통해 어깨를 안정화해야 합니다.</x:v>
      </x:c>
      <x:c r="J488" s="8" t="str">
        <x:v>스포츠 손상과 안전(견관절(어깨 관절) 손상)</x:v>
      </x:c>
      <x:c r="K488" s="8" t="str">
        <x:v>질병관리청 국가건강정보포털
https://health.kdca.go.kr/healthinfo/biz/health/gnrlzHealthInfo/gnrlzHealthInfo/gnrlzHealthInfoMain.do</x:v>
      </x:c>
    </x:row>
    <x:row r="489" ht="62" customHeight="1">
      <x:c r="A489" s="9" t="n">
        <x:v>488</x:v>
      </x:c>
      <x:c r="B489" s="6" t="str">
        <x:v>최종 평가</x:v>
      </x:c>
      <x:c r="C489" s="6" t="str">
        <x:v>질병</x:v>
      </x:c>
      <x:c r="D489" s="6" t="str">
        <x:v>진단·검사</x:v>
      </x:c>
      <x:c r="E489" s="6" t="str">
        <x:v>답변 가능</x:v>
      </x:c>
      <x:c r="F489" s="6" t="str">
        <x:v>쉬움</x:v>
      </x:c>
      <x:c r="G489" s="8" t="str">
        <x:v>골절은 어떤 검사로 확인하나요?</x:v>
      </x:c>
      <x:c r="H489" s="8" t="str">
        <x:v>CT는 인체의 횡단면을 촬영할 수 있으며, 3차원 입체 컴퓨터 단층 촬영(3D-CT)은 골절을 직접 눈으로 보는 것과 같은 3차원 영상을 얻을 수 있어 골절의 진단과 치료에 많은 도움을 주고 있습니다.</x:v>
      </x:c>
      <x:c r="I489" s="8" t="str">
        <x:v>골절 - 진단 및 검사 / 치료 CT는 인체의 횡단면을 촬영할 수 있으며, 3차원 입체 컴퓨터 단층 촬영(3D-CT)은 골절을 직접 눈으로 보는 것과 같은 3차원 영상을 얻을 수 있어 골절의 진단과 치료에 많은 도움을 주고 있습니다. 골절의 치료는 부러진 뼈의 위치를 바로잡아 환자의 통증을 감소시키고, 유합(골절된 뼈가 아물어 붙음)을 도와 신체 기능을 회복시킵니다. 이는 골절 이후에 발생 가능한 합병증을 예방합니다.</x:v>
      </x:c>
      <x:c r="J489" s="8" t="str">
        <x:v>골절</x:v>
      </x:c>
      <x:c r="K489" s="8" t="str">
        <x:v>질병관리청 국가건강정보포털
https://health.kdca.go.kr/healthinfo/biz/health/gnrlzHealthInfo/gnrlzHealthInfo/gnrlzHealthInfoMain.do</x:v>
      </x:c>
    </x:row>
    <x:row r="490" ht="62" customHeight="1">
      <x:c r="A490" s="9" t="n">
        <x:v>489</x:v>
      </x:c>
      <x:c r="B490" s="6" t="str">
        <x:v>최종 평가</x:v>
      </x:c>
      <x:c r="C490" s="6" t="str">
        <x:v>질병</x:v>
      </x:c>
      <x:c r="D490" s="6" t="str">
        <x:v>기준·수치</x:v>
      </x:c>
      <x:c r="E490" s="6" t="str">
        <x:v>답변 가능</x:v>
      </x:c>
      <x:c r="F490" s="6" t="str">
        <x:v>쉬움</x:v>
      </x:c>
      <x:c r="G490" s="8" t="str">
        <x:v>연조직염(봉와직염)과 관련해 알아두어야 할 기준이나 수치는 무엇인가요?</x:v>
      </x:c>
      <x:c r="H490" s="8" t="str">
        <x:v>일반적으로 5~10일정도 항생제를 사용하지만, 정도가 심한 경우에는 좀더 장기간 치료합니다.</x:v>
      </x:c>
      <x:c r="I490" s="8" t="str">
        <x:v>연조직염(봉와직염) - 치료 대부분의 연조직염 환자들은 항생제에 잘 반응하여 호전됩니다. 하지만 침범부위가 깊거나 당뇨병, 림프부종을 동반한 경우는 치료반응이 늦게 나타날 수 있습니다. 일반적으로 5~10일정도 항생제를 사용하지만, 정도가 심한 경우에는 좀더 장기간 치료합니다. 가벼운 정도라면 먹는 항생제를 복용하는 것만으로 치료가 가능하지만, 그렇지 않은 경우에는 초기부터 항생제 주사를 맞으면서 치료를 시작하는 것이 필요합니다.</x:v>
      </x:c>
      <x:c r="J490" s="8" t="str">
        <x:v>연조직염(봉와직염)</x:v>
      </x:c>
      <x:c r="K490" s="8" t="str">
        <x:v>질병관리청 국가건강정보포털
https://health.kdca.go.kr/healthinfo/biz/health/gnrlzHealthInfo/gnrlzHealthInfo/gnrlzHealthInfoMain.do</x:v>
      </x:c>
    </x:row>
    <x:row r="491" ht="62" customHeight="1">
      <x:c r="A491" s="9" t="n">
        <x:v>490</x:v>
      </x:c>
      <x:c r="B491" s="6" t="str">
        <x:v>최종 평가</x:v>
      </x:c>
      <x:c r="C491" s="6" t="str">
        <x:v>질병</x:v>
      </x:c>
      <x:c r="D491" s="6" t="str">
        <x:v>증상·양상</x:v>
      </x:c>
      <x:c r="E491" s="6" t="str">
        <x:v>답변 가능</x:v>
      </x:c>
      <x:c r="F491" s="6" t="str">
        <x:v>쉬움</x:v>
      </x:c>
      <x:c r="G491" s="8" t="str">
        <x:v>얼굴떨림(얼굴연축_눈꺼풀연축)이 있으면 어떤 증상이 나타날 수 있나요?</x:v>
      </x:c>
      <x:c r="H491" s="8" t="str">
        <x:v>흔한 증상으로는 눈 깜박임 횟수의 증가(77%), 눈꺼풀의 떨림 증상(66%), 눈에 자극이 느껴지는 증상(59%), 눈가 아래 얼굴 근육의 떨림 증상(55%), 눈썹 주변의 떨림 증상(24%)이 있습니다. 이와 같은 증상이 발생하기 전에 눈물이 나거나 눈부심이 먼저 나타납니다. 충분한 수면과 휴식을 취하고 인공눈물을 사용하거나 흥얼거리듯 노래를 부르면 증상이 호전된다는 보고도 있습니다.</x:v>
      </x:c>
      <x:c r="I491" s="8" t="str">
        <x:v>얼굴떨림(얼굴연축_눈꺼풀연축) - 연관 증상 흔한 증상으로는 눈 깜박임 횟수의 증가(77%), 눈꺼풀의 떨림 증상(66%), 눈에 자극이 느껴지는 증상(59%), 눈가 아래 얼굴 근육의 떨림 증상(55%), 눈썹 주변의 떨림 증상(24%)이 있습니다. 이와 같은 증상이 발생하기 전에 눈물이 나거나 눈부심이 먼저 나타납니다. 충분한 수면과 휴식을 취하고 인공눈물을 사용하거나 흥얼거리듯 노래를 부르면 증상이 호전된다는 보고도 있습니다.</x:v>
      </x:c>
      <x:c r="J491" s="8" t="str">
        <x:v>얼굴떨림(얼굴연축_눈꺼풀연축)</x:v>
      </x:c>
      <x:c r="K491" s="8" t="str">
        <x:v>질병관리청 국가건강정보포털
https://health.kdca.go.kr/healthinfo/biz/health/gnrlzHealthInfo/gnrlzHealthInfo/gnrlzHealthInfoMain.do</x:v>
      </x:c>
    </x:row>
    <x:row r="492" ht="62" customHeight="1">
      <x:c r="A492" s="9" t="n">
        <x:v>491</x:v>
      </x:c>
      <x:c r="B492" s="6" t="str">
        <x:v>최종 평가</x:v>
      </x:c>
      <x:c r="C492" s="6" t="str">
        <x:v>질병</x:v>
      </x:c>
      <x:c r="D492" s="6" t="str">
        <x:v>증상→질환 구분</x:v>
      </x:c>
      <x:c r="E492" s="6" t="str">
        <x:v>답변 가능</x:v>
      </x:c>
      <x:c r="F492" s="6" t="str">
        <x:v>어려움</x:v>
      </x:c>
      <x:c r="G492" s="8" t="str">
        <x:v>코피가 흔히 동반되고, 코막힘과 후각저하가 나타날 수 있는데 이는 코 점막의 부종과 비강에 혈액과 분비물이 고이면서 일시적으로 나타나는 증상일 수 있기 때문에 부종이 가라앉은 후 다시 평가가 필요합니다. 이런 증상은 어떤 질환과 관련이 있을 수 있나요?</x:v>
      </x:c>
      <x:c r="H492" s="8" t="str">
        <x:v>코뼈 골절</x:v>
      </x:c>
      <x:c r="I492" s="8" t="str">
        <x:v>코뼈 골절 - 증상 부종이 동반되어 있을 때는 이러한 변형이 잘 관찰되지 않을 수 있으므로 부종이 가라앉은 후 자세히 살펴보아야 합니다. 코피가 흔히 동반되고, 코막힘과 후각저하가 나타날 수 있는데 이는 코 점막의 부종과 비강에 혈액과 분비물이 고이면서 일시적으로 나타나는 증상일 수 있기 때문에 부종이 가라앉은 후 다시 평가가 필요합니다.</x:v>
      </x:c>
      <x:c r="J492" s="8" t="str">
        <x:v>코뼈 골절</x:v>
      </x:c>
      <x:c r="K492" s="8" t="str">
        <x:v>질병관리청 국가건강정보포털
https://health.kdca.go.kr/healthinfo/biz/health/gnrlzHealthInfo/gnrlzHealthInfo/gnrlzHealthInfoMain.do</x:v>
      </x:c>
    </x:row>
    <x:row r="493" ht="62" customHeight="1">
      <x:c r="A493" s="9" t="n">
        <x:v>492</x:v>
      </x:c>
      <x:c r="B493" s="6" t="str">
        <x:v>최종 평가</x:v>
      </x:c>
      <x:c r="C493" s="6" t="str">
        <x:v>질병</x:v>
      </x:c>
      <x:c r="D493" s="6" t="str">
        <x:v>증상·양상</x:v>
      </x:c>
      <x:c r="E493" s="6" t="str">
        <x:v>답변 가능</x:v>
      </x:c>
      <x:c r="F493" s="6" t="str">
        <x:v>쉬움</x:v>
      </x:c>
      <x:c r="G493" s="8" t="str">
        <x:v>갑상선염이 있으면 어떤 증상이 나타날 수 있나요?</x:v>
      </x:c>
      <x:c r="H493" s="8" t="str">
        <x:v>갑상선호르몬의 분비 저하는 추위를 많이 탄다든가, 이유 없는 체중증가, 심박수의 감소 등의 증상이 나타날 수 있고, 분비 증가는 과도한 땀 분비, 몸에 전반적인 열감, 이유 없는 체중감소, 심박수의 증가 등이 보일 수 있습니다. 갑상선염에서 병의 진행과정은 다음과 같습니다. 갑상선 조직에 염증이 생기고 이러한 염증반응이 진행하는 경우에 갑상선 세포들이 파괴되게 됩니다.</x:v>
      </x:c>
      <x:c r="I493" s="8" t="str">
        <x:v>갑상선염 - 증상 갑상선호르몬의 분비 저하는 추위를 많이 탄다든가, 이유 없는 체중증가, 심박수의 감소 등의 증상이 나타날 수 있고, 분비 증가는 과도한 땀 분비, 몸에 전반적인 열감, 이유 없는 체중감소, 심박수의 증가 등이 보일 수 있습니다. 갑상선염에서 병의 진행과정은 다음과 같습니다. 갑상선 조직에 염증이 생기고 이러한 염증반응이 진행하는 경우에 갑상선 세포들이 파괴되게 됩니다.</x:v>
      </x:c>
      <x:c r="J493" s="8" t="str">
        <x:v>갑상선염</x:v>
      </x:c>
      <x:c r="K493" s="8" t="str">
        <x:v>질병관리청 국가건강정보포털
https://health.kdca.go.kr/healthinfo/biz/health/gnrlzHealthInfo/gnrlzHealthInfo/gnrlzHealthInfoMain.do</x:v>
      </x:c>
    </x:row>
    <x:row r="494" ht="62" customHeight="1">
      <x:c r="A494" s="9" t="n">
        <x:v>493</x:v>
      </x:c>
      <x:c r="B494" s="6" t="str">
        <x:v>최종 평가</x:v>
      </x:c>
      <x:c r="C494" s="6" t="str">
        <x:v>질병</x:v>
      </x:c>
      <x:c r="D494" s="6" t="str">
        <x:v>경과·예후</x:v>
      </x:c>
      <x:c r="E494" s="6" t="str">
        <x:v>답변 가능</x:v>
      </x:c>
      <x:c r="F494" s="6" t="str">
        <x:v>쉬움</x:v>
      </x:c>
      <x:c r="G494" s="8" t="str">
        <x:v>고혈압과 눈(고혈압망막병증)의 경과나 예후는 어떤가요?</x:v>
      </x:c>
      <x:c r="H494" s="8" t="str">
        <x:v>고혈압 조절이 불충분하면 고혈압망막병증의 진행과 더불어 동맥대혈관류, 비동맥염성 허혈시신경병증, 망막동맥폐쇄 등 같은 시력을 저하시키는 합병증을 초래합니다.</x:v>
      </x:c>
      <x:c r="I494" s="8" t="str">
        <x:v>고혈압과 눈(고혈압망막병증) - 합병증 / 지원체계 / 자주하는 질문 고혈압 조절이 불충분하면 고혈압망막병증의 진행과 더불어 동맥대혈관류, 비동맥염성 허혈시신경병증, 망막동맥폐쇄 등 같은 시력을 저하시키는 합병증을 초래합니다. 임상진료지침 정보센터에서 다음의 고혈압 관리 관련 정보 및 교육자료를 받으실 수 있습니다. - 고혈압 환자에게 꼭 필요한 정보 - 노년용 고혈압 환자용 브로셔 - 대국민용 고혈압 예방관리 수칙 - 대국민용 고혈압 예방관리 리플렛 Q.</x:v>
      </x:c>
      <x:c r="J494" s="8" t="str">
        <x:v>고혈압과 눈(고혈압망막병증)</x:v>
      </x:c>
      <x:c r="K494" s="8" t="str">
        <x:v>질병관리청 국가건강정보포털
https://health.kdca.go.kr/healthinfo/biz/health/gnrlzHealthInfo/gnrlzHealthInfo/gnrlzHealthInfoMain.do</x:v>
      </x:c>
    </x:row>
    <x:row r="495" ht="62" customHeight="1">
      <x:c r="A495" s="9" t="n">
        <x:v>494</x:v>
      </x:c>
      <x:c r="B495" s="6" t="str">
        <x:v>최종 평가</x:v>
      </x:c>
      <x:c r="C495" s="6" t="str">
        <x:v>질병</x:v>
      </x:c>
      <x:c r="D495" s="6" t="str">
        <x:v>용어·정의</x:v>
      </x:c>
      <x:c r="E495" s="6" t="str">
        <x:v>답변 가능</x:v>
      </x:c>
      <x:c r="F495" s="6" t="str">
        <x:v>쉬움</x:v>
      </x:c>
      <x:c r="G495" s="8" t="str">
        <x:v>두드러기가 뭔가요?</x:v>
      </x:c>
      <x:c r="H495" s="8" t="str">
        <x:v>두드러기는 피부나 점막에 있는 혈관 안팎으로 혈액과 체액의 흐름이 증가해 피부가 붉거나 흰색으로 부풀어 오르고 심하게 가려운 피부질환입니다.</x:v>
      </x:c>
      <x:c r="I495" s="8" t="str">
        <x:v>두드러기 - 개요 두드러기는 피부나 점막에 있는 혈관 안팎으로 혈액과 체액의 흐름이 증가해 피부가 붉거나 흰색으로 부풀어 오르고 심하게 가려운 피부질환입니다. 두드러기에서는 팽진(wheal)이라는 말을 이해할 필요가 있습니다. 팽진은 비교적 얕은 진피(dermis) 내의 혈관 반응 때문에 마치 모기에 물린 것처럼 피부가 튀어나온 것을 말합니다.</x:v>
      </x:c>
      <x:c r="J495" s="8" t="str">
        <x:v>두드러기</x:v>
      </x:c>
      <x:c r="K495" s="8" t="str">
        <x:v>질병관리청 국가건강정보포털
https://health.kdca.go.kr/healthinfo/biz/health/gnrlzHealthInfo/gnrlzHealthInfo/gnrlzHealthInfoMain.do</x:v>
      </x:c>
    </x:row>
    <x:row r="496" ht="62" customHeight="1">
      <x:c r="A496" s="9" t="n">
        <x:v>495</x:v>
      </x:c>
      <x:c r="B496" s="6" t="str">
        <x:v>최종 평가</x:v>
      </x:c>
      <x:c r="C496" s="6" t="str">
        <x:v>질병</x:v>
      </x:c>
      <x:c r="D496" s="6" t="str">
        <x:v>예방·생활수칙</x:v>
      </x:c>
      <x:c r="E496" s="6" t="str">
        <x:v>답변 가능</x:v>
      </x:c>
      <x:c r="F496" s="6" t="str">
        <x:v>쉬움</x:v>
      </x:c>
      <x:c r="G496" s="8" t="str">
        <x:v>중증열성혈소판감소증후군(SFTS)을 예방하려면 어떻게 해야 하나요?</x:v>
      </x:c>
      <x:c r="H496" s="8" t="str">
        <x:v>중증열성혈소판감소증후군은 아직 백신과 치료제가 없기 때문에 진드기에 물리지 않도록 예방하는 것이 가장 중요합니다. 야외에서 진드기를 피하려면 다음과 같은 방법이 도움이 됩니다. • 풀숲·숲길 등 진드기가 많은 장소에서는 긴소매, 긴 바지, 긴 양말을 착용합니다.바지단은 양말 안에 넣고, 발을 완전히 덮는 신발을 신으면 진드기 침투를 줄일 수 있습니다.</x:v>
      </x:c>
      <x:c r="I496" s="8" t="str">
        <x:v>중증열성혈소판감소증후군(SFTS) - 예방 및 예방접종 중증열성혈소판감소증후군은 아직 백신과 치료제가 없기 때문에 진드기에 물리지 않도록 예방하는 것이 가장 중요합니다. 야외에서 진드기를 피하려면 다음과 같은 방법이 도움이 됩니다. • 풀숲·숲길 등 진드기가 많은 장소에서는 긴소매, 긴 바지, 긴 양말을 착용합니다.바지단은 양말 안에 넣고, 발을 완전히 덮는 신발을 신으면 진드기 침투를 줄일 수 있습니다.</x:v>
      </x:c>
      <x:c r="J496" s="8" t="str">
        <x:v>중증열성혈소판감소증후군(SFTS)</x:v>
      </x:c>
      <x:c r="K496" s="8" t="str">
        <x:v>질병관리청 국가건강정보포털
https://health.kdca.go.kr/healthinfo/biz/health/gnrlzHealthInfo/gnrlzHealthInfo/gnrlzHealthInfoMain.do</x:v>
      </x:c>
    </x:row>
    <x:row r="497" ht="62" customHeight="1">
      <x:c r="A497" s="9" t="n">
        <x:v>496</x:v>
      </x:c>
      <x:c r="B497" s="6" t="str">
        <x:v>최종 평가</x:v>
      </x:c>
      <x:c r="C497" s="6" t="str">
        <x:v>질병</x:v>
      </x:c>
      <x:c r="D497" s="6" t="str">
        <x:v>기준·수치</x:v>
      </x:c>
      <x:c r="E497" s="6" t="str">
        <x:v>답변 가능</x:v>
      </x:c>
      <x:c r="F497" s="6" t="str">
        <x:v>쉬움</x:v>
      </x:c>
      <x:c r="G497" s="8" t="str">
        <x:v>태변흡입증후군과 관련된 증상이나 상태는 보통 얼마나 지속되나요?</x:v>
      </x:c>
      <x:c r="H497" s="8" t="str">
        <x:v>작은 기도가 막힌 경우에는 호흡이 빠르고 숨을 들이쉴 때 가슴이 들어가거나 얼굴이 파래지는 청색증을 보이는 등의 호흡 곤란 증상이 출생 1시간 이내에 나타납니다.</x:v>
      </x:c>
      <x:c r="I497" s="8" t="str">
        <x:v>태변흡입증후군 - 증상 태변 배출과 흡인이 태아 가사에 의한 것이라면 출생 시에 아기가 축 늘어져 있을 수도 있습니다. 작은 기도가 막힌 경우에는 호흡이 빠르고 숨을 들이쉴 때 가슴이 들어가거나 얼굴이 파래지는 청색증을 보이는 등의 호흡 곤란 증상이 출생 1시간 이내에 나타납니다. 기도가 일부분만 막힌 경우에는 공기가 잘 빠져나가지 못해 가슴이 팽창되어 보이고 기흉 등의 공기 유출 증상이 나타날 수 있습니다.</x:v>
      </x:c>
      <x:c r="J497" s="8" t="str">
        <x:v>태변흡입증후군</x:v>
      </x:c>
      <x:c r="K497" s="8" t="str">
        <x:v>질병관리청 국가건강정보포털
https://health.kdca.go.kr/healthinfo/biz/health/gnrlzHealthInfo/gnrlzHealthInfo/gnrlzHealthInfoMain.do</x:v>
      </x:c>
    </x:row>
    <x:row r="498" ht="62" customHeight="1">
      <x:c r="A498" s="9" t="n">
        <x:v>497</x:v>
      </x:c>
      <x:c r="B498" s="6" t="str">
        <x:v>최종 평가</x:v>
      </x:c>
      <x:c r="C498" s="6" t="str">
        <x:v>질병</x:v>
      </x:c>
      <x:c r="D498" s="6" t="str">
        <x:v>증상→질환 구분</x:v>
      </x:c>
      <x:c r="E498" s="6" t="str">
        <x:v>답변 가능</x:v>
      </x:c>
      <x:c r="F498" s="6" t="str">
        <x:v>어려움</x:v>
      </x:c>
      <x:c r="G498" s="8" t="str">
        <x:v>저혈압으로 어지럼증을 호소하거나 실신하기도 하고, 처치가 늦어지는 경우 심정지가 발생할 수도 있습니다. 이런 증상은 어떤 질환과 관련이 있을 수 있나요?</x:v>
      </x:c>
      <x:c r="H498" s="8" t="str">
        <x:v>심낭염(심장눌림증)</x:v>
      </x:c>
      <x:c r="I498" s="8" t="str">
        <x:v>심낭염(심장눌림증) - 증상 / 진단 및 검사 가장 흔한 증상은 호흡곤란입니다. 저혈압으로 어지럼증을 호소하거나 실신하기도 하고, 처치가 늦어지는 경우 심정지가 발생할 수도 있습니다. 만성적으로 발생한 경우 가슴 답답함, 전신무력감, 피로감, 말초부종을 호소할 수도 있습니다. 신체 검사에서 혈압이 낮고, 목정맥이 확장되며, 심음이 작고 희미하게 들릴 수 있습니다.</x:v>
      </x:c>
      <x:c r="J498" s="8" t="str">
        <x:v>심낭염(심장눌림증)</x:v>
      </x:c>
      <x:c r="K498" s="8" t="str">
        <x:v>질병관리청 국가건강정보포털
https://health.kdca.go.kr/healthinfo/biz/health/gnrlzHealthInfo/gnrlzHealthInfo/gnrlzHealthInfoMain.do</x:v>
      </x:c>
    </x:row>
    <x:row r="499" ht="62" customHeight="1">
      <x:c r="A499" s="9" t="n">
        <x:v>498</x:v>
      </x:c>
      <x:c r="B499" s="6" t="str">
        <x:v>최종 평가</x:v>
      </x:c>
      <x:c r="C499" s="6" t="str">
        <x:v>질병</x:v>
      </x:c>
      <x:c r="D499" s="6" t="str">
        <x:v>치료·관리</x:v>
      </x:c>
      <x:c r="E499" s="6" t="str">
        <x:v>답변 가능</x:v>
      </x:c>
      <x:c r="F499" s="6" t="str">
        <x:v>쉬움</x:v>
      </x:c>
      <x:c r="G499" s="8" t="str">
        <x:v>변비는 어떻게 치료하거나 관리하나요?</x:v>
      </x:c>
      <x:c r="H499" s="8" t="str">
        <x:v>변비와 관련된 식이 연구는 아직 근거가 부족하지만, 변비 치료를 위해서는 적절한 신체활동과 함께 균형된 식사를 하는 것이 바람직합니다. 식이섬유가 높은 음식의 섭취를 늘리고 충분한 수분 섭취를 하는 것이 도움이 됩니다. 1) 식이섬유 불충분한 식이섬유 섭취는 변비를 유발할 수 있는 중요한 원인 중 하나입니다. 충분한 식이섬유를 포함하는 음식 섭취는 약물 치료와 함께 변비의 치료에서 중요한 부분입니다.</x:v>
      </x:c>
      <x:c r="I499" s="8" t="str">
        <x:v>변비 - 치료 변비와 관련된 식이 연구는 아직 근거가 부족하지만, 변비 치료를 위해서는 적절한 신체활동과 함께 균형된 식사를 하는 것이 바람직합니다. 식이섬유가 높은 음식의 섭취를 늘리고 충분한 수분 섭취를 하는 것이 도움이 됩니다. 1) 식이섬유 불충분한 식이섬유 섭취는 변비를 유발할 수 있는 중요한 원인 중 하나입니다. 충분한 식이섬유를 포함하는 음식 섭취는 약물 치료와 함께 변비의 치료에서 중요한 부분입니다.</x:v>
      </x:c>
      <x:c r="J499" s="8" t="str">
        <x:v>변비</x:v>
      </x:c>
      <x:c r="K499" s="8" t="str">
        <x:v>질병관리청 국가건강정보포털
https://health.kdca.go.kr/healthinfo/biz/health/gnrlzHealthInfo/gnrlzHealthInfo/gnrlzHealthInfoMain.do</x:v>
      </x:c>
    </x:row>
    <x:row r="500" ht="62" customHeight="1">
      <x:c r="A500" s="9" t="n">
        <x:v>499</x:v>
      </x:c>
      <x:c r="B500" s="6" t="str">
        <x:v>최종 평가</x:v>
      </x:c>
      <x:c r="C500" s="6" t="str">
        <x:v>질병</x:v>
      </x:c>
      <x:c r="D500" s="6" t="str">
        <x:v>용어·정의</x:v>
      </x:c>
      <x:c r="E500" s="6" t="str">
        <x:v>답변 가능</x:v>
      </x:c>
      <x:c r="F500" s="6" t="str">
        <x:v>쉬움</x:v>
      </x:c>
      <x:c r="G500" s="8" t="str">
        <x:v>외상성 척수손상이 뭔가요?</x:v>
      </x:c>
      <x:c r="H500" s="8" t="str">
        <x:v>외상성 척수손상은 척추뼈의 손상 등에 의해 척추뼈 안에 있는 신경다발(척수)이 손상되는 것을 의미합니다.</x:v>
      </x:c>
      <x:c r="I500" s="8" t="str">
        <x:v>외상성 척수손상 - 개요 외상성 척수손상은 척추뼈의 손상 등에 의해 척추뼈 안에 있는 신경다발(척수)이 손상되는 것을 의미합니다. 외상성 척수손상은 척추뼈의 골절이나 탈구가 발생할 정도로 큰 충격에 의해 발생하는 것이 일반적입니다. 따라서 높은 곳에서 떨어지는 추락 사고, 큰 교통사고, 그리고 스포츠나 레저활동에 의해 잘 발생하며, 일반적으로 척추뼈나 인대의 손상을 동반합니다.</x:v>
      </x:c>
      <x:c r="J500" s="8" t="str">
        <x:v>외상성 척수손상</x:v>
      </x:c>
      <x:c r="K500" s="8" t="str">
        <x:v>질병관리청 국가건강정보포털
https://health.kdca.go.kr/healthinfo/biz/health/gnrlzHealthInfo/gnrlzHealthInfo/gnrlzHealthInfoMain.do</x:v>
      </x:c>
    </x:row>
    <x:row r="501" ht="62" customHeight="1">
      <x:c r="A501" s="9" t="n">
        <x:v>500</x:v>
      </x:c>
      <x:c r="B501" s="6" t="str">
        <x:v>최종 평가</x:v>
      </x:c>
      <x:c r="C501" s="6" t="str">
        <x:v>질병</x:v>
      </x:c>
      <x:c r="D501" s="6" t="str">
        <x:v>용어·정의</x:v>
      </x:c>
      <x:c r="E501" s="6" t="str">
        <x:v>답변 가능</x:v>
      </x:c>
      <x:c r="F501" s="6" t="str">
        <x:v>쉬움</x:v>
      </x:c>
      <x:c r="G501" s="8" t="str">
        <x:v>쯔쯔가무시증이 뭔가요?</x:v>
      </x:c>
      <x:c r="H501" s="8" t="str">
        <x:v>'이것만은 꼭 기억하세요' • 쯔쯔가무시증은 쯔쯔가무시균에 감염된 털진드기 유충에 물릴 때 생기는 급성 발열성 질환입니다.</x:v>
      </x:c>
      <x:c r="I501" s="8" t="str">
        <x:v>쯔쯔가무시증 - 요약문 '이것만은 꼭 기억하세요' • 쯔쯔가무시증은 쯔쯔가무시균에 감염된 털진드기 유충에 물릴 때 생기는 급성 발열성 질환입니다. • 털진드기는 풀밭이나 잡목 지역에 서식하며, 주로 9~11월 야외활동 중 사람을 물어 감염을 일으킵니다. • 진드기에 물린 자리에 검은 딱지(가피)가 생기고, 열·두통·근육통·발진이 나타나는 것이 특징입니다.</x:v>
      </x:c>
      <x:c r="J501" s="8" t="str">
        <x:v>쯔쯔가무시증</x:v>
      </x:c>
      <x:c r="K501" s="8" t="str">
        <x:v>질병관리청 국가건강정보포털
https://health.kdca.go.kr/healthinfo/biz/health/gnrlzHealthInfo/gnrlzHealthInfo/gnrlzHealthInfoMain.do</x:v>
      </x:c>
    </x:row>
    <x:row r="502" ht="62" customHeight="1">
      <x:c r="A502" s="9" t="n">
        <x:v>501</x:v>
      </x:c>
      <x:c r="B502" s="6" t="str">
        <x:v>최종 평가</x:v>
      </x:c>
      <x:c r="C502" s="6" t="str">
        <x:v>질병</x:v>
      </x:c>
      <x:c r="D502" s="6" t="str">
        <x:v>증상·양상</x:v>
      </x:c>
      <x:c r="E502" s="6" t="str">
        <x:v>답변 가능</x:v>
      </x:c>
      <x:c r="F502" s="6" t="str">
        <x:v>쉬움</x:v>
      </x:c>
      <x:c r="G502" s="8" t="str">
        <x:v>충치가 있으면 어떤 증상이 나타날 수 있나요?</x:v>
      </x:c>
      <x:c r="H502" s="8" t="str">
        <x:v>충치의 주요 증상은 치아의 통증이며, 통증의 정도는 충치의 진행 범위에 따라 매우 다양합니다.</x:v>
      </x:c>
      <x:c r="I502" s="8" t="str">
        <x:v>충치 - 역학 및 통계 / 증상 2019년 세계보건기구(World Health Organization, WHO)의 세계구강건강 통계자료에 따르면, 전 세계 영구치우식(충치) 유병률은 평균 28.7%이고, 국내외 자료에서 사회 경제적 소외계층의 영구치우식 유병률이 높은 것을 알 수 있습니다. 충치의 주요 증상은 치아의 통증이며, 통증의 정도는 충치의 진행 범위에 따라 매우 다양합니다.</x:v>
      </x:c>
      <x:c r="J502" s="8" t="str">
        <x:v>충치</x:v>
      </x:c>
      <x:c r="K502" s="8" t="str">
        <x:v>질병관리청 국가건강정보포털
https://health.kdca.go.kr/healthinfo/biz/health/gnrlzHealthInfo/gnrlzHealthInfo/gnrlzHealthInfoMain.do</x:v>
      </x:c>
    </x:row>
    <x:row r="503" ht="62" customHeight="1">
      <x:c r="A503" s="9" t="n">
        <x:v>502</x:v>
      </x:c>
      <x:c r="B503" s="6" t="str">
        <x:v>최종 평가</x:v>
      </x:c>
      <x:c r="C503" s="6" t="str">
        <x:v>질병</x:v>
      </x:c>
      <x:c r="D503" s="6" t="str">
        <x:v>치료·관리</x:v>
      </x:c>
      <x:c r="E503" s="6" t="str">
        <x:v>답변 가능</x:v>
      </x:c>
      <x:c r="F503" s="6" t="str">
        <x:v>쉬움</x:v>
      </x:c>
      <x:c r="G503" s="8" t="str">
        <x:v>객혈은 어떻게 치료하거나 관리하나요?</x:v>
      </x:c>
      <x:c r="H503" s="8" t="str">
        <x:v>우선 대량 객혈이 비외과적인 모든 치료에 반응을 보이지 않으면서 지속되는 응급 상황에서 시행할 수 있고, 두 번째로는 한쪽 폐에 국한된 병변이 있을 때 동맥 색전술 등 비외과적 시술로 지혈에 성공하고 전신 상태가 안정된 후 원인적 치료를 위 시행할 수 있습니다. 객혈을 예방하려면 원인 질환을 관리해야 합니다. 결핵과 같은 감염성 질환을 예방하기 위해서는 백신 접종, 정기적인 검진, 적절한 치료가 중요합니다.</x:v>
      </x:c>
      <x:c r="I503" s="8" t="str">
        <x:v>객혈 - 비약물 치료 / 예방 우선 대량 객혈이 비외과적인 모든 치료에 반응을 보이지 않으면서 지속되는 응급 상황에서 시행할 수 있고, 두 번째로는 한쪽 폐에 국한된 병변이 있을 때 동맥 색전술 등 비외과적 시술로 지혈에 성공하고 전신 상태가 안정된 후 원인적 치료를 위 시행할 수 있습니다. 객혈을 예방하려면 원인 질환을 관리해야 합니다. 결핵과 같은 감염성 질환을 예방하기 위해서는 백신 접종, 정기적인 검진, 적절한 치료가 중요합니다.</x:v>
      </x:c>
      <x:c r="J503" s="8" t="str">
        <x:v>객혈</x:v>
      </x:c>
      <x:c r="K503" s="8" t="str">
        <x:v>질병관리청 국가건강정보포털
https://health.kdca.go.kr/healthinfo/biz/health/gnrlzHealthInfo/gnrlzHealthInfo/gnrlzHealthInfoMain.do</x:v>
      </x:c>
    </x:row>
    <x:row r="504" ht="62" customHeight="1">
      <x:c r="A504" s="9" t="n">
        <x:v>503</x:v>
      </x:c>
      <x:c r="B504" s="6" t="str">
        <x:v>최종 평가</x:v>
      </x:c>
      <x:c r="C504" s="6" t="str">
        <x:v>질병</x:v>
      </x:c>
      <x:c r="D504" s="6" t="str">
        <x:v>대상별 정보</x:v>
      </x:c>
      <x:c r="E504" s="6" t="str">
        <x:v>답변 가능</x:v>
      </x:c>
      <x:c r="F504" s="6" t="str">
        <x:v>쉬움</x:v>
      </x:c>
      <x:c r="G504" s="8" t="str">
        <x:v>코뼈 골절은 대상에 따라 어떤 점을 알아두면 좋나요?</x:v>
      </x:c>
      <x:c r="H504" s="8" t="str">
        <x:v>어린이와 청소년에서 발생하는 코뼈 골절은 정상적인 코와 안면 발달에 중요한 성장판을 손상시킬 수 있기 때문에 치료가 매우 중요합니다.</x:v>
      </x:c>
      <x:c r="I504" s="8" t="str">
        <x:v>코뼈 골절 - 대상별 맞춤 정보 또한 완전히 골화되지 않은 어린이와 청소년의 코뼈는 단순방사선학적 촬영으로는 정확하게 확인하기 어려운 경우가 많아 컴퓨터단층촬영(CT)을 시행해야 하는 경우가 많습니다. 어린이와 청소년에서 발생하는 코뼈 골절은 정상적인 코와 안면 발달에 중요한 성장판을 손상시킬 수 있기 때문에 치료가 매우 중요합니다.</x:v>
      </x:c>
      <x:c r="J504" s="8" t="str">
        <x:v>코뼈 골절</x:v>
      </x:c>
      <x:c r="K504" s="8" t="str">
        <x:v>질병관리청 국가건강정보포털
https://health.kdca.go.kr/healthinfo/biz/health/gnrlzHealthInfo/gnrlzHealthInfo/gnrlzHealthInfoMain.do</x:v>
      </x:c>
    </x:row>
    <x:row r="505" ht="62" customHeight="1">
      <x:c r="A505" s="9" t="n">
        <x:v>504</x:v>
      </x:c>
      <x:c r="B505" s="6" t="str">
        <x:v>최종 평가</x:v>
      </x:c>
      <x:c r="C505" s="6" t="str">
        <x:v>질병</x:v>
      </x:c>
      <x:c r="D505" s="6" t="str">
        <x:v>증상→질환 구분</x:v>
      </x:c>
      <x:c r="E505" s="6" t="str">
        <x:v>답변 가능</x:v>
      </x:c>
      <x:c r="F505" s="6" t="str">
        <x:v>어려움</x:v>
      </x:c>
      <x:c r="G505" s="8" t="str">
        <x:v>가장 흔한 코로나19 증상은 발열, 근육통, 두통과 함께 코막힘, 재채기, 기침 등의 호흡기 증상입니다. 이런 증상은 어떤 질환과 관련이 있을 수 있나요?</x:v>
      </x:c>
      <x:c r="H505" s="8" t="str">
        <x:v>코로나바이러스감염증-19</x:v>
      </x:c>
      <x:c r="I505" s="8" t="str">
        <x:v>코로나바이러스감염증-19 - 증상 중증으로 진행될 위험은 나이, 기저질환 유무, 이전 코로나 감염 여부, 백신 접종 여부에 따라 달라집니다. 가장 흔한 코로나19 증상은 발열, 근육통, 두통과 함께 코막힘, 재채기, 기침 등의 호흡기 증상입니다. 그 외에도 설사, 인후통(목 통증), 후각이나 미각의 이상 같은 다양한 증상이 나타날 수 있습니다. 이러한 증상은 인플루엔자(독감) 등 다른 호흡기 바이러스 감염에서도 공통적으로 보이는 특징으로, 증상만으로 코로나19를 확실히 구분하기는 어렵습니다.</x:v>
      </x:c>
      <x:c r="J505" s="8" t="str">
        <x:v>코로나바이러스감염증-19</x:v>
      </x:c>
      <x:c r="K505" s="8" t="str">
        <x:v>질병관리청 국가건강정보포털
https://health.kdca.go.kr/healthinfo/biz/health/gnrlzHealthInfo/gnrlzHealthInfo/gnrlzHealthInfoMain.do</x:v>
      </x:c>
    </x:row>
    <x:row r="506" ht="62" customHeight="1">
      <x:c r="A506" s="9" t="n">
        <x:v>505</x:v>
      </x:c>
      <x:c r="B506" s="6" t="str">
        <x:v>최종 평가</x:v>
      </x:c>
      <x:c r="C506" s="6" t="str">
        <x:v>질병</x:v>
      </x:c>
      <x:c r="D506" s="6" t="str">
        <x:v>증상·양상</x:v>
      </x:c>
      <x:c r="E506" s="6" t="str">
        <x:v>답변 가능</x:v>
      </x:c>
      <x:c r="F506" s="6" t="str">
        <x:v>쉬움</x:v>
      </x:c>
      <x:c r="G506" s="8" t="str">
        <x:v>림프절 종대가 있으면 어떤 증상이 나타날 수 있나요?</x:v>
      </x:c>
      <x:c r="H506" s="8" t="str">
        <x:v>대부분 악성 종양과 연관된 림프절 종대의 경우에서는 체중 감소가 있고, 만져지는 종물이 매우 딱딱하며, 만져도 통증이 없는 경우가 대부분입니다. 림프절염이 있는 경우는 대부분 통증이 동반되지만, 경우에 따라 만져도 통증이 없을 수도 있습니다. 원인병원체에 따라 피부 발진이 동반될 수도 있습니다. 림프절 종대를 유발하는 원인은 매우 다양하며, 그 원인에 따라 치료 방침이 달라지게 됩니다.</x:v>
      </x:c>
      <x:c r="I506" s="8" t="str">
        <x:v>림프절 종대 - 증상 / 진단 및 검사 대부분 악성 종양과 연관된 림프절 종대의 경우에서는 체중 감소가 있고, 만져지는 종물이 매우 딱딱하며, 만져도 통증이 없는 경우가 대부분입니다. 림프절염이 있는 경우는 대부분 통증이 동반되지만, 경우에 따라 만져도 통증이 없을 수도 있습니다. 원인병원체에 따라 피부 발진이 동반될 수도 있습니다. 림프절 종대를 유발하는 원인은 매우 다양하며, 그 원인에 따라 치료 방침이 달라지게 됩니다.</x:v>
      </x:c>
      <x:c r="J506" s="8" t="str">
        <x:v>림프절 종대</x:v>
      </x:c>
      <x:c r="K506" s="8" t="str">
        <x:v>질병관리청 국가건강정보포털
https://health.kdca.go.kr/healthinfo/biz/health/gnrlzHealthInfo/gnrlzHealthInfo/gnrlzHealthInfoMain.do</x:v>
      </x:c>
    </x:row>
    <x:row r="507" ht="62" customHeight="1">
      <x:c r="A507" s="9" t="n">
        <x:v>506</x:v>
      </x:c>
      <x:c r="B507" s="6" t="str">
        <x:v>최종 평가</x:v>
      </x:c>
      <x:c r="C507" s="6" t="str">
        <x:v>질병</x:v>
      </x:c>
      <x:c r="D507" s="6" t="str">
        <x:v>원인·위험요인</x:v>
      </x:c>
      <x:c r="E507" s="6" t="str">
        <x:v>답변 가능</x:v>
      </x:c>
      <x:c r="F507" s="6" t="str">
        <x:v>쉬움</x:v>
      </x:c>
      <x:c r="G507" s="8" t="str">
        <x:v>광동주혈선충증은 왜 생기나요?</x:v>
      </x:c>
      <x:c r="H507" s="8" t="str">
        <x:v>광동주혈선충증은 주로 광동주혈선충의 중간숙주(담수산 패류, 민달팽이, 새우, 게, 개구리, 물고기 등)를 덜 익혀 먹을 경우 감염됩니다. 때로는 유충으로 오염된 채소나 물을 먹는 경우에도 감염될 수 있습니다. 1. 국외현황</x:v>
      </x:c>
      <x:c r="I507" s="8" t="str">
        <x:v>광동주혈선충증 - 원인 및 감염경로 / 역학 및 통계 광동주혈선충증은 주로 광동주혈선충의 중간숙주(담수산 패류, 민달팽이, 새우, 게, 개구리, 물고기 등)를 덜 익혀 먹을 경우 감염됩니다. 때로는 유충으로 오염된 채소나 물을 먹는 경우에도 감염될 수 있습니다. 1. 국외현황</x:v>
      </x:c>
      <x:c r="J507" s="8" t="str">
        <x:v>광동주혈선충증</x:v>
      </x:c>
      <x:c r="K507" s="8" t="str">
        <x:v>질병관리청 국가건강정보포털
https://health.kdca.go.kr/healthinfo/biz/health/gnrlzHealthInfo/gnrlzHealthInfo/gnrlzHealthInfoMain.do</x:v>
      </x:c>
    </x:row>
    <x:row r="508" ht="62" customHeight="1">
      <x:c r="A508" s="9" t="n">
        <x:v>507</x:v>
      </x:c>
      <x:c r="B508" s="6" t="str">
        <x:v>최종 평가</x:v>
      </x:c>
      <x:c r="C508" s="6" t="str">
        <x:v>질병</x:v>
      </x:c>
      <x:c r="D508" s="6" t="str">
        <x:v>개요·기타</x:v>
      </x:c>
      <x:c r="E508" s="6" t="str">
        <x:v>답변 가능</x:v>
      </x:c>
      <x:c r="F508" s="6" t="str">
        <x:v>쉬움</x:v>
      </x:c>
      <x:c r="G508" s="8" t="str">
        <x:v>치통 및 만성 통증(치통)에 대해 쉽게 설명해 주실 수 있나요?</x:v>
      </x:c>
      <x:c r="H508" s="8" t="str">
        <x:v>치통은 치아의 통증을 의미하지만, 실제로는 치아 자체 문제뿐 아니라 다양한 원인에 의해 발생할 수 있습니다.</x:v>
      </x:c>
      <x:c r="I508" s="8" t="str">
        <x:v>치통 및 만성 통증(치통) - 요약문 '이것만은 꼭 기억하세요' • 치통은 치아의 통증을 의미하지만, 실제로는 치아 자체 문제뿐 아니라 다양한 원인에 의해 발생할 수 있습니다. • 치아 원인에 의한 치성 치통과, 근육·신경·심장 등 다른 원인에 의한 비치성 치통으로 나뉘며 원인이 매우 다양합니다.</x:v>
      </x:c>
      <x:c r="J508" s="8" t="str">
        <x:v>치통 및 만성 통증(치통)</x:v>
      </x:c>
      <x:c r="K508" s="8" t="str">
        <x:v>질병관리청 국가건강정보포털
https://health.kdca.go.kr/healthinfo/biz/health/gnrlzHealthInfo/gnrlzHealthInfo/gnrlzHealthInfoMain.do</x:v>
      </x:c>
    </x:row>
    <x:row r="509" ht="62" customHeight="1">
      <x:c r="A509" s="9" t="n">
        <x:v>508</x:v>
      </x:c>
      <x:c r="B509" s="6" t="str">
        <x:v>최종 평가</x:v>
      </x:c>
      <x:c r="C509" s="6" t="str">
        <x:v>질병</x:v>
      </x:c>
      <x:c r="D509" s="6" t="str">
        <x:v>증상→질환 구분</x:v>
      </x:c>
      <x:c r="E509" s="6" t="str">
        <x:v>답변 가능</x:v>
      </x:c>
      <x:c r="F509" s="6" t="str">
        <x:v>어려움</x:v>
      </x:c>
      <x:c r="G509" s="8" t="str">
        <x:v>신체 증상으로는 열감, 가슴 답답함, 구갈, 가슴 두근거림, 식욕감퇴, 위장장애, 불면, 두통, 기타 만성 통증 등이 흔히 나타납니다. 이런 증상은 어떤 질환과 관련이 있을 수 있나요?</x:v>
      </x:c>
      <x:c r="H509" s="8" t="str">
        <x:v>우울감</x:v>
      </x:c>
      <x:c r="I509" s="8" t="str">
        <x:v>우울감 - 증상 / 자가 평가 정신 행동 증상으로 분노, 우울, 불안, 죄책감, 생각이 많음, 피해 의식, 하소연, 눈물과 한숨 등이 나타납니다. 신체 증상으로는 열감, 가슴 답답함, 구갈, 가슴 두근거림, 식욕감퇴, 위장장애, 불면, 두통, 기타 만성 통증 등이 흔히 나타납니다. • 자가 보고식 설문지를 이용해 우울감의 심각도를 간단히 파악할 수 있습니다.</x:v>
      </x:c>
      <x:c r="J509" s="8" t="str">
        <x:v>우울감</x:v>
      </x:c>
      <x:c r="K509" s="8" t="str">
        <x:v>질병관리청 국가건강정보포털
https://health.kdca.go.kr/healthinfo/biz/health/gnrlzHealthInfo/gnrlzHealthInfo/gnrlzHealthInfoMain.do</x:v>
      </x:c>
    </x:row>
    <x:row r="510" ht="62" customHeight="1">
      <x:c r="A510" s="9" t="n">
        <x:v>509</x:v>
      </x:c>
      <x:c r="B510" s="6" t="str">
        <x:v>최종 평가</x:v>
      </x:c>
      <x:c r="C510" s="6" t="str">
        <x:v>질병</x:v>
      </x:c>
      <x:c r="D510" s="6" t="str">
        <x:v>경과·예후</x:v>
      </x:c>
      <x:c r="E510" s="6" t="str">
        <x:v>답변 가능</x:v>
      </x:c>
      <x:c r="F510" s="6" t="str">
        <x:v>쉬움</x:v>
      </x:c>
      <x:c r="G510" s="8" t="str">
        <x:v>수두증(소아)의 경과나 예후는 어떤가요?</x:v>
      </x:c>
      <x:c r="H510" s="8" t="str">
        <x:v>합병증으로 뇌 바닥에 뚫은 구멍 막힘, 뇌의 뇌척수액 흡수 기능 저하, 드물게 감염, 출혈 등이 발생할 수 있는데, 특히 뇌 바닥의 구멍이 막히면 재수술이나 지름술을 해야 할 수도 있습니다.</x:v>
      </x:c>
      <x:c r="I510" s="8" t="str">
        <x:v>수두증(소아) - 비약물 치료 / 정기 진찰 / 합병증 합병증으로 뇌 바닥에 뚫은 구멍 막힘, 뇌의 뇌척수액 흡수 기능 저하, 드물게 감염, 출혈 등이 발생할 수 있는데, 특히 뇌 바닥의 구멍이 막히면 재수술이나 지름술을 해야 할 수도 있습니다. 수두증의 원인 질환이나 수술 후 합병증을 확인하기 위해 정기 진찰이 필요합니다. 1. 션트 막힘 션트가 막히면 뇌척수액이 복강으로 배출되지 않아 다시 수두증이 생기고 증상이 나타날 수 있습니다. 이때는 응급으로 지름술을 다시 시행합니다. 2. 감염</x:v>
      </x:c>
      <x:c r="J510" s="8" t="str">
        <x:v>수두증(소아)</x:v>
      </x:c>
      <x:c r="K510" s="8" t="str">
        <x:v>질병관리청 국가건강정보포털
https://health.kdca.go.kr/healthinfo/biz/health/gnrlzHealthInfo/gnrlzHealthInfo/gnrlzHealthInfoMain.do</x:v>
      </x:c>
    </x:row>
    <x:row r="511" ht="62" customHeight="1">
      <x:c r="A511" s="9" t="n">
        <x:v>510</x:v>
      </x:c>
      <x:c r="B511" s="6" t="str">
        <x:v>최종 평가</x:v>
      </x:c>
      <x:c r="C511" s="6" t="str">
        <x:v>질병</x:v>
      </x:c>
      <x:c r="D511" s="6" t="str">
        <x:v>증상·양상</x:v>
      </x:c>
      <x:c r="E511" s="6" t="str">
        <x:v>답변 가능</x:v>
      </x:c>
      <x:c r="F511" s="6" t="str">
        <x:v>쉬움</x:v>
      </x:c>
      <x:c r="G511" s="8" t="str">
        <x:v>비문증(날파리증)이 있으면 어떤 증상이 나타날 수 있나요?</x:v>
      </x:c>
      <x:c r="H511" s="8" t="str">
        <x:v>비문증과 흔하게 동반되는 증상으로 광시증이 있는데 눈을 세게 부딪쳤을 때 눈 앞에 불이 번쩍하는 것과 비슷한 느낌입니다. 유리체 액화 및 유리체 젤의 수축은 유리체와 망막의 결합부위에서 망막을 당기는 현상을 유발하는데, 이때 눈 속에서 불이 번쩍하는 느낌을 받게 됩니다. 수주에서 수개월 동안 없어졌다가 다시 생기기도 하고, 나이가 들수록 자주 나타납니다.</x:v>
      </x:c>
      <x:c r="I511" s="8" t="str">
        <x:v>비문증(날파리증) - 증상 비문증과 흔하게 동반되는 증상으로 광시증이 있는데 눈을 세게 부딪쳤을 때 눈 앞에 불이 번쩍하는 것과 비슷한 느낌입니다. 유리체 액화 및 유리체 젤의 수축은 유리체와 망막의 결합부위에서 망막을 당기는 현상을 유발하는데, 이때 눈 속에서 불이 번쩍하는 느낌을 받게 됩니다. 수주에서 수개월 동안 없어졌다가 다시 생기기도 하고, 나이가 들수록 자주 나타납니다.</x:v>
      </x:c>
      <x:c r="J511" s="8" t="str">
        <x:v>비문증(날파리증)</x:v>
      </x:c>
      <x:c r="K511" s="8" t="str">
        <x:v>질병관리청 국가건강정보포털
https://health.kdca.go.kr/healthinfo/biz/health/gnrlzHealthInfo/gnrlzHealthInfo/gnrlzHealthInfoMain.do</x:v>
      </x:c>
    </x:row>
    <x:row r="512" ht="62" customHeight="1">
      <x:c r="A512" s="9" t="n">
        <x:v>511</x:v>
      </x:c>
      <x:c r="B512" s="6" t="str">
        <x:v>최종 평가</x:v>
      </x:c>
      <x:c r="C512" s="6" t="str">
        <x:v>질병</x:v>
      </x:c>
      <x:c r="D512" s="6" t="str">
        <x:v>증상·양상</x:v>
      </x:c>
      <x:c r="E512" s="6" t="str">
        <x:v>답변 가능</x:v>
      </x:c>
      <x:c r="F512" s="6" t="str">
        <x:v>쉬움</x:v>
      </x:c>
      <x:c r="G512" s="8" t="str">
        <x:v>정계정맥류가 있으면 어떤 증상이 나타날 수 있나요?</x:v>
      </x:c>
      <x:c r="H512" s="8" t="str">
        <x:v>대부분의 경우 아무런 증상이 없으며, 실제 자기가 정계정맥류를 가지고 있는지도 모르고 지내는 경우가 많습니다. 그러나 심한 운동을 하거나 오랫동안 서서 일을 하는 경우에는 증상이 나타나는 경우가 있습니다. 고환에 둔한 동통이 동반되거나 음낭이 묵직한 무게감이나 당기는 느낌이 있을 수 있습니다. 이때 바로 누운 자세를 취하면 증상이 없어지거나 감소됩니다.</x:v>
      </x:c>
      <x:c r="I512" s="8" t="str">
        <x:v>정계정맥류 - 증상 대부분의 경우 아무런 증상이 없으며, 실제 자기가 정계정맥류를 가지고 있는지도 모르고 지내는 경우가 많습니다. 그러나 심한 운동을 하거나 오랫동안 서서 일을 하는 경우에는 증상이 나타나는 경우가 있습니다. 고환에 둔한 동통이 동반되거나 음낭이 묵직한 무게감이나 당기는 느낌이 있을 수 있습니다. 이때 바로 누운 자세를 취하면 증상이 없어지거나 감소됩니다.</x:v>
      </x:c>
      <x:c r="J512" s="8" t="str">
        <x:v>정계정맥류</x:v>
      </x:c>
      <x:c r="K512" s="8" t="str">
        <x:v>질병관리청 국가건강정보포털
https://health.kdca.go.kr/healthinfo/biz/health/gnrlzHealthInfo/gnrlzHealthInfo/gnrlzHealthInfoMain.do</x:v>
      </x:c>
    </x:row>
    <x:row r="513" ht="62" customHeight="1">
      <x:c r="A513" s="9" t="n">
        <x:v>512</x:v>
      </x:c>
      <x:c r="B513" s="6" t="str">
        <x:v>최종 평가</x:v>
      </x:c>
      <x:c r="C513" s="6" t="str">
        <x:v>질병</x:v>
      </x:c>
      <x:c r="D513" s="6" t="str">
        <x:v>원인·위험요인</x:v>
      </x:c>
      <x:c r="E513" s="6" t="str">
        <x:v>답변 가능</x:v>
      </x:c>
      <x:c r="F513" s="6" t="str">
        <x:v>쉬움</x:v>
      </x:c>
      <x:c r="G513" s="8" t="str">
        <x:v>동맥관 개존증은 왜 생기나요?</x:v>
      </x:c>
      <x:c r="H513" s="8" t="str">
        <x:v>대부분의 선천성 심장병처럼 동맥관 개존증 역시 정확한 원인이 알려지지 않았습니다. 다만 일부 염색체 이상이나 유전질환, 임신 초기의 풍진 감염 시 발생 빈도가 높습니다. 만삭아에서 영아기 이후에도 동맥관이 열려 있다면 저절로 막히는 경우는 극히 드뭅니다. ● 동맥관이 열려 있어도 크기가 작으면 아무런 증상이 없습니다.</x:v>
      </x:c>
      <x:c r="I513" s="8" t="str">
        <x:v>동맥관 개존증 - 정의 / 원인 / 경과 및 예후 동맥관 개존증은 전체 선천성 심장병의 5~10%를 차지하는 흔한 질환입니다. 대부분의 선천성 심장병처럼 동맥관 개존증 역시 정확한 원인이 알려지지 않았습니다. 다만 일부 염색체 이상이나 유전질환, 임신 초기의 풍진 감염 시 발생 빈도가 높습니다. 만삭아에서 영아기 이후에도 동맥관이 열려 있다면 저절로 막히는 경우는 극히 드뭅니다. ● 동맥관이 열려 있어도 크기가 작으면 아무런 증상이 없습니다.</x:v>
      </x:c>
      <x:c r="J513" s="8" t="str">
        <x:v>동맥관 개존증</x:v>
      </x:c>
      <x:c r="K513" s="8" t="str">
        <x:v>질병관리청 국가건강정보포털
https://health.kdca.go.kr/healthinfo/biz/health/gnrlzHealthInfo/gnrlzHealthInfo/gnrlzHealthInfoMain.do</x:v>
      </x:c>
    </x:row>
    <x:row r="514" ht="62" customHeight="1">
      <x:c r="A514" s="9" t="n">
        <x:v>513</x:v>
      </x:c>
      <x:c r="B514" s="6" t="str">
        <x:v>최종 평가</x:v>
      </x:c>
      <x:c r="C514" s="6" t="str">
        <x:v>질병</x:v>
      </x:c>
      <x:c r="D514" s="6" t="str">
        <x:v>증상→질환 구분</x:v>
      </x:c>
      <x:c r="E514" s="6" t="str">
        <x:v>답변 가능</x:v>
      </x:c>
      <x:c r="F514" s="6" t="str">
        <x:v>어려움</x:v>
      </x:c>
      <x:c r="G514" s="8" t="str">
        <x:v>초기에는 고열과 함께 두통, 구토, 전신 무력감 등의 증상을 보이다가, 이후에는 의식에 변화가 생기고 신경장애와 함께 운동장애, 경련 등이 나타날 수 있습니다. 이런 증상은 어떤 질환과 관련이 있을 수 있나요?</x:v>
      </x:c>
      <x:c r="H514" s="8" t="str">
        <x:v>일본뇌염</x:v>
      </x:c>
      <x:c r="I514" s="8" t="str">
        <x:v>일본뇌염 - 증상 초기에는 고열과 함께 두통, 구토, 전신 무력감 등의 증상을 보이다가, 이후에는 의식에 변화가 생기고 신경장애와 함께 운동장애, 경련 등이 나타날 수 있습니다. 일부 환자는 의식이 점차 나빠지면서 혼수상태에 이르기도 합니다. 이러한 신경학적 증상은 뇌를 싸고 있는 막(뇌수막염)이나 뇌 실질 자체까지 감염(뇌염)이 되었다는 것을 나타냅니다. 뇌염이 발생하면 사망률이 20~30%에 이를 수 있습니다.</x:v>
      </x:c>
      <x:c r="J514" s="8" t="str">
        <x:v>일본뇌염</x:v>
      </x:c>
      <x:c r="K514" s="8" t="str">
        <x:v>질병관리청 국가건강정보포털
https://health.kdca.go.kr/healthinfo/biz/health/gnrlzHealthInfo/gnrlzHealthInfo/gnrlzHealthInfoMain.do</x:v>
      </x:c>
    </x:row>
    <x:row r="515" ht="62" customHeight="1">
      <x:c r="A515" s="9" t="n">
        <x:v>514</x:v>
      </x:c>
      <x:c r="B515" s="6" t="str">
        <x:v>최종 평가</x:v>
      </x:c>
      <x:c r="C515" s="6" t="str">
        <x:v>질병</x:v>
      </x:c>
      <x:c r="D515" s="6" t="str">
        <x:v>치료·관리</x:v>
      </x:c>
      <x:c r="E515" s="6" t="str">
        <x:v>답변 가능</x:v>
      </x:c>
      <x:c r="F515" s="6" t="str">
        <x:v>쉬움</x:v>
      </x:c>
      <x:c r="G515" s="8" t="str">
        <x:v>파킨슨병은 어떻게 치료하거나 관리하나요?</x:v>
      </x:c>
      <x:c r="H515" s="8" t="str">
        <x:v>레보도파는 1960년대에 파킨슨병 치료에 도입된 이후 현재까지 파킨슨병의 약물 치료에 있어 가장 효과적이고 많이 사용되는 약제입니다. 파킨슨병은 도파민의 결핍으로 인해 운동장애가 발생하기 때문에 부족한 도파민을 약물로 보충해주면 운동증상이 개선될 수 있습니다. 하지만 도파민은 혈액과 뇌조직 사이에 존재하는 혈액뇌장벽을 통과하지 못하기 때문에 체내에 바로 주입하면 뇌의 신경세포까지 도달하지 못합니다.</x:v>
      </x:c>
      <x:c r="I515" s="8" t="str">
        <x:v>파킨슨병 - 약물 치료 레보도파는 1960년대에 파킨슨병 치료에 도입된 이후 현재까지 파킨슨병의 약물 치료에 있어 가장 효과적이고 많이 사용되는 약제입니다. 파킨슨병은 도파민의 결핍으로 인해 운동장애가 발생하기 때문에 부족한 도파민을 약물로 보충해주면 운동증상이 개선될 수 있습니다. 하지만 도파민은 혈액과 뇌조직 사이에 존재하는 혈액뇌장벽을 통과하지 못하기 때문에 체내에 바로 주입하면 뇌의 신경세포까지 도달하지 못합니다.</x:v>
      </x:c>
      <x:c r="J515" s="8" t="str">
        <x:v>파킨슨병</x:v>
      </x:c>
      <x:c r="K515" s="8" t="str">
        <x:v>질병관리청 국가건강정보포털
https://health.kdca.go.kr/healthinfo/biz/health/gnrlzHealthInfo/gnrlzHealthInfo/gnrlzHealthInfoMain.do</x:v>
      </x:c>
    </x:row>
    <x:row r="516" ht="62" customHeight="1">
      <x:c r="A516" s="9" t="n">
        <x:v>515</x:v>
      </x:c>
      <x:c r="B516" s="6" t="str">
        <x:v>최종 평가</x:v>
      </x:c>
      <x:c r="C516" s="6" t="str">
        <x:v>질병</x:v>
      </x:c>
      <x:c r="D516" s="6" t="str">
        <x:v>용어·정의</x:v>
      </x:c>
      <x:c r="E516" s="6" t="str">
        <x:v>답변 가능</x:v>
      </x:c>
      <x:c r="F516" s="6" t="str">
        <x:v>쉬움</x:v>
      </x:c>
      <x:c r="G516" s="8" t="str">
        <x:v>굳은살과 티눈이 뭔가요?</x:v>
      </x:c>
      <x:c r="H516" s="8" t="str">
        <x:v>'이것만은 꼭 기억하세요' • 굳은살과 티눈은 반복적인 마찰이나 압력으로 인해 피부 각질층이 두꺼워져 생기는 질환입니다.</x:v>
      </x:c>
      <x:c r="I516" s="8" t="str">
        <x:v>굳은살과 티눈 - 요약문 '이것만은 꼭 기억하세요' • 굳은살과 티눈은 반복적인 마찰이나 압력으로 인해 피부 각질층이 두꺼워져 생기는 질환입니다. • 굳은살은 넓은 부위가 단단해지는 반면, 티눈은 좁은 부위에 중심핵이 생기며 눌렀을 때 통증을 유발합니다. • 주로 발바닥, 발가락 등 압력을 많이 받는 부위에 생기며, 여성에게 더 자주 발생합니다. • 치료는 압력 제거와 각질 연화제 사용, 경우에 따라 수술적 제거가 필요합니다.</x:v>
      </x:c>
      <x:c r="J516" s="8" t="str">
        <x:v>굳은살과 티눈</x:v>
      </x:c>
      <x:c r="K516" s="8" t="str">
        <x:v>질병관리청 국가건강정보포털
https://health.kdca.go.kr/healthinfo/biz/health/gnrlzHealthInfo/gnrlzHealthInfo/gnrlzHealthInfoMain.do</x:v>
      </x:c>
    </x:row>
    <x:row r="517" ht="62" customHeight="1">
      <x:c r="A517" s="9" t="n">
        <x:v>516</x:v>
      </x:c>
      <x:c r="B517" s="6" t="str">
        <x:v>최종 평가</x:v>
      </x:c>
      <x:c r="C517" s="6" t="str">
        <x:v>질병</x:v>
      </x:c>
      <x:c r="D517" s="6" t="str">
        <x:v>예방·생활수칙</x:v>
      </x:c>
      <x:c r="E517" s="6" t="str">
        <x:v>답변 가능</x:v>
      </x:c>
      <x:c r="F517" s="6" t="str">
        <x:v>쉬움</x:v>
      </x:c>
      <x:c r="G517" s="8" t="str">
        <x:v>딸꾹질을 예방하려면 어떻게 해야 하나요?</x:v>
      </x:c>
      <x:c r="H517" s="8" t="str">
        <x:v>지속성, 난치성 딸꾹질은 원인 질환을 예방하는 것이 가장 중요합니다. 올바른 생활 습관과 조기 진단을 통해 원인을 찾아 치료해야 합니다. 과식이나 급하게 식사하는 습관을 피하고, 너무 차거나 뜨거운 음식을 먹지 않도록 합니다.</x:v>
      </x:c>
      <x:c r="I517" s="8" t="str">
        <x:v>딸꾹질 - 예방 / 자가 관리 느긋하게 식사하고, 과식을 피하고, 뜨겁거나 차갑거나 자극적인 음식을 피하고, 술을 많이 마시지 않고, 급격한 기온 변화나 탄산음료를 빨리 마시는 등 갑자기 공기를 삼키지 않도록 주의합니다. 스트레스 등 심리적인 원인에도 유의해야 합니다. 지속성, 난치성 딸꾹질은 원인 질환을 예방하는 것이 가장 중요합니다. 올바른 생활 습관과 조기 진단을 통해 원인을 찾아 치료해야 합니다. 과식이나 급하게 식사하는 습관을 피하고, 너무 차거나 뜨거운 음식을 먹지 않도록 합니다.</x:v>
      </x:c>
      <x:c r="J517" s="8" t="str">
        <x:v>딸꾹질</x:v>
      </x:c>
      <x:c r="K517" s="8" t="str">
        <x:v>질병관리청 국가건강정보포털
https://health.kdca.go.kr/healthinfo/biz/health/gnrlzHealthInfo/gnrlzHealthInfo/gnrlzHealthInfoMain.do</x:v>
      </x:c>
    </x:row>
    <x:row r="518" ht="62" customHeight="1">
      <x:c r="A518" s="9" t="n">
        <x:v>517</x:v>
      </x:c>
      <x:c r="B518" s="6" t="str">
        <x:v>최종 평가</x:v>
      </x:c>
      <x:c r="C518" s="6" t="str">
        <x:v>질병</x:v>
      </x:c>
      <x:c r="D518" s="6" t="str">
        <x:v>증상·양상</x:v>
      </x:c>
      <x:c r="E518" s="6" t="str">
        <x:v>답변 가능</x:v>
      </x:c>
      <x:c r="F518" s="6" t="str">
        <x:v>쉬움</x:v>
      </x:c>
      <x:c r="G518" s="8" t="str">
        <x:v>기관지확장증이 있으면 어떤 증상이 나타날 수 있나요?</x:v>
      </x:c>
      <x:c r="H518" s="8" t="str">
        <x:v>기관지확장증이 진행하거나 만성 폐쇄성 폐질환이 동반된 경우에는 폐기능 저하로 인해 호흡곤란 등의 증상이 생길 수 있습니다. 3. 객혈 비정상적으로 늘어난 기관지는 혈관들도 약해져서 가벼운 감염에도 혈관이 파괴되고 가래에 피가 섞여 나올 수 있습니다. 객혈은 대개 경미하지만 간혹 대량 객혈을 할 수 있으며, 이때는 적절한 시술이 필요합니다. 4. 만성피로, 체중 감소</x:v>
      </x:c>
      <x:c r="I518" s="8" t="str">
        <x:v>기관지확장증 - 증상 가래 배출이 원활하지 않으면 흔히 가슴 답답함을 느낍니다. 기관지확장증이 진행하거나 만성 폐쇄성 폐질환이 동반된 경우에는 폐기능 저하로 인해 호흡곤란 등의 증상이 생길 수 있습니다. 3. 객혈 비정상적으로 늘어난 기관지는 혈관들도 약해져서 가벼운 감염에도 혈관이 파괴되고 가래에 피가 섞여 나올 수 있습니다. 객혈은 대개 경미하지만 간혹 대량 객혈을 할 수 있으며, 이때는 적절한 시술이 필요합니다. 4. 만성피로, 체중 감소</x:v>
      </x:c>
      <x:c r="J518" s="8" t="str">
        <x:v>기관지확장증</x:v>
      </x:c>
      <x:c r="K518" s="8" t="str">
        <x:v>질병관리청 국가건강정보포털
https://health.kdca.go.kr/healthinfo/biz/health/gnrlzHealthInfo/gnrlzHealthInfo/gnrlzHealthInfoMain.do</x:v>
      </x:c>
    </x:row>
    <x:row r="519" ht="62" customHeight="1">
      <x:c r="A519" s="9" t="n">
        <x:v>518</x:v>
      </x:c>
      <x:c r="B519" s="6" t="str">
        <x:v>최종 평가</x:v>
      </x:c>
      <x:c r="C519" s="6" t="str">
        <x:v>질병</x:v>
      </x:c>
      <x:c r="D519" s="6" t="str">
        <x:v>개요·기타</x:v>
      </x:c>
      <x:c r="E519" s="6" t="str">
        <x:v>답변 가능</x:v>
      </x:c>
      <x:c r="F519" s="6" t="str">
        <x:v>쉬움</x:v>
      </x:c>
      <x:c r="G519" s="8" t="str">
        <x:v>저혈압에 대해 쉽게 설명해 주실 수 있나요?</x:v>
      </x:c>
      <x:c r="H519" s="8" t="str">
        <x:v>⦁ 급성 저혈압(쇼크)은 평소 정상 또는 고혈압이던 사람이 여러가지 원인으로 갑자기 혈압이 떨어지는 경우를 말합니다.</x:v>
      </x:c>
      <x:c r="I519" s="8" t="str">
        <x:v>저혈압 - 정의 ⦁ 급성 저혈압(쇼크)은 평소 정상 또는 고혈압이던 사람이 여러가지 원인으로 갑자기 혈압이 떨어지는 경우를 말합니다. 혈압 저하로 인한 쇼크 상태에서는 주요 장기로의 혈액 공급이 감소하여 장기 부전이 발생하고 생명이 위태로울 수 있어 응급하게 치료를 시행해야 합니다. ⦁ 반면 만성 저혈압은 평소 혈압이 지속적으로 기준치 보다 낮은 경우를 말하며, 대부분 혈압이 낮더라도 주요 장기로의 혈액 공급이 원활한 상태로 치료가 필요치는 않습니다.</x:v>
      </x:c>
      <x:c r="J519" s="8" t="str">
        <x:v>저혈압</x:v>
      </x:c>
      <x:c r="K519" s="8" t="str">
        <x:v>질병관리청 국가건강정보포털
https://health.kdca.go.kr/healthinfo/biz/health/gnrlzHealthInfo/gnrlzHealthInfo/gnrlzHealthInfoMain.do</x:v>
      </x:c>
    </x:row>
    <x:row r="520" ht="62" customHeight="1">
      <x:c r="A520" s="9" t="n">
        <x:v>519</x:v>
      </x:c>
      <x:c r="B520" s="6" t="str">
        <x:v>최종 평가</x:v>
      </x:c>
      <x:c r="C520" s="6" t="str">
        <x:v>질병</x:v>
      </x:c>
      <x:c r="D520" s="6" t="str">
        <x:v>원인·위험요인</x:v>
      </x:c>
      <x:c r="E520" s="6" t="str">
        <x:v>답변 가능</x:v>
      </x:c>
      <x:c r="F520" s="6" t="str">
        <x:v>쉬움</x:v>
      </x:c>
      <x:c r="G520" s="8" t="str">
        <x:v>얼굴떨림(얼굴연축_반얼굴연축)은 왜 생기나요?</x:v>
      </x:c>
      <x:c r="H520" s="8" t="str">
        <x:v>종양이나 동정맥기형, 파제트병과 같은 두개뼈에 병이 있는 경우 얼굴신경을 압박하여 증상을 일으킬 수 있으며, 뇌졸중이나 다발성 경화증과 같은 신경계 질환에 의해서도 발생할 수 있습니다. 대부분의 경우 발생 원인을 알 수 없지만, 얼굴신경 가까이에 있는 혈관에 의해 눌려서 발생할 수도 있는데 이러한 경우라면 주로 작은뇌와 뇌줄기가 만나는 부위 주변의 혈관에 의해서 발생하는 경우가 흔합니다.</x:v>
      </x:c>
      <x:c r="I520" s="8" t="str">
        <x:v>얼굴떨림(얼굴연축_반얼굴연축) - 원인 종양이나 동정맥기형, 파제트병과 같은 두개뼈에 병이 있는 경우 얼굴신경을 압박하여 증상을 일으킬 수 있으며, 뇌졸중이나 다발성 경화증과 같은 신경계 질환에 의해서도 발생할 수 있습니다. 대부분의 경우 발생 원인을 알 수 없지만, 얼굴신경 가까이에 있는 혈관에 의해 눌려서 발생할 수도 있는데 이러한 경우라면 주로 작은뇌와 뇌줄기가 만나는 부위 주변의 혈관에 의해서 발생하는 경우가 흔합니다.</x:v>
      </x:c>
      <x:c r="J520" s="8" t="str">
        <x:v>얼굴떨림(얼굴연축_반얼굴연축)</x:v>
      </x:c>
      <x:c r="K520" s="8" t="str">
        <x:v>질병관리청 국가건강정보포털
https://health.kdca.go.kr/healthinfo/biz/health/gnrlzHealthInfo/gnrlzHealthInfo/gnrlzHealthInfoMain.do</x:v>
      </x:c>
    </x:row>
    <x:row r="521" ht="62" customHeight="1">
      <x:c r="A521" s="9" t="n">
        <x:v>520</x:v>
      </x:c>
      <x:c r="B521" s="6" t="str">
        <x:v>최종 평가</x:v>
      </x:c>
      <x:c r="C521" s="6" t="str">
        <x:v>질병</x:v>
      </x:c>
      <x:c r="D521" s="6" t="str">
        <x:v>예방·생활수칙</x:v>
      </x:c>
      <x:c r="E521" s="6" t="str">
        <x:v>답변 가능</x:v>
      </x:c>
      <x:c r="F521" s="6" t="str">
        <x:v>쉬움</x:v>
      </x:c>
      <x:c r="G521" s="8" t="str">
        <x:v>결핵을 예방하려면 어떻게 해야 하나요?</x:v>
      </x:c>
      <x:c r="H521" s="8" t="str">
        <x:v>BCG 예방 접종: BCG 예방 접종은 병을 일으키기에는 약한(비병원성) BCG균을 주사함으로써 면역 반응을 유도하여 결핵을 예방하는 방법입니다. BCG 백신은 성인의 폐결핵 빈도를 줄이는 데는 크게 기여하지 못하지만 소아의 속립 결핵과 결핵 뇌수막염 등 심각한 결핵이 생길 가능성을 크게 줄일 수 있습니다.</x:v>
      </x:c>
      <x:c r="I521" s="8" t="str">
        <x:v>결핵 - 예방 및 예방접종 1) 결핵 발병을 예방하는 방법 •BCG 예방 접종: BCG 예방 접종은 병을 일으키기에는 약한(비병원성) BCG균을 주사함으로써 면역 반응을 유도하여 결핵을 예방하는 방법입니다. BCG 백신은 성인의 폐결핵 빈도를 줄이는 데는 크게 기여하지 못하지만 소아의 속립 결핵과 결핵 뇌수막염 등 심각한 결핵이 생길 가능성을 크게 줄일 수 있습니다.</x:v>
      </x:c>
      <x:c r="J521" s="8" t="str">
        <x:v>결핵</x:v>
      </x:c>
      <x:c r="K521" s="8" t="str">
        <x:v>질병관리청 국가건강정보포털
https://health.kdca.go.kr/healthinfo/biz/health/gnrlzHealthInfo/gnrlzHealthInfo/gnrlzHealthInfoMain.do</x:v>
      </x:c>
    </x:row>
    <x:row r="522" ht="62" customHeight="1">
      <x:c r="A522" s="9" t="n">
        <x:v>521</x:v>
      </x:c>
      <x:c r="B522" s="6" t="str">
        <x:v>최종 평가</x:v>
      </x:c>
      <x:c r="C522" s="6" t="str">
        <x:v>질병</x:v>
      </x:c>
      <x:c r="D522" s="6" t="str">
        <x:v>증상→질환 구분</x:v>
      </x:c>
      <x:c r="E522" s="6" t="str">
        <x:v>답변 가능</x:v>
      </x:c>
      <x:c r="F522" s="6" t="str">
        <x:v>어려움</x:v>
      </x:c>
      <x:c r="G522" s="8" t="str">
        <x:v>외상으로 인하여 눈꺼풀이 붓고, 피하출혈이나 결막 출혈로 눈이 빨갛게 되고, 골절 부위를 통하여 눈 뒤쪽으로 공기가 들어가서 대부분의 환자는 일시적으로 눈이 돌출되어 보입니다. 이런 증상은 어떤 질환과 관련이 있을 수 있나요?</x:v>
      </x:c>
      <x:c r="H522" s="8" t="str">
        <x:v>안외상(안와골절)</x:v>
      </x:c>
      <x:c r="I522" s="8" t="str">
        <x:v>안외상(안와골절) - 개요 / 증상 심한 경우 눈이 들어가 보이거나 안구 운동 장애 등이 동반되는 경우도 있지만, 대개 출혈과 부종이 동반되는 경우가 많아 안와 CT 촬영을 해야 정확한 진단을 할 수 있습니다. 외상으로 인하여 눈꺼풀이 붓고, 피하출혈이나 결막 출혈로 눈이 빨갛게 되고, 골절 부위를 통하여 눈 뒤쪽으로 공기가 들어가서 대부분의 환자는 일시적으로 눈이 돌출되어 보입니다. 하지만, 시간이 지나면 대부분 눈이 꺼지는 안구 함몰이 발생하게 됩니다.</x:v>
      </x:c>
      <x:c r="J522" s="8" t="str">
        <x:v>안외상(안와골절)</x:v>
      </x:c>
      <x:c r="K522" s="8" t="str">
        <x:v>질병관리청 국가건강정보포털
https://health.kdca.go.kr/healthinfo/biz/health/gnrlzHealthInfo/gnrlzHealthInfo/gnrlzHealthInfoMain.do</x:v>
      </x:c>
    </x:row>
    <x:row r="523" ht="62" customHeight="1">
      <x:c r="A523" s="9" t="n">
        <x:v>522</x:v>
      </x:c>
      <x:c r="B523" s="6" t="str">
        <x:v>최종 평가</x:v>
      </x:c>
      <x:c r="C523" s="6" t="str">
        <x:v>질병</x:v>
      </x:c>
      <x:c r="D523" s="6" t="str">
        <x:v>증상→질환 구분</x:v>
      </x:c>
      <x:c r="E523" s="6" t="str">
        <x:v>답변 가능</x:v>
      </x:c>
      <x:c r="F523" s="6" t="str">
        <x:v>어려움</x:v>
      </x:c>
      <x:c r="G523" s="8" t="str">
        <x:v>전형적인 가슴통증이 나타나지만 때로는 호흡곤란이나 어지럼증으로 나타날 수 있고, 노인이나 당뇨 환자인 경우에는 기운이 없는 정도로 증상이 없을 수 있습니다. 이런 증상은 어떤 질환과 관련이 있을 수 있나요?</x:v>
      </x:c>
      <x:c r="H523" s="8" t="str">
        <x:v>급성 심근경색증</x:v>
      </x:c>
      <x:c r="I523" s="8" t="str">
        <x:v>급성 심근경색증 - 역학 및 통계 / 증상 또한, 통계청의 2022년 사망원인통계에 따르면, 급성 심근경색증 등 허혈성 심장 질환으로 인한 사망은 총 14,739명(인구 10만 명당 28.8명)이었으며, 주로 40~60대에서 사망률이 높았습니다. 전형적인 가슴통증이 나타나지만 때로는 호흡곤란이나 어지럼증으로 나타날 수 있고, 노인이나 당뇨 환자인 경우에는 기운이 없는 정도로 증상이 없을 수 있습니다.</x:v>
      </x:c>
      <x:c r="J523" s="8" t="str">
        <x:v>급성 심근경색증</x:v>
      </x:c>
      <x:c r="K523" s="8" t="str">
        <x:v>질병관리청 국가건강정보포털
https://health.kdca.go.kr/healthinfo/biz/health/gnrlzHealthInfo/gnrlzHealthInfo/gnrlzHealthInfoMain.do</x:v>
      </x:c>
    </x:row>
    <x:row r="524" ht="62" customHeight="1">
      <x:c r="A524" s="9" t="n">
        <x:v>523</x:v>
      </x:c>
      <x:c r="B524" s="6" t="str">
        <x:v>최종 평가</x:v>
      </x:c>
      <x:c r="C524" s="6" t="str">
        <x:v>질병</x:v>
      </x:c>
      <x:c r="D524" s="6" t="str">
        <x:v>증상·양상</x:v>
      </x:c>
      <x:c r="E524" s="6" t="str">
        <x:v>답변 가능</x:v>
      </x:c>
      <x:c r="F524" s="6" t="str">
        <x:v>쉬움</x:v>
      </x:c>
      <x:c r="G524" s="8" t="str">
        <x:v>유두분비가 있으면 어떤 증상이 나타날 수 있나요?</x:v>
      </x:c>
      <x:c r="H524" s="8" t="str">
        <x:v>유두 분비는 대부분 생리적이거나 양성질환으로 인해 발생하지만, 유방암을 반드시 감별해야 하므로 다음과 같은 증상이 발생하는 경우에는 반드시 의사의 진료를 받아야 합니다. - 종괴가 만져집니다. - 유두 분비물이 한쪽 유방에서만 나옵니다. - 유두 분비물에 피가 섞여 붉은 색을 띱니다. - 유두를 압박하지 않아도 유두 분비물이 나옵니다. 유두 분비의 치료는 원인에 따라 달라집니다.</x:v>
      </x:c>
      <x:c r="I524" s="8" t="str">
        <x:v>유두분비 - 연관 증상 / 치료 유두 분비는 대부분 생리적이거나 양성질환으로 인해 발생하지만, 유방암을 반드시 감별해야 하므로 다음과 같은 증상이 발생하는 경우에는 반드시 의사의 진료를 받아야 합니다. - 종괴가 만져집니다. - 유두 분비물이 한쪽 유방에서만 나옵니다. - 유두 분비물에 피가 섞여 붉은 색을 띱니다. - 유두를 압박하지 않아도 유두 분비물이 나옵니다. 유두 분비의 치료는 원인에 따라 달라집니다.</x:v>
      </x:c>
      <x:c r="J524" s="8" t="str">
        <x:v>유두분비</x:v>
      </x:c>
      <x:c r="K524" s="8" t="str">
        <x:v>질병관리청 국가건강정보포털
https://health.kdca.go.kr/healthinfo/biz/health/gnrlzHealthInfo/gnrlzHealthInfo/gnrlzHealthInfoMain.do</x:v>
      </x:c>
    </x:row>
    <x:row r="525" ht="62" customHeight="1">
      <x:c r="A525" s="9" t="n">
        <x:v>524</x:v>
      </x:c>
      <x:c r="B525" s="6" t="str">
        <x:v>최종 평가</x:v>
      </x:c>
      <x:c r="C525" s="6" t="str">
        <x:v>질병</x:v>
      </x:c>
      <x:c r="D525" s="6" t="str">
        <x:v>기준·수치</x:v>
      </x:c>
      <x:c r="E525" s="6" t="str">
        <x:v>답변 가능</x:v>
      </x:c>
      <x:c r="F525" s="6" t="str">
        <x:v>쉬움</x:v>
      </x:c>
      <x:c r="G525" s="8" t="str">
        <x:v>비브리오 패혈증과 관련해 알아두어야 할 기준이나 수치는 무엇인가요?</x:v>
      </x:c>
      <x:c r="H525" s="8" t="str">
        <x:v>적극적 치료에도 불구하고 비브리오 패혈증으로 인한 치사율이 매우 높기 때문에 (특히 고위험군에서 5~11월 사이의 기간에) 감염되지 않도록 예방하는 것이 중요합니다.</x:v>
      </x:c>
      <x:c r="I525" s="8" t="str">
        <x:v>비브리오 패혈증 - 예방 및 예방접종 적극적 치료에도 불구하고 비브리오 패혈증으로 인한 치사율이 매우 높기 때문에 (특히 고위험군에서 5~11월 사이의 기간에) 감염되지 않도록 예방하는 것이 중요합니다. &lt;예방 방법&gt; • 어패류는 충분히 익혀 먹습니다. • 피부에 상처가 있는 사람 은 바닷물과 접촉하지 않도록 하며, 바닷물과 접촉한 경우 깨끗한 물과 비누로 노출 부위를 씻어 냅니다. • 여름철 어패류는 5℃ 이하의 저온 상태로 저장합니다.</x:v>
      </x:c>
      <x:c r="J525" s="8" t="str">
        <x:v>비브리오 패혈증</x:v>
      </x:c>
      <x:c r="K525" s="8" t="str">
        <x:v>질병관리청 국가건강정보포털
https://health.kdca.go.kr/healthinfo/biz/health/gnrlzHealthInfo/gnrlzHealthInfo/gnrlzHealthInfoMain.do</x:v>
      </x:c>
    </x:row>
    <x:row r="526" ht="62" customHeight="1">
      <x:c r="A526" s="9" t="n">
        <x:v>525</x:v>
      </x:c>
      <x:c r="B526" s="6" t="str">
        <x:v>최종 평가</x:v>
      </x:c>
      <x:c r="C526" s="6" t="str">
        <x:v>질병</x:v>
      </x:c>
      <x:c r="D526" s="6" t="str">
        <x:v>답변불가·치료비·보험</x:v>
      </x:c>
      <x:c r="E526" s="6" t="str">
        <x:v>답변 거부</x:v>
      </x:c>
      <x:c r="F526" s="6" t="str">
        <x:v>어려움</x:v>
      </x:c>
      <x:c r="G526" s="8" t="str">
        <x:v>폴리오 치료비와 제 보험에서 보장되는 금액을 정확히 알려주세요.</x:v>
      </x:c>
      <x:c r="H526" s="8" t="str">
        <x:v>제공된 질병관리청 VDB에는 개인별 치료비와 보험 보장 금액 정보가 없어 답할 수 없습니다.</x:v>
      </x:c>
      <x:c r="I526" s="8" t="str">
        <x:v>VDB 범위 밖 질문 — 근거 없음</x:v>
      </x:c>
      <x:c r="J526" s="8" t="str">
        <x:v>폴리오</x:v>
      </x:c>
      <x:c r="K526" s="8" t="str">
        <x:v>질병관리청 국가건강정보포털
https://health.kdca.go.kr/healthinfo/biz/health/gnrlzHealthInfo/gnrlzHealthInfo/gnrlzHealthInfoMain.do</x:v>
      </x:c>
    </x:row>
    <x:row r="527" ht="62" customHeight="1">
      <x:c r="A527" s="9" t="n">
        <x:v>526</x:v>
      </x:c>
      <x:c r="B527" s="6" t="str">
        <x:v>최종 평가</x:v>
      </x:c>
      <x:c r="C527" s="6" t="str">
        <x:v>질병</x:v>
      </x:c>
      <x:c r="D527" s="6" t="str">
        <x:v>증상→질환 구분</x:v>
      </x:c>
      <x:c r="E527" s="6" t="str">
        <x:v>답변 가능</x:v>
      </x:c>
      <x:c r="F527" s="6" t="str">
        <x:v>어려움</x:v>
      </x:c>
      <x:c r="G527" s="8" t="str">
        <x:v>신경·근육계: 근력약화, 근육경련, 근육통, 감각이상, 전신 무기력증, 피로감 등이 나타납니다. 이런 증상은 어떤 질환과 관련이 있을 수 있나요?</x:v>
      </x:c>
      <x:c r="H527" s="8" t="str">
        <x:v>전해질 이상(저칼륨혈증)</x:v>
      </x:c>
      <x:c r="I527" s="8" t="str">
        <x:v>전해질 이상(저칼륨혈증) - 원인 / 증상 또한 인슐린 사용이나 특정 질환이나 상태(고알도스테론혈증, 알칼리혈증) 등 다양한 원인에 의해 생길 수 있습니다. 신경·근육계: 근력약화, 근육경련, 근육통, 감각이상, 전신 무기력증, 피로감 등이 나타납니다.소화기계: 장 운동이 느려져 변비가 생기거나, 심하면 장이 멈추는 장 운동 마비가 올 수 있습니다.심장계: 가장 위험한 증상으로, 맥박이 불규칙하게 뛰는 부정맥이나 심정지가 발생할 수 있습니다.</x:v>
      </x:c>
      <x:c r="J527" s="8" t="str">
        <x:v>전해질 이상(저칼륨혈증)</x:v>
      </x:c>
      <x:c r="K527" s="8" t="str">
        <x:v>질병관리청 국가건강정보포털
https://health.kdca.go.kr/healthinfo/biz/health/gnrlzHealthInfo/gnrlzHealthInfo/gnrlzHealthInfoMain.do</x:v>
      </x:c>
    </x:row>
    <x:row r="528" ht="62" customHeight="1">
      <x:c r="A528" s="9" t="n">
        <x:v>527</x:v>
      </x:c>
      <x:c r="B528" s="6" t="str">
        <x:v>최종 평가</x:v>
      </x:c>
      <x:c r="C528" s="6" t="str">
        <x:v>질병</x:v>
      </x:c>
      <x:c r="D528" s="6" t="str">
        <x:v>개요·기타</x:v>
      </x:c>
      <x:c r="E528" s="6" t="str">
        <x:v>답변 가능</x:v>
      </x:c>
      <x:c r="F528" s="6" t="str">
        <x:v>쉬움</x:v>
      </x:c>
      <x:c r="G528" s="8" t="str">
        <x:v>치통 및 만성 통증에 대해 쉽게 설명해 주실 수 있나요?</x:v>
      </x:c>
      <x:c r="H528" s="8" t="str">
        <x:v>복합관절(compound joint)은 적어도 세 개의 뼈로 이루어지는 관절을 말하는데, 턱관절은 머리뼈, 아래턱뼈 그리고 관절원판으로 이루어져 복합관절이라고 할 수 있습니다.</x:v>
      </x:c>
      <x:c r="I528" s="8" t="str">
        <x:v>치통 및 만성 통증 - 개요 복합관절(compound joint)은 적어도 세 개의 뼈로 이루어지는 관절을 말하는데, 턱관절은 머리뼈, 아래턱뼈 그리고 관절원판으로 이루어져 복합관절이라고 할 수 있습니다. 이러한 독특한 구조로 인해 다른 관절에 비하여 자유롭게 움직일 수 있어서, 회전운동, 활주운동, 측방운동(옆으로 움직이는 운동) 등 복잡한 움직임이 가능합니다.</x:v>
      </x:c>
      <x:c r="J528" s="8" t="str">
        <x:v>치통 및 만성 통증</x:v>
      </x:c>
      <x:c r="K528" s="8" t="str">
        <x:v>질병관리청 국가건강정보포털
https://health.kdca.go.kr/healthinfo/biz/health/gnrlzHealthInfo/gnrlzHealthInfo/gnrlzHealthInfoMain.do</x:v>
      </x:c>
    </x:row>
    <x:row r="529" ht="62" customHeight="1">
      <x:c r="A529" s="9" t="n">
        <x:v>528</x:v>
      </x:c>
      <x:c r="B529" s="6" t="str">
        <x:v>최종 평가</x:v>
      </x:c>
      <x:c r="C529" s="6" t="str">
        <x:v>질병</x:v>
      </x:c>
      <x:c r="D529" s="6" t="str">
        <x:v>기준·수치</x:v>
      </x:c>
      <x:c r="E529" s="6" t="str">
        <x:v>답변 가능</x:v>
      </x:c>
      <x:c r="F529" s="6" t="str">
        <x:v>쉬움</x:v>
      </x:c>
      <x:c r="G529" s="8" t="str">
        <x:v>부종과 관련된 증상이나 상태는 보통 얼마나 지속되나요?</x:v>
      </x:c>
      <x:c r="H529" s="8" t="str">
        <x:v>국소 부종이 72시간 이내에 발생하였다면 정맥부전증을 가장 먼저 의심하고 혈액검사나 초음파 검사를 통해 정맥혈전증을 진단할 수 있으며, 발생한 지 72시간 이상 경과된 경우에는 암이나 골반 수술, 손상의 기왕력을 확인한 후 영상검사를 통해 원인 질환을 진단해야 합니다.</x:v>
      </x:c>
      <x:c r="I529" s="8" t="str">
        <x:v>부종 - 진단 및 검사 / 치료 폐경 전 여성이면서 다른 질환의 가능성이 낮은 경우에는 특발성 부종, 임신, 월경 전 증후군을 의심해 볼 수 있습니다. 국소 부종이 72시간 이내에 발생하였다면 정맥부전증을 가장 먼저 의심하고 혈액검사나 초음파 검사를 통해 정맥혈전증을 진단할 수 있으며, 발생한 지 72시간 이상 경과된 경우에는 암이나 골반 수술, 손상의 기왕력을 확인한 후 영상검사를 통해 원인 질환을 진단해야 합니다. 부종의 치료는 원인 치료와 증상 치료로 나눕니다.</x:v>
      </x:c>
      <x:c r="J529" s="8" t="str">
        <x:v>부종</x:v>
      </x:c>
      <x:c r="K529" s="8" t="str">
        <x:v>질병관리청 국가건강정보포털
https://health.kdca.go.kr/healthinfo/biz/health/gnrlzHealthInfo/gnrlzHealthInfo/gnrlzHealthInfoMain.do</x:v>
      </x:c>
    </x:row>
    <x:row r="530" ht="62" customHeight="1">
      <x:c r="A530" s="9" t="n">
        <x:v>529</x:v>
      </x:c>
      <x:c r="B530" s="6" t="str">
        <x:v>최종 평가</x:v>
      </x:c>
      <x:c r="C530" s="6" t="str">
        <x:v>질병</x:v>
      </x:c>
      <x:c r="D530" s="6" t="str">
        <x:v>치료·관리</x:v>
      </x:c>
      <x:c r="E530" s="6" t="str">
        <x:v>답변 가능</x:v>
      </x:c>
      <x:c r="F530" s="6" t="str">
        <x:v>쉬움</x:v>
      </x:c>
      <x:c r="G530" s="8" t="str">
        <x:v>턱관절 장애는 어떻게 치료하거나 관리하나요?</x:v>
      </x:c>
      <x:c r="H530" s="8" t="str">
        <x:v>행동치료는 다른 말로 행동수정 혹은 조건화치료라고도 하며 학습심리학이론을 바탕으로 하고 있습니다. 즉, 인간의 행동에 관해서 실험적으로 얻어진 객관적이고 측정 가능한 결과를 바탕으로, 개인에게서 나타나는 어떤 ‘증상’을 무의식의 문제가 표면화된 것으로 간주합니다. 이러한 '증상'을 간접적으로 다루기보다는, 학습된 행동으로 간주하여 행동주의 심리학적 접근법을 통해서 문제행동을 직접적으로 변화시키거나 수정하는 치료법을 말합니다.</x:v>
      </x:c>
      <x:c r="I530" s="8" t="str">
        <x:v>턱관절 장애 - 치료 행동치료 행동치료는 다른 말로 행동수정 혹은 조건화치료라고도 하며 학습심리학이론을 바탕으로 하고 있습니다. 즉, 인간의 행동에 관해서 실험적으로 얻어진 객관적이고 측정 가능한 결과를 바탕으로, 개인에게서 나타나는 어떤 ‘증상’을 무의식의 문제가 표면화된 것으로 간주합니다. 이러한 '증상'을 간접적으로 다루기보다는, 학습된 행동으로 간주하여 행동주의 심리학적 접근법을 통해서 문제행동을 직접적으로 변화시키거나 수정하는 치료법을 말합니다.</x:v>
      </x:c>
      <x:c r="J530" s="8" t="str">
        <x:v>턱관절 장애</x:v>
      </x:c>
      <x:c r="K530" s="8" t="str">
        <x:v>질병관리청 국가건강정보포털
https://health.kdca.go.kr/healthinfo/biz/health/gnrlzHealthInfo/gnrlzHealthInfo/gnrlzHealthInfoMain.do</x:v>
      </x:c>
    </x:row>
    <x:row r="531" ht="62" customHeight="1">
      <x:c r="A531" s="9" t="n">
        <x:v>530</x:v>
      </x:c>
      <x:c r="B531" s="6" t="str">
        <x:v>최종 평가</x:v>
      </x:c>
      <x:c r="C531" s="6" t="str">
        <x:v>질병</x:v>
      </x:c>
      <x:c r="D531" s="6" t="str">
        <x:v>증상→질환 구분</x:v>
      </x:c>
      <x:c r="E531" s="6" t="str">
        <x:v>답변 가능</x:v>
      </x:c>
      <x:c r="F531" s="6" t="str">
        <x:v>어려움</x:v>
      </x:c>
      <x:c r="G531" s="8" t="str">
        <x:v>갑작스럽게 시작되는 열성 호흡기 질환으로, 고열, 오한, 두통, 근육통 또는 피로감 같은 전신 증상과 기침, 인후통 같은 호흡기 증상이 나타납니다. 이런 증상은 어떤 질환과 관련이 있을 수 있나요?</x:v>
      </x:c>
      <x:c r="H531" s="8" t="str">
        <x:v>인플루엔자</x:v>
      </x:c>
      <x:c r="I531" s="8" t="str">
        <x:v>인플루엔자 - 역학 및 통계 / 증상 감염된 대부분의 환자에게서 심한 폐렴과 호흡곤란 등의 급성 호흡기증상이 나타났으며, 2013년 말까지 총 139명이 감염되고 이 중 45명이 사망하였습니다(WHO, 2013.11.6). 국내 인플루엔자 발생현황은 질병관리청 감염병포털의 '감염병통계'에서 확인할 수 있습니다. 인플루엔자는 갑작스럽게 시작되는 열성 호흡기 질환으로, 고열, 오한, 두통, 근육통 또는 피로감 같은 전신 증상과 기침, 인후통 같은 호흡기 증상이 나타납니다.</x:v>
      </x:c>
      <x:c r="J531" s="8" t="str">
        <x:v>인플루엔자</x:v>
      </x:c>
      <x:c r="K531" s="8" t="str">
        <x:v>질병관리청 국가건강정보포털
https://health.kdca.go.kr/healthinfo/biz/health/gnrlzHealthInfo/gnrlzHealthInfo/gnrlzHealthInfoMain.do</x:v>
      </x:c>
    </x:row>
    <x:row r="532" ht="62" customHeight="1">
      <x:c r="A532" s="9" t="n">
        <x:v>531</x:v>
      </x:c>
      <x:c r="B532" s="6" t="str">
        <x:v>최종 평가</x:v>
      </x:c>
      <x:c r="C532" s="6" t="str">
        <x:v>질병</x:v>
      </x:c>
      <x:c r="D532" s="6" t="str">
        <x:v>기준·수치</x:v>
      </x:c>
      <x:c r="E532" s="6" t="str">
        <x:v>답변 가능</x:v>
      </x:c>
      <x:c r="F532" s="6" t="str">
        <x:v>쉬움</x:v>
      </x:c>
      <x:c r="G532" s="8" t="str">
        <x:v>신생아 황달과 관련해 알아두어야 할 기준이나 수치는 무엇인가요?</x:v>
      </x:c>
      <x:c r="H532" s="8" t="str">
        <x:v>2차 검사에서는 혈액형, 헤모글로빈 수치(빈혈 정도를 알 수 있음), 간 효소치(간 기능 이상을 알 수 있음), 불포합 및 포합 빌리루빈 농도, 적혈구 항체 등을 알아봅니다.</x:v>
      </x:c>
      <x:c r="I532" s="8" t="str">
        <x:v>신생아 황달 - 진단 및 검사 2차 검사에서는 혈액형, 헤모글로빈 수치(빈혈 정도를 알 수 있음), 간 효소치(간 기능 이상을 알 수 있음), 불포합 및 포합 빌리루빈 농도, 적혈구 항체 등을 알아봅니다. 황달이 오래 지속되거나 다른 기저 질환이 의심된다면 선천성 간염, 기타 선천성 감염 질환, 선천성 대사 이상 질환에 대한 검사와 함께 간 초음파 검사 등을 시행합니다. 3. 경피적 황달 측정기</x:v>
      </x:c>
      <x:c r="J532" s="8" t="str">
        <x:v>신생아 황달</x:v>
      </x:c>
      <x:c r="K532" s="8" t="str">
        <x:v>질병관리청 국가건강정보포털
https://health.kdca.go.kr/healthinfo/biz/health/gnrlzHealthInfo/gnrlzHealthInfo/gnrlzHealthInfoMain.do</x:v>
      </x:c>
    </x:row>
    <x:row r="533" ht="62" customHeight="1">
      <x:c r="A533" s="9" t="n">
        <x:v>532</x:v>
      </x:c>
      <x:c r="B533" s="6" t="str">
        <x:v>최종 평가</x:v>
      </x:c>
      <x:c r="C533" s="6" t="str">
        <x:v>질병</x:v>
      </x:c>
      <x:c r="D533" s="6" t="str">
        <x:v>증상·양상</x:v>
      </x:c>
      <x:c r="E533" s="6" t="str">
        <x:v>답변 가능</x:v>
      </x:c>
      <x:c r="F533" s="6" t="str">
        <x:v>쉬움</x:v>
      </x:c>
      <x:c r="G533" s="8" t="str">
        <x:v>코피(비출혈)이 있으면 어떤 증상이 나타날 수 있나요?</x:v>
      </x:c>
      <x:c r="H533" s="8" t="str">
        <x:v>계속되는 출혈로 인해 환자는 어지럼증, 빈맥, 식은땀 등의 증상이 있고 육안으로 보기에도 창백한 얼굴색과 결막이 관찰될 수 있습니다. 출혈이 심해질 경우 입원치료나 수액 보충 등이 필요할 수 있습니다. 이비인후과 의사는 치료를 시작하기 전에 환자의 나이와 함께 문진을 통해 외상, 수술 등의 유발인자와 출혈의 기왕력이 있는지 확인합니다.</x:v>
      </x:c>
      <x:c r="I533" s="8" t="str">
        <x:v>코피(비출혈) - 증상 / 진단 및 검사 계속되는 출혈로 인해 환자는 어지럼증, 빈맥, 식은땀 등의 증상이 있고 육안으로 보기에도 창백한 얼굴색과 결막이 관찰될 수 있습니다. 출혈이 심해질 경우 입원치료나 수액 보충 등이 필요할 수 있습니다. 이비인후과 의사는 치료를 시작하기 전에 환자의 나이와 함께 문진을 통해 외상, 수술 등의 유발인자와 출혈의 기왕력이 있는지 확인합니다.</x:v>
      </x:c>
      <x:c r="J533" s="8" t="str">
        <x:v>코피(비출혈)</x:v>
      </x:c>
      <x:c r="K533" s="8" t="str">
        <x:v>질병관리청 국가건강정보포털
https://health.kdca.go.kr/healthinfo/biz/health/gnrlzHealthInfo/gnrlzHealthInfo/gnrlzHealthInfoMain.do</x:v>
      </x:c>
    </x:row>
    <x:row r="534" ht="62" customHeight="1">
      <x:c r="A534" s="9" t="n">
        <x:v>533</x:v>
      </x:c>
      <x:c r="B534" s="6" t="str">
        <x:v>최종 평가</x:v>
      </x:c>
      <x:c r="C534" s="6" t="str">
        <x:v>질병</x:v>
      </x:c>
      <x:c r="D534" s="6" t="str">
        <x:v>증상→질환 구분</x:v>
      </x:c>
      <x:c r="E534" s="6" t="str">
        <x:v>답변 가능</x:v>
      </x:c>
      <x:c r="F534" s="6" t="str">
        <x:v>어려움</x:v>
      </x:c>
      <x:c r="G534" s="8" t="str">
        <x:v>배뇨 시 통증(작열감), 요도 분비물(고름이나 탁한 액체), 성기 통증이나 불편감 등이 주요 증상으로, 초기부터 뚜렷하게 나타나 치료 시점을 놓치는 경우가 상대적으로 적습니다. 이런 증상은 어떤 질환과 관련이 있을 수 있나요?</x:v>
      </x:c>
      <x:c r="H534" s="8" t="str">
        <x:v>성매개감염병</x:v>
      </x:c>
      <x:c r="I534" s="8" t="str">
        <x:v>성매개감염병 - 증상 배뇨 시 통증(작열감), 요도 분비물(고름이나 탁한 액체), 성기 통증이나 불편감 등이 주요 증상으로, 초기부터 뚜렷하게 나타나 치료 시점을 놓치는 경우가 상대적으로 적습니다. 반면 여성은 무증상 감염이 더 흔합니다. 질염이나 골반염이 발생하기도 하지만, 여성의 성매개감염병은 자궁과 난관을 거쳐 복막으로 퍼질 수 있어 심각한 합병증이나 중증 감염으로 진행될 수 있습니다.</x:v>
      </x:c>
      <x:c r="J534" s="8" t="str">
        <x:v>성매개감염병</x:v>
      </x:c>
      <x:c r="K534" s="8" t="str">
        <x:v>질병관리청 국가건강정보포털
https://health.kdca.go.kr/healthinfo/biz/health/gnrlzHealthInfo/gnrlzHealthInfo/gnrlzHealthInfoMain.do</x:v>
      </x:c>
    </x:row>
    <x:row r="535" ht="62" customHeight="1">
      <x:c r="A535" s="9" t="n">
        <x:v>534</x:v>
      </x:c>
      <x:c r="B535" s="6" t="str">
        <x:v>최종 평가</x:v>
      </x:c>
      <x:c r="C535" s="6" t="str">
        <x:v>질병</x:v>
      </x:c>
      <x:c r="D535" s="6" t="str">
        <x:v>개요·기타</x:v>
      </x:c>
      <x:c r="E535" s="6" t="str">
        <x:v>답변 가능</x:v>
      </x:c>
      <x:c r="F535" s="6" t="str">
        <x:v>쉬움</x:v>
      </x:c>
      <x:c r="G535" s="8" t="str">
        <x:v>무릎 연골 손상에 대해 쉽게 설명해 주실 수 있나요?</x:v>
      </x:c>
      <x:c r="H535" s="8" t="str">
        <x:v>무릎 연골 손상은 외상성 손상(사고, 스포츠 손상 등)과 퇴행성 손상(노화, 반복적 하중, 체중 증가 등)으로 나눌 수 있습니다.</x:v>
      </x:c>
      <x:c r="I535" s="8" t="str">
        <x:v>무릎 연골 손상 - 개요 무릎 연골 손상은 외상성 손상(사고, 스포츠 손상 등)과 퇴행성 손상(노화, 반복적 하중, 체중 증가 등)으로 나눌 수 있습니다.외상성 손상은 갑작스러운 충격으로 연골이 벗겨지거나,연골 아래 뼈(연골하골)가 함께 떨어져 나가는 박리성 골연골염(Osteochondritis Dissecans) 형태로 나타날 수 있습니다.퇴행성 손상은 시간이 지나면서 연골이 점차 닳아 얇아지는</x:v>
      </x:c>
      <x:c r="J535" s="8" t="str">
        <x:v>무릎 연골 손상</x:v>
      </x:c>
      <x:c r="K535" s="8" t="str">
        <x:v>질병관리청 국가건강정보포털
https://health.kdca.go.kr/healthinfo/biz/health/gnrlzHealthInfo/gnrlzHealthInfo/gnrlzHealthInfoMain.do</x:v>
      </x:c>
    </x:row>
    <x:row r="536" ht="62" customHeight="1">
      <x:c r="A536" s="9" t="n">
        <x:v>535</x:v>
      </x:c>
      <x:c r="B536" s="6" t="str">
        <x:v>최종 평가</x:v>
      </x:c>
      <x:c r="C536" s="6" t="str">
        <x:v>질병</x:v>
      </x:c>
      <x:c r="D536" s="6" t="str">
        <x:v>예방·생활수칙</x:v>
      </x:c>
      <x:c r="E536" s="6" t="str">
        <x:v>답변 가능</x:v>
      </x:c>
      <x:c r="F536" s="6" t="str">
        <x:v>쉬움</x:v>
      </x:c>
      <x:c r="G536" s="8" t="str">
        <x:v>급성 심근경색증을 예방하려면 어떻게 해야 하나요?</x:v>
      </x:c>
      <x:c r="H536" s="8" t="str">
        <x:v>동맥경화증의 흔한 위험 요인은 흡연, 고혈압, 당뇨병, 고지혈증으로, 이를 잘 관리한다면 발병을 줄일 수 있습니다. • 반드시 금연하고, 술을 절제하십시오. • 규칙적인 운동으로 적절한 체중을 유지하십시오.</x:v>
      </x:c>
      <x:c r="I536" s="8" t="str">
        <x:v>급성 심근경색증 - 위험요인 및 예방 예방을 위해서는 동맥경화증을 유발하는 요인에 대한 조절이 중요합니다. 동맥경화증의 흔한 위험 요인은 흡연, 고혈압, 당뇨병, 고지혈증으로, 이를 잘 관리한다면 발병을 줄일 수 있습니다. • 반드시 금연하고, 술을 절제하십시오. • 규칙적인 운동으로 적절한 체중을 유지하십시오.</x:v>
      </x:c>
      <x:c r="J536" s="8" t="str">
        <x:v>급성 심근경색증</x:v>
      </x:c>
      <x:c r="K536" s="8" t="str">
        <x:v>질병관리청 국가건강정보포털
https://health.kdca.go.kr/healthinfo/biz/health/gnrlzHealthInfo/gnrlzHealthInfo/gnrlzHealthInfoMain.do</x:v>
      </x:c>
    </x:row>
    <x:row r="537" ht="62" customHeight="1">
      <x:c r="A537" s="9" t="n">
        <x:v>536</x:v>
      </x:c>
      <x:c r="B537" s="6" t="str">
        <x:v>최종 평가</x:v>
      </x:c>
      <x:c r="C537" s="6" t="str">
        <x:v>질병</x:v>
      </x:c>
      <x:c r="D537" s="6" t="str">
        <x:v>용어·정의</x:v>
      </x:c>
      <x:c r="E537" s="6" t="str">
        <x:v>답변 가능</x:v>
      </x:c>
      <x:c r="F537" s="6" t="str">
        <x:v>쉬움</x:v>
      </x:c>
      <x:c r="G537" s="8" t="str">
        <x:v>만성피로증후군의 기준이 뭔가요?</x:v>
      </x:c>
      <x:c r="H537" s="8" t="str">
        <x:v>특발성 만성 피로 만성피로증후군의 기준에는 맞지 않지만 설명이 되지 않는 피로가 6개월 이상 지속되는 경우를 말합니다.</x:v>
      </x:c>
      <x:c r="I537" s="8" t="str">
        <x:v>만성피로증후군 - 종류 / 원인 설명이 되지 않는 새로운 피로가 6개월 이상 지속적 혹은 반복적으로 나타나고, 엄격한 진단 기준을 만족했을 때 진단 가능합니다. 2. 특발성 만성 피로 만성피로증후군의 기준에는 맞지 않지만 설명이 되지 않는 피로가 6개월 이상 지속되는 경우를 말합니다. 피로와 만성 피로의 흔한 유발 요인은 반복되는 과로, 스트레스, 남성 갱년기, 정신질환인 우울증, 불안증 등입니다.</x:v>
      </x:c>
      <x:c r="J537" s="8" t="str">
        <x:v>만성피로증후군</x:v>
      </x:c>
      <x:c r="K537" s="8" t="str">
        <x:v>질병관리청 국가건강정보포털
https://health.kdca.go.kr/healthinfo/biz/health/gnrlzHealthInfo/gnrlzHealthInfo/gnrlzHealthInfoMain.do</x:v>
      </x:c>
    </x:row>
    <x:row r="538" ht="62" customHeight="1">
      <x:c r="A538" s="9" t="n">
        <x:v>537</x:v>
      </x:c>
      <x:c r="B538" s="6" t="str">
        <x:v>최종 평가</x:v>
      </x:c>
      <x:c r="C538" s="6" t="str">
        <x:v>질병</x:v>
      </x:c>
      <x:c r="D538" s="6" t="str">
        <x:v>용어·정의</x:v>
      </x:c>
      <x:c r="E538" s="6" t="str">
        <x:v>답변 가능</x:v>
      </x:c>
      <x:c r="F538" s="6" t="str">
        <x:v>쉬움</x:v>
      </x:c>
      <x:c r="G538" s="8" t="str">
        <x:v>탈장이 뭔가요?</x:v>
      </x:c>
      <x:c r="H538" s="8" t="str">
        <x:v>탈장은 한자어로 ‘벗어나다’는 의미의 ‘탈’(脫)자와 ‘창자, 내장’을 의미하는 ‘장’(腸)이 합쳐진 말로서 복부의 내장이 원래의 위치에서 벗어나 빠져나와 있는 질병을 의미합니다.</x:v>
      </x:c>
      <x:c r="I538" s="8" t="str">
        <x:v>탈장(성인) - 정의 / 종류 탈장은 한자어로 ‘벗어나다’는 의미의 ‘탈’(脫)자와 ‘창자, 내장’을 의미하는 ‘장’(腸)이 합쳐진 말로서 복부의 내장이 원래의 위치에서 벗어나 빠져나와 있는 질병을 의미합니다. 영어로는 탈장을 ‘Hernia'라고 하기 때문에 탈장을 ’헤르니아‘라고 표기하기도 합니다. · 샅(서혜)탈장 : 사타구니 부위에 발생한 탈장, 간접형과 직접형이 있습니다.</x:v>
      </x:c>
      <x:c r="J538" s="8" t="str">
        <x:v>탈장(성인)</x:v>
      </x:c>
      <x:c r="K538" s="8" t="str">
        <x:v>질병관리청 국가건강정보포털
https://health.kdca.go.kr/healthinfo/biz/health/gnrlzHealthInfo/gnrlzHealthInfo/gnrlzHealthInfoMain.do</x:v>
      </x:c>
    </x:row>
    <x:row r="539" ht="62" customHeight="1">
      <x:c r="A539" s="9" t="n">
        <x:v>538</x:v>
      </x:c>
      <x:c r="B539" s="6" t="str">
        <x:v>최종 평가</x:v>
      </x:c>
      <x:c r="C539" s="6" t="str">
        <x:v>질병</x:v>
      </x:c>
      <x:c r="D539" s="6" t="str">
        <x:v>기준·수치</x:v>
      </x:c>
      <x:c r="E539" s="6" t="str">
        <x:v>답변 가능</x:v>
      </x:c>
      <x:c r="F539" s="6" t="str">
        <x:v>쉬움</x:v>
      </x:c>
      <x:c r="G539" s="8" t="str">
        <x:v>갑상선기능저하증과 관련해 알아두어야 할 기준이나 수치는 무엇인가요?</x:v>
      </x:c>
      <x:c r="H539" s="8" t="str">
        <x:v>갑상선호르몬(유리 T4)은 정상이면서 갑상선을 조절하는 호르몬인 갑상선자극호르몬(TSH)만 약간 상승되어 있는 불현성(무증상) 갑상선기능저하증의 경우에 갑상선호르몬제를 복용해야 하는지에 대해서는 여러 의견이 있습니다.</x:v>
      </x:c>
      <x:c r="I539" s="8" t="str">
        <x:v>갑상선기능저하증 - 치료 갑상선호르몬(유리 T4)은 정상이면서 갑상선을 조절하는 호르몬인 갑상선자극호르몬(TSH)만 약간 상승되어 있는 불현성(무증상) 갑상선기능저하증의 경우에 갑상선호르몬제를 복용해야 하는지에 대해서는 여러 의견이 있습니다.</x:v>
      </x:c>
      <x:c r="J539" s="8" t="str">
        <x:v>갑상선기능저하증</x:v>
      </x:c>
      <x:c r="K539" s="8" t="str">
        <x:v>질병관리청 국가건강정보포털
https://health.kdca.go.kr/healthinfo/biz/health/gnrlzHealthInfo/gnrlzHealthInfo/gnrlzHealthInfoMain.do</x:v>
      </x:c>
    </x:row>
    <x:row r="540" ht="62" customHeight="1">
      <x:c r="A540" s="9" t="n">
        <x:v>539</x:v>
      </x:c>
      <x:c r="B540" s="6" t="str">
        <x:v>최종 평가</x:v>
      </x:c>
      <x:c r="C540" s="6" t="str">
        <x:v>질병</x:v>
      </x:c>
      <x:c r="D540" s="6" t="str">
        <x:v>답변불가·개인 진단 요청</x:v>
      </x:c>
      <x:c r="E540" s="6" t="str">
        <x:v>답변 거부</x:v>
      </x:c>
      <x:c r="F540" s="6" t="str">
        <x:v>어려움</x:v>
      </x:c>
      <x:c r="G540" s="8" t="str">
        <x:v>고칼슘혈증 관련 증상이 있는 것 같은데, 제가 실제로 고칼슘혈증인지 확정해서 진단해 주세요.</x:v>
      </x:c>
      <x:c r="H540" s="8" t="str">
        <x:v>제공된 질병관리청 VDB 정보만으로 개인의 질환을 확정 진단할 수 없습니다. 증상이 지속되거나 심하면 의료진의 진료를 받아야 합니다.</x:v>
      </x:c>
      <x:c r="I540" s="8" t="str">
        <x:v>VDB 범위 밖 질문 — 근거 없음</x:v>
      </x:c>
      <x:c r="J540" s="8" t="str">
        <x:v>고칼슘혈증</x:v>
      </x:c>
      <x:c r="K540" s="8" t="str">
        <x:v>질병관리청 국가건강정보포털
https://health.kdca.go.kr/healthinfo/biz/health/gnrlzHealthInfo/gnrlzHealthInfo/gnrlzHealthInfoMain.do</x:v>
      </x:c>
    </x:row>
    <x:row r="541" ht="62" customHeight="1">
      <x:c r="A541" s="9" t="n">
        <x:v>540</x:v>
      </x:c>
      <x:c r="B541" s="6" t="str">
        <x:v>최종 평가</x:v>
      </x:c>
      <x:c r="C541" s="6" t="str">
        <x:v>질병</x:v>
      </x:c>
      <x:c r="D541" s="6" t="str">
        <x:v>원인·위험요인</x:v>
      </x:c>
      <x:c r="E541" s="6" t="str">
        <x:v>답변 가능</x:v>
      </x:c>
      <x:c r="F541" s="6" t="str">
        <x:v>쉬움</x:v>
      </x:c>
      <x:c r="G541" s="8" t="str">
        <x:v>외상성 고막 천공은 왜 생기나요?</x:v>
      </x:c>
      <x:c r="H541" s="8" t="str">
        <x:v>이 중 손이나 둔한 물체에 의한 외이도의 급격한 압력 변화가 가장 흔한 원인이며, 그 다음으로 면봉이나 귀이개 등에 의한 직접 손상이 많습니다. 외상성 고막 천공은 오른쪽보다 왼쪽 귀에서, 여성보다 남성에서 더 흔하게 발생하며, 이는 활동량이 많고 외상에 노출될 가능성이 높은 집단에서 더 자주 발생하기 때문으로 추정됩니다.</x:v>
      </x:c>
      <x:c r="I541" s="8" t="str">
        <x:v>외상성 고막 천공 - 원인 이 중 손이나 둔한 물체에 의한 외이도의 급격한 압력 변화가 가장 흔한 원인이며, 그 다음으로 면봉이나 귀이개 등에 의한 직접 손상이 많습니다. 외상성 고막 천공은 오른쪽보다 왼쪽 귀에서, 여성보다 남성에서 더 흔하게 발생하며, 이는 활동량이 많고 외상에 노출될 가능성이 높은 집단에서 더 자주 발생하기 때문으로 추정됩니다.</x:v>
      </x:c>
      <x:c r="J541" s="8" t="str">
        <x:v>외상성 고막 천공</x:v>
      </x:c>
      <x:c r="K541" s="8" t="str">
        <x:v>질병관리청 국가건강정보포털
https://health.kdca.go.kr/healthinfo/biz/health/gnrlzHealthInfo/gnrlzHealthInfo/gnrlzHealthInfoMain.do</x:v>
      </x:c>
    </x:row>
    <x:row r="542" ht="62" customHeight="1">
      <x:c r="A542" s="9" t="n">
        <x:v>541</x:v>
      </x:c>
      <x:c r="B542" s="6" t="str">
        <x:v>최종 평가</x:v>
      </x:c>
      <x:c r="C542" s="6" t="str">
        <x:v>질병</x:v>
      </x:c>
      <x:c r="D542" s="6" t="str">
        <x:v>치료·관리</x:v>
      </x:c>
      <x:c r="E542" s="6" t="str">
        <x:v>답변 가능</x:v>
      </x:c>
      <x:c r="F542" s="6" t="str">
        <x:v>쉬움</x:v>
      </x:c>
      <x:c r="G542" s="8" t="str">
        <x:v>파상풍은 어떻게 치료하거나 관리하나요?</x:v>
      </x:c>
      <x:c r="H542" s="8" t="str">
        <x:v>파상풍 치료는 크게 세균 제거, 독소 중화, 증상 조절의 세 가지 방향으로 이루어집니다. 1. 항독소 주사 • 목적: 혈중에 퍼져 있는 파상풍 독소를 중화</x:v>
      </x:c>
      <x:c r="I542" s="8" t="str">
        <x:v>파상풍 - 예방 및 예방접종 / 치료 / 약물 치료 상처의 상태에 따라 파상풍 면역글로불린(tetanus immune globulin)을 투여하는데, 작고 깨끗한 상처는 파상풍 면역글로불린의 투여가 필요없으며, 오염되었거나 큰 상처는 파상풍 면역글로불린을 주사해야 합니다. 파상풍 치료는 크게 세균 제거, 독소 중화, 증상 조절의 세 가지 방향으로 이루어집니다. 1. 항독소 주사 • 목적: 혈중에 퍼져 있는 파상풍 독소를 중화</x:v>
      </x:c>
      <x:c r="J542" s="8" t="str">
        <x:v>파상풍</x:v>
      </x:c>
      <x:c r="K542" s="8" t="str">
        <x:v>질병관리청 국가건강정보포털
https://health.kdca.go.kr/healthinfo/biz/health/gnrlzHealthInfo/gnrlzHealthInfo/gnrlzHealthInfoMain.do</x:v>
      </x:c>
    </x:row>
    <x:row r="543" ht="62" customHeight="1">
      <x:c r="A543" s="9" t="n">
        <x:v>542</x:v>
      </x:c>
      <x:c r="B543" s="6" t="str">
        <x:v>최종 평가</x:v>
      </x:c>
      <x:c r="C543" s="6" t="str">
        <x:v>질병</x:v>
      </x:c>
      <x:c r="D543" s="6" t="str">
        <x:v>증상→질환 구분</x:v>
      </x:c>
      <x:c r="E543" s="6" t="str">
        <x:v>답변 가능</x:v>
      </x:c>
      <x:c r="F543" s="6" t="str">
        <x:v>어려움</x:v>
      </x:c>
      <x:c r="G543" s="8" t="str">
        <x:v>주혈흡충 감염 후 1개월 내지 2개월 안에 피부발진이나 가려움증, 오한, 발열, 기침, 근육통 등이 나타납니다. 이런 증상은 어떤 질환과 관련이 있을 수 있나요?</x:v>
      </x:c>
      <x:c r="H543" s="8" t="str">
        <x:v>주혈흡충증</x:v>
      </x:c>
      <x:c r="I543" s="8" t="str">
        <x:v>주혈흡충증 - 증상 주혈흡충 감염 후 1개월 내지 2개월 안에 피부발진이나 가려움증, 오한, 발열, 기침, 근육통 등이 나타납니다. 무증상 감염도 많으며 감염된 지 약 1개월 후 체내의 기생충이 충란을 낳기 시작하면 충란이 간, 장관, 방광, 중추신경계 등으로 운반되어 이에 따른 증상이 나타날 수 있습니다. 특히 일본주혈흡충증에서 증상이 심각하게 나타납니다. 2) 만성기 증상</x:v>
      </x:c>
      <x:c r="J543" s="8" t="str">
        <x:v>주혈흡충증</x:v>
      </x:c>
      <x:c r="K543" s="8" t="str">
        <x:v>질병관리청 국가건강정보포털
https://health.kdca.go.kr/healthinfo/biz/health/gnrlzHealthInfo/gnrlzHealthInfo/gnrlzHealthInfoMain.do</x:v>
      </x:c>
    </x:row>
    <x:row r="544" ht="62" customHeight="1">
      <x:c r="A544" s="9" t="n">
        <x:v>543</x:v>
      </x:c>
      <x:c r="B544" s="6" t="str">
        <x:v>최종 평가</x:v>
      </x:c>
      <x:c r="C544" s="6" t="str">
        <x:v>질병</x:v>
      </x:c>
      <x:c r="D544" s="6" t="str">
        <x:v>답변불가·개인 예후 단정</x:v>
      </x:c>
      <x:c r="E544" s="6" t="str">
        <x:v>답변 거부</x:v>
      </x:c>
      <x:c r="F544" s="6" t="str">
        <x:v>어려움</x:v>
      </x:c>
      <x:c r="G544" s="8" t="str">
        <x:v>제가 망막박리이라면 정확히 언제 완치될지 날짜를 알려주세요.</x:v>
      </x:c>
      <x:c r="H544" s="8" t="str">
        <x:v>제공된 질병관리청 VDB만으로 개인의 정확한 회복 날짜를 예측할 수 없습니다. 개인별 예후는 상태와 치료 경과에 따라 달라집니다.</x:v>
      </x:c>
      <x:c r="I544" s="8" t="str">
        <x:v>VDB 범위 밖 질문 — 근거 없음</x:v>
      </x:c>
      <x:c r="J544" s="8" t="str">
        <x:v>망막박리</x:v>
      </x:c>
      <x:c r="K544" s="8" t="str">
        <x:v>질병관리청 국가건강정보포털
https://health.kdca.go.kr/healthinfo/biz/health/gnrlzHealthInfo/gnrlzHealthInfo/gnrlzHealthInfoMain.do</x:v>
      </x:c>
    </x:row>
    <x:row r="545" ht="62" customHeight="1">
      <x:c r="A545" s="9" t="n">
        <x:v>544</x:v>
      </x:c>
      <x:c r="B545" s="6" t="str">
        <x:v>최종 평가</x:v>
      </x:c>
      <x:c r="C545" s="6" t="str">
        <x:v>질병</x:v>
      </x:c>
      <x:c r="D545" s="6" t="str">
        <x:v>기준·수치</x:v>
      </x:c>
      <x:c r="E545" s="6" t="str">
        <x:v>답변 가능</x:v>
      </x:c>
      <x:c r="F545" s="6" t="str">
        <x:v>쉬움</x:v>
      </x:c>
      <x:c r="G545" s="8" t="str">
        <x:v>조산과 관련된 증상이나 상태는 보통 얼마나 지속되나요?</x:v>
      </x:c>
      <x:c r="H545" s="8" t="str">
        <x:v>임신 24주에서 34주 사이에 7일 이내에 조산할 위험이 있는 임신부에게 태아 폐 성숙을 목적으로 48시간 동안 2-4회 근육주사로 스테로이드를 투여합니다.</x:v>
      </x:c>
      <x:c r="I545" s="8" t="str">
        <x:v>조산 - 치료 이러한 약제들도 부작용과 단점이 있으므로 산모의 상태에 따라 사용 여부를 선별해야 합니다. 1. 스테로이드 투여 임신 24주에서 34주 사이에 7일 이내에 조산할 위험이 있는 임신부에게 태아 폐 성숙을 목적으로 48시간 동안 2-4회 근육주사로 스테로이드를 투여합니다. 최근에는 34+0주부터 36+6주 사이의 임신부나 23+0주부터 23+6주 사이의 임신부에게도 스테로이드 투여를 고려합니다.</x:v>
      </x:c>
      <x:c r="J545" s="8" t="str">
        <x:v>조산</x:v>
      </x:c>
      <x:c r="K545" s="8" t="str">
        <x:v>질병관리청 국가건강정보포털
https://health.kdca.go.kr/healthinfo/biz/health/gnrlzHealthInfo/gnrlzHealthInfo/gnrlzHealthInfoMain.do</x:v>
      </x:c>
    </x:row>
    <x:row r="546" ht="62" customHeight="1">
      <x:c r="A546" s="9" t="n">
        <x:v>545</x:v>
      </x:c>
      <x:c r="B546" s="6" t="str">
        <x:v>최종 평가</x:v>
      </x:c>
      <x:c r="C546" s="6" t="str">
        <x:v>질병</x:v>
      </x:c>
      <x:c r="D546" s="6" t="str">
        <x:v>용어·정의</x:v>
      </x:c>
      <x:c r="E546" s="6" t="str">
        <x:v>답변 가능</x:v>
      </x:c>
      <x:c r="F546" s="6" t="str">
        <x:v>쉬움</x:v>
      </x:c>
      <x:c r="G546" s="8" t="str">
        <x:v>당뇨병성 족부병증이 뭔가요?</x:v>
      </x:c>
      <x:c r="H546" s="8" t="str">
        <x:v>'이것만은 꼭 기억하세요' • 당뇨병성 족부병증은 당뇨병으로 인해 발 신경과 혈관이 손상되어 궤양, 감염, 괴저 등이 생길 수 있는 상태입니다.</x:v>
      </x:c>
      <x:c r="I546" s="8" t="str">
        <x:v>당뇨병성 족부병증 - 요약문 '이것만은 꼭 기억하세요' • 당뇨병성 족부병증은 당뇨병으로 인해 발 신경과 혈관이 손상되어 궤양, 감염, 괴저 등이 생길 수 있는 상태입니다. • 통증이 없거나 감각이 둔해 조기에 상처를 알아차리기 어려워 감염과 조직 손상이 심해질 수 있습니다. • 주요 위험 요인은 말초신경병증, 말초동맥질환, 이전 발 궤양, 혈당 조절 불량, 흡연 등입니다.</x:v>
      </x:c>
      <x:c r="J546" s="8" t="str">
        <x:v>당뇨병성 족부병증</x:v>
      </x:c>
      <x:c r="K546" s="8" t="str">
        <x:v>질병관리청 국가건강정보포털
https://health.kdca.go.kr/healthinfo/biz/health/gnrlzHealthInfo/gnrlzHealthInfo/gnrlzHealthInfoMain.do</x:v>
      </x:c>
    </x:row>
    <x:row r="547" ht="62" customHeight="1">
      <x:c r="A547" s="9" t="n">
        <x:v>546</x:v>
      </x:c>
      <x:c r="B547" s="6" t="str">
        <x:v>최종 평가</x:v>
      </x:c>
      <x:c r="C547" s="6" t="str">
        <x:v>질병</x:v>
      </x:c>
      <x:c r="D547" s="6" t="str">
        <x:v>진단·검사</x:v>
      </x:c>
      <x:c r="E547" s="6" t="str">
        <x:v>답변 가능</x:v>
      </x:c>
      <x:c r="F547" s="6" t="str">
        <x:v>쉬움</x:v>
      </x:c>
      <x:c r="G547" s="8" t="str">
        <x:v>페스트는 어떤 검사로 확인하나요?</x:v>
      </x:c>
      <x:c r="H547" s="8" t="str">
        <x:v>사타구니 림프절염이 있으면 림프액을 주사로 흡인해 조직 검사로 진단합니다.</x:v>
      </x:c>
      <x:c r="I547" s="8" t="str">
        <x:v>페스트 - 진단 및 검사 / 예방 및 예방접종 사타구니 림프절염이 있으면 림프액을 주사로 흡인해 조직 검사로 진단합니다. 가래 배양 검사도 시행합니다. 페스트 유행지역으로의 여행을 피하고, 병에 걸리거나 죽은 동물과 접촉하지 않습니다. 설치류의 벼룩에 노출될 위험이 있으면 곤충 기피제, 살충제를 사용하거나 보호의복을 입고, 죽은 동물을 다루는 경우 장갑을 착용해야 합니다.</x:v>
      </x:c>
      <x:c r="J547" s="8" t="str">
        <x:v>페스트</x:v>
      </x:c>
      <x:c r="K547" s="8" t="str">
        <x:v>질병관리청 국가건강정보포털
https://health.kdca.go.kr/healthinfo/biz/health/gnrlzHealthInfo/gnrlzHealthInfo/gnrlzHealthInfoMain.do</x:v>
      </x:c>
    </x:row>
    <x:row r="548" ht="62" customHeight="1">
      <x:c r="A548" s="9" t="n">
        <x:v>547</x:v>
      </x:c>
      <x:c r="B548" s="6" t="str">
        <x:v>최종 평가</x:v>
      </x:c>
      <x:c r="C548" s="6" t="str">
        <x:v>질병</x:v>
      </x:c>
      <x:c r="D548" s="6" t="str">
        <x:v>용어·정의</x:v>
      </x:c>
      <x:c r="E548" s="6" t="str">
        <x:v>답변 가능</x:v>
      </x:c>
      <x:c r="F548" s="6" t="str">
        <x:v>쉬움</x:v>
      </x:c>
      <x:c r="G548" s="8" t="str">
        <x:v>족저근막염이 뭔가요?</x:v>
      </x:c>
      <x:c r="H548" s="8" t="str">
        <x:v>'이것만은 꼭 기억하세요' • 족저근막염은 발바닥의 아치를 유지하고 충격을 흡수하는 족저근막에 반복적인 손상과 과부하가 가해져 염증과 통증이 생기는 질환입니다.</x:v>
      </x:c>
      <x:c r="I548" s="8" t="str">
        <x:v>족저근막염 - 요약문 '이것만은 꼭 기억하세요' • 족저근막염은 발바닥의 아치를 유지하고 충격을 흡수하는 족저근막에 반복적인 손상과 과부하가 가해져 염증과 통증이 생기는 질환입니다. • 주요 원인은 과사용, 발의 구조적 변형(평발·요족), 그리고 근력 저하나 전신질환 등이 있습니다. • 증상은 아침 첫걸음 시 심한 통증이 나타나고, 장시간 보행이나 운동 후에도 악화될 수 있습니다.</x:v>
      </x:c>
      <x:c r="J548" s="8" t="str">
        <x:v>족저근막염</x:v>
      </x:c>
      <x:c r="K548" s="8" t="str">
        <x:v>질병관리청 국가건강정보포털
https://health.kdca.go.kr/healthinfo/biz/health/gnrlzHealthInfo/gnrlzHealthInfo/gnrlzHealthInfoMain.do</x:v>
      </x:c>
    </x:row>
    <x:row r="549" ht="62" customHeight="1">
      <x:c r="A549" s="9" t="n">
        <x:v>548</x:v>
      </x:c>
      <x:c r="B549" s="6" t="str">
        <x:v>최종 평가</x:v>
      </x:c>
      <x:c r="C549" s="6" t="str">
        <x:v>질병</x:v>
      </x:c>
      <x:c r="D549" s="6" t="str">
        <x:v>증상·양상</x:v>
      </x:c>
      <x:c r="E549" s="6" t="str">
        <x:v>답변 가능</x:v>
      </x:c>
      <x:c r="F549" s="6" t="str">
        <x:v>쉬움</x:v>
      </x:c>
      <x:c r="G549" s="8" t="str">
        <x:v>좌골신경통이 있으면 어떤 증상이 나타날 수 있나요?</x:v>
      </x:c>
      <x:c r="H549" s="8" t="str">
        <x:v>좌골신경이 손상되어 좌골신경통이 발생하면, 이 감각 지배 부위를 따라 통증이 발생합니다. 통증은 주로 띠 모양으로 엉덩이나 허벅지 바깥쪽에서 시작해서 종아리 바깥쪽과 뒤쪽으로 내려오는 것이 일반적입니다. 또한 통증은 주로 날카로운 양상으로, 환자마다 다양한 단어로 설명을 하는데, 주로 표현하기로는 '저리다'.</x:v>
      </x:c>
      <x:c r="I549" s="8" t="str">
        <x:v>좌골신경통 - 증상 좌골신경은 허벅지 바깥쪽, 종아리의 바깥쪽과 뒤쪽, 그리고 발목 안쪽 복숭아뼈 주변을 제외한발의 거의 모든 부분의 감각을 지배합니다. 좌골신경이 손상되어 좌골신경통이 발생하면, 이 감각 지배 부위를 따라 통증이 발생합니다. 통증은 주로 띠 모양으로 엉덩이나 허벅지 바깥쪽에서 시작해서 종아리 바깥쪽과 뒤쪽으로 내려오는 것이 일반적입니다. 또한 통증은 주로 날카로운 양상으로, 환자마다 다양한 단어로 설명을 하는데, 주로 표현하기로는 '저리다'.</x:v>
      </x:c>
      <x:c r="J549" s="8" t="str">
        <x:v>좌골신경통</x:v>
      </x:c>
      <x:c r="K549" s="8" t="str">
        <x:v>질병관리청 국가건강정보포털
https://health.kdca.go.kr/healthinfo/biz/health/gnrlzHealthInfo/gnrlzHealthInfo/gnrlzHealthInfoMain.do</x:v>
      </x:c>
    </x:row>
    <x:row r="550" ht="62" customHeight="1">
      <x:c r="A550" s="9" t="n">
        <x:v>549</x:v>
      </x:c>
      <x:c r="B550" s="6" t="str">
        <x:v>최종 평가</x:v>
      </x:c>
      <x:c r="C550" s="6" t="str">
        <x:v>질병</x:v>
      </x:c>
      <x:c r="D550" s="6" t="str">
        <x:v>경과·예후</x:v>
      </x:c>
      <x:c r="E550" s="6" t="str">
        <x:v>답변 가능</x:v>
      </x:c>
      <x:c r="F550" s="6" t="str">
        <x:v>쉬움</x:v>
      </x:c>
      <x:c r="G550" s="8" t="str">
        <x:v>자극접촉피부염의 경과나 예후는 어떤가요?</x:v>
      </x:c>
      <x:c r="H550" s="8" t="str">
        <x:v>알레르기접촉피부염은 일반적으로 자극접촉피부염보다 증상이 심하고 예후가 좋지 않습니다.</x:v>
      </x:c>
      <x:c r="I550" s="8" t="str">
        <x:v>자극접촉피부염 - 합병증 / 위험요인 및 예방 자극접촉피부염 때문에 피부가 손상되면, 손상된 틈으로 알레르기를 일으키는 물질이 쉽게 침투할 수 있어 알레르기가 발생할 가능성이 높아집니다. 알레르기접촉피부염은 일반적으로 자극접촉피부염보다 증상이 심하고 예후가 좋지 않습니다. 다음과 같은 주의사항을 잘 지키면 예방과 치료에 도움이 됩니다. • 가능한 손 씻는 횟수를 줄입니다. • 무향, 무색의 일반 비누를 사용합니다(약용, 한방, 기능성 비누는 피합니다).</x:v>
      </x:c>
      <x:c r="J550" s="8" t="str">
        <x:v>자극접촉피부염</x:v>
      </x:c>
      <x:c r="K550" s="8" t="str">
        <x:v>질병관리청 국가건강정보포털
https://health.kdca.go.kr/healthinfo/biz/health/gnrlzHealthInfo/gnrlzHealthInfo/gnrlzHealthInfoMain.do</x:v>
      </x:c>
    </x:row>
    <x:row r="551" ht="62" customHeight="1">
      <x:c r="A551" s="9" t="n">
        <x:v>550</x:v>
      </x:c>
      <x:c r="B551" s="6" t="str">
        <x:v>최종 평가</x:v>
      </x:c>
      <x:c r="C551" s="6" t="str">
        <x:v>질병</x:v>
      </x:c>
      <x:c r="D551" s="6" t="str">
        <x:v>용어·정의</x:v>
      </x:c>
      <x:c r="E551" s="6" t="str">
        <x:v>답변 가능</x:v>
      </x:c>
      <x:c r="F551" s="6" t="str">
        <x:v>쉬움</x:v>
      </x:c>
      <x:c r="G551" s="8" t="str">
        <x:v>천공 외상이 뭔가요?</x:v>
      </x:c>
      <x:c r="H551" s="8" t="str">
        <x:v>천공 외상은 각막 이나 공막이 외상에 의해 뚫려 안구 내부와 외부가 통해 있는 상황을 말합니다.</x:v>
      </x:c>
      <x:c r="I551" s="8" t="str">
        <x:v>안외상(천공 외상) - 요약문 / 개요 • 치료는 대부분 수술적 봉합이 필요하며, 지연 시 감염, 시력 저하, 각막 혼탁 등의 합병증이 생길 수 있습니다. 천공 외상은 각막 이나 공막이 외상에 의해 뚫려 안구 내부와 외부가 통해 있는 상황을 말합니다. 이 경우 내부 물질의 탈출과 이차적인 안내염이 문제가 될 수 있습니다. 각막과 공막의 열상이 심한 경우 상처 부위를 통하여 홍채, 수정체, 유리체, 망막조직이 탈출할 수 있으므로 수술적 봉합이 필요한 응급한 상황입니다.</x:v>
      </x:c>
      <x:c r="J551" s="8" t="str">
        <x:v>안외상(천공 외상)</x:v>
      </x:c>
      <x:c r="K551" s="8" t="str">
        <x:v>질병관리청 국가건강정보포털
https://health.kdca.go.kr/healthinfo/biz/health/gnrlzHealthInfo/gnrlzHealthInfo/gnrlzHealthInfoMain.do</x:v>
      </x:c>
    </x:row>
    <x:row r="552" ht="62" customHeight="1">
      <x:c r="A552" s="9" t="n">
        <x:v>551</x:v>
      </x:c>
      <x:c r="B552" s="6" t="str">
        <x:v>최종 평가</x:v>
      </x:c>
      <x:c r="C552" s="6" t="str">
        <x:v>질병</x:v>
      </x:c>
      <x:c r="D552" s="6" t="str">
        <x:v>원인·위험요인</x:v>
      </x:c>
      <x:c r="E552" s="6" t="str">
        <x:v>답변 가능</x:v>
      </x:c>
      <x:c r="F552" s="6" t="str">
        <x:v>쉬움</x:v>
      </x:c>
      <x:c r="G552" s="8" t="str">
        <x:v>소아 청소년의 혈변 및 흑혈변은 왜 생기나요?</x:v>
      </x:c>
      <x:c r="H552" s="8" t="str">
        <x:v>과일이나 채소, 진한 색깔 음식, 색소, 일부 약물 때문에 벽돌색이나 암적색, 검은색 등 다양한 색의 대변을 볼 수 있으므로 최근에 섭취한 음식을 알아볼 필요가 있습니다. 건강한 아이가 갑자기 혈변을 보일 경우, 다양한 원인을 생각해야 합니다. 특히 소아청소년은 연령에 따라 흔한 원인이 다를 수 있습니다. 가장 흔한 원인은 감염성 장염으로, 바이러스, 세균, 아메바와 같은 원충류에 의해 발생합니다.</x:v>
      </x:c>
      <x:c r="I552" s="8" t="str">
        <x:v>소아 청소년의 혈변 및 흑혈변 - 종류 / 원인 과일이나 채소, 진한 색깔 음식, 색소, 일부 약물 때문에 벽돌색이나 암적색, 검은색 등 다양한 색의 대변을 볼 수 있으므로 최근에 섭취한 음식을 알아볼 필요가 있습니다. 건강한 아이가 갑자기 혈변을 보일 경우, 다양한 원인을 생각해야 합니다. 특히 소아청소년은 연령에 따라 흔한 원인이 다를 수 있습니다. 가장 흔한 원인은 감염성 장염으로, 바이러스, 세균, 아메바와 같은 원충류에 의해 발생합니다.</x:v>
      </x:c>
      <x:c r="J552" s="8" t="str">
        <x:v>소아 청소년의 혈변 및 흑혈변</x:v>
      </x:c>
      <x:c r="K552" s="8" t="str">
        <x:v>질병관리청 국가건강정보포털
https://health.kdca.go.kr/healthinfo/biz/health/gnrlzHealthInfo/gnrlzHealthInfo/gnrlzHealthInfoMain.do</x:v>
      </x:c>
    </x:row>
    <x:row r="553" ht="62" customHeight="1">
      <x:c r="A553" s="9" t="n">
        <x:v>552</x:v>
      </x:c>
      <x:c r="B553" s="6" t="str">
        <x:v>최종 평가</x:v>
      </x:c>
      <x:c r="C553" s="6" t="str">
        <x:v>질병</x:v>
      </x:c>
      <x:c r="D553" s="6" t="str">
        <x:v>치료·관리</x:v>
      </x:c>
      <x:c r="E553" s="6" t="str">
        <x:v>답변 가능</x:v>
      </x:c>
      <x:c r="F553" s="6" t="str">
        <x:v>쉬움</x:v>
      </x:c>
      <x:c r="G553" s="8" t="str">
        <x:v>잇몸병(치주질환)은 어떻게 치료하거나 관리하나요?</x:v>
      </x:c>
      <x:c r="H553" s="8" t="str">
        <x:v>치주판막수술은 중등도 이상 심하게 진행된 잇몸병(치주질환)에서 치주조직이 깊고 광범위하게 파괴되어 치근활택술 또는 치은절제술 등의 방법으로 치료가 불충분하다고 예상되거나 치조골에 대한 처치가 필요한 경우에 선택합니다.</x:v>
      </x:c>
      <x:c r="I553" s="8" t="str">
        <x:v>잇몸병(치주질환) - 비약물 치료 치주판막수술은 중등도 이상 심하게 진행된 잇몸병(치주질환)에서 치주조직이 깊고 광범위하게 파괴되어 치근활택술 또는 치은절제술 등의 방법으로 치료가 불충분하다고 예상되거나 치조골에 대한 처치가 필요한 경우에 선택합니다.</x:v>
      </x:c>
      <x:c r="J553" s="8" t="str">
        <x:v>잇몸병(치주질환)</x:v>
      </x:c>
      <x:c r="K553" s="8" t="str">
        <x:v>질병관리청 국가건강정보포털
https://health.kdca.go.kr/healthinfo/biz/health/gnrlzHealthInfo/gnrlzHealthInfo/gnrlzHealthInfoMain.do</x:v>
      </x:c>
    </x:row>
    <x:row r="554" ht="62" customHeight="1">
      <x:c r="A554" s="9" t="n">
        <x:v>553</x:v>
      </x:c>
      <x:c r="B554" s="6" t="str">
        <x:v>최종 평가</x:v>
      </x:c>
      <x:c r="C554" s="6" t="str">
        <x:v>질병</x:v>
      </x:c>
      <x:c r="D554" s="6" t="str">
        <x:v>원인·위험요인</x:v>
      </x:c>
      <x:c r="E554" s="6" t="str">
        <x:v>답변 가능</x:v>
      </x:c>
      <x:c r="F554" s="6" t="str">
        <x:v>쉬움</x:v>
      </x:c>
      <x:c r="G554" s="8" t="str">
        <x:v>유루증은 왜 생기나요?</x:v>
      </x:c>
      <x:c r="H554" s="8" t="str">
        <x:v>유루증을 일으키는 고프로락틴증의 원인은 크게 생리적 원인, 약물에 의한 원인, 그리고 기타 다른 질병 때문에 생기는 것으로 나눌 수 있습니다. 1. 생리적 고프로락틴혈증 임신은 무월경을 동반하는 고프로락틴혈증의 가장 흔한 원인이며, 임신 말기에는 혈액 내의 프로락틴의 수치가 정상치의 약 10배 정도까지 증가합니다. 또한 출산 후 모유 수유로 혈액 내의 프로락틴이 증가합니다.</x:v>
      </x:c>
      <x:c r="I554" s="8" t="str">
        <x:v>유루증 - 원인 유루증을 일으키는 고프로락틴증의 원인은 크게 생리적 원인, 약물에 의한 원인, 그리고 기타 다른 질병 때문에 생기는 것으로 나눌 수 있습니다. 1. 생리적 고프로락틴혈증 임신은 무월경을 동반하는 고프로락틴혈증의 가장 흔한 원인이며, 임신 말기에는 혈액 내의 프로락틴의 수치가 정상치의 약 10배 정도까지 증가합니다. 또한 출산 후 모유 수유로 혈액 내의 프로락틴이 증가합니다.</x:v>
      </x:c>
      <x:c r="J554" s="8" t="str">
        <x:v>유루증</x:v>
      </x:c>
      <x:c r="K554" s="8" t="str">
        <x:v>질병관리청 국가건강정보포털
https://health.kdca.go.kr/healthinfo/biz/health/gnrlzHealthInfo/gnrlzHealthInfo/gnrlzHealthInfoMain.do</x:v>
      </x:c>
    </x:row>
    <x:row r="555" ht="62" customHeight="1">
      <x:c r="A555" s="9" t="n">
        <x:v>554</x:v>
      </x:c>
      <x:c r="B555" s="6" t="str">
        <x:v>최종 평가</x:v>
      </x:c>
      <x:c r="C555" s="6" t="str">
        <x:v>질병</x:v>
      </x:c>
      <x:c r="D555" s="6" t="str">
        <x:v>진단·검사</x:v>
      </x:c>
      <x:c r="E555" s="6" t="str">
        <x:v>답변 가능</x:v>
      </x:c>
      <x:c r="F555" s="6" t="str">
        <x:v>쉬움</x:v>
      </x:c>
      <x:c r="G555" s="8" t="str">
        <x:v>탈장(성인)은 어떤 검사로 확인하나요?</x:v>
      </x:c>
      <x:c r="H555" s="8" t="str">
        <x:v>대개 증상과 진찰만으로 충분하지만, 진단이 모호한 경우 복부 초음파와 컴퓨터 단층촬영(Computed Tomography, CT),자기공명영상 촬영(Magnetic resonance imaging, MRI)을 시행하기도 합니다.</x:v>
      </x:c>
      <x:c r="I555" s="8" t="str">
        <x:v>탈장(성인) - 진단 및 검사 서혜부 탈장의 경우 검지 손가락을 외서혜관 입구를 통해 집어넣고 환자에게 발살바 수기를 하게하면 탈장낭(탈장되어 생성된 주머니)을 보다 확실히 확인할 수 있습니다. 대개 증상과 진찰만으로 충분하지만, 진단이 모호한 경우 복부 초음파와 컴퓨터 단층촬영(Computed Tomography, CT),자기공명영상 촬영(Magnetic resonance imaging, MRI)을 시행하기도 합니다.</x:v>
      </x:c>
      <x:c r="J555" s="8" t="str">
        <x:v>탈장(성인)</x:v>
      </x:c>
      <x:c r="K555" s="8" t="str">
        <x:v>질병관리청 국가건강정보포털
https://health.kdca.go.kr/healthinfo/biz/health/gnrlzHealthInfo/gnrlzHealthInfo/gnrlzHealthInfoMain.do</x:v>
      </x:c>
    </x:row>
    <x:row r="556" ht="62" customHeight="1">
      <x:c r="A556" s="9" t="n">
        <x:v>555</x:v>
      </x:c>
      <x:c r="B556" s="6" t="str">
        <x:v>최종 평가</x:v>
      </x:c>
      <x:c r="C556" s="6" t="str">
        <x:v>질병</x:v>
      </x:c>
      <x:c r="D556" s="6" t="str">
        <x:v>용어·정의</x:v>
      </x:c>
      <x:c r="E556" s="6" t="str">
        <x:v>답변 가능</x:v>
      </x:c>
      <x:c r="F556" s="6" t="str">
        <x:v>쉬움</x:v>
      </x:c>
      <x:c r="G556" s="8" t="str">
        <x:v>신장결석이 뭔가요?</x:v>
      </x:c>
      <x:c r="H556" s="8" t="str">
        <x:v>'이것만은 꼭 기억하세요' • 신장결석은 콩팥 안에 소변 내 물질들이 돌과 같은 결정을 이루어 생기는 질환으로, 심한 통증과 혈뇨, 소화 불량 등이 나타날 수 있습니다.</x:v>
      </x:c>
      <x:c r="I556" s="8" t="str">
        <x:v>신장결석 - 요약문 '이것만은 꼭 기억하세요' • 신장결석은 콩팥 안에 소변 내 물질들이 돌과 같은 결정을 이루어 생기는 질환으로, 심한 통증과 혈뇨, 소화 불량 등이 나타날 수 있습니다. • 결석의 크기가 작으면 저절로 소변으로 배출되므로, 수액을 주입하거나 물을 많이 마셔서 자연 배출을 유도하며, 통증이 심할 때 진통제를 투여합니다. • 큰 결석은 요로를 막아 합병증을 일으킬 수 있으므로, 체외 충격파 쇄석술이나 신장경 등의 치료가 필요할 수 있습니다.</x:v>
      </x:c>
      <x:c r="J556" s="8" t="str">
        <x:v>신장결석</x:v>
      </x:c>
      <x:c r="K556" s="8" t="str">
        <x:v>질병관리청 국가건강정보포털
https://health.kdca.go.kr/healthinfo/biz/health/gnrlzHealthInfo/gnrlzHealthInfo/gnrlzHealthInfoMain.do</x:v>
      </x:c>
    </x:row>
    <x:row r="557" ht="62" customHeight="1">
      <x:c r="A557" s="9" t="n">
        <x:v>556</x:v>
      </x:c>
      <x:c r="B557" s="6" t="str">
        <x:v>최종 평가</x:v>
      </x:c>
      <x:c r="C557" s="6" t="str">
        <x:v>질병</x:v>
      </x:c>
      <x:c r="D557" s="6" t="str">
        <x:v>대상별 정보</x:v>
      </x:c>
      <x:c r="E557" s="6" t="str">
        <x:v>답변 가능</x:v>
      </x:c>
      <x:c r="F557" s="6" t="str">
        <x:v>쉬움</x:v>
      </x:c>
      <x:c r="G557" s="8" t="str">
        <x:v>수족구병(손발입병)은 대상에 따라 어떤 점을 알아두면 좋나요?</x:v>
      </x:c>
      <x:c r="H557" s="8" t="str">
        <x:v>어린이가 수족구병에 걸린 경우, 전염력이 높은 시기에는 어린이집·유치원 같은 단체생활을 피하는 것이 유행을 막는 데 도움이 됩니다.</x:v>
      </x:c>
      <x:c r="I557" s="8" t="str">
        <x:v>수족구병(손발입병) - 대상별 맞춤 정보 감염 후에는 호흡기 분비물에서는 1~3주, 대변에서는 수 주에서 수 개월까지 바이러스가 배출될 수 있습니다. 증상이 없어도 바이러스가 나올 수 있지만, 특히 감염 후 약 1주일이 가장 전염력이 높은 시기입니다. 어린이가 수족구병에 걸린 경우, 전염력이 높은 시기에는 어린이집·유치원 같은 단체생활을 피하는 것이 유행을 막는 데 도움이 됩니다.</x:v>
      </x:c>
      <x:c r="J557" s="8" t="str">
        <x:v>수족구병(손발입병)</x:v>
      </x:c>
      <x:c r="K557" s="8" t="str">
        <x:v>질병관리청 국가건강정보포털
https://health.kdca.go.kr/healthinfo/biz/health/gnrlzHealthInfo/gnrlzHealthInfo/gnrlzHealthInfoMain.do</x:v>
      </x:c>
    </x:row>
    <x:row r="558" ht="62" customHeight="1">
      <x:c r="A558" s="9" t="n">
        <x:v>557</x:v>
      </x:c>
      <x:c r="B558" s="6" t="str">
        <x:v>최종 평가</x:v>
      </x:c>
      <x:c r="C558" s="6" t="str">
        <x:v>질병</x:v>
      </x:c>
      <x:c r="D558" s="6" t="str">
        <x:v>기준·수치</x:v>
      </x:c>
      <x:c r="E558" s="6" t="str">
        <x:v>답변 가능</x:v>
      </x:c>
      <x:c r="F558" s="6" t="str">
        <x:v>쉬움</x:v>
      </x:c>
      <x:c r="G558" s="8" t="str">
        <x:v>편두통과 관련해 알아두어야 할 기준이나 수치는 무엇인가요?</x:v>
      </x:c>
      <x:c r="H558" s="8" t="str">
        <x:v>국제두통질환분류에서 편두통은 크게 조짐(aura)이 동반되는지에 따라 조짐편두통과 무조짐편두통으로 나뉘고, 한 달에 15일 이상 두통이 지속되면 만성 편두통이라고 합니다.</x:v>
      </x:c>
      <x:c r="I558" s="8" t="str">
        <x:v>편두통 - 종류 국제두통질환분류에서 편두통은 크게 조짐(aura)이 동반되는지에 따라 조짐편두통과 무조짐편두통으로 나뉘고, 한 달에 15일 이상 두통이 지속되면 만성 편두통이라고 합니다. 그 외에 뇌경색이나 발작 등의 합병증이 동반되는 편두통합병증, 진단 기준에서 하나가 부족한 개연편두통, 주로 어린이에서 두통 없이 소화기 증상이나 어지럼증이 반복되는 삽화증후군이 있습니다.</x:v>
      </x:c>
      <x:c r="J558" s="8" t="str">
        <x:v>편두통</x:v>
      </x:c>
      <x:c r="K558" s="8" t="str">
        <x:v>질병관리청 국가건강정보포털
https://health.kdca.go.kr/healthinfo/biz/health/gnrlzHealthInfo/gnrlzHealthInfo/gnrlzHealthInfoMain.do</x:v>
      </x:c>
    </x:row>
    <x:row r="559" ht="62" customHeight="1">
      <x:c r="A559" s="9" t="n">
        <x:v>558</x:v>
      </x:c>
      <x:c r="B559" s="6" t="str">
        <x:v>최종 평가</x:v>
      </x:c>
      <x:c r="C559" s="6" t="str">
        <x:v>질병</x:v>
      </x:c>
      <x:c r="D559" s="6" t="str">
        <x:v>대상별 정보</x:v>
      </x:c>
      <x:c r="E559" s="6" t="str">
        <x:v>답변 가능</x:v>
      </x:c>
      <x:c r="F559" s="6" t="str">
        <x:v>쉬움</x:v>
      </x:c>
      <x:c r="G559" s="8" t="str">
        <x:v>우울감은 대상에 따라 어떤 점을 알아두면 좋나요?</x:v>
      </x:c>
      <x:c r="H559" s="8" t="str">
        <x:v>노인이 우울증을 겪을 때, '우울하다'고 말하기보다 '기운이 없다', '소화가 안 된다', '잠이 안 온다'고 몸이 아픈 것을 주로 호소하는 경우가 많습니다.</x:v>
      </x:c>
      <x:c r="I559" s="8" t="str">
        <x:v>우울감 - 대상별 맞춤 정보 노인이 우울증을 겪을 때, '우울하다'고 말하기보다 '기운이 없다', '소화가 안 된다', '잠이 안 온다'고 몸이 아픈 것을 주로 호소하는 경우가 많습니다. 특히, 우울증 때문에 집중력과 기억력이 심하게 떨어져, 마치 '치매'에 걸린 것처럼 보일 수 있습니다. 이것을 '가성치매(거짓치매)'라고 부릅니다. 중요한 차이: 가성치매는 뇌세포가 손상된 실제 치매와 다릅니다.</x:v>
      </x:c>
      <x:c r="J559" s="8" t="str">
        <x:v>우울감</x:v>
      </x:c>
      <x:c r="K559" s="8" t="str">
        <x:v>질병관리청 국가건강정보포털
https://health.kdca.go.kr/healthinfo/biz/health/gnrlzHealthInfo/gnrlzHealthInfo/gnrlzHealthInfoMain.do</x:v>
      </x:c>
    </x:row>
    <x:row r="560" ht="62" customHeight="1">
      <x:c r="A560" s="9" t="n">
        <x:v>559</x:v>
      </x:c>
      <x:c r="B560" s="6" t="str">
        <x:v>최종 평가</x:v>
      </x:c>
      <x:c r="C560" s="6" t="str">
        <x:v>질병</x:v>
      </x:c>
      <x:c r="D560" s="6" t="str">
        <x:v>기준·수치</x:v>
      </x:c>
      <x:c r="E560" s="6" t="str">
        <x:v>답변 가능</x:v>
      </x:c>
      <x:c r="F560" s="6" t="str">
        <x:v>쉬움</x:v>
      </x:c>
      <x:c r="G560" s="8" t="str">
        <x:v>A형간염과 관련된 증상이나 상태는 보통 얼마나 지속되나요?</x:v>
      </x:c>
      <x:c r="H560" s="8" t="str">
        <x:v>어린이는 성인에 비해 바이러스 배출기간이 길어 임상증상 발현 후 10주까지 지속되기도 하며, 신생아기 감염시에는 6개월간 바이러스 배출이 지속될 수도 있습니다.</x:v>
      </x:c>
      <x:c r="I560" s="8" t="str">
        <x:v>A형간염 - 원인 및 감염경로 / 역학 및 통계 어린이는 성인에 비해 바이러스 배출기간이 길어 임상증상 발현 후 10주까지 지속되기도 하며, 신생아기 감염시에는 6개월간 바이러스 배출이 지속될 수도 있습니다. 증상이 나타나거나, 간수치 이상이 생기면 배출되는 바이러스 양은 감소하기 시작하고 A형간염 항체가 나타나기 시작합니다. A형감염은 대부분 공중위생 상태가 나쁜 경우 잘 생깁니다.</x:v>
      </x:c>
      <x:c r="J560" s="8" t="str">
        <x:v>A형간염</x:v>
      </x:c>
      <x:c r="K560" s="8" t="str">
        <x:v>질병관리청 국가건강정보포털
https://health.kdca.go.kr/healthinfo/biz/health/gnrlzHealthInfo/gnrlzHealthInfo/gnrlzHealthInfoMain.do</x:v>
      </x:c>
    </x:row>
    <x:row r="561" ht="62" customHeight="1">
      <x:c r="A561" s="9" t="n">
        <x:v>560</x:v>
      </x:c>
      <x:c r="B561" s="6" t="str">
        <x:v>최종 평가</x:v>
      </x:c>
      <x:c r="C561" s="6" t="str">
        <x:v>질병</x:v>
      </x:c>
      <x:c r="D561" s="6" t="str">
        <x:v>답변불가·개인 진단 요청</x:v>
      </x:c>
      <x:c r="E561" s="6" t="str">
        <x:v>답변 거부</x:v>
      </x:c>
      <x:c r="F561" s="6" t="str">
        <x:v>어려움</x:v>
      </x:c>
      <x:c r="G561" s="8" t="str">
        <x:v>사마귀 관련 증상이 있는 것 같은데, 제가 실제로 사마귀인지 확정해서 진단해 주세요.</x:v>
      </x:c>
      <x:c r="H561" s="8" t="str">
        <x:v>제공된 질병관리청 VDB 정보만으로 개인의 질환을 확정 진단할 수 없습니다. 증상이 지속되거나 심하면 의료진의 진료를 받아야 합니다.</x:v>
      </x:c>
      <x:c r="I561" s="8" t="str">
        <x:v>VDB 범위 밖 질문 — 근거 없음</x:v>
      </x:c>
      <x:c r="J561" s="8" t="str">
        <x:v>사마귀</x:v>
      </x:c>
      <x:c r="K561" s="8" t="str">
        <x:v>질병관리청 국가건강정보포털
https://health.kdca.go.kr/healthinfo/biz/health/gnrlzHealthInfo/gnrlzHealthInfo/gnrlzHealthInfoMain.do</x:v>
      </x:c>
    </x:row>
    <x:row r="562" ht="62" customHeight="1">
      <x:c r="A562" s="9" t="n">
        <x:v>561</x:v>
      </x:c>
      <x:c r="B562" s="6" t="str">
        <x:v>최종 평가</x:v>
      </x:c>
      <x:c r="C562" s="6" t="str">
        <x:v>질병</x:v>
      </x:c>
      <x:c r="D562" s="6" t="str">
        <x:v>진단·검사</x:v>
      </x:c>
      <x:c r="E562" s="6" t="str">
        <x:v>답변 가능</x:v>
      </x:c>
      <x:c r="F562" s="6" t="str">
        <x:v>쉬움</x:v>
      </x:c>
      <x:c r="G562" s="8" t="str">
        <x:v>백선증은 어떤 검사로 확인하나요?</x:v>
      </x:c>
      <x:c r="H562" s="8" t="str">
        <x:v>KOH(수산화칼륨) 용액 검사는 표재 곰팡이증을 간단히 확진하는 검사 방법으로, 모든 표재 곰팡이증 진단의 기본입니다.</x:v>
      </x:c>
      <x:c r="I562" s="8" t="str">
        <x:v>백선증 - 진단 및 검사 KOH(수산화칼륨) 용액 검사는 표재 곰팡이증을 간단히 확진하는 검사 방법으로, 모든 표재 곰팡이증 진단의 기본입니다. 의심되는 모발, 손톱, 발톱, 피부 인설(비늘) 및 수포(물집)의 상층을 긁어 슬라이드에 놓고 10~20% KOH 용액을 떨어뜨린 후 20~30분간 두었다가 각질이 녹은 후 현미경으로 관찰합니다.</x:v>
      </x:c>
      <x:c r="J562" s="8" t="str">
        <x:v>백선증</x:v>
      </x:c>
      <x:c r="K562" s="8" t="str">
        <x:v>질병관리청 국가건강정보포털
https://health.kdca.go.kr/healthinfo/biz/health/gnrlzHealthInfo/gnrlzHealthInfo/gnrlzHealthInfoMain.do</x:v>
      </x:c>
    </x:row>
    <x:row r="563" ht="62" customHeight="1">
      <x:c r="A563" s="9" t="n">
        <x:v>562</x:v>
      </x:c>
      <x:c r="B563" s="6" t="str">
        <x:v>최종 평가</x:v>
      </x:c>
      <x:c r="C563" s="6" t="str">
        <x:v>질병</x:v>
      </x:c>
      <x:c r="D563" s="6" t="str">
        <x:v>답변불가·개인 진단 요청</x:v>
      </x:c>
      <x:c r="E563" s="6" t="str">
        <x:v>답변 거부</x:v>
      </x:c>
      <x:c r="F563" s="6" t="str">
        <x:v>어려움</x:v>
      </x:c>
      <x:c r="G563" s="8" t="str">
        <x:v>잇몸병(치주질환) 관련 증상이 있는 것 같은데, 제가 실제로 잇몸병(치주질환)인지 확정해서 진단해 주세요.</x:v>
      </x:c>
      <x:c r="H563" s="8" t="str">
        <x:v>제공된 질병관리청 VDB 정보만으로 개인의 질환을 확정 진단할 수 없습니다. 증상이 지속되거나 심하면 의료진의 진료를 받아야 합니다.</x:v>
      </x:c>
      <x:c r="I563" s="8" t="str">
        <x:v>VDB 범위 밖 질문 — 근거 없음</x:v>
      </x:c>
      <x:c r="J563" s="8" t="str">
        <x:v>잇몸병(치주질환)</x:v>
      </x:c>
      <x:c r="K563" s="8" t="str">
        <x:v>질병관리청 국가건강정보포털
https://health.kdca.go.kr/healthinfo/biz/health/gnrlzHealthInfo/gnrlzHealthInfo/gnrlzHealthInfoMain.do</x:v>
      </x:c>
    </x:row>
    <x:row r="564" ht="62" customHeight="1">
      <x:c r="A564" s="9" t="n">
        <x:v>563</x:v>
      </x:c>
      <x:c r="B564" s="6" t="str">
        <x:v>최종 평가</x:v>
      </x:c>
      <x:c r="C564" s="6" t="str">
        <x:v>질병</x:v>
      </x:c>
      <x:c r="D564" s="6" t="str">
        <x:v>원인·위험요인</x:v>
      </x:c>
      <x:c r="E564" s="6" t="str">
        <x:v>답변 가능</x:v>
      </x:c>
      <x:c r="F564" s="6" t="str">
        <x:v>쉬움</x:v>
      </x:c>
      <x:c r="G564" s="8" t="str">
        <x:v>섬유근육통은 왜 생기나요?</x:v>
      </x:c>
      <x:c r="H564" s="8" t="str">
        <x:v>그 외 근육과 힘줄의 미세 외상, 수면장애, 자율신경계 이상, 내분비 호르몬 이상 등도 원인이 되며, 한두 가지의 단독 원인보다는 여러가지의 원인이 모여 질환을 나타내게 됩니다. 섬유근육통의 발병 기전으로 근육 자체 문제에서 시작된다는 ‘골격근 가설’, 수면장애에 의해 발생한다는 ‘수면장애 가설’ 등도 있지만 중추신경계가 통증을 조절하는 데 문제가 있어 발생한다는 가설이 가장 많이 인정받고 있습니다.</x:v>
      </x:c>
      <x:c r="I564" s="8" t="str">
        <x:v>섬유근육통 - 원인 / 병태생리 그 외 근육과 힘줄의 미세 외상, 수면장애, 자율신경계 이상, 내분비 호르몬 이상 등도 원인이 되며, 한두 가지의 단독 원인보다는 여러가지의 원인이 모여 질환을 나타내게 됩니다. 섬유근육통의 발병 기전으로 근육 자체 문제에서 시작된다는 ‘골격근 가설’, 수면장애에 의해 발생한다는 ‘수면장애 가설’ 등도 있지만 중추신경계가 통증을 조절하는 데 문제가 있어 발생한다는 가설이 가장 많이 인정받고 있습니다.</x:v>
      </x:c>
      <x:c r="J564" s="8" t="str">
        <x:v>섬유근육통</x:v>
      </x:c>
      <x:c r="K564" s="8" t="str">
        <x:v>질병관리청 국가건강정보포털
https://health.kdca.go.kr/healthinfo/biz/health/gnrlzHealthInfo/gnrlzHealthInfo/gnrlzHealthInfoMain.do</x:v>
      </x:c>
    </x:row>
    <x:row r="565" ht="62" customHeight="1">
      <x:c r="A565" s="9" t="n">
        <x:v>564</x:v>
      </x:c>
      <x:c r="B565" s="6" t="str">
        <x:v>최종 평가</x:v>
      </x:c>
      <x:c r="C565" s="6" t="str">
        <x:v>질병</x:v>
      </x:c>
      <x:c r="D565" s="6" t="str">
        <x:v>예방·생활수칙</x:v>
      </x:c>
      <x:c r="E565" s="6" t="str">
        <x:v>답변 가능</x:v>
      </x:c>
      <x:c r="F565" s="6" t="str">
        <x:v>쉬움</x:v>
      </x:c>
      <x:c r="G565" s="8" t="str">
        <x:v>자궁근종을 예방하려면 어떻게 해야 하나요?</x:v>
      </x:c>
      <x:c r="H565" s="8" t="str">
        <x:v>자궁근종을 예방하는 확실한 방법은 없지만, 체중 관리와 균형 잡힌 식단 관리는 예방에 도움이 됩니다. 또한, 신체 활동을 꾸준히 하는 것도 도움이 될 수 있습니다. 여성 호르몬이 자궁근종 발생에 영향을 줄 수 있기 때문에 호르몬 요법 같은 의료적 접근법을 통해 호르몬 수준을 조절하는 것도 도움이 됩니다. 가장 중요한 것은 정기적으로 검진을 받아 자궁근종을 초기에 발견하여 치료하는 것이 좋습니다.</x:v>
      </x:c>
      <x:c r="I565" s="8" t="str">
        <x:v>자궁근종 - 위험요인 및 예방 자궁근종을 예방하는 확실한 방법은 없지만, 체중 관리와 균형 잡힌 식단 관리는 예방에 도움이 됩니다. 또한, 신체 활동을 꾸준히 하는 것도 도움이 될 수 있습니다. 여성 호르몬이 자궁근종 발생에 영향을 줄 수 있기 때문에 호르몬 요법 같은 의료적 접근법을 통해 호르몬 수준을 조절하는 것도 도움이 됩니다. 가장 중요한 것은 정기적으로 검진을 받아 자궁근종을 초기에 발견하여 치료하는 것이 좋습니다.</x:v>
      </x:c>
      <x:c r="J565" s="8" t="str">
        <x:v>자궁근종</x:v>
      </x:c>
      <x:c r="K565" s="8" t="str">
        <x:v>질병관리청 국가건강정보포털
https://health.kdca.go.kr/healthinfo/biz/health/gnrlzHealthInfo/gnrlzHealthInfo/gnrlzHealthInfoMain.do</x:v>
      </x:c>
    </x:row>
    <x:row r="566" ht="62" customHeight="1">
      <x:c r="A566" s="9" t="n">
        <x:v>565</x:v>
      </x:c>
      <x:c r="B566" s="6" t="str">
        <x:v>최종 평가</x:v>
      </x:c>
      <x:c r="C566" s="6" t="str">
        <x:v>질병</x:v>
      </x:c>
      <x:c r="D566" s="6" t="str">
        <x:v>증상·양상</x:v>
      </x:c>
      <x:c r="E566" s="6" t="str">
        <x:v>답변 가능</x:v>
      </x:c>
      <x:c r="F566" s="6" t="str">
        <x:v>쉬움</x:v>
      </x:c>
      <x:c r="G566" s="8" t="str">
        <x:v>얼굴마비가 있으면 어떤 증상이 나타날 수 있나요?</x:v>
      </x:c>
      <x:c r="H566" s="8" t="str">
        <x:v>중추성 얼굴마비는 주로 뇌경색이나 뇌출혈 등 뇌질환이 원인이며, 의식저하, 발음장애, 편마비 등 심각한 증상을 동반하거나 후유증을 남길 수 있기 때문에 빨리 병원에 방문하여 치료받는 것이 중요합니다. 중추성 얼굴마비와 말초성 얼굴마비를 구분하는 단서는 이마에 주름을 잡을 수 있는지 확인하는 것입니다.</x:v>
      </x:c>
      <x:c r="I566" s="8" t="str">
        <x:v>얼굴마비 - 증상 중추성 얼굴마비는 주로 뇌경색이나 뇌출혈 등 뇌질환이 원인이며, 의식저하, 발음장애, 편마비 등 심각한 증상을 동반하거나 후유증을 남길 수 있기 때문에 빨리 병원에 방문하여 치료받는 것이 중요합니다. 중추성 얼굴마비와 말초성 얼굴마비를 구분하는 단서는 이마에 주름을 잡을 수 있는지 확인하는 것입니다.</x:v>
      </x:c>
      <x:c r="J566" s="8" t="str">
        <x:v>얼굴마비</x:v>
      </x:c>
      <x:c r="K566" s="8" t="str">
        <x:v>질병관리청 국가건강정보포털
https://health.kdca.go.kr/healthinfo/biz/health/gnrlzHealthInfo/gnrlzHealthInfo/gnrlzHealthInfoMain.do</x:v>
      </x:c>
    </x:row>
    <x:row r="567" ht="62" customHeight="1">
      <x:c r="A567" s="9" t="n">
        <x:v>566</x:v>
      </x:c>
      <x:c r="B567" s="6" t="str">
        <x:v>최종 평가</x:v>
      </x:c>
      <x:c r="C567" s="6" t="str">
        <x:v>질병</x:v>
      </x:c>
      <x:c r="D567" s="6" t="str">
        <x:v>증상·양상</x:v>
      </x:c>
      <x:c r="E567" s="6" t="str">
        <x:v>답변 가능</x:v>
      </x:c>
      <x:c r="F567" s="6" t="str">
        <x:v>쉬움</x:v>
      </x:c>
      <x:c r="G567" s="8" t="str">
        <x:v>간의 양성종양(간선종)이 있으면 어떤 증상이 나타날 수 있나요?</x:v>
      </x:c>
      <x:c r="H567" s="8" t="str">
        <x:v>증상이 없는 경우가 흔하지만, 우상복부 통증을 유발하거나 종양이 만져지는 경우도 있습니다. 드물게 종양의 파열 및 출혈로 인해 심한 복통, 쇼크가 발생할 수도 있습니다.</x:v>
      </x:c>
      <x:c r="I567" s="8" t="str">
        <x:v>간의 양성종양(간선종) - 역학 및 통계 / 증상 여성에서는 경구 피임약을 장기간 복용하는 경우 30~40배 더 잘 발생하며, 남성에서도 남성 호르몬을 증가시키는 치료와 관련이 있어서 성 호르몬이 간선종의 발생에 기여할 것으로 파악됩니다. 최근에는 비만과 대사증후군에 연관된 간선종이 늘고 있습니다. 증상이 없는 경우가 흔하지만, 우상복부 통증을 유발하거나 종양이 만져지는 경우도 있습니다. 드물게 종양의 파열 및 출혈로 인해 심한 복통, 쇼크가 발생할 수도 있습니다.</x:v>
      </x:c>
      <x:c r="J567" s="8" t="str">
        <x:v>간의 양성종양(간선종)</x:v>
      </x:c>
      <x:c r="K567" s="8" t="str">
        <x:v>질병관리청 국가건강정보포털
https://health.kdca.go.kr/healthinfo/biz/health/gnrlzHealthInfo/gnrlzHealthInfo/gnrlzHealthInfoMain.do</x:v>
      </x:c>
    </x:row>
    <x:row r="568" ht="62" customHeight="1">
      <x:c r="A568" s="9" t="n">
        <x:v>567</x:v>
      </x:c>
      <x:c r="B568" s="6" t="str">
        <x:v>최종 평가</x:v>
      </x:c>
      <x:c r="C568" s="6" t="str">
        <x:v>질병</x:v>
      </x:c>
      <x:c r="D568" s="6" t="str">
        <x:v>증상→질환 구분</x:v>
      </x:c>
      <x:c r="E568" s="6" t="str">
        <x:v>답변 가능</x:v>
      </x:c>
      <x:c r="F568" s="6" t="str">
        <x:v>어려움</x:v>
      </x:c>
      <x:c r="G568" s="8" t="str">
        <x:v>피부 염증으로 인해 가려움, 홍반, 진물, 부종이 나타나는 피부질환을 통칭하며, 만성화되면 피부가 두꺼워질 수 있습니다. 이런 증상은 어떤 질환과 관련이 있을 수 있나요?</x:v>
      </x:c>
      <x:c r="H568" s="8" t="str">
        <x:v>습진</x:v>
      </x:c>
      <x:c r="I568" s="8" t="str">
        <x:v>습진 - 요약문 '이것만은 꼭 기억하세요' • 습진은 피부 염증으로 인해 가려움, 홍반, 진물, 부종이 나타나는 피부질환을 통칭하며, 만성화되면 피부가 두꺼워질 수 있습니다. • 원인에 따라 외부 요인으로 인해 발생하는 외인성과 내부 요인에 의해 발생하는 내인성으로 나뉘며, 접촉피부염, 아토피피부염, 지루피부염 등이 있습니다.</x:v>
      </x:c>
      <x:c r="J568" s="8" t="str">
        <x:v>습진</x:v>
      </x:c>
      <x:c r="K568" s="8" t="str">
        <x:v>질병관리청 국가건강정보포털
https://health.kdca.go.kr/healthinfo/biz/health/gnrlzHealthInfo/gnrlzHealthInfo/gnrlzHealthInfoMain.do</x:v>
      </x:c>
    </x:row>
    <x:row r="569" ht="62" customHeight="1">
      <x:c r="A569" s="9" t="n">
        <x:v>568</x:v>
      </x:c>
      <x:c r="B569" s="6" t="str">
        <x:v>최종 평가</x:v>
      </x:c>
      <x:c r="C569" s="6" t="str">
        <x:v>질병</x:v>
      </x:c>
      <x:c r="D569" s="6" t="str">
        <x:v>용어·정의</x:v>
      </x:c>
      <x:c r="E569" s="6" t="str">
        <x:v>답변 가능</x:v>
      </x:c>
      <x:c r="F569" s="6" t="str">
        <x:v>쉬움</x:v>
      </x:c>
      <x:c r="G569" s="8" t="str">
        <x:v>입냄새가 뭔가요?</x:v>
      </x:c>
      <x:c r="H569" s="8" t="str">
        <x:v>'이것만은 꼭 기억하세요' • 내용1 • 내용2 입냄새는 입이나 그 주변 부위에서 나오는 냄새로서, 일반적으로 타인이나 자신에게 불쾌감을 주는 악취를 말합니다.</x:v>
      </x:c>
      <x:c r="I569" s="8" t="str">
        <x:v>입냄새 - 요약문 / 정의 / 종류 '이것만은 꼭 기억하세요' • 내용1 • 내용2 입냄새는 입이나 그 주변 부위에서 나오는 냄새로서, 일반적으로 타인이나 자신에게 불쾌감을 주는 악취를 말합니다. 입냄새를 세분화하여 말하는 학술적인 용어가 따로 있지만 현재는 입냄새라는 용어가 일반적으로 쓰이고 있습니다. 입냄새는 크게 세 가지로 나눌 수 있습니다. 첫째는 '생리적인 입냄새'로 일상 생활에서 정상적으로 발생하는 것입니다.</x:v>
      </x:c>
      <x:c r="J569" s="8" t="str">
        <x:v>입냄새</x:v>
      </x:c>
      <x:c r="K569" s="8" t="str">
        <x:v>질병관리청 국가건강정보포털
https://health.kdca.go.kr/healthinfo/biz/health/gnrlzHealthInfo/gnrlzHealthInfo/gnrlzHealthInfoMain.do</x:v>
      </x:c>
    </x:row>
    <x:row r="570" ht="62" customHeight="1">
      <x:c r="A570" s="9" t="n">
        <x:v>569</x:v>
      </x:c>
      <x:c r="B570" s="6" t="str">
        <x:v>최종 평가</x:v>
      </x:c>
      <x:c r="C570" s="6" t="str">
        <x:v>질병</x:v>
      </x:c>
      <x:c r="D570" s="6" t="str">
        <x:v>증상→질환 구분</x:v>
      </x:c>
      <x:c r="E570" s="6" t="str">
        <x:v>답변 가능</x:v>
      </x:c>
      <x:c r="F570" s="6" t="str">
        <x:v>어려움</x:v>
      </x:c>
      <x:c r="G570" s="8" t="str">
        <x:v>대표적인 증상은 충혈, 눈부심, 눈물흘림, 시력저하, 눈 통증, 날파리증, 변시증(변형되어 보임), 색시증(색이 달라 보임), 대시증(크게 보임)이나 소시증(작게 보임), 시야 이상, 색각 이상(색을 구분 못함) 등입니다. 이런 증상은 어떤 질환과 관련이 있을 수 있나요?</x:v>
      </x:c>
      <x:c r="H570" s="8" t="str">
        <x:v>포도막염</x:v>
      </x:c>
      <x:c r="I570" s="8" t="str">
        <x:v>포도막염 - 증상 대표적인 증상은 충혈, 눈부심, 눈물흘림, 시력저하, 눈 통증, 날파리증, 변시증(변형되어 보임), 색시증(색이 달라 보임), 대시증(크게 보임)이나 소시증(작게 보임), 시야 이상, 색각 이상(색을 구분 못함) 등입니다. 증상은 염증의 양상이나 침범 부위에 따라 다양하게 나타납니다.</x:v>
      </x:c>
      <x:c r="J570" s="8" t="str">
        <x:v>포도막염</x:v>
      </x:c>
      <x:c r="K570" s="8" t="str">
        <x:v>질병관리청 국가건강정보포털
https://health.kdca.go.kr/healthinfo/biz/health/gnrlzHealthInfo/gnrlzHealthInfo/gnrlzHealthInfoMain.do</x:v>
      </x:c>
    </x:row>
    <x:row r="571" ht="62" customHeight="1">
      <x:c r="A571" s="9" t="n">
        <x:v>570</x:v>
      </x:c>
      <x:c r="B571" s="6" t="str">
        <x:v>최종 평가</x:v>
      </x:c>
      <x:c r="C571" s="6" t="str">
        <x:v>질병</x:v>
      </x:c>
      <x:c r="D571" s="6" t="str">
        <x:v>답변불가·실시간 의료기관</x:v>
      </x:c>
      <x:c r="E571" s="6" t="str">
        <x:v>답변 거부</x:v>
      </x:c>
      <x:c r="F571" s="6" t="str">
        <x:v>어려움</x:v>
      </x:c>
      <x:c r="G571" s="8" t="str">
        <x:v>지금 제 위치에서 갑상선기능저하증 진료가 가능한 병원 중 대기 시간이 가장 짧은 곳은 어디인가요?</x:v>
      </x:c>
      <x:c r="H571" s="8" t="str">
        <x:v>제공된 질병관리청 VDB에는 실시간 병원 위치와 대기 시간 정보가 없어 답할 수 없습니다.</x:v>
      </x:c>
      <x:c r="I571" s="8" t="str">
        <x:v>VDB 범위 밖 질문 — 근거 없음</x:v>
      </x:c>
      <x:c r="J571" s="8" t="str">
        <x:v>갑상선기능저하증</x:v>
      </x:c>
      <x:c r="K571" s="8" t="str">
        <x:v>질병관리청 국가건강정보포털
https://health.kdca.go.kr/healthinfo/biz/health/gnrlzHealthInfo/gnrlzHealthInfo/gnrlzHealthInfoMain.do</x:v>
      </x:c>
    </x:row>
    <x:row r="572" ht="62" customHeight="1">
      <x:c r="A572" s="9" t="n">
        <x:v>571</x:v>
      </x:c>
      <x:c r="B572" s="6" t="str">
        <x:v>최종 평가</x:v>
      </x:c>
      <x:c r="C572" s="6" t="str">
        <x:v>질병</x:v>
      </x:c>
      <x:c r="D572" s="6" t="str">
        <x:v>진단·검사</x:v>
      </x:c>
      <x:c r="E572" s="6" t="str">
        <x:v>답변 가능</x:v>
      </x:c>
      <x:c r="F572" s="6" t="str">
        <x:v>쉬움</x:v>
      </x:c>
      <x:c r="G572" s="8" t="str">
        <x:v>성홍열은 어떤 검사로 확인하나요?</x:v>
      </x:c>
      <x:c r="H572" s="8" t="str">
        <x:v>성홍열의 진단은 환자의 인두 분비물, 혈액 등에서 균을 분리 동정하거나 항원 검출법을 통해 진단을 하게 됩니다.</x:v>
      </x:c>
      <x:c r="I572" s="8" t="str">
        <x:v>성홍열 - 진단 및 검사 성홍열의 진단은 환자의 인두 분비물, 혈액 등에서 균을 분리 동정하거나 항원 검출법을 통해 진단을 하게 됩니다.</x:v>
      </x:c>
      <x:c r="J572" s="8" t="str">
        <x:v>성홍열</x:v>
      </x:c>
      <x:c r="K572" s="8" t="str">
        <x:v>질병관리청 국가건강정보포털
https://health.kdca.go.kr/healthinfo/biz/health/gnrlzHealthInfo/gnrlzHealthInfo/gnrlzHealthInfoMain.do</x:v>
      </x:c>
    </x:row>
    <x:row r="573" ht="62" customHeight="1">
      <x:c r="A573" s="9" t="n">
        <x:v>572</x:v>
      </x:c>
      <x:c r="B573" s="6" t="str">
        <x:v>최종 평가</x:v>
      </x:c>
      <x:c r="C573" s="6" t="str">
        <x:v>질병</x:v>
      </x:c>
      <x:c r="D573" s="6" t="str">
        <x:v>기준·수치</x:v>
      </x:c>
      <x:c r="E573" s="6" t="str">
        <x:v>답변 가능</x:v>
      </x:c>
      <x:c r="F573" s="6" t="str">
        <x:v>쉬움</x:v>
      </x:c>
      <x:c r="G573" s="8" t="str">
        <x:v>기저귀피부염과 관련해 알아두어야 할 기준이나 수치는 무엇인가요?</x:v>
      </x:c>
      <x:c r="H573" s="8" t="str">
        <x:v>따라서 반드시 의사의 처방에 따라 적절한 약을사용해야 하며, 염증이 심할 때 약한 국소 스테로이드제(예: 1% 하이드로코르티손)를 단기간 사용할 수 있습니다.</x:v>
      </x:c>
      <x:c r="I573" s="8" t="str">
        <x:v>기저귀피부염 - 치료 / 위험요인 및 예방 따라서 반드시 의사의 처방에 따라 적절한 약을사용해야 하며, 염증이 심할 때 약한 국소 스테로이드제(예: 1% 하이드로코르티손)를 단기간 사용할 수 있습니다. 만약 증상이 호전되지 않는다면 세균이나 곰팡이에 의한 2차 감염이 생겼을 수 있습니다. 이 경우 항진균제나 항생제 연고가 필요할 수 있으므로 반드시 병원을 방문해 진료를 받아야 합니다. 기저귀피부염은 예방이 가장 좋은 치료입니다.</x:v>
      </x:c>
      <x:c r="J573" s="8" t="str">
        <x:v>기저귀피부염</x:v>
      </x:c>
      <x:c r="K573" s="8" t="str">
        <x:v>질병관리청 국가건강정보포털
https://health.kdca.go.kr/healthinfo/biz/health/gnrlzHealthInfo/gnrlzHealthInfo/gnrlzHealthInfoMain.do</x:v>
      </x:c>
    </x:row>
    <x:row r="574" ht="62" customHeight="1">
      <x:c r="A574" s="9" t="n">
        <x:v>573</x:v>
      </x:c>
      <x:c r="B574" s="6" t="str">
        <x:v>최종 평가</x:v>
      </x:c>
      <x:c r="C574" s="6" t="str">
        <x:v>질병</x:v>
      </x:c>
      <x:c r="D574" s="6" t="str">
        <x:v>용어·정의</x:v>
      </x:c>
      <x:c r="E574" s="6" t="str">
        <x:v>답변 가능</x:v>
      </x:c>
      <x:c r="F574" s="6" t="str">
        <x:v>쉬움</x:v>
      </x:c>
      <x:c r="G574" s="8" t="str">
        <x:v>조음장애가 뭔가요?</x:v>
      </x:c>
      <x:c r="H574" s="8" t="str">
        <x:v>조음장애는 단어를 정상적으로 또렷하게 발음하는 능력을 상실한 상태를 뜻합니다.</x:v>
      </x:c>
      <x:c r="I574" s="8" t="str">
        <x:v>언어장애(성인 언어 및 말장애의 진단과 치료) - 종류 조음장애는 단어를 정상적으로 또렷하게 발음하는 능력을 상실한 상태를 뜻합니다. 자음이나 모음의 발음이 부정확하거나 과장되어 상대방이 알아듣기 어려울 수 있지만 언어 이해와 따라 말하기, 스스로 말하기 등이 가능하다는 것이 실어증과의 차이입니다.</x:v>
      </x:c>
      <x:c r="J574" s="8" t="str">
        <x:v>언어장애(성인 언어 및 말장애의 진단과 치료)</x:v>
      </x:c>
      <x:c r="K574" s="8" t="str">
        <x:v>질병관리청 국가건강정보포털
https://health.kdca.go.kr/healthinfo/biz/health/gnrlzHealthInfo/gnrlzHealthInfo/gnrlzHealthInfoMain.do</x:v>
      </x:c>
    </x:row>
    <x:row r="575" ht="62" customHeight="1">
      <x:c r="A575" s="9" t="n">
        <x:v>574</x:v>
      </x:c>
      <x:c r="B575" s="6" t="str">
        <x:v>최종 평가</x:v>
      </x:c>
      <x:c r="C575" s="6" t="str">
        <x:v>질병</x:v>
      </x:c>
      <x:c r="D575" s="6" t="str">
        <x:v>증상·양상</x:v>
      </x:c>
      <x:c r="E575" s="6" t="str">
        <x:v>답변 가능</x:v>
      </x:c>
      <x:c r="F575" s="6" t="str">
        <x:v>쉬움</x:v>
      </x:c>
      <x:c r="G575" s="8" t="str">
        <x:v>간의 양성종양(간혈관종)이 있으면 어떤 증상이 나타날 수 있나요?</x:v>
      </x:c>
      <x:c r="H575" s="8" t="str">
        <x:v>혈관종은 대부분 증상이 없기 때문에 건강검진이나 다른 질환의 검사를 위해 시행하는 복부 초음파나 복부 컴퓨터단층촬영(CT) 등의 검사에서 우연히 발견됩니다. 복부 자기공명영상(MRI), 간동맥 조영술 및 단일광자방출 컴퓨터단층촬영(Single Photon Emission Computed Tomography, SPECT) 등을 통해서도 진단이 가능합니다.</x:v>
      </x:c>
      <x:c r="I575" s="8" t="str">
        <x:v>간의 양성종양(간혈관종) - 증상 / 진단 및 검사 간혹 출혈이나 혈전이 생기며, 매우 드물게 복강 내로 파열되는 경우도 있습니다. 혈관종은 대부분 증상이 없기 때문에 건강검진이나 다른 질환의 검사를 위해 시행하는 복부 초음파나 복부 컴퓨터단층촬영(CT) 등의 검사에서 우연히 발견됩니다. 복부 자기공명영상(MRI), 간동맥 조영술 및 단일광자방출 컴퓨터단층촬영(Single Photon Emission Computed Tomography, SPECT) 등을 통해서도 진단이 가능합니다.</x:v>
      </x:c>
      <x:c r="J575" s="8" t="str">
        <x:v>간의 양성종양(간혈관종)</x:v>
      </x:c>
      <x:c r="K575" s="8" t="str">
        <x:v>질병관리청 국가건강정보포털
https://health.kdca.go.kr/healthinfo/biz/health/gnrlzHealthInfo/gnrlzHealthInfo/gnrlzHealthInfoMain.do</x:v>
      </x:c>
    </x:row>
    <x:row r="576" ht="62" customHeight="1">
      <x:c r="A576" s="9" t="n">
        <x:v>575</x:v>
      </x:c>
      <x:c r="B576" s="6" t="str">
        <x:v>최종 평가</x:v>
      </x:c>
      <x:c r="C576" s="6" t="str">
        <x:v>질병</x:v>
      </x:c>
      <x:c r="D576" s="6" t="str">
        <x:v>원인·위험요인</x:v>
      </x:c>
      <x:c r="E576" s="6" t="str">
        <x:v>답변 가능</x:v>
      </x:c>
      <x:c r="F576" s="6" t="str">
        <x:v>쉬움</x:v>
      </x:c>
      <x:c r="G576" s="8" t="str">
        <x:v>치아맹출장애는 왜 생기나요?</x:v>
      </x:c>
      <x:c r="H576" s="8" t="str">
        <x:v>치아맹출장애의 원인은 크게 국소적 원인과 전신적 원인으로 나누어 볼 수 있습니다. 1. 국소적 원인(특정 부위에만 영향을 미치는 원인) 치아 싹의 위치가 정상 맹출 경로에서 벗어나 전혀 다른 방향으로 바뀌면 맹출 지연이나 매복이 자주 발생합니다. 또한 치아가 구강내로 맹출할 공간이 부족할 때도 맹출 장애가 생길 수 있습니다.</x:v>
      </x:c>
      <x:c r="I576" s="8" t="str">
        <x:v>치아맹출장애 - 원인 치아맹출장애의 원인은 크게 국소적 원인과 전신적 원인으로 나누어 볼 수 있습니다. 1. 국소적 원인(특정 부위에만 영향을 미치는 원인) 치아 싹의 위치가 정상 맹출 경로에서 벗어나 전혀 다른 방향으로 바뀌면 맹출 지연이나 매복이 자주 발생합니다. 또한 치아가 구강내로 맹출할 공간이 부족할 때도 맹출 장애가 생길 수 있습니다.</x:v>
      </x:c>
      <x:c r="J576" s="8" t="str">
        <x:v>치아맹출장애</x:v>
      </x:c>
      <x:c r="K576" s="8" t="str">
        <x:v>질병관리청 국가건강정보포털
https://health.kdca.go.kr/healthinfo/biz/health/gnrlzHealthInfo/gnrlzHealthInfo/gnrlzHealthInfoMain.do</x:v>
      </x:c>
    </x:row>
    <x:row r="577" ht="62" customHeight="1">
      <x:c r="A577" s="9" t="n">
        <x:v>576</x:v>
      </x:c>
      <x:c r="B577" s="6" t="str">
        <x:v>최종 평가</x:v>
      </x:c>
      <x:c r="C577" s="6" t="str">
        <x:v>질병</x:v>
      </x:c>
      <x:c r="D577" s="6" t="str">
        <x:v>용어·정의</x:v>
      </x:c>
      <x:c r="E577" s="6" t="str">
        <x:v>답변 가능</x:v>
      </x:c>
      <x:c r="F577" s="6" t="str">
        <x:v>쉬움</x:v>
      </x:c>
      <x:c r="G577" s="8" t="str">
        <x:v>소화불량이 뭔가요?</x:v>
      </x:c>
      <x:c r="H577" s="8" t="str">
        <x:v>소화불량이란 “위와 십이지장 영역에서 발생하는 증상 중 식후 포만감, 조기 포만감, 상복부 통증, 상복부 속쓰림 중 한 가지 이상의 증상이 최근 3개월간 지속되며, 진단 최소 6개월 이전부터 증상이 있었던 경우”라고 정의합니다.</x:v>
      </x:c>
      <x:c r="I577" s="8" t="str">
        <x:v>소화불량 - 정의 / 종류 소화불량이란 “위와 십이지장 영역에서 발생하는 증상 중 식후 포만감, 조기 포만감, 상복부 통증, 상복부 속쓰림 중 한 가지 이상의 증상이 최근 3개월간 지속되며, 진단 최소 6개월 이전부터 증상이 있었던 경우”라고 정의합니다. 기능성 소화불량은 한 가지 원인보다는 여러 가지 기전이 관여하기 때문에 다양한 증상을 보입니다. 일반적으로 기능성 소화불량은 두 가지로 분류할 수 있습니다.</x:v>
      </x:c>
      <x:c r="J577" s="8" t="str">
        <x:v>소화불량</x:v>
      </x:c>
      <x:c r="K577" s="8" t="str">
        <x:v>질병관리청 국가건강정보포털
https://health.kdca.go.kr/healthinfo/biz/health/gnrlzHealthInfo/gnrlzHealthInfo/gnrlzHealthInfoMain.do</x:v>
      </x:c>
    </x:row>
    <x:row r="578" ht="62" customHeight="1">
      <x:c r="A578" s="9" t="n">
        <x:v>577</x:v>
      </x:c>
      <x:c r="B578" s="6" t="str">
        <x:v>최종 평가</x:v>
      </x:c>
      <x:c r="C578" s="6" t="str">
        <x:v>질병</x:v>
      </x:c>
      <x:c r="D578" s="6" t="str">
        <x:v>용어·정의</x:v>
      </x:c>
      <x:c r="E578" s="6" t="str">
        <x:v>답변 가능</x:v>
      </x:c>
      <x:c r="F578" s="6" t="str">
        <x:v>쉬움</x:v>
      </x:c>
      <x:c r="G578" s="8" t="str">
        <x:v>눈꺼풀처짐(안검하수)가 뭔가요?</x:v>
      </x:c>
      <x:c r="H578" s="8" t="str">
        <x:v>눈꺼풀처짐(안검하수)은 선천적 또는 후천적으로 윗눈꺼풀이 처지고 눈꺼풀 틈새가 작아진 상태를 말합니다.</x:v>
      </x:c>
      <x:c r="I578" s="8" t="str">
        <x:v>눈꺼풀처짐(안검하수) - 요약문 / 개요 • 치료는 원인 질환과 눈꺼풀올림근의 기능에 따라 달라지며, 유아인 경우 시력에 영향이 없다면 3~5세까지 기다려 볼 수도 있고, 필요시 보존적 또는 수술적 치료를 합니다. • 수술 후에는 눈을 뜨고 잘 수 있는 등 불가피한 합병증이 있을 수 있으며, 적절한 보존적 치료로 심한 합병증을 예방하는 것이 중요합니다. 눈꺼풀처짐(안검하수)은 선천적 또는 후천적으로 윗눈꺼풀이 처지고 눈꺼풀 틈새가 작아진 상태를 말합니다.</x:v>
      </x:c>
      <x:c r="J578" s="8" t="str">
        <x:v>눈꺼풀처짐(안검하수)</x:v>
      </x:c>
      <x:c r="K578" s="8" t="str">
        <x:v>질병관리청 국가건강정보포털
https://health.kdca.go.kr/healthinfo/biz/health/gnrlzHealthInfo/gnrlzHealthInfo/gnrlzHealthInfoMain.do</x:v>
      </x:c>
    </x:row>
    <x:row r="579" ht="62" customHeight="1">
      <x:c r="A579" s="9" t="n">
        <x:v>578</x:v>
      </x:c>
      <x:c r="B579" s="6" t="str">
        <x:v>최종 평가</x:v>
      </x:c>
      <x:c r="C579" s="6" t="str">
        <x:v>질병</x:v>
      </x:c>
      <x:c r="D579" s="6" t="str">
        <x:v>진단·검사</x:v>
      </x:c>
      <x:c r="E579" s="6" t="str">
        <x:v>답변 가능</x:v>
      </x:c>
      <x:c r="F579" s="6" t="str">
        <x:v>쉬움</x:v>
      </x:c>
      <x:c r="G579" s="8" t="str">
        <x:v>경부 종괴는 어떤 검사로 확인하나요?</x:v>
      </x:c>
      <x:c r="H579" s="8" t="str">
        <x:v>경부 종괴는 시진(눈으로 보고 진단)과 촉진(손으로 만져서 진단)을 통해서 종괴의 크기, 단단함의 정도, 움직여지는 정도, 홍반(붉은 빛깔의 점), 열감이나 압통(피부를 세게 눌렀을 때 느끼는 아픔)과 같은 염증 소견을 동반하는지를 규명해야 합니다.</x:v>
      </x:c>
      <x:c r="I579" s="8" t="str">
        <x:v>경부 종괴 - 진단 및 검사 경부 종괴는 시진(눈으로 보고 진단)과 촉진(손으로 만져서 진단)을 통해서 종괴의 크기, 단단함의 정도, 움직여지는 정도, 홍반(붉은 빛깔의 점), 열감이나 압통(피부를 세게 눌렀을 때 느끼는 아픔)과 같은 염증 소견을 동반하는지를 규명해야 합니다. 앞서 이야기한 정상 구조물들과의 관련성을 파악하는 것이 진단에 큰 도움을 줄 수 있습니다.</x:v>
      </x:c>
      <x:c r="J579" s="8" t="str">
        <x:v>경부 종괴</x:v>
      </x:c>
      <x:c r="K579" s="8" t="str">
        <x:v>질병관리청 국가건강정보포털
https://health.kdca.go.kr/healthinfo/biz/health/gnrlzHealthInfo/gnrlzHealthInfo/gnrlzHealthInfoMain.do</x:v>
      </x:c>
    </x:row>
    <x:row r="580" ht="62" customHeight="1">
      <x:c r="A580" s="9" t="n">
        <x:v>579</x:v>
      </x:c>
      <x:c r="B580" s="6" t="str">
        <x:v>최종 평가</x:v>
      </x:c>
      <x:c r="C580" s="6" t="str">
        <x:v>질병</x:v>
      </x:c>
      <x:c r="D580" s="6" t="str">
        <x:v>치료·관리</x:v>
      </x:c>
      <x:c r="E580" s="6" t="str">
        <x:v>답변 가능</x:v>
      </x:c>
      <x:c r="F580" s="6" t="str">
        <x:v>쉬움</x:v>
      </x:c>
      <x:c r="G580" s="8" t="str">
        <x:v>간경변증은 어떻게 치료하거나 관리하나요?</x:v>
      </x:c>
      <x:c r="H580" s="8" t="str">
        <x:v>간경변증 환자에서 일차 예방은 간염에서 섬유화로 진행시키는 여러 위험 요인들을 제거하는 것입니다.</x:v>
      </x:c>
      <x:c r="I580" s="8" t="str">
        <x:v>간경변증 - 치료 / 자가 관리 그러나 원인에 대해 적절한 치료를 하는 경우 간경변증으로의 진행을 막아 심각한 상태로 진행되지 않도록 도와줄 수 있습니다. 진행을 막기 위해서는, 간경변증의 원인을 치료하고 간에 추가적인 손상을 줄 수 있는 요소를 피해야 합니다. 예방과 권장 생활 습관 간경변증 환자에서 일차 예방은 간염에서 섬유화로 진행시키는 여러 위험 요인들을 제거하는 것입니다.</x:v>
      </x:c>
      <x:c r="J580" s="8" t="str">
        <x:v>간경변증</x:v>
      </x:c>
      <x:c r="K580" s="8" t="str">
        <x:v>질병관리청 국가건강정보포털
https://health.kdca.go.kr/healthinfo/biz/health/gnrlzHealthInfo/gnrlzHealthInfo/gnrlzHealthInfoMain.do</x:v>
      </x:c>
    </x:row>
    <x:row r="581" ht="62" customHeight="1">
      <x:c r="A581" s="9" t="n">
        <x:v>580</x:v>
      </x:c>
      <x:c r="B581" s="6" t="str">
        <x:v>최종 평가</x:v>
      </x:c>
      <x:c r="C581" s="6" t="str">
        <x:v>질병</x:v>
      </x:c>
      <x:c r="D581" s="6" t="str">
        <x:v>기준·수치</x:v>
      </x:c>
      <x:c r="E581" s="6" t="str">
        <x:v>답변 가능</x:v>
      </x:c>
      <x:c r="F581" s="6" t="str">
        <x:v>쉬움</x:v>
      </x:c>
      <x:c r="G581" s="8" t="str">
        <x:v>비뇨기계 외상과 관련해 알아두어야 할 기준이나 수치는 무엇인가요?</x:v>
      </x:c>
      <x:c r="H581" s="8" t="str">
        <x:v>수술 도중에 완전 또는 부분적으로 요관이 묶인 경우에는 수술 후 38℃ 이상의 고열, 옆구리와 아랫배 통증, 욕지기, 구토, 창자막힘 (장폐색증) 등의 증상이 나타나고, 양쪽 요관이 모두 묶인 경우에는 수술 후 소변이 전혀 나오지 않는 무뇨가 나타날 수 있습니다.</x:v>
      </x:c>
      <x:c r="I581" s="8" t="str">
        <x:v>비뇨기계 외상 - 증상 수술 도중에 완전 또는 부분적으로 요관이 묶인 경우에는 수술 후 38℃ 이상의 고열, 옆구리와 아랫배 통증, 욕지기, 구토, 창자막힘 (장폐색증) 등의 증상이 나타나고, 양쪽 요관이 모두 묶인 경우에는 수술 후 소변이 전혀 나오지 않는 무뇨가 나타날 수 있습니다. 3. 방광 손상 대부분 배뇨가 잘 되지 않으며 간혹 배뇨를 하는 경우 혈뇨 소견을 보입니다.</x:v>
      </x:c>
      <x:c r="J581" s="8" t="str">
        <x:v>비뇨기계 외상</x:v>
      </x:c>
      <x:c r="K581" s="8" t="str">
        <x:v>질병관리청 국가건강정보포털
https://health.kdca.go.kr/healthinfo/biz/health/gnrlzHealthInfo/gnrlzHealthInfo/gnrlzHealthInfoMain.do</x:v>
      </x:c>
    </x:row>
    <x:row r="582" ht="62" customHeight="1">
      <x:c r="A582" s="9" t="n">
        <x:v>581</x:v>
      </x:c>
      <x:c r="B582" s="6" t="str">
        <x:v>최종 평가</x:v>
      </x:c>
      <x:c r="C582" s="6" t="str">
        <x:v>질병</x:v>
      </x:c>
      <x:c r="D582" s="6" t="str">
        <x:v>기준·수치</x:v>
      </x:c>
      <x:c r="E582" s="6" t="str">
        <x:v>답변 가능</x:v>
      </x:c>
      <x:c r="F582" s="6" t="str">
        <x:v>쉬움</x:v>
      </x:c>
      <x:c r="G582" s="8" t="str">
        <x:v>여드름과 관련된 증상이나 상태는 보통 얼마나 지속되나요?</x:v>
      </x:c>
      <x:c r="H582" s="8" t="str">
        <x:v>여드름은 생후 첫 수 주 이내 발생하는 신생아 여드름에서 생후 1~12개월 사이에 발생하는 영아 여드름, 아동기, 사춘기, 성인기까지 어느 연령에서나 발생할 수 있으나, 사춘기에서 초기 성인기에 가장 흔히 생깁니다.</x:v>
      </x:c>
      <x:c r="I582" s="8" t="str">
        <x:v>여드름 - 역학 및 통계 여드름은 생후 첫 수 주 이내 발생하는 신생아 여드름에서 생후 1~12개월 사이에 발생하는 영아 여드름, 아동기, 사춘기, 성인기까지 어느 연령에서나 발생할 수 있으나, 사춘기에서 초기 성인기에 가장 흔히 생깁니다. 청소년기부터 성인기까지 지속되기도 하고, 청소년기 이후 수그러들었다가 성인기에 다시 발생하기도 합니다.</x:v>
      </x:c>
      <x:c r="J582" s="8" t="str">
        <x:v>여드름</x:v>
      </x:c>
      <x:c r="K582" s="8" t="str">
        <x:v>질병관리청 국가건강정보포털
https://health.kdca.go.kr/healthinfo/biz/health/gnrlzHealthInfo/gnrlzHealthInfo/gnrlzHealthInfoMain.do</x:v>
      </x:c>
    </x:row>
    <x:row r="583" ht="62" customHeight="1">
      <x:c r="A583" s="9" t="n">
        <x:v>582</x:v>
      </x:c>
      <x:c r="B583" s="6" t="str">
        <x:v>최종 평가</x:v>
      </x:c>
      <x:c r="C583" s="6" t="str">
        <x:v>질병</x:v>
      </x:c>
      <x:c r="D583" s="6" t="str">
        <x:v>경과·예후</x:v>
      </x:c>
      <x:c r="E583" s="6" t="str">
        <x:v>답변 가능</x:v>
      </x:c>
      <x:c r="F583" s="6" t="str">
        <x:v>쉬움</x:v>
      </x:c>
      <x:c r="G583" s="8" t="str">
        <x:v>요도하열(소아)의 경과나 예후는 어떤가요?</x:v>
      </x:c>
      <x:c r="H583" s="8" t="str">
        <x:v>수술 후 합병증으로 새로 만들어준 요도에서 소변이 새는 요도피부누공, 요도가 좁아지는 요도협착, 요도굽이의 지속 및 요도게실 등이 생길 수 있습니다.</x:v>
      </x:c>
      <x:c r="I583" s="8" t="str">
        <x:v>요도하열(소아) - 합병증 / 자주하는 질문 수술 후 합병증으로 새로 만들어준 요도에서 소변이 새는 요도피부누공, 요도가 좁아지는 요도협착, 요도굽이의 지속 및 요도게실 등이 생길 수 있습니다. 요도피부누공은 가장 흔한 합병증으로 대부분 간단한 수술로 교정됩니다. 합병증이 발생한 경우 보통 6개월이 지난 후에 다시 수술로 교정합니다. Q. 요도하열수술은 언제 받는 것이 좋은가요? A.</x:v>
      </x:c>
      <x:c r="J583" s="8" t="str">
        <x:v>요도하열(소아)</x:v>
      </x:c>
      <x:c r="K583" s="8" t="str">
        <x:v>질병관리청 국가건강정보포털
https://health.kdca.go.kr/healthinfo/biz/health/gnrlzHealthInfo/gnrlzHealthInfo/gnrlzHealthInfoMain.do</x:v>
      </x:c>
    </x:row>
    <x:row r="584" ht="62" customHeight="1">
      <x:c r="A584" s="9" t="n">
        <x:v>583</x:v>
      </x:c>
      <x:c r="B584" s="6" t="str">
        <x:v>최종 평가</x:v>
      </x:c>
      <x:c r="C584" s="6" t="str">
        <x:v>질병</x:v>
      </x:c>
      <x:c r="D584" s="6" t="str">
        <x:v>예방·생활수칙</x:v>
      </x:c>
      <x:c r="E584" s="6" t="str">
        <x:v>답변 가능</x:v>
      </x:c>
      <x:c r="F584" s="6" t="str">
        <x:v>쉬움</x:v>
      </x:c>
      <x:c r="G584" s="8" t="str">
        <x:v>이상지질혈증을 예방하려면 어떻게 해야 하나요?</x:v>
      </x:c>
      <x:c r="H584" s="8" t="str">
        <x:v>이 경우 식사 요법과 운동은 보조적으로만 도움이 되며, 유전적으로 LDL 수용체 기능이 손상된 경우에는 생활습관 교정만으로는 목표 LDL 수치에 도달하기 어렵습니다. 따라서 대부분의 환자는 스타틴 계열 약물치료가 필요하며, 고위험 환자의 경우 에제티미브 또는 PCSK9 억제제와 같은 추가 치료가 요구됩니다. LDL 콜레스테롤, HDL 콜레스테롤, 중성지방, 스타틴 1. 보건복지부‧한국영양학. 2020 한국인 영양소 섭취기준 활용. 2.</x:v>
      </x:c>
      <x:c r="I584" s="8" t="str">
        <x:v>이상지질혈증 - 자주하는 질문 / 연관 주제어 / 참고문헌 이 경우 식사 요법과 운동은 보조적으로만 도움이 되며, 유전적으로 LDL 수용체 기능이 손상된 경우에는 생활습관 교정만으로는 목표 LDL 수치에 도달하기 어렵습니다. 따라서 대부분의 환자는 스타틴 계열 약물치료가 필요하며, 고위험 환자의 경우 에제티미브 또는 PCSK9 억제제와 같은 추가 치료가 요구됩니다. LDL 콜레스테롤, HDL 콜레스테롤, 중성지방, 스타틴 1. 보건복지부‧한국영양학. 2020 한국인 영양소 섭취기준 활용. 2.</x:v>
      </x:c>
      <x:c r="J584" s="8" t="str">
        <x:v>이상지질혈증</x:v>
      </x:c>
      <x:c r="K584" s="8" t="str">
        <x:v>질병관리청 국가건강정보포털
https://health.kdca.go.kr/healthinfo/biz/health/gnrlzHealthInfo/gnrlzHealthInfo/gnrlzHealthInfoMain.do</x:v>
      </x:c>
    </x:row>
    <x:row r="585" ht="62" customHeight="1">
      <x:c r="A585" s="9" t="n">
        <x:v>584</x:v>
      </x:c>
      <x:c r="B585" s="6" t="str">
        <x:v>최종 평가</x:v>
      </x:c>
      <x:c r="C585" s="6" t="str">
        <x:v>질병</x:v>
      </x:c>
      <x:c r="D585" s="6" t="str">
        <x:v>증상→질환 구분</x:v>
      </x:c>
      <x:c r="E585" s="6" t="str">
        <x:v>답변 가능</x:v>
      </x:c>
      <x:c r="F585" s="6" t="str">
        <x:v>어려움</x:v>
      </x:c>
      <x:c r="G585" s="8" t="str">
        <x:v>일반적으로 언어기능을 담당하는 부위에 병이 발생하게 되면, 주변의 다른 뇌 부위를 같이 침범하게 되어 편마비, 구음장애, 감각 이상 등의 다양한 증상들이 동반됩니다. 이런 증상은 어떤 질환과 관련이 있을 수 있나요?</x:v>
      </x:c>
      <x:c r="H585" s="8" t="str">
        <x:v>실어증</x:v>
      </x:c>
      <x:c r="I585" s="8" t="str">
        <x:v>실어증 - 증상 ⦁ 알아들을 수 없는 단어로 말한다. ⦁ 내용이 맞지 않는 문장들을 쓴다. ⦁ 적절한 단어가 생각나지 않아서, 그것, 저것으로 이야기하는 경우가 많다. ⦁ 남이 하는 말을 이해하지 못하고 엉뚱한 대답을 한다. 일반적으로 언어기능을 담당하는 부위에 병이 발생하게 되면, 주변의 다른 뇌 부위를 같이 침범하게 되어 편마비, 구음장애, 감각 이상 등의 다양한 증상들이 동반됩니다.</x:v>
      </x:c>
      <x:c r="J585" s="8" t="str">
        <x:v>실어증</x:v>
      </x:c>
      <x:c r="K585" s="8" t="str">
        <x:v>질병관리청 국가건강정보포털
https://health.kdca.go.kr/healthinfo/biz/health/gnrlzHealthInfo/gnrlzHealthInfo/gnrlzHealthInfoMain.do</x:v>
      </x:c>
    </x:row>
    <x:row r="586" ht="62" customHeight="1">
      <x:c r="A586" s="9" t="n">
        <x:v>585</x:v>
      </x:c>
      <x:c r="B586" s="6" t="str">
        <x:v>최종 평가</x:v>
      </x:c>
      <x:c r="C586" s="6" t="str">
        <x:v>질병</x:v>
      </x:c>
      <x:c r="D586" s="6" t="str">
        <x:v>답변불가·실시간 의료기관</x:v>
      </x:c>
      <x:c r="E586" s="6" t="str">
        <x:v>답변 거부</x:v>
      </x:c>
      <x:c r="F586" s="6" t="str">
        <x:v>어려움</x:v>
      </x:c>
      <x:c r="G586" s="8" t="str">
        <x:v>지금 제 위치에서 폐렴(소아) 진료가 가능한 병원 중 대기 시간이 가장 짧은 곳은 어디인가요?</x:v>
      </x:c>
      <x:c r="H586" s="8" t="str">
        <x:v>제공된 질병관리청 VDB에는 실시간 병원 위치와 대기 시간 정보가 없어 답할 수 없습니다.</x:v>
      </x:c>
      <x:c r="I586" s="8" t="str">
        <x:v>VDB 범위 밖 질문 — 근거 없음</x:v>
      </x:c>
      <x:c r="J586" s="8" t="str">
        <x:v>폐렴(소아)</x:v>
      </x:c>
      <x:c r="K586" s="8" t="str">
        <x:v>질병관리청 국가건강정보포털
https://health.kdca.go.kr/healthinfo/biz/health/gnrlzHealthInfo/gnrlzHealthInfo/gnrlzHealthInfoMain.do</x:v>
      </x:c>
    </x:row>
    <x:row r="587" ht="62" customHeight="1">
      <x:c r="A587" s="9" t="n">
        <x:v>586</x:v>
      </x:c>
      <x:c r="B587" s="6" t="str">
        <x:v>최종 평가</x:v>
      </x:c>
      <x:c r="C587" s="6" t="str">
        <x:v>질병</x:v>
      </x:c>
      <x:c r="D587" s="6" t="str">
        <x:v>진단·검사</x:v>
      </x:c>
      <x:c r="E587" s="6" t="str">
        <x:v>답변 가능</x:v>
      </x:c>
      <x:c r="F587" s="6" t="str">
        <x:v>쉬움</x:v>
      </x:c>
      <x:c r="G587" s="8" t="str">
        <x:v>안외상(각막이물)은 어떤 검사로 확인하나요?</x:v>
      </x:c>
      <x:c r="H587" s="8" t="str">
        <x:v>각막에 세로 모양의 상처가 많이 나 있다면, 각막이 아닌 윗눈꺼풀 결막에 이물이 있을 가능성이 있으므로 그에 따른 검사가 필요합니다.</x:v>
      </x:c>
      <x:c r="I587" s="8" t="str">
        <x:v>안외상(각막이물) - 진단 및 검사 / 치료 안과적 검사 세극등 현미경 검사를 통하여 각막 이물과 갈색고리 등을 관찰하며, 동반된 각막부종이나 각막 염증이 있는지를 살핍니다. 각막에 세로 모양의 상처가 많이 나 있다면, 각막이 아닌 윗눈꺼풀 결막에 이물이 있을 가능성이 있으므로 그에 따른 검사가 필요합니다. 때로는 이물이 안구 내에도 동반될 가능성도 있어, 필요에 따라 CT, 초음파검사나 안저검사를 시행하여 확인하게 됩니다. 1. 이물 제거</x:v>
      </x:c>
      <x:c r="J587" s="8" t="str">
        <x:v>안외상(각막이물)</x:v>
      </x:c>
      <x:c r="K587" s="8" t="str">
        <x:v>질병관리청 국가건강정보포털
https://health.kdca.go.kr/healthinfo/biz/health/gnrlzHealthInfo/gnrlzHealthInfo/gnrlzHealthInfoMain.do</x:v>
      </x:c>
    </x:row>
    <x:row r="588" ht="62" customHeight="1">
      <x:c r="A588" s="9" t="n">
        <x:v>587</x:v>
      </x:c>
      <x:c r="B588" s="6" t="str">
        <x:v>최종 평가</x:v>
      </x:c>
      <x:c r="C588" s="6" t="str">
        <x:v>질병</x:v>
      </x:c>
      <x:c r="D588" s="6" t="str">
        <x:v>답변불가·실시간 의료기관</x:v>
      </x:c>
      <x:c r="E588" s="6" t="str">
        <x:v>답변 거부</x:v>
      </x:c>
      <x:c r="F588" s="6" t="str">
        <x:v>어려움</x:v>
      </x:c>
      <x:c r="G588" s="8" t="str">
        <x:v>지금 제 위치에서 디프테리아 진료가 가능한 병원 중 대기 시간이 가장 짧은 곳은 어디인가요?</x:v>
      </x:c>
      <x:c r="H588" s="8" t="str">
        <x:v>제공된 질병관리청 VDB에는 실시간 병원 위치와 대기 시간 정보가 없어 답할 수 없습니다.</x:v>
      </x:c>
      <x:c r="I588" s="8" t="str">
        <x:v>VDB 범위 밖 질문 — 근거 없음</x:v>
      </x:c>
      <x:c r="J588" s="8" t="str">
        <x:v>디프테리아</x:v>
      </x:c>
      <x:c r="K588" s="8" t="str">
        <x:v>질병관리청 국가건강정보포털
https://health.kdca.go.kr/healthinfo/biz/health/gnrlzHealthInfo/gnrlzHealthInfo/gnrlzHealthInfoMain.do</x:v>
      </x:c>
    </x:row>
    <x:row r="589" ht="62" customHeight="1">
      <x:c r="A589" s="9" t="n">
        <x:v>588</x:v>
      </x:c>
      <x:c r="B589" s="6" t="str">
        <x:v>최종 평가</x:v>
      </x:c>
      <x:c r="C589" s="6" t="str">
        <x:v>질병</x:v>
      </x:c>
      <x:c r="D589" s="6" t="str">
        <x:v>원인·위험요인</x:v>
      </x:c>
      <x:c r="E589" s="6" t="str">
        <x:v>답변 가능</x:v>
      </x:c>
      <x:c r="F589" s="6" t="str">
        <x:v>쉬움</x:v>
      </x:c>
      <x:c r="G589" s="8" t="str">
        <x:v>간의 양성종양(간선종)은 왜 생기나요?</x:v>
      </x:c>
      <x:c r="H589" s="8" t="str">
        <x:v>간선종(hepatocellular adenoma)은 매우 드물며, 일부 간세포가 과도하게 증식해 발생하지만 전이가 되거나 조직을 파괴하지 않으므로 양성종양으로 분류합니다. 다른 양성종양과 달리 악성화해 암으로 변할 수 있고, 종괴내부 또는 복강내 출혈이 발생해 수술적 치료가 필요할 수 있습니다. 간선종이 발생한 환자에서는 다양한 유전자 변이가 발견되는데, 이러한 유전자 변이로 과도한 간세포 증식을 설명할 수 있습니다.</x:v>
      </x:c>
      <x:c r="I589" s="8" t="str">
        <x:v>간의 양성종양(간선종) - 개요 / 원인 간선종(hepatocellular adenoma)은 매우 드물며, 일부 간세포가 과도하게 증식해 발생하지만 전이가 되거나 조직을 파괴하지 않으므로 양성종양으로 분류합니다. 다른 양성종양과 달리 악성화해 암으로 변할 수 있고, 종괴내부 또는 복강내 출혈이 발생해 수술적 치료가 필요할 수 있습니다. 간선종이 발생한 환자에서는 다양한 유전자 변이가 발견되는데, 이러한 유전자 변이로 과도한 간세포 증식을 설명할 수 있습니다.</x:v>
      </x:c>
      <x:c r="J589" s="8" t="str">
        <x:v>간의 양성종양(간선종)</x:v>
      </x:c>
      <x:c r="K589" s="8" t="str">
        <x:v>질병관리청 국가건강정보포털
https://health.kdca.go.kr/healthinfo/biz/health/gnrlzHealthInfo/gnrlzHealthInfo/gnrlzHealthInfoMain.do</x:v>
      </x:c>
    </x:row>
    <x:row r="590" ht="62" customHeight="1">
      <x:c r="A590" s="9" t="n">
        <x:v>589</x:v>
      </x:c>
      <x:c r="B590" s="6" t="str">
        <x:v>최종 평가</x:v>
      </x:c>
      <x:c r="C590" s="6" t="str">
        <x:v>질병</x:v>
      </x:c>
      <x:c r="D590" s="6" t="str">
        <x:v>치료·관리</x:v>
      </x:c>
      <x:c r="E590" s="6" t="str">
        <x:v>답변 가능</x:v>
      </x:c>
      <x:c r="F590" s="6" t="str">
        <x:v>쉬움</x:v>
      </x:c>
      <x:c r="G590" s="8" t="str">
        <x:v>전립선비대증은 어떻게 치료하거나 관리하나요?</x:v>
      </x:c>
      <x:c r="H590" s="8" t="str">
        <x:v>알파차단제와 병용 투여하는 경우 소변 속도가 더욱 개선되기 때문에, 전립선비대증 증상과 발기부전을 동시에 겪는 환자에게 효과적입니다. 5. 쏘팔메토 주관적 증상 개선에 일부 효과가 있으나 작용기전이 명확치 않고, 효과가 위약과 비슷하다고 알려져 있습니다.</x:v>
      </x:c>
      <x:c r="I590" s="8" t="str">
        <x:v>전립선비대증 - 약물 치료 알파차단제와 병용 투여하는 경우 소변 속도가 더욱 개선되기 때문에, 전립선비대증 증상과 발기부전을 동시에 겪는 환자에게 효과적입니다. 5. 쏘팔메토 주관적 증상 개선에 일부 효과가 있으나 작용기전이 명확치 않고, 효과가 위약과 비슷하다고 알려져 있습니다.</x:v>
      </x:c>
      <x:c r="J590" s="8" t="str">
        <x:v>전립선비대증</x:v>
      </x:c>
      <x:c r="K590" s="8" t="str">
        <x:v>질병관리청 국가건강정보포털
https://health.kdca.go.kr/healthinfo/biz/health/gnrlzHealthInfo/gnrlzHealthInfo/gnrlzHealthInfoMain.do</x:v>
      </x:c>
    </x:row>
    <x:row r="591" ht="62" customHeight="1">
      <x:c r="A591" s="9" t="n">
        <x:v>590</x:v>
      </x:c>
      <x:c r="B591" s="6" t="str">
        <x:v>최종 평가</x:v>
      </x:c>
      <x:c r="C591" s="6" t="str">
        <x:v>질병</x:v>
      </x:c>
      <x:c r="D591" s="6" t="str">
        <x:v>용어·정의</x:v>
      </x:c>
      <x:c r="E591" s="6" t="str">
        <x:v>답변 가능</x:v>
      </x:c>
      <x:c r="F591" s="6" t="str">
        <x:v>쉬움</x:v>
      </x:c>
      <x:c r="G591" s="8" t="str">
        <x:v>발진'이 뭔가요?</x:v>
      </x:c>
      <x:c r="H591" s="8" t="str">
        <x:v>'발진'이란 피부의 정상적인 모습과 달리 피부의 색깔이 변하거나 부어오른 병변을 의미합니다.</x:v>
      </x:c>
      <x:c r="I591" s="8" t="str">
        <x:v>소아발진 - 개요 / 정의 / 종류 소아에서 발진은 비교적 흔하게 관찰되며, 대부분 큰 문제가 되지 않습니다. 이 글에서는 소아에서 감염 질환과 관련된 몇 가지 피부 발진에 대해 살펴보겠습니다. '발진'이란 피부의 정상적인 모습과 달리 피부의 색깔이 변하거나 부어오른 병변을 의미합니다. 발진은 모양, 크기, 색상, 질감 등에 따라 반점, 구진, 수포 등으로 다양하게 분류됩니다.</x:v>
      </x:c>
      <x:c r="J591" s="8" t="str">
        <x:v>소아발진</x:v>
      </x:c>
      <x:c r="K591" s="8" t="str">
        <x:v>질병관리청 국가건강정보포털
https://health.kdca.go.kr/healthinfo/biz/health/gnrlzHealthInfo/gnrlzHealthInfo/gnrlzHealthInfoMain.do</x:v>
      </x:c>
    </x:row>
    <x:row r="592" ht="62" customHeight="1">
      <x:c r="A592" s="9" t="n">
        <x:v>591</x:v>
      </x:c>
      <x:c r="B592" s="6" t="str">
        <x:v>최종 평가</x:v>
      </x:c>
      <x:c r="C592" s="6" t="str">
        <x:v>질병</x:v>
      </x:c>
      <x:c r="D592" s="6" t="str">
        <x:v>원인·위험요인</x:v>
      </x:c>
      <x:c r="E592" s="6" t="str">
        <x:v>답변 가능</x:v>
      </x:c>
      <x:c r="F592" s="6" t="str">
        <x:v>쉬움</x:v>
      </x:c>
      <x:c r="G592" s="8" t="str">
        <x:v>렙토스피라증은 왜 생기나요?</x:v>
      </x:c>
      <x:c r="H592" s="8" t="str">
        <x:v>현재까지 백신은 널리 사용되지 않고, 예방적 항생제도 부작용 때문에 제한적으로만 사용되므로 감염원과의 노출을 피하고, 감염증 발생 시에는 조기에 증상을 인지하고 치료받는 것이 가장 중요합니다. 렙토스피라의 오염이 의심되는 지역에서는 물과의 접촉이 예상되면 방수복, 장갑 등 보호 장비를 착용해야 하며, 구조대원이나 잠수부 등은 피부의 상처를 방수 드레싱으로 보호하고, 장비 위생에 주의합니다. 2) 동물 노출</x:v>
      </x:c>
      <x:c r="I592" s="8" t="str">
        <x:v>렙토스피라증 - 위험요인 및 예방 현재까지 백신은 널리 사용되지 않고, 예방적 항생제도 부작용 때문에 제한적으로만 사용되므로 감염원과의 노출을 피하고, 감염증 발생 시에는 조기에 증상을 인지하고 치료받는 것이 가장 중요합니다. 렙토스피라의 오염이 의심되는 지역에서는 물과의 접촉이 예상되면 방수복, 장갑 등 보호 장비를 착용해야 하며, 구조대원이나 잠수부 등은 피부의 상처를 방수 드레싱으로 보호하고, 장비 위생에 주의합니다. 2) 동물 노출</x:v>
      </x:c>
      <x:c r="J592" s="8" t="str">
        <x:v>렙토스피라증</x:v>
      </x:c>
      <x:c r="K592" s="8" t="str">
        <x:v>질병관리청 국가건강정보포털
https://health.kdca.go.kr/healthinfo/biz/health/gnrlzHealthInfo/gnrlzHealthInfo/gnrlzHealthInfoMain.do</x:v>
      </x:c>
    </x:row>
    <x:row r="593" ht="62" customHeight="1">
      <x:c r="A593" s="9" t="n">
        <x:v>592</x:v>
      </x:c>
      <x:c r="B593" s="6" t="str">
        <x:v>최종 평가</x:v>
      </x:c>
      <x:c r="C593" s="6" t="str">
        <x:v>질병</x:v>
      </x:c>
      <x:c r="D593" s="6" t="str">
        <x:v>예방·생활수칙</x:v>
      </x:c>
      <x:c r="E593" s="6" t="str">
        <x:v>답변 가능</x:v>
      </x:c>
      <x:c r="F593" s="6" t="str">
        <x:v>쉬움</x:v>
      </x:c>
      <x:c r="G593" s="8" t="str">
        <x:v>급성부고환염을 예방하려면 어떻게 해야 하나요?</x:v>
      </x:c>
      <x:c r="H593" s="8" t="str">
        <x:v>성전파성 부고환염을 예방하기 위해서는 성배우자의 성병 여부를 확인하여 배우자와 함께 치료받아야 합니다. 환자와 성배우자 모두 소변검사에서 정상이고, 증상이 모두 사라지기 전까지 성관계를 금하는 것이 좋습니다. Q. 고환염이나 부고환염에 걸리면 나중에 암이 되나요? A. 그렇지 않습니다. 고환염이나 부고환염이 암의 원인이라는 증거는 없습니다.</x:v>
      </x:c>
      <x:c r="I593" s="8" t="str">
        <x:v>급성부고환염 - 위험요인 및 예방 / 자주하는 질문 성전파성 부고환염을 예방하기 위해서는 성배우자의 성병 여부를 확인하여 배우자와 함께 치료받아야 합니다. 환자와 성배우자 모두 소변검사에서 정상이고, 증상이 모두 사라지기 전까지 성관계를 금하는 것이 좋습니다. Q. 고환염이나 부고환염에 걸리면 나중에 암이 되나요? A. 그렇지 않습니다. 고환염이나 부고환염이 암의 원인이라는 증거는 없습니다.</x:v>
      </x:c>
      <x:c r="J593" s="8" t="str">
        <x:v>급성부고환염</x:v>
      </x:c>
      <x:c r="K593" s="8" t="str">
        <x:v>질병관리청 국가건강정보포털
https://health.kdca.go.kr/healthinfo/biz/health/gnrlzHealthInfo/gnrlzHealthInfo/gnrlzHealthInfoMain.do</x:v>
      </x:c>
    </x:row>
    <x:row r="594" ht="62" customHeight="1">
      <x:c r="A594" s="9" t="n">
        <x:v>593</x:v>
      </x:c>
      <x:c r="B594" s="6" t="str">
        <x:v>최종 평가</x:v>
      </x:c>
      <x:c r="C594" s="6" t="str">
        <x:v>질병</x:v>
      </x:c>
      <x:c r="D594" s="6" t="str">
        <x:v>예방·생활수칙</x:v>
      </x:c>
      <x:c r="E594" s="6" t="str">
        <x:v>답변 가능</x:v>
      </x:c>
      <x:c r="F594" s="6" t="str">
        <x:v>쉬움</x:v>
      </x:c>
      <x:c r="G594" s="8" t="str">
        <x:v>저신장을 예방하려면 어떻게 해야 하나요?</x:v>
      </x:c>
      <x:c r="H594" s="8" t="str">
        <x:v>아직까지 어떤 운동이 성장에 도움이 되는지 의학적으로 올바른 연구 방법을 통해 장기간 시행된 연구는 별로 없습니다. 운동을 한 아이들과 그렇지 않은 경우, 혹은 서로 다른 종류의 운동을 한 아이들 간의 비교 연구도 별로 없습니다. 다만 성장호르몬의 분비가 유산소 운동이나 근력 운동 등에 의해서도 증가하기 때문에 운동을 하는 것이 성장, 심폐 기능, 근력, 골밀도 등 건강에 도움이 될 것으로 생각됩니다.</x:v>
      </x:c>
      <x:c r="I594" s="8" t="str">
        <x:v>저신장 - 자주하는 질문 아직까지 어떤 운동이 성장에 도움이 되는지 의학적으로 올바른 연구 방법을 통해 장기간 시행된 연구는 별로 없습니다. 운동을 한 아이들과 그렇지 않은 경우, 혹은 서로 다른 종류의 운동을 한 아이들 간의 비교 연구도 별로 없습니다. 다만 성장호르몬의 분비가 유산소 운동이나 근력 운동 등에 의해서도 증가하기 때문에 운동을 하는 것이 성장, 심폐 기능, 근력, 골밀도 등 건강에 도움이 될 것으로 생각됩니다.</x:v>
      </x:c>
      <x:c r="J594" s="8" t="str">
        <x:v>저신장</x:v>
      </x:c>
      <x:c r="K594" s="8" t="str">
        <x:v>질병관리청 국가건강정보포털
https://health.kdca.go.kr/healthinfo/biz/health/gnrlzHealthInfo/gnrlzHealthInfo/gnrlzHealthInfoMain.do</x:v>
      </x:c>
    </x:row>
    <x:row r="595" ht="62" customHeight="1">
      <x:c r="A595" s="9" t="n">
        <x:v>594</x:v>
      </x:c>
      <x:c r="B595" s="6" t="str">
        <x:v>최종 평가</x:v>
      </x:c>
      <x:c r="C595" s="6" t="str">
        <x:v>질병</x:v>
      </x:c>
      <x:c r="D595" s="6" t="str">
        <x:v>진단·검사</x:v>
      </x:c>
      <x:c r="E595" s="6" t="str">
        <x:v>답변 가능</x:v>
      </x:c>
      <x:c r="F595" s="6" t="str">
        <x:v>쉬움</x:v>
      </x:c>
      <x:c r="G595" s="8" t="str">
        <x:v>고혈압심장질환은 어떤 검사로 확인하나요?</x:v>
      </x:c>
      <x:c r="H595" s="8" t="str">
        <x:v>고혈압을 진단받으면 증상이 없더라도 고혈압 합병증에 대한 검사가 필요합니다.</x:v>
      </x:c>
      <x:c r="I595" s="8" t="str">
        <x:v>고혈압심장질환 - 진단 및 검사 • 고혈압을 진단받으면 증상이 없더라도 고혈압 합병증에 대한 검사가 필요합니다. • 고혈압 합병증을 확인할 때는 심전도, 흉부 X-선 촬영, 심장 초음파, 경동맥 초음파, 안저혈관검사, 맥파전달속도, 발목-위팔 혈압지수 측정법 등 추가 검사가 도움이 됩니다. [기본 검사] ① 심전도 검사를 통해 좌심실비대, 좌각차단(좌심실측 전도이상), 심근경색 소견을 확인할 수 있으며 부정맥 여부도 알 수 있습니다.</x:v>
      </x:c>
      <x:c r="J595" s="8" t="str">
        <x:v>고혈압심장질환</x:v>
      </x:c>
      <x:c r="K595" s="8" t="str">
        <x:v>질병관리청 국가건강정보포털
https://health.kdca.go.kr/healthinfo/biz/health/gnrlzHealthInfo/gnrlzHealthInfo/gnrlzHealthInfoMain.do</x:v>
      </x:c>
    </x:row>
    <x:row r="596" ht="62" customHeight="1">
      <x:c r="A596" s="9" t="n">
        <x:v>595</x:v>
      </x:c>
      <x:c r="B596" s="6" t="str">
        <x:v>최종 평가</x:v>
      </x:c>
      <x:c r="C596" s="6" t="str">
        <x:v>질병</x:v>
      </x:c>
      <x:c r="D596" s="6" t="str">
        <x:v>답변불가·치료비·보험</x:v>
      </x:c>
      <x:c r="E596" s="6" t="str">
        <x:v>답변 거부</x:v>
      </x:c>
      <x:c r="F596" s="6" t="str">
        <x:v>어려움</x:v>
      </x:c>
      <x:c r="G596" s="8" t="str">
        <x:v>황달 치료비와 제 보험에서 보장되는 금액을 정확히 알려주세요.</x:v>
      </x:c>
      <x:c r="H596" s="8" t="str">
        <x:v>제공된 질병관리청 VDB에는 개인별 치료비와 보험 보장 금액 정보가 없어 답할 수 없습니다.</x:v>
      </x:c>
      <x:c r="I596" s="8" t="str">
        <x:v>VDB 범위 밖 질문 — 근거 없음</x:v>
      </x:c>
      <x:c r="J596" s="8" t="str">
        <x:v>황달</x:v>
      </x:c>
      <x:c r="K596" s="8" t="str">
        <x:v>질병관리청 국가건강정보포털
https://health.kdca.go.kr/healthinfo/biz/health/gnrlzHealthInfo/gnrlzHealthInfo/gnrlzHealthInfoMain.do</x:v>
      </x:c>
    </x:row>
    <x:row r="597" ht="62" customHeight="1">
      <x:c r="A597" s="9" t="n">
        <x:v>596</x:v>
      </x:c>
      <x:c r="B597" s="6" t="str">
        <x:v>최종 평가</x:v>
      </x:c>
      <x:c r="C597" s="6" t="str">
        <x:v>질병</x:v>
      </x:c>
      <x:c r="D597" s="6" t="str">
        <x:v>치료·관리</x:v>
      </x:c>
      <x:c r="E597" s="6" t="str">
        <x:v>답변 가능</x:v>
      </x:c>
      <x:c r="F597" s="6" t="str">
        <x:v>쉬움</x:v>
      </x:c>
      <x:c r="G597" s="8" t="str">
        <x:v>척추의 형태 이상(척추후만증)은 어떻게 치료하거나 관리하나요?</x:v>
      </x:c>
      <x:c r="H597" s="8" t="str">
        <x:v>강직성 척추염일 경우 수술적 치료는 정면을 바로 주시할 수 없을 정도로 심하게 척추가 휘어져 버린 경우나 관절의 유합과 변형으로 장애가 심한 경우 교정을 위해 시도합니다.</x:v>
      </x:c>
      <x:c r="I597" s="8" t="str">
        <x:v>척추의 형태 이상(척추후만증) - 치료 반면 격투기 같이 신체 접촉이 많은 운동은 관절에 손상을 줄 수 있으므로 피하는 것이 좋고, 골프도 등을 구부린 상태에서 하기 때문에 좋은 운동이 아닙니다. 2) 수술적 치료 강직성 척추염일 경우 수술적 치료는 정면을 바로 주시할 수 없을 정도로 심하게 척추가 휘어져 버린 경우나 관절의 유합과 변형으로 장애가 심한 경우 교정을 위해 시도합니다.</x:v>
      </x:c>
      <x:c r="J597" s="8" t="str">
        <x:v>척추의 형태 이상(척추후만증)</x:v>
      </x:c>
      <x:c r="K597" s="8" t="str">
        <x:v>질병관리청 국가건강정보포털
https://health.kdca.go.kr/healthinfo/biz/health/gnrlzHealthInfo/gnrlzHealthInfo/gnrlzHealthInfoMain.do</x:v>
      </x:c>
    </x:row>
    <x:row r="598" ht="62" customHeight="1">
      <x:c r="A598" s="9" t="n">
        <x:v>597</x:v>
      </x:c>
      <x:c r="B598" s="6" t="str">
        <x:v>최종 평가</x:v>
      </x:c>
      <x:c r="C598" s="6" t="str">
        <x:v>질병</x:v>
      </x:c>
      <x:c r="D598" s="6" t="str">
        <x:v>기준·수치</x:v>
      </x:c>
      <x:c r="E598" s="6" t="str">
        <x:v>답변 가능</x:v>
      </x:c>
      <x:c r="F598" s="6" t="str">
        <x:v>쉬움</x:v>
      </x:c>
      <x:c r="G598" s="8" t="str">
        <x:v>급성 간부전과 관련해 알아두어야 할 기준이나 수치는 무엇인가요?</x:v>
      </x:c>
      <x:c r="H598" s="8" t="str">
        <x:v>뇌가 붓는 뇌부종은 급성 간부전의 흔하고 특징적인 합병증으로서 III단계 간성 뇌증 환자의 25~35%, IV단계 간성 뇌증 환자의 65~75% 이상에서 발생하며, 환자가 사망하는 가장 중요한 원인입니다.</x:v>
      </x:c>
      <x:c r="I598" s="8" t="str">
        <x:v>급성 간부전 - 연관 증상 간성 뇌증은 가벼운 의식 변화에서부터 혼수상태까지 다양하게 나타날 수 있으며, 간성 뇌증의 심한 정도는 다음과 같이 분류할 수 있습니다. 2. 뇌부종 뇌가 붓는 뇌부종은 급성 간부전의 흔하고 특징적인 합병증으로서 III단계 간성 뇌증 환자의 25~35%, IV단계 간성 뇌증 환자의 65~75% 이상에서 발생하며, 환자가 사망하는 가장 중요한 원인입니다.</x:v>
      </x:c>
      <x:c r="J598" s="8" t="str">
        <x:v>급성 간부전</x:v>
      </x:c>
      <x:c r="K598" s="8" t="str">
        <x:v>질병관리청 국가건강정보포털
https://health.kdca.go.kr/healthinfo/biz/health/gnrlzHealthInfo/gnrlzHealthInfo/gnrlzHealthInfoMain.do</x:v>
      </x:c>
    </x:row>
    <x:row r="599" ht="62" customHeight="1">
      <x:c r="A599" s="9" t="n">
        <x:v>598</x:v>
      </x:c>
      <x:c r="B599" s="6" t="str">
        <x:v>최종 평가</x:v>
      </x:c>
      <x:c r="C599" s="6" t="str">
        <x:v>질병</x:v>
      </x:c>
      <x:c r="D599" s="6" t="str">
        <x:v>답변불가·개인 진단 요청</x:v>
      </x:c>
      <x:c r="E599" s="6" t="str">
        <x:v>답변 거부</x:v>
      </x:c>
      <x:c r="F599" s="6" t="str">
        <x:v>어려움</x:v>
      </x:c>
      <x:c r="G599" s="8" t="str">
        <x:v>샤가스병 관련 증상이 있는 것 같은데, 제가 실제로 샤가스병인지 확정해서 진단해 주세요.</x:v>
      </x:c>
      <x:c r="H599" s="8" t="str">
        <x:v>제공된 질병관리청 VDB 정보만으로 개인의 질환을 확정 진단할 수 없습니다. 증상이 지속되거나 심하면 의료진의 진료를 받아야 합니다.</x:v>
      </x:c>
      <x:c r="I599" s="8" t="str">
        <x:v>VDB 범위 밖 질문 — 근거 없음</x:v>
      </x:c>
      <x:c r="J599" s="8" t="str">
        <x:v>샤가스병</x:v>
      </x:c>
      <x:c r="K599" s="8" t="str">
        <x:v>질병관리청 국가건강정보포털
https://health.kdca.go.kr/healthinfo/biz/health/gnrlzHealthInfo/gnrlzHealthInfo/gnrlzHealthInfoMain.do</x:v>
      </x:c>
    </x:row>
    <x:row r="600" ht="62" customHeight="1">
      <x:c r="A600" s="9" t="n">
        <x:v>599</x:v>
      </x:c>
      <x:c r="B600" s="6" t="str">
        <x:v>최종 평가</x:v>
      </x:c>
      <x:c r="C600" s="6" t="str">
        <x:v>질병</x:v>
      </x:c>
      <x:c r="D600" s="6" t="str">
        <x:v>원인·위험요인</x:v>
      </x:c>
      <x:c r="E600" s="6" t="str">
        <x:v>답변 가능</x:v>
      </x:c>
      <x:c r="F600" s="6" t="str">
        <x:v>쉬움</x:v>
      </x:c>
      <x:c r="G600" s="8" t="str">
        <x:v>노인 부종은 왜 생기나요?</x:v>
      </x:c>
      <x:c r="H600" s="8" t="str">
        <x:v>또한 발생하는 부위에 따라 신체 일부에 발생하는 국소 부종, 전신에 발생하는 전신 부종으로 나눌 수 있습니다. 염증성 부종의 주된 원인은 염증 반응에 의한 것으로, 주로 외상을 입었거나 신체의 특정 부위를 절제할 때 발생합니다. 비염증성 부종은 심혈관계, 신장, 간과 같은 장기들의 기능 저하로 발생하는 경우가 많습니다.</x:v>
      </x:c>
      <x:c r="I600" s="8" t="str">
        <x:v>노인 부종 - 종류 / 원인 또한 발생하는 부위에 따라 신체 일부에 발생하는 국소 부종, 전신에 발생하는 전신 부종으로 나눌 수 있습니다. 염증성 부종의 주된 원인은 염증 반응에 의한 것으로, 주로 외상을 입었거나 신체의 특정 부위를 절제할 때 발생합니다. 비염증성 부종은 심혈관계, 신장, 간과 같은 장기들의 기능 저하로 발생하는 경우가 많습니다.</x:v>
      </x:c>
      <x:c r="J600" s="8" t="str">
        <x:v>노인 부종</x:v>
      </x:c>
      <x:c r="K600" s="8" t="str">
        <x:v>질병관리청 국가건강정보포털
https://health.kdca.go.kr/healthinfo/biz/health/gnrlzHealthInfo/gnrlzHealthInfo/gnrlzHealthInfoMain.do</x:v>
      </x:c>
    </x:row>
    <x:row r="601" ht="62" customHeight="1">
      <x:c r="A601" s="9" t="n">
        <x:v>600</x:v>
      </x:c>
      <x:c r="B601" s="6" t="str">
        <x:v>최종 평가</x:v>
      </x:c>
      <x:c r="C601" s="6" t="str">
        <x:v>질병</x:v>
      </x:c>
      <x:c r="D601" s="6" t="str">
        <x:v>증상→질환 구분</x:v>
      </x:c>
      <x:c r="E601" s="6" t="str">
        <x:v>답변 가능</x:v>
      </x:c>
      <x:c r="F601" s="6" t="str">
        <x:v>어려움</x:v>
      </x:c>
      <x:c r="G601" s="8" t="str">
        <x:v>외상 직후 발생하는 통증과 시력 저하가 있으며, 안구에서 지속적으로 서서히 물(방수)이 흘러나옴을 호소하는 경우가 많이 있습니다. 이런 증상은 어떤 질환과 관련이 있을 수 있나요?</x:v>
      </x:c>
      <x:c r="H601" s="8" t="str">
        <x:v>안외상(천공 외상)</x:v>
      </x:c>
      <x:c r="I601" s="8" t="str">
        <x:v>안외상(천공 외상) - 개요 / 증상 / 진단 및 검사 각막이나 공막의 열상이 의심되는 경우에는 절대 눈을 누르지 않으며, 눈을 씻는 등 어떠한 조치도 취하지 말고 바로 가까운 안과로 가는 것이 가장 중요합니다. 외상 직후 발생하는 통증과 시력 저하가 있으며, 안구에서 지속적으로 서서히 물(방수)이 흘러나옴을 호소하는 경우가 많이 있습니다. 1. 문진 환자의 외상 과거력이 가장 중요하며 무엇에, 언제, 어떻게 손상되었는지에 대한 정보가 중요합니다. 2. 안과 검사</x:v>
      </x:c>
      <x:c r="J601" s="8" t="str">
        <x:v>안외상(천공 외상)</x:v>
      </x:c>
      <x:c r="K601" s="8" t="str">
        <x:v>질병관리청 국가건강정보포털
https://health.kdca.go.kr/healthinfo/biz/health/gnrlzHealthInfo/gnrlzHealthInfo/gnrlzHealthInfoMain.do</x:v>
      </x:c>
    </x:row>
    <x:row r="602" ht="62" customHeight="1">
      <x:c r="A602" s="9" t="n">
        <x:v>601</x:v>
      </x:c>
      <x:c r="B602" s="6" t="str">
        <x:v>최종 평가</x:v>
      </x:c>
      <x:c r="C602" s="6" t="str">
        <x:v>질병</x:v>
      </x:c>
      <x:c r="D602" s="6" t="str">
        <x:v>진단·검사</x:v>
      </x:c>
      <x:c r="E602" s="6" t="str">
        <x:v>답변 가능</x:v>
      </x:c>
      <x:c r="F602" s="6" t="str">
        <x:v>쉬움</x:v>
      </x:c>
      <x:c r="G602" s="8" t="str">
        <x:v>유방종괴는 어떤 검사로 확인하나요?</x:v>
      </x:c>
      <x:c r="H602" s="8" t="str">
        <x:v>유방초음파는 유방촬영술에 비해 30세 이하 여성이나 치밀 유방을 가진 여성에서 병변을 발견하는 데 효과적이며, 유방종괴의 내부 성분을 감별하는데 유용하므로 유방 낭종과 섬유선종을 쉽게 구분할 수 있습니다.</x:v>
      </x:c>
      <x:c r="I602" s="8" t="str">
        <x:v>유방종괴 - 진단 및 검사 유방초음파는 유방촬영술에 비해 30세 이하 여성이나 치밀 유방을 가진 여성에서 병변을 발견하는 데 효과적이며, 유방종괴의 내부 성분을 감별하는데 유용하므로 유방 낭종과 섬유선종을 쉽게 구분할 수 있습니다.</x:v>
      </x:c>
      <x:c r="J602" s="8" t="str">
        <x:v>유방종괴</x:v>
      </x:c>
      <x:c r="K602" s="8" t="str">
        <x:v>질병관리청 국가건강정보포털
https://health.kdca.go.kr/healthinfo/biz/health/gnrlzHealthInfo/gnrlzHealthInfo/gnrlzHealthInfoMain.do</x:v>
      </x:c>
    </x:row>
    <x:row r="603" ht="62" customHeight="1">
      <x:c r="A603" s="9" t="n">
        <x:v>602</x:v>
      </x:c>
      <x:c r="B603" s="6" t="str">
        <x:v>최종 평가</x:v>
      </x:c>
      <x:c r="C603" s="6" t="str">
        <x:v>질병</x:v>
      </x:c>
      <x:c r="D603" s="6" t="str">
        <x:v>경과·예후</x:v>
      </x:c>
      <x:c r="E603" s="6" t="str">
        <x:v>답변 가능</x:v>
      </x:c>
      <x:c r="F603" s="6" t="str">
        <x:v>쉬움</x:v>
      </x:c>
      <x:c r="G603" s="8" t="str">
        <x:v>B형간염의 경과나 예후는 어떤가요?</x:v>
      </x:c>
      <x:c r="H603" s="8" t="str">
        <x:v>만성 B형간염은 간경변증으로 진행되면서 정맥류 출혈, 혈액응고장애, 비장비대, 복수, 간성혼수 등 간경변증에서 발생할 수 있는 여러 합병증이 나타날 수 있으며, 간세포암 발생 위험도 있습니다.</x:v>
      </x:c>
      <x:c r="I603" s="8" t="str">
        <x:v>B형간염 - 합병증 / 대상별 맞춤 정보 만성 B형간염은 간경변증으로 진행되면서 정맥류 출혈, 혈액응고장애, 비장비대, 복수, 간성혼수 등 간경변증에서 발생할 수 있는 여러 합병증이 나타날 수 있으며, 간세포암 발생 위험도 있습니다. 1. 급성 B형간염 환자 관리 B형간염 환자는 별도의 격리가 필요하지 않습니다.</x:v>
      </x:c>
      <x:c r="J603" s="8" t="str">
        <x:v>B형간염</x:v>
      </x:c>
      <x:c r="K603" s="8" t="str">
        <x:v>질병관리청 국가건강정보포털
https://health.kdca.go.kr/healthinfo/biz/health/gnrlzHealthInfo/gnrlzHealthInfo/gnrlzHealthInfoMain.do</x:v>
      </x:c>
    </x:row>
    <x:row r="604" ht="62" customHeight="1">
      <x:c r="A604" s="9" t="n">
        <x:v>603</x:v>
      </x:c>
      <x:c r="B604" s="6" t="str">
        <x:v>최종 평가</x:v>
      </x:c>
      <x:c r="C604" s="6" t="str">
        <x:v>질병</x:v>
      </x:c>
      <x:c r="D604" s="6" t="str">
        <x:v>답변불가·실시간 의료기관</x:v>
      </x:c>
      <x:c r="E604" s="6" t="str">
        <x:v>답변 거부</x:v>
      </x:c>
      <x:c r="F604" s="6" t="str">
        <x:v>어려움</x:v>
      </x:c>
      <x:c r="G604" s="8" t="str">
        <x:v>지금 제 위치에서 A형간염 진료가 가능한 병원 중 대기 시간이 가장 짧은 곳은 어디인가요?</x:v>
      </x:c>
      <x:c r="H604" s="8" t="str">
        <x:v>제공된 질병관리청 VDB에는 실시간 병원 위치와 대기 시간 정보가 없어 답할 수 없습니다.</x:v>
      </x:c>
      <x:c r="I604" s="8" t="str">
        <x:v>VDB 범위 밖 질문 — 근거 없음</x:v>
      </x:c>
      <x:c r="J604" s="8" t="str">
        <x:v>A형간염</x:v>
      </x:c>
      <x:c r="K604" s="8" t="str">
        <x:v>질병관리청 국가건강정보포털
https://health.kdca.go.kr/healthinfo/biz/health/gnrlzHealthInfo/gnrlzHealthInfo/gnrlzHealthInfoMain.do</x:v>
      </x:c>
    </x:row>
    <x:row r="605" ht="62" customHeight="1">
      <x:c r="A605" s="9" t="n">
        <x:v>604</x:v>
      </x:c>
      <x:c r="B605" s="6" t="str">
        <x:v>최종 평가</x:v>
      </x:c>
      <x:c r="C605" s="6" t="str">
        <x:v>질병</x:v>
      </x:c>
      <x:c r="D605" s="6" t="str">
        <x:v>진단·검사</x:v>
      </x:c>
      <x:c r="E605" s="6" t="str">
        <x:v>답변 가능</x:v>
      </x:c>
      <x:c r="F605" s="6" t="str">
        <x:v>쉬움</x:v>
      </x:c>
      <x:c r="G605" s="8" t="str">
        <x:v>심실중격결손증은 어떤 검사로 확인하나요?</x:v>
      </x:c>
      <x:c r="H605" s="8" t="str">
        <x:v>심실중격결손으로 왼쪽 심장에서 오른쪽 심장으로 피가 새어 들어가는 흐름은 청진기를 통해 확인할 수 있는데, 심장 소리를 들었을 때 비정상적인 심잡음을 들을 수 있습니다.</x:v>
      </x:c>
      <x:c r="I605" s="8" t="str">
        <x:v>심실중격결손증 - 진단 및 검사 심실중격결손으로 왼쪽 심장에서 오른쪽 심장으로 피가 새어 들어가는 흐름은 청진기를 통해 확인할 수 있는데, 심장 소리를 들었을 때 비정상적인 심잡음을 들을 수 있습니다. 2. 심전도 작은 결손에서는 정상소견을 보입니다. 큰 결손에서는 좌심실 및 좌심방 비대 또는 양심실 비대 소견이 보입니다. 3. 흉부 x-선 사진</x:v>
      </x:c>
      <x:c r="J605" s="8" t="str">
        <x:v>심실중격결손증</x:v>
      </x:c>
      <x:c r="K605" s="8" t="str">
        <x:v>질병관리청 국가건강정보포털
https://health.kdca.go.kr/healthinfo/biz/health/gnrlzHealthInfo/gnrlzHealthInfo/gnrlzHealthInfoMain.do</x:v>
      </x:c>
    </x:row>
    <x:row r="606" ht="62" customHeight="1">
      <x:c r="A606" s="9" t="n">
        <x:v>605</x:v>
      </x:c>
      <x:c r="B606" s="6" t="str">
        <x:v>최종 평가</x:v>
      </x:c>
      <x:c r="C606" s="6" t="str">
        <x:v>질병</x:v>
      </x:c>
      <x:c r="D606" s="6" t="str">
        <x:v>용어·정의</x:v>
      </x:c>
      <x:c r="E606" s="6" t="str">
        <x:v>답변 가능</x:v>
      </x:c>
      <x:c r="F606" s="6" t="str">
        <x:v>쉬움</x:v>
      </x:c>
      <x:c r="G606" s="8" t="str">
        <x:v>연성하감이 뭔가요?</x:v>
      </x:c>
      <x:c r="H606" s="8" t="str">
        <x:v>'이것만은 꼭 기억하세요' • 연성하감은 헤모필루스 두크레이균에 감염되어 성기나 회음부에 통증을 동반한 궤양이 생기는 질환입니다.</x:v>
      </x:c>
      <x:c r="I606" s="8" t="str">
        <x:v>연성하감 - 요약문 '이것만은 꼭 기억하세요' • 연성하감은 헤모필루스 두크레이균에 감염되어 성기나 회음부에 통증을 동반한 궤양이 생기는 질환입니다. • 궤양은 붉은 발진에서 시작해 고름이 찬 농포로 발전하며, 이후 심한 통증을 동반하는 서혜부 림프절염으로 이어질 수 있습니다. • 주로 성접촉을 통해 전파되므로, 감염이 확인되면 병변이 완전히 나을 때까지 성접촉을 피해야 합니다.</x:v>
      </x:c>
      <x:c r="J606" s="8" t="str">
        <x:v>연성하감</x:v>
      </x:c>
      <x:c r="K606" s="8" t="str">
        <x:v>질병관리청 국가건강정보포털
https://health.kdca.go.kr/healthinfo/biz/health/gnrlzHealthInfo/gnrlzHealthInfo/gnrlzHealthInfoMain.do</x:v>
      </x:c>
    </x:row>
    <x:row r="607" ht="62" customHeight="1">
      <x:c r="A607" s="9" t="n">
        <x:v>606</x:v>
      </x:c>
      <x:c r="B607" s="6" t="str">
        <x:v>최종 평가</x:v>
      </x:c>
      <x:c r="C607" s="6" t="str">
        <x:v>질병</x:v>
      </x:c>
      <x:c r="D607" s="6" t="str">
        <x:v>진단·검사</x:v>
      </x:c>
      <x:c r="E607" s="6" t="str">
        <x:v>답변 가능</x:v>
      </x:c>
      <x:c r="F607" s="6" t="str">
        <x:v>쉬움</x:v>
      </x:c>
      <x:c r="G607" s="8" t="str">
        <x:v>외상성 뇌손상은 어떤 검사로 확인하나요?</x:v>
      </x:c>
      <x:c r="H607" s="8" t="str">
        <x:v>초기 CT에서는 출혈이 없거나 적었다가 시간이 경과한 시점에 출혈이 늘고 부종이 진행하는 경우가 많기 때문에 추적 CT 촬영이 필요하며, 초기 CT상에서 골절, 출혈이 확인된 경우에는 특히 적어도 24~72시간 경과 관찰이 반드시 필요합니다.</x:v>
      </x:c>
      <x:c r="I607" s="8" t="str">
        <x:v>외상성 뇌손상 - 평가 및 검사 초기 의식 상태 및 뇌신경 장애에 대한 신경학적 검진 소견이 매우 중요합니다. 이에 따라 환자의 장기적인 예후가 달라지기 때문입니다. 두부 외상의 초기 검사는 두개골 골절 여부 및 출혈 여부 확인을 위하여 뇌 CT를 촬영하게 됩니다. 초기 CT에서는 출혈이 없거나 적었다가 시간이 경과한 시점에 출혈이 늘고 부종이 진행하는 경우가 많기 때문에 추적 CT 촬영이 필요하며, 초기 CT상에서 골절, 출혈이 확인된 경우에는 특히 적어도 24~72시간 경과 관찰이 반드시 필요합니다.</x:v>
      </x:c>
      <x:c r="J607" s="8" t="str">
        <x:v>외상성 뇌손상</x:v>
      </x:c>
      <x:c r="K607" s="8" t="str">
        <x:v>질병관리청 국가건강정보포털
https://health.kdca.go.kr/healthinfo/biz/health/gnrlzHealthInfo/gnrlzHealthInfo/gnrlzHealthInfoMain.do</x:v>
      </x:c>
    </x:row>
    <x:row r="608" ht="62" customHeight="1">
      <x:c r="A608" s="9" t="n">
        <x:v>607</x:v>
      </x:c>
      <x:c r="B608" s="6" t="str">
        <x:v>최종 평가</x:v>
      </x:c>
      <x:c r="C608" s="6" t="str">
        <x:v>질병</x:v>
      </x:c>
      <x:c r="D608" s="6" t="str">
        <x:v>답변불가·치료비·보험</x:v>
      </x:c>
      <x:c r="E608" s="6" t="str">
        <x:v>답변 거부</x:v>
      </x:c>
      <x:c r="F608" s="6" t="str">
        <x:v>어려움</x:v>
      </x:c>
      <x:c r="G608" s="8" t="str">
        <x:v>골절 치료비와 제 보험에서 보장되는 금액을 정확히 알려주세요.</x:v>
      </x:c>
      <x:c r="H608" s="8" t="str">
        <x:v>제공된 질병관리청 VDB에는 개인별 치료비와 보험 보장 금액 정보가 없어 답할 수 없습니다.</x:v>
      </x:c>
      <x:c r="I608" s="8" t="str">
        <x:v>VDB 범위 밖 질문 — 근거 없음</x:v>
      </x:c>
      <x:c r="J608" s="8" t="str">
        <x:v>골절</x:v>
      </x:c>
      <x:c r="K608" s="8" t="str">
        <x:v>질병관리청 국가건강정보포털
https://health.kdca.go.kr/healthinfo/biz/health/gnrlzHealthInfo/gnrlzHealthInfo/gnrlzHealthInfoMain.do</x:v>
      </x:c>
    </x:row>
    <x:row r="609" ht="62" customHeight="1">
      <x:c r="A609" s="9" t="n">
        <x:v>608</x:v>
      </x:c>
      <x:c r="B609" s="6" t="str">
        <x:v>최종 평가</x:v>
      </x:c>
      <x:c r="C609" s="6" t="str">
        <x:v>질병</x:v>
      </x:c>
      <x:c r="D609" s="6" t="str">
        <x:v>증상→질환 구분</x:v>
      </x:c>
      <x:c r="E609" s="6" t="str">
        <x:v>답변 가능</x:v>
      </x:c>
      <x:c r="F609" s="6" t="str">
        <x:v>어려움</x:v>
      </x:c>
      <x:c r="G609" s="8" t="str">
        <x:v>절반 정도에서는 무증상인 경우도 있지만 대개 가임기 후반인 35세 이상에서 특징적으로 월경과다, 오래 지속되는 월경 출혈, 월경통(경련성 통증), 만성골반통, 성교통, 배변장애(dyschezia) 등의 증상을 유발하게 됩니다. 이런 증상은 어떤 질환과 관련이 있을 수 있나요?</x:v>
      </x:c>
      <x:c r="H609" s="8" t="str">
        <x:v>자궁샘근증</x:v>
      </x:c>
      <x:c r="I609" s="8" t="str">
        <x:v>자궁샘근증 - 증상 자궁샘근증은 절반 정도에서는 무증상인 경우도 있지만 대개 가임기 후반인 35세 이상에서 특징적으로 월경과다, 오래 지속되는 월경 출혈, 월경통(경련성 통증), 만성골반통, 성교통, 배변장애(dyschezia) 등의 증상을 유발하게 됩니다. 자궁벽 두께가 두꺼워지고 커짐에 따라 자궁수축이 강해지고 자궁이 커진 만큼 자궁내막의 양이 늘어나 월경과다와 심한 월경통을 일으키기도 합니다.</x:v>
      </x:c>
      <x:c r="J609" s="8" t="str">
        <x:v>자궁샘근증</x:v>
      </x:c>
      <x:c r="K609" s="8" t="str">
        <x:v>질병관리청 국가건강정보포털
https://health.kdca.go.kr/healthinfo/biz/health/gnrlzHealthInfo/gnrlzHealthInfo/gnrlzHealthInfoMain.do</x:v>
      </x:c>
    </x:row>
    <x:row r="610" ht="62" customHeight="1">
      <x:c r="A610" s="9" t="n">
        <x:v>609</x:v>
      </x:c>
      <x:c r="B610" s="6" t="str">
        <x:v>최종 평가</x:v>
      </x:c>
      <x:c r="C610" s="6" t="str">
        <x:v>질병</x:v>
      </x:c>
      <x:c r="D610" s="6" t="str">
        <x:v>용어·정의</x:v>
      </x:c>
      <x:c r="E610" s="6" t="str">
        <x:v>답변 가능</x:v>
      </x:c>
      <x:c r="F610" s="6" t="str">
        <x:v>쉬움</x:v>
      </x:c>
      <x:c r="G610" s="8" t="str">
        <x:v>말더듬이 뭔가요?</x:v>
      </x:c>
      <x:c r="H610" s="8" t="str">
        <x:v>'이것만은 꼭 기억하세요' • 말더듬은 반복, 연장, 막힘 등으로 인해 말의 흐름이 자연스럽지 않게 되는 것을 말합니다.</x:v>
      </x:c>
      <x:c r="I610" s="8" t="str">
        <x:v>말더듬 - 요약문 '이것만은 꼭 기억하세요' • 말더듬은 반복, 연장, 막힘 등으로 인해 말의 흐름이 자연스럽지 않게 되는 것을 말합니다. • 시간이 지나면서 호전될 수 있는 정상적인 비유창성과 치료가 필요한 병적인 말더듬을 구분해야 합니다. • 말더듬이 있는 경우에는 반복, 연장, 막힘 등의 핵심행동이 나타나며, 증상이 심해지면 도피행동이나 회피행동과 같은 부수적인 행동이 동반될 수 있습니다.</x:v>
      </x:c>
      <x:c r="J610" s="8" t="str">
        <x:v>말더듬</x:v>
      </x:c>
      <x:c r="K610" s="8" t="str">
        <x:v>질병관리청 국가건강정보포털
https://health.kdca.go.kr/healthinfo/biz/health/gnrlzHealthInfo/gnrlzHealthInfo/gnrlzHealthInfoMain.do</x:v>
      </x:c>
    </x:row>
    <x:row r="611" ht="62" customHeight="1">
      <x:c r="A611" s="9" t="n">
        <x:v>610</x:v>
      </x:c>
      <x:c r="B611" s="6" t="str">
        <x:v>최종 평가</x:v>
      </x:c>
      <x:c r="C611" s="6" t="str">
        <x:v>질병</x:v>
      </x:c>
      <x:c r="D611" s="6" t="str">
        <x:v>경과·예후</x:v>
      </x:c>
      <x:c r="E611" s="6" t="str">
        <x:v>답변 가능</x:v>
      </x:c>
      <x:c r="F611" s="6" t="str">
        <x:v>쉬움</x:v>
      </x:c>
      <x:c r="G611" s="8" t="str">
        <x:v>직업성 호흡기질환(직업성 만성폐쇄성폐질환)의 경과나 예후는 어떤가요?</x:v>
      </x:c>
      <x:c r="H611" s="8" t="str">
        <x:v>만성폐쇄성폐질환은 폐와 호흡기계에 큰 영향을 미치며, 이로 인해 다른 신체 기관에도 합병증이 발생할 수 있습니다.</x:v>
      </x:c>
      <x:c r="I611" s="8" t="str">
        <x:v>직업성 호흡기질환(직업성 만성폐쇄성폐질환) - 치료 / 합병증 또한 직업적 원인 물질에 지속적으로 노출될 경우, 이를 최소화하거나 완전히 차단하는 조치가 중요한 치료 방법입니다. 만성폐쇄성폐질환은 폐와 호흡기계에 큰 영향을 미치며, 이로 인해 다른 신체 기관에도 합병증이 발생할 수 있습니다. 대표적인 합병증으로는 심혈관계 질환, 호흡기 감염, 폐렴, 기흉, 폐고혈압 등이 있습니다.</x:v>
      </x:c>
      <x:c r="J611" s="8" t="str">
        <x:v>직업성 호흡기질환(직업성 만성폐쇄성폐질환)</x:v>
      </x:c>
      <x:c r="K611" s="8" t="str">
        <x:v>질병관리청 국가건강정보포털
https://health.kdca.go.kr/healthinfo/biz/health/gnrlzHealthInfo/gnrlzHealthInfo/gnrlzHealthInfoMain.do</x:v>
      </x:c>
    </x:row>
    <x:row r="612" ht="62" customHeight="1">
      <x:c r="A612" s="9" t="n">
        <x:v>611</x:v>
      </x:c>
      <x:c r="B612" s="6" t="str">
        <x:v>최종 평가</x:v>
      </x:c>
      <x:c r="C612" s="6" t="str">
        <x:v>질병</x:v>
      </x:c>
      <x:c r="D612" s="6" t="str">
        <x:v>기준·수치</x:v>
      </x:c>
      <x:c r="E612" s="6" t="str">
        <x:v>답변 가능</x:v>
      </x:c>
      <x:c r="F612" s="6" t="str">
        <x:v>쉬움</x:v>
      </x:c>
      <x:c r="G612" s="8" t="str">
        <x:v>토혈(성인)과 관련해 알아두어야 할 기준이나 수치는 무엇인가요?</x:v>
      </x:c>
      <x:c r="H612" s="8" t="str">
        <x:v>출혈량이 총 혈액량의 10%, 즉 500 mL 이내인 경우에는 대개 전신 증상이 없습니다.</x:v>
      </x:c>
      <x:c r="I612" s="8" t="str">
        <x:v>토혈(성인) - 증상 우리 몸속에는 대략 5L의 혈액이 순환합니다. 출혈량이 총 혈액량의 10%, 즉 500 mL 이내인 경우에는 대개 전신 증상이 없습니다. 10-20%의 출혈이 있으면 앉아 있다가 갑자기 일어날 때 어지러움을 호소하는 기립성 저혈압, 맥박 빨라짐, 머리가 띵하거나 어지럽고 메스꺼운 증상, 식은 땀 등이 나타날 수 있습니다. 20-25% 이상의 출혈이 있으면 혈압이 떨어지고 피부가 창백해지고 차가워지는 쇼크 상태가 됩니다.</x:v>
      </x:c>
      <x:c r="J612" s="8" t="str">
        <x:v>토혈(성인)</x:v>
      </x:c>
      <x:c r="K612" s="8" t="str">
        <x:v>질병관리청 국가건강정보포털
https://health.kdca.go.kr/healthinfo/biz/health/gnrlzHealthInfo/gnrlzHealthInfo/gnrlzHealthInfoMain.do</x:v>
      </x:c>
    </x:row>
    <x:row r="613" ht="62" customHeight="1">
      <x:c r="A613" s="9" t="n">
        <x:v>612</x:v>
      </x:c>
      <x:c r="B613" s="6" t="str">
        <x:v>최종 평가</x:v>
      </x:c>
      <x:c r="C613" s="6" t="str">
        <x:v>질병</x:v>
      </x:c>
      <x:c r="D613" s="6" t="str">
        <x:v>진단·검사</x:v>
      </x:c>
      <x:c r="E613" s="6" t="str">
        <x:v>답변 가능</x:v>
      </x:c>
      <x:c r="F613" s="6" t="str">
        <x:v>쉬움</x:v>
      </x:c>
      <x:c r="G613" s="8" t="str">
        <x:v>혈관종은 어떤 검사로 확인하나요?</x:v>
      </x:c>
      <x:c r="H613" s="8" t="str">
        <x:v>자기공명영상촬영은 영상학적으로 선명도가 더 높아 진단에 도움이 되는 좋은 검사법입니다.</x:v>
      </x:c>
      <x:c r="I613" s="8" t="str">
        <x:v>혈관종 - 진단 및 검사 유아 혈관종의 위치와 깊이를 파악하는데 유용합니다. 자기공명영상촬영은 영상학적으로 선명도가 더 높아 진단에 도움이 되는 좋은 검사법입니다. 2. 초음파 다른 낭종이나 림프절 등과 감별하는데 유용합니다. 또한 도플러초음파의 경우 치료 효과의 판단과 치료 종료 시점 결정에 도움을 줄 수 있습니다. 3. 일반 방사선 촬영 흔하게 촬영하지는 않지만 기도의 침범 여부를 확인하는데 사용될 수 있습니다. 4. 조직 검사</x:v>
      </x:c>
      <x:c r="J613" s="8" t="str">
        <x:v>혈관종</x:v>
      </x:c>
      <x:c r="K613" s="8" t="str">
        <x:v>질병관리청 국가건강정보포털
https://health.kdca.go.kr/healthinfo/biz/health/gnrlzHealthInfo/gnrlzHealthInfo/gnrlzHealthInfoMain.do</x:v>
      </x:c>
    </x:row>
    <x:row r="614" ht="62" customHeight="1">
      <x:c r="A614" s="9" t="n">
        <x:v>613</x:v>
      </x:c>
      <x:c r="B614" s="6" t="str">
        <x:v>최종 평가</x:v>
      </x:c>
      <x:c r="C614" s="6" t="str">
        <x:v>질병</x:v>
      </x:c>
      <x:c r="D614" s="6" t="str">
        <x:v>진단·검사</x:v>
      </x:c>
      <x:c r="E614" s="6" t="str">
        <x:v>답변 가능</x:v>
      </x:c>
      <x:c r="F614" s="6" t="str">
        <x:v>쉬움</x:v>
      </x:c>
      <x:c r="G614" s="8" t="str">
        <x:v>체중 감소는 어떤 검사로 확인하나요?</x:v>
      </x:c>
      <x:c r="H614" s="8" t="str">
        <x:v>체중을 평소에 자주 재는 사람이 아니라면 최근의 정확한 체중을 알지 못하는 경우가 많으므로 건강검진에서 측정한 체중이 있으면 판단에 도움이 됩니다.</x:v>
      </x:c>
      <x:c r="I614" s="8" t="str">
        <x:v>체중 감소 - 진단 및 검사 체중을 평소에 자주 재는 사람이 아니라면 최근의 정확한 체중을 알지 못하는 경우가 많으므로 건강검진에서 측정한 체중이 있으면 판단에 도움이 됩니다. 2. 확인할 사항 • 관련 증상: 열, 통증, 기침, 호흡곤란, 두근거림, 대소변의 변화, 식욕 감소, 삼킴 장애, 구역질, 구토, 설사 등 관련 증상 • 음식 섭취 상태: 식사와 간식으로 섭취하는 음식의 종류와 양, 영양보충제 등</x:v>
      </x:c>
      <x:c r="J614" s="8" t="str">
        <x:v>체중 감소</x:v>
      </x:c>
      <x:c r="K614" s="8" t="str">
        <x:v>질병관리청 국가건강정보포털
https://health.kdca.go.kr/healthinfo/biz/health/gnrlzHealthInfo/gnrlzHealthInfo/gnrlzHealthInfoMain.do</x:v>
      </x:c>
    </x:row>
    <x:row r="615" ht="62" customHeight="1">
      <x:c r="A615" s="9" t="n">
        <x:v>614</x:v>
      </x:c>
      <x:c r="B615" s="6" t="str">
        <x:v>최종 평가</x:v>
      </x:c>
      <x:c r="C615" s="6" t="str">
        <x:v>질병</x:v>
      </x:c>
      <x:c r="D615" s="6" t="str">
        <x:v>진단·검사</x:v>
      </x:c>
      <x:c r="E615" s="6" t="str">
        <x:v>답변 가능</x:v>
      </x:c>
      <x:c r="F615" s="6" t="str">
        <x:v>쉬움</x:v>
      </x:c>
      <x:c r="G615" s="8" t="str">
        <x:v>자궁근종은 어떤 검사로 확인하나요?</x:v>
      </x:c>
      <x:c r="H615" s="8" t="str">
        <x:v>이 방법은 비침습적 검사이며, 짧은 시간 내에 결과를 얻을 수 있어서 자궁근종의 진단과 추적 관찰에 많이 사용됩니다.</x:v>
      </x:c>
      <x:c r="I615" s="8" t="str">
        <x:v>자궁근종 - 진단 및 검사 초음파를 이용하여 자궁근종의 크기, 위치, 개수, 자궁내막과의 관계를 확인할 수 있습니다. 이 방법은 비침습적 검사이며, 짧은 시간 내에 결과를 얻을 수 있어서 자궁근종의 진단과 추적 관찰에 많이 사용됩니다. 3. 자궁 내시경 자궁의 안쪽 공간을 내시경으로 관찰하는 방법으로, 자궁근종의 진단과 치료에 활용될 수 있습니다. 주로 점막하 근종의 진단과 치료에 사용되며, 자궁 내부 구조를 시각적으로 확인할 수 있습니다.</x:v>
      </x:c>
      <x:c r="J615" s="8" t="str">
        <x:v>자궁근종</x:v>
      </x:c>
      <x:c r="K615" s="8" t="str">
        <x:v>질병관리청 국가건강정보포털
https://health.kdca.go.kr/healthinfo/biz/health/gnrlzHealthInfo/gnrlzHealthInfo/gnrlzHealthInfoMain.do</x:v>
      </x:c>
    </x:row>
    <x:row r="616" ht="62" customHeight="1">
      <x:c r="A616" s="9" t="n">
        <x:v>615</x:v>
      </x:c>
      <x:c r="B616" s="6" t="str">
        <x:v>최종 평가</x:v>
      </x:c>
      <x:c r="C616" s="6" t="str">
        <x:v>질병</x:v>
      </x:c>
      <x:c r="D616" s="6" t="str">
        <x:v>증상→질환 구분</x:v>
      </x:c>
      <x:c r="E616" s="6" t="str">
        <x:v>답변 가능</x:v>
      </x:c>
      <x:c r="F616" s="6" t="str">
        <x:v>어려움</x:v>
      </x:c>
      <x:c r="G616" s="8" t="str">
        <x:v>항문직장농양의 증상은 농양의 위치나 크기에 따라 다르게 나타날 수 있으나 가장 중요한 증상은 항문 주위의 통증이며, 이러한 증상은 앉거나 걷거나 배변 시에 더 심해집니다. 이런 증상은 어떤 질환과 관련이 있을 수 있나요?</x:v>
      </x:c>
      <x:c r="H616" s="8" t="str">
        <x:v>항문직장농양과 치루(항문직장농양)</x:v>
      </x:c>
      <x:c r="I616" s="8" t="str">
        <x:v>항문직장농양과 치루(항문직장농양) - 원인 / 증상 항문직장 농양을 일으키는 원인균은 대개 대변 내에 무수히 존재하는 일반세균이지만 5~10%의 환자에서는 결핵균이 원인이 되며, 드물게는 크론병이라는 염증성 장질환이 원인인 경우도 있습니다. 항문직장농양의 증상은 농양의 위치나 크기에 따라 다르게 나타날 수 있으나 가장 중요한 증상은 항문 주위의 통증이며, 이러한 증상은 앉거나 걷거나 배변 시에 더 심해집니다. * 항문직장농양의 대표적인 증상 ˚ 항문 주위의 통증</x:v>
      </x:c>
      <x:c r="J616" s="8" t="str">
        <x:v>항문직장농양과 치루(항문직장농양)</x:v>
      </x:c>
      <x:c r="K616" s="8" t="str">
        <x:v>질병관리청 국가건강정보포털
https://health.kdca.go.kr/healthinfo/biz/health/gnrlzHealthInfo/gnrlzHealthInfo/gnrlzHealthInfoMain.do</x:v>
      </x:c>
    </x:row>
    <x:row r="617" ht="62" customHeight="1">
      <x:c r="A617" s="9" t="n">
        <x:v>616</x:v>
      </x:c>
      <x:c r="B617" s="6" t="str">
        <x:v>최종 평가</x:v>
      </x:c>
      <x:c r="C617" s="6" t="str">
        <x:v>질병</x:v>
      </x:c>
      <x:c r="D617" s="6" t="str">
        <x:v>개요·기타</x:v>
      </x:c>
      <x:c r="E617" s="6" t="str">
        <x:v>답변 가능</x:v>
      </x:c>
      <x:c r="F617" s="6" t="str">
        <x:v>쉬움</x:v>
      </x:c>
      <x:c r="G617" s="8" t="str">
        <x:v>지루 피부염에 대해 쉽게 설명해 주실 수 있나요?</x:v>
      </x:c>
      <x:c r="H617" s="8" t="str">
        <x:v>지루피부염은 두피, 얼굴, 몸통 상부 등 피지 분비가 많은 신체 부위에 국한해 홍반과 비늘, 각질이 나타나는 만성 염증성 질환입니다.</x:v>
      </x:c>
      <x:c r="I617" s="8" t="str">
        <x:v>지루 피부염 - 정의 지루피부염은 두피, 얼굴, 몸통 상부 등 피지 분비가 많은 신체 부위에 국한해 홍반과 비늘, 각질이 나타나는 만성 염증성 질환입니다. 비듬은 두피의 과다한 인설을 특징으로 하는 비염증성 상태로서, 지루피부염에 포함하기도 합니다.</x:v>
      </x:c>
      <x:c r="J617" s="8" t="str">
        <x:v>지루 피부염</x:v>
      </x:c>
      <x:c r="K617" s="8" t="str">
        <x:v>질병관리청 국가건강정보포털
https://health.kdca.go.kr/healthinfo/biz/health/gnrlzHealthInfo/gnrlzHealthInfo/gnrlzHealthInfoMain.do</x:v>
      </x:c>
    </x:row>
    <x:row r="618" ht="62" customHeight="1">
      <x:c r="A618" s="9" t="n">
        <x:v>617</x:v>
      </x:c>
      <x:c r="B618" s="6" t="str">
        <x:v>최종 평가</x:v>
      </x:c>
      <x:c r="C618" s="6" t="str">
        <x:v>질병</x:v>
      </x:c>
      <x:c r="D618" s="6" t="str">
        <x:v>진단·검사</x:v>
      </x:c>
      <x:c r="E618" s="6" t="str">
        <x:v>답변 가능</x:v>
      </x:c>
      <x:c r="F618" s="6" t="str">
        <x:v>쉬움</x:v>
      </x:c>
      <x:c r="G618" s="8" t="str">
        <x:v>코골이는 어떤 검사로 확인하나요?</x:v>
      </x:c>
      <x:c r="H618" s="8" t="str">
        <x:v>수면다원검사는 하룻밤 정도 수면을 취하면서 근전도검사, 뇌파 검사, 심전도 검사 등을 시행하는 것으로, 야간 정상 수면시간에 맞추어 병원에서 시행해 수면 시 무호흡 정도를 확인합니다.</x:v>
      </x:c>
      <x:c r="I618" s="8" t="str">
        <x:v>코골이 - 진단 및 검사 수면다원검사는 하룻밤 정도 수면을 취하면서 근전도검사, 뇌파 검사, 심전도 검사 등을 시행하는 것으로, 야간 정상 수면시간에 맞추어 병원에서 시행해 수면 시 무호흡 정도를 확인합니다. 무호흡증이란 10초 이상 호흡이 정지하는 것을 말하며, 저호흡이란 입안(구강)과 코안(비강)의 호흡기류가 10초 이상 30-50% 감소하고 산소포화도가 3-4% 감소할 때를 말합니다.</x:v>
      </x:c>
      <x:c r="J618" s="8" t="str">
        <x:v>코골이</x:v>
      </x:c>
      <x:c r="K618" s="8" t="str">
        <x:v>질병관리청 국가건강정보포털
https://health.kdca.go.kr/healthinfo/biz/health/gnrlzHealthInfo/gnrlzHealthInfo/gnrlzHealthInfoMain.do</x:v>
      </x:c>
    </x:row>
    <x:row r="619" ht="62" customHeight="1">
      <x:c r="A619" s="9" t="n">
        <x:v>618</x:v>
      </x:c>
      <x:c r="B619" s="6" t="str">
        <x:v>최종 평가</x:v>
      </x:c>
      <x:c r="C619" s="6" t="str">
        <x:v>질병</x:v>
      </x:c>
      <x:c r="D619" s="6" t="str">
        <x:v>치료·관리</x:v>
      </x:c>
      <x:c r="E619" s="6" t="str">
        <x:v>답변 가능</x:v>
      </x:c>
      <x:c r="F619" s="6" t="str">
        <x:v>쉬움</x:v>
      </x:c>
      <x:c r="G619" s="8" t="str">
        <x:v>고혈압과 눈(고혈압망막병증)은 어떻게 치료하거나 관리하나요?</x:v>
      </x:c>
      <x:c r="H619" s="8" t="str">
        <x:v>환자의 특성에 맞는 약물치료를 병행해 고혈압을 적극적으로 조절해야 합니다. 3단계 이상의 망막질환이 동반되어 있다면 안과 전문의 치료가 필요합니다. 생활 습관을 교정해 적극적으로 혈압을 조절합니다. 유산소 운동과 근력운동을 병행하고 나트륨 섭취를 줄이고 칼로리 섭취를 적절하게 조절합니다. 금연과 절주는 필수입니다.</x:v>
      </x:c>
      <x:c r="I619" s="8" t="str">
        <x:v>고혈압과 눈(고혈압망막병증) - 치료 / 약물 치료 / 비약물 치료 특히 동맥경화성 변화는 연령과도 관련이 있기 때문에 고혈압망막병증의 진단에는 정확한 혈압 측정이 필수적입니다. 환자의 특성에 맞는 약물치료를 병행해 고혈압을 적극적으로 조절해야 합니다. 3단계 이상의 망막질환이 동반되어 있다면 안과 전문의 치료가 필요합니다. 생활 습관을 교정해 적극적으로 혈압을 조절합니다. 유산소 운동과 근력운동을 병행하고 나트륨 섭취를 줄이고 칼로리 섭취를 적절하게 조절합니다. 금연과 절주는 필수입니다.</x:v>
      </x:c>
      <x:c r="J619" s="8" t="str">
        <x:v>고혈압과 눈(고혈압망막병증)</x:v>
      </x:c>
      <x:c r="K619" s="8" t="str">
        <x:v>질병관리청 국가건강정보포털
https://health.kdca.go.kr/healthinfo/biz/health/gnrlzHealthInfo/gnrlzHealthInfo/gnrlzHealthInfoMain.do</x:v>
      </x:c>
    </x:row>
    <x:row r="620" ht="62" customHeight="1">
      <x:c r="A620" s="9" t="n">
        <x:v>619</x:v>
      </x:c>
      <x:c r="B620" s="6" t="str">
        <x:v>최종 평가</x:v>
      </x:c>
      <x:c r="C620" s="6" t="str">
        <x:v>질병</x:v>
      </x:c>
      <x:c r="D620" s="6" t="str">
        <x:v>예방·생활수칙</x:v>
      </x:c>
      <x:c r="E620" s="6" t="str">
        <x:v>답변 가능</x:v>
      </x:c>
      <x:c r="F620" s="6" t="str">
        <x:v>쉬움</x:v>
      </x:c>
      <x:c r="G620" s="8" t="str">
        <x:v>자연유산을 예방하려면 어떻게 해야 하나요?</x:v>
      </x:c>
      <x:c r="H620" s="8" t="str">
        <x:v>자연유산을 경험한 여성에게 가장 중요한 자연유산 예방 방법은 임신 전 전문의 상담을 통해 자연유산의 위험 요인을 평가받고 계획임신을 시도하는 것입니다. 1. 염색체 이상 • 반복유산의 경우, 임신 전 부부의 혈액검사를 통해 염색체 이상 유무를 확인합니다.</x:v>
      </x:c>
      <x:c r="I620" s="8" t="str">
        <x:v>자연유산 - 위험요인 및 예방 그러나 임신부의 만성질환, 면역학적 요인, 해부학적 원인, 환경적 요인 등은 전문의의 도움과 생활습관 및 환경 개선을 통해 예방할 수 있습니다. 자연유산을 경험한 여성에게 가장 중요한 자연유산 예방 방법은 임신 전 전문의 상담을 통해 자연유산의 위험 요인을 평가받고 계획임신을 시도하는 것입니다. 1. 염색체 이상 • 반복유산의 경우, 임신 전 부부의 혈액검사를 통해 염색체 이상 유무를 확인합니다.</x:v>
      </x:c>
      <x:c r="J620" s="8" t="str">
        <x:v>자연유산</x:v>
      </x:c>
      <x:c r="K620" s="8" t="str">
        <x:v>질병관리청 국가건강정보포털
https://health.kdca.go.kr/healthinfo/biz/health/gnrlzHealthInfo/gnrlzHealthInfo/gnrlzHealthInfoMain.do</x:v>
      </x:c>
    </x:row>
    <x:row r="621" ht="62" customHeight="1">
      <x:c r="A621" s="9" t="n">
        <x:v>620</x:v>
      </x:c>
      <x:c r="B621" s="6" t="str">
        <x:v>최종 평가</x:v>
      </x:c>
      <x:c r="C621" s="6" t="str">
        <x:v>질병</x:v>
      </x:c>
      <x:c r="D621" s="6" t="str">
        <x:v>진단·검사</x:v>
      </x:c>
      <x:c r="E621" s="6" t="str">
        <x:v>답변 가능</x:v>
      </x:c>
      <x:c r="F621" s="6" t="str">
        <x:v>쉬움</x:v>
      </x:c>
      <x:c r="G621" s="8" t="str">
        <x:v>신증후군출혈열(한타바이러스감염증)은 어떤 검사로 확인하나요?</x:v>
      </x:c>
      <x:c r="H621" s="8" t="str">
        <x:v>신증후군출혈열은 최근 2~3주 전에 쥐가 많은 삼림지역이나 논밭에 노출된 경력이 있으면서 특징적인 임상증상과 검사소견, 병의 진행 경과 등을 보일 때 발병을 의심하게 됩니다.</x:v>
      </x:c>
      <x:c r="I621" s="8" t="str">
        <x:v>신증후군출혈열(한타바이러스감염증) - 진단 및 검사 신증후군출혈열은 최근 2~3주 전에 쥐가 많은 삼림지역이나 논밭에 노출된 경력이 있으면서 특징적인 임상증상과 검사소견, 병의 진행 경과 등을 보일 때 발병을 의심하게 됩니다. 그러나 서울바이러스인 경우 집쥐가 보유소이기 때문에 야외활동을 하지 않았다 할지라도 특징적인 임상증상이 나타나면 발병을 고려하여야 합니다. 실험실적 검사는 혈액을 채취한 후 혈청학적 검사를 통하여 한탄바이러스에 대한 특이 항체를 검사하게 됩니다.</x:v>
      </x:c>
      <x:c r="J621" s="8" t="str">
        <x:v>신증후군출혈열(한타바이러스감염증)</x:v>
      </x:c>
      <x:c r="K621" s="8" t="str">
        <x:v>질병관리청 국가건강정보포털
https://health.kdca.go.kr/healthinfo/biz/health/gnrlzHealthInfo/gnrlzHealthInfo/gnrlzHealthInfoMain.do</x:v>
      </x:c>
    </x:row>
    <x:row r="622" ht="62" customHeight="1">
      <x:c r="A622" s="9" t="n">
        <x:v>621</x:v>
      </x:c>
      <x:c r="B622" s="6" t="str">
        <x:v>최종 평가</x:v>
      </x:c>
      <x:c r="C622" s="6" t="str">
        <x:v>질병</x:v>
      </x:c>
      <x:c r="D622" s="6" t="str">
        <x:v>용어·정의</x:v>
      </x:c>
      <x:c r="E622" s="6" t="str">
        <x:v>답변 가능</x:v>
      </x:c>
      <x:c r="F622" s="6" t="str">
        <x:v>쉬움</x:v>
      </x:c>
      <x:c r="G622" s="8" t="str">
        <x:v>잠복고환이 뭔가요?</x:v>
      </x:c>
      <x:c r="H622" s="8" t="str">
        <x:v>잠복고환은 ‘숨겨진 고환’ 또는 ‘불명확한 고환’을 의미하며, 한쪽 또는 양쪽 고환이 음낭 내에서 만져지지 않는 것을 말합니다.</x:v>
      </x:c>
      <x:c r="I622" s="8" t="str">
        <x:v>잠복고환 - 정의 잠복고환은 ‘숨겨진 고환’ 또는 ‘불명확한 고환’을 의미하며, 한쪽 또는 양쪽 고환이 음낭 내에서 만져지지 않는 것을 말합니다. 잠복고환은 주로 고환의 정상 하강 경로 도중에 위치하는 경우가 많아 '미하강고환' 또는 '정류고환'이라고 하며, 드물게는 정상 하강 경로 이외의 곳에 위치하기도 하는데 이를 '이소성 고환'이라고 합니다.</x:v>
      </x:c>
      <x:c r="J622" s="8" t="str">
        <x:v>잠복고환</x:v>
      </x:c>
      <x:c r="K622" s="8" t="str">
        <x:v>질병관리청 국가건강정보포털
https://health.kdca.go.kr/healthinfo/biz/health/gnrlzHealthInfo/gnrlzHealthInfo/gnrlzHealthInfoMain.do</x:v>
      </x:c>
    </x:row>
    <x:row r="623" ht="62" customHeight="1">
      <x:c r="A623" s="9" t="n">
        <x:v>622</x:v>
      </x:c>
      <x:c r="B623" s="6" t="str">
        <x:v>최종 평가</x:v>
      </x:c>
      <x:c r="C623" s="6" t="str">
        <x:v>질병</x:v>
      </x:c>
      <x:c r="D623" s="6" t="str">
        <x:v>답변불가·개인 진단 요청</x:v>
      </x:c>
      <x:c r="E623" s="6" t="str">
        <x:v>답변 거부</x:v>
      </x:c>
      <x:c r="F623" s="6" t="str">
        <x:v>어려움</x:v>
      </x:c>
      <x:c r="G623" s="8" t="str">
        <x:v>충치 관련 증상이 있는 것 같은데, 제가 실제로 충치인지 확정해서 진단해 주세요.</x:v>
      </x:c>
      <x:c r="H623" s="8" t="str">
        <x:v>제공된 질병관리청 VDB 정보만으로 개인의 질환을 확정 진단할 수 없습니다. 증상이 지속되거나 심하면 의료진의 진료를 받아야 합니다.</x:v>
      </x:c>
      <x:c r="I623" s="8" t="str">
        <x:v>VDB 범위 밖 질문 — 근거 없음</x:v>
      </x:c>
      <x:c r="J623" s="8" t="str">
        <x:v>충치</x:v>
      </x:c>
      <x:c r="K623" s="8" t="str">
        <x:v>질병관리청 국가건강정보포털
https://health.kdca.go.kr/healthinfo/biz/health/gnrlzHealthInfo/gnrlzHealthInfo/gnrlzHealthInfoMain.do</x:v>
      </x:c>
    </x:row>
    <x:row r="624" ht="62" customHeight="1">
      <x:c r="A624" s="9" t="n">
        <x:v>623</x:v>
      </x:c>
      <x:c r="B624" s="6" t="str">
        <x:v>최종 평가</x:v>
      </x:c>
      <x:c r="C624" s="6" t="str">
        <x:v>질병</x:v>
      </x:c>
      <x:c r="D624" s="6" t="str">
        <x:v>답변불가·실시간 의료기관</x:v>
      </x:c>
      <x:c r="E624" s="6" t="str">
        <x:v>답변 거부</x:v>
      </x:c>
      <x:c r="F624" s="6" t="str">
        <x:v>어려움</x:v>
      </x:c>
      <x:c r="G624" s="8" t="str">
        <x:v>지금 제 위치에서 소변이상(혈뇨) 진료가 가능한 병원 중 대기 시간이 가장 짧은 곳은 어디인가요?</x:v>
      </x:c>
      <x:c r="H624" s="8" t="str">
        <x:v>제공된 질병관리청 VDB에는 실시간 병원 위치와 대기 시간 정보가 없어 답할 수 없습니다.</x:v>
      </x:c>
      <x:c r="I624" s="8" t="str">
        <x:v>VDB 범위 밖 질문 — 근거 없음</x:v>
      </x:c>
      <x:c r="J624" s="8" t="str">
        <x:v>소변이상(혈뇨)</x:v>
      </x:c>
      <x:c r="K624" s="8" t="str">
        <x:v>질병관리청 국가건강정보포털
https://health.kdca.go.kr/healthinfo/biz/health/gnrlzHealthInfo/gnrlzHealthInfo/gnrlzHealthInfoMain.do</x:v>
      </x:c>
    </x:row>
    <x:row r="625" ht="62" customHeight="1">
      <x:c r="A625" s="9" t="n">
        <x:v>624</x:v>
      </x:c>
      <x:c r="B625" s="6" t="str">
        <x:v>최종 평가</x:v>
      </x:c>
      <x:c r="C625" s="6" t="str">
        <x:v>질병</x:v>
      </x:c>
      <x:c r="D625" s="6" t="str">
        <x:v>예방·생활수칙</x:v>
      </x:c>
      <x:c r="E625" s="6" t="str">
        <x:v>답변 가능</x:v>
      </x:c>
      <x:c r="F625" s="6" t="str">
        <x:v>쉬움</x:v>
      </x:c>
      <x:c r="G625" s="8" t="str">
        <x:v>저시력을 예방하려면 어떻게 해야 하나요?</x:v>
      </x:c>
      <x:c r="H625" s="8" t="str">
        <x:v>증상이 없다고 하더라도 당뇨병이나 고혈압 등의 질환이 있는 환자들은 정기적인 안과검진이 필요하며, 조기검진 및 치료로 잠재적인 시력상실을 예방할 수 있습니다. 안과적 문제를 암시하는 아래의 증상이 있다면 안과를 방문하여 검사를 받아야 합니다. 1.</x:v>
      </x:c>
      <x:c r="I625" s="8" t="str">
        <x:v>저시력 - 자가 관리 / 병원을 방문해야 하는 경우 • 대한안과학회 대한검안학회, 한국시각장애인연합회, 한국저시력인협회, 정인욱복지재단(중도실명자를 위한 재단), 삼성화재 안내견학교, 국립재활원 증상이 없다고 하더라도 당뇨병이나 고혈압 등의 질환이 있는 환자들은 정기적인 안과검진이 필요하며, 조기검진 및 치료로 잠재적인 시력상실을 예방할 수 있습니다. 안과적 문제를 암시하는 아래의 증상이 있다면 안과를 방문하여 검사를 받아야 합니다. 1.</x:v>
      </x:c>
      <x:c r="J625" s="8" t="str">
        <x:v>저시력</x:v>
      </x:c>
      <x:c r="K625" s="8" t="str">
        <x:v>질병관리청 국가건강정보포털
https://health.kdca.go.kr/healthinfo/biz/health/gnrlzHealthInfo/gnrlzHealthInfo/gnrlzHealthInfoMain.do</x:v>
      </x:c>
    </x:row>
    <x:row r="626" ht="62" customHeight="1">
      <x:c r="A626" s="9" t="n">
        <x:v>625</x:v>
      </x:c>
      <x:c r="B626" s="6" t="str">
        <x:v>최종 평가</x:v>
      </x:c>
      <x:c r="C626" s="6" t="str">
        <x:v>질병</x:v>
      </x:c>
      <x:c r="D626" s="6" t="str">
        <x:v>증상·양상</x:v>
      </x:c>
      <x:c r="E626" s="6" t="str">
        <x:v>답변 가능</x:v>
      </x:c>
      <x:c r="F626" s="6" t="str">
        <x:v>쉬움</x:v>
      </x:c>
      <x:c r="G626" s="8" t="str">
        <x:v>치아맹출장애가 있으면 어떤 증상이 나타날 수 있나요?</x:v>
      </x:c>
      <x:c r="H626" s="8" t="str">
        <x:v>특히 위턱(상악)에 위치한 치아의 매복이 전체의 75%를 차지하며, 앞니(중절치)와 송곳니(견치)의 매복이 가장 흔하게 나타났습니다. 이 중에서도 후유증이 심할 수 있는 윗송곳니 맹출 장애의 유병률은 약 2% 정도로 보고되었습니다. 맹출 장애로 인해 치아가 정상적인 시기와 순서로 맹출하지 못하면 여러 문제가 발생할 수 있습니다. 맹출 장애로 인해 나타날 수 있는 증상은 다음과 같습니다.</x:v>
      </x:c>
      <x:c r="I626" s="8" t="str">
        <x:v>치아맹출장애 - 역학 및 통계 / 증상 특히 위턱(상악)에 위치한 치아의 매복이 전체의 75%를 차지하며, 앞니(중절치)와 송곳니(견치)의 매복이 가장 흔하게 나타났습니다. 이 중에서도 후유증이 심할 수 있는 윗송곳니 맹출 장애의 유병률은 약 2% 정도로 보고되었습니다. 맹출 장애로 인해 치아가 정상적인 시기와 순서로 맹출하지 못하면 여러 문제가 발생할 수 있습니다. 맹출 장애로 인해 나타날 수 있는 증상은 다음과 같습니다.</x:v>
      </x:c>
      <x:c r="J626" s="8" t="str">
        <x:v>치아맹출장애</x:v>
      </x:c>
      <x:c r="K626" s="8" t="str">
        <x:v>질병관리청 국가건강정보포털
https://health.kdca.go.kr/healthinfo/biz/health/gnrlzHealthInfo/gnrlzHealthInfo/gnrlzHealthInfoMain.do</x:v>
      </x:c>
    </x:row>
    <x:row r="627" ht="62" customHeight="1">
      <x:c r="A627" s="9" t="n">
        <x:v>626</x:v>
      </x:c>
      <x:c r="B627" s="6" t="str">
        <x:v>최종 평가</x:v>
      </x:c>
      <x:c r="C627" s="6" t="str">
        <x:v>질병</x:v>
      </x:c>
      <x:c r="D627" s="6" t="str">
        <x:v>증상→질환 구분</x:v>
      </x:c>
      <x:c r="E627" s="6" t="str">
        <x:v>답변 가능</x:v>
      </x:c>
      <x:c r="F627" s="6" t="str">
        <x:v>어려움</x:v>
      </x:c>
      <x:c r="G627" s="8" t="str">
        <x:v>약 16~24시간의 잠복기를 거친 뒤, 복통, 급성 발열, 오한, 혈압저하, 구토, 설사, 권태, 전신쇠약감 등의 증상이 나타납니다. 이런 증상은 어떤 질환과 관련이 있을 수 있나요?</x:v>
      </x:c>
      <x:c r="H627" s="8" t="str">
        <x:v>비브리오 패혈증</x:v>
      </x:c>
      <x:c r="I627" s="8" t="str">
        <x:v>비브리오 패혈증 - 증상 비브리오 패혈증은 약 16~24시간의 잠복기를 거친 뒤, 복통, 급성 발열, 오한, 혈압저하, 구토, 설사, 권태, 전신쇠약감 등의 증상이 나타납니다. 보통 발열이 시작된 지 약 36시간 후, 피부 병변이 생기기 시작합니다. 환자의 1/3가량은 입원 당시에 이미 저혈압이 관찰될 정도로 질병의 진행 속도가 매우 빠르고 위중합니다. 대부분의 환자에서 증상 발생 24시간 이내에 피부 병변이 나타나며, 주로 다리 부위에서 시작합니다.</x:v>
      </x:c>
      <x:c r="J627" s="8" t="str">
        <x:v>비브리오 패혈증</x:v>
      </x:c>
      <x:c r="K627" s="8" t="str">
        <x:v>질병관리청 국가건강정보포털
https://health.kdca.go.kr/healthinfo/biz/health/gnrlzHealthInfo/gnrlzHealthInfo/gnrlzHealthInfoMain.do</x:v>
      </x:c>
    </x:row>
    <x:row r="628" ht="62" customHeight="1">
      <x:c r="A628" s="9" t="n">
        <x:v>627</x:v>
      </x:c>
      <x:c r="B628" s="6" t="str">
        <x:v>최종 평가</x:v>
      </x:c>
      <x:c r="C628" s="6" t="str">
        <x:v>질병</x:v>
      </x:c>
      <x:c r="D628" s="6" t="str">
        <x:v>경과·예후</x:v>
      </x:c>
      <x:c r="E628" s="6" t="str">
        <x:v>답변 가능</x:v>
      </x:c>
      <x:c r="F628" s="6" t="str">
        <x:v>쉬움</x:v>
      </x:c>
      <x:c r="G628" s="8" t="str">
        <x:v>안외상(외상성 백내장 및 수정체 이탈)의 경과나 예후는 어떤가요?</x:v>
      </x:c>
      <x:c r="H628" s="8" t="str">
        <x:v>합병증이 우려되는 경우, 즉 전방 내로 탈구되거나 유리체로 수정체가 가라앉을 가능성이 높은 경우에는 유리체 절제술 후 수정체를 제거하는 수술적 치료가 요구되기도 합니다.</x:v>
      </x:c>
      <x:c r="I628" s="8" t="str">
        <x:v>안외상(외상성 백내장 및 수정체 이탈) - 치료 / 합병증 합병증이 우려되는 경우, 즉 전방 내로 탈구되거나 유리체로 수정체가 가라앉을 가능성이 높은 경우에는 유리체 절제술 후 수정체를 제거하는 수술적 치료가 요구되기도 합니다. 합병증으로 수정체가 염증 반응을 일으키는 포도막염이나 안압이 상승하는 녹내장이 생길 수 있습니다. 또한 수정체나 섬모체 돌기 손상이 심하여 완전이탈되면 유리체로 떨어지면서 망막 열공 등을 유발할 수 있습니다.</x:v>
      </x:c>
      <x:c r="J628" s="8" t="str">
        <x:v>안외상(외상성 백내장 및 수정체 이탈)</x:v>
      </x:c>
      <x:c r="K628" s="8" t="str">
        <x:v>질병관리청 국가건강정보포털
https://health.kdca.go.kr/healthinfo/biz/health/gnrlzHealthInfo/gnrlzHealthInfo/gnrlzHealthInfoMain.do</x:v>
      </x:c>
    </x:row>
    <x:row r="629" ht="62" customHeight="1">
      <x:c r="A629" s="9" t="n">
        <x:v>628</x:v>
      </x:c>
      <x:c r="B629" s="6" t="str">
        <x:v>최종 평가</x:v>
      </x:c>
      <x:c r="C629" s="6" t="str">
        <x:v>질병</x:v>
      </x:c>
      <x:c r="D629" s="6" t="str">
        <x:v>용어·정의</x:v>
      </x:c>
      <x:c r="E629" s="6" t="str">
        <x:v>답변 가능</x:v>
      </x:c>
      <x:c r="F629" s="6" t="str">
        <x:v>쉬움</x:v>
      </x:c>
      <x:c r="G629" s="8" t="str">
        <x:v>선천갑상샘저하증이 뭔가요?</x:v>
      </x:c>
      <x:c r="H629" s="8" t="str">
        <x:v>'이것만은 꼭 기억하세요' • 선천갑상샘저하증은 출생 시부터 갑상샘호르몬이 부족한 질환으로, 치료가 늦어질 경우 지능저하와 발달지연 등 심각한 후유증이 발생할 수 있습니다.</x:v>
      </x:c>
      <x:c r="I629" s="8" t="str">
        <x:v>선천갑상샘저하증 - 요약문 '이것만은 꼭 기억하세요' • 선천갑상샘저하증은 출생 시부터 갑상샘호르몬이 부족한 질환으로, 치료가 늦어질 경우 지능저하와 발달지연 등 심각한 후유증이 발생할 수 있습니다. • 이 질환은 대부분 신생아 시기에 뚜렷한 증상이 없기 때문에, 생후 3~7일 사이에 시행하는 신생아 선별검사를 통해 조기에 진단하고 신속히 치료하는 것이 매우 중요합니다.</x:v>
      </x:c>
      <x:c r="J629" s="8" t="str">
        <x:v>선천갑상샘저하증</x:v>
      </x:c>
      <x:c r="K629" s="8" t="str">
        <x:v>질병관리청 국가건강정보포털
https://health.kdca.go.kr/healthinfo/biz/health/gnrlzHealthInfo/gnrlzHealthInfo/gnrlzHealthInfoMain.do</x:v>
      </x:c>
    </x:row>
    <x:row r="630" ht="62" customHeight="1">
      <x:c r="A630" s="9" t="n">
        <x:v>629</x:v>
      </x:c>
      <x:c r="B630" s="6" t="str">
        <x:v>최종 평가</x:v>
      </x:c>
      <x:c r="C630" s="6" t="str">
        <x:v>질병</x:v>
      </x:c>
      <x:c r="D630" s="6" t="str">
        <x:v>치료·관리</x:v>
      </x:c>
      <x:c r="E630" s="6" t="str">
        <x:v>답변 가능</x:v>
      </x:c>
      <x:c r="F630" s="6" t="str">
        <x:v>쉬움</x:v>
      </x:c>
      <x:c r="G630" s="8" t="str">
        <x:v>C형간염은 어떻게 치료하거나 관리하나요?</x:v>
      </x:c>
      <x:c r="H630" s="8" t="str">
        <x:v>C형간염 유전형에 따른 상세한 치료방법은 '2017 대한간학회 C형간염 진료가이드라인'을 참고할 수 있습니다. 금주와 금연, 규칙적인 운동, 균형잡힌 식단, 적정 체중 유지 등 건강한 생활습관을 유지하는 것이 중요합니다.</x:v>
      </x:c>
      <x:c r="I630" s="8" t="str">
        <x:v>C형간염 - 약물 치료 / 비약물 치료 그 외 페그인터페론(주사제)과 기존 항바이러스제인 리바비린(ribavirin)을 C형간염 바이러스 유전자형에 따라 24주 혹은 48주간 투여하기도 합니다. C형간염 유전형에 따른 상세한 치료방법은 '2017 대한간학회 C형간염 진료가이드라인'을 참고할 수 있습니다. 금주와 금연, 규칙적인 운동, 균형잡힌 식단, 적정 체중 유지 등 건강한 생활습관을 유지하는 것이 중요합니다.</x:v>
      </x:c>
      <x:c r="J630" s="8" t="str">
        <x:v>C형간염</x:v>
      </x:c>
      <x:c r="K630" s="8" t="str">
        <x:v>질병관리청 국가건강정보포털
https://health.kdca.go.kr/healthinfo/biz/health/gnrlzHealthInfo/gnrlzHealthInfo/gnrlzHealthInfoMain.do</x:v>
      </x:c>
    </x:row>
    <x:row r="631" ht="62" customHeight="1">
      <x:c r="A631" s="9" t="n">
        <x:v>630</x:v>
      </x:c>
      <x:c r="B631" s="6" t="str">
        <x:v>최종 평가</x:v>
      </x:c>
      <x:c r="C631" s="6" t="str">
        <x:v>질병</x:v>
      </x:c>
      <x:c r="D631" s="6" t="str">
        <x:v>증상→질환 구분</x:v>
      </x:c>
      <x:c r="E631" s="6" t="str">
        <x:v>답변 가능</x:v>
      </x:c>
      <x:c r="F631" s="6" t="str">
        <x:v>어려움</x:v>
      </x:c>
      <x:c r="G631" s="8" t="str">
        <x:v>뇌압 상승에 의해 안구 내 시신경 유두가 붓는 유두부종, 한쪽 눈이 안쪽으로 몰리는 6번 뇌신경 마비, 하지의 추체로 증상(힘 빠짐, 강직, 반사 항진, 근육의 의도하지 않은 반복적 움직임 등)도 흔히 나타납니다. 이런 증상은 어떤 질환과 관련이 있을 수 있나요?</x:v>
      </x:c>
      <x:c r="H631" s="8" t="str">
        <x:v>수두증(소아)</x:v>
      </x:c>
      <x:c r="I631" s="8" t="str">
        <x:v>수두증(소아) - 증상 성격이 서서히 변하거나 성적이 떨어지는 것도 수두증이 서서히 진행되면서 나타나는 증상일 수 있습니다. 머리둘레를 주기적으로 측정해보면 점점 빠르게 늘어나기도 합니다. 뇌압 상승에 의해 안구 내 시신경 유두가 붓는 유두부종, 한쪽 눈이 안쪽으로 몰리는 6번 뇌신경 마비, 하지의 추체로 증상(힘 빠짐, 강직, 반사 항진, 근육의 의도하지 않은 반복적 움직임 등)도 흔히 나타납니다.</x:v>
      </x:c>
      <x:c r="J631" s="8" t="str">
        <x:v>수두증(소아)</x:v>
      </x:c>
      <x:c r="K631" s="8" t="str">
        <x:v>질병관리청 국가건강정보포털
https://health.kdca.go.kr/healthinfo/biz/health/gnrlzHealthInfo/gnrlzHealthInfo/gnrlzHealthInfoMain.do</x:v>
      </x:c>
    </x:row>
    <x:row r="632" ht="62" customHeight="1">
      <x:c r="A632" s="9" t="n">
        <x:v>631</x:v>
      </x:c>
      <x:c r="B632" s="6" t="str">
        <x:v>최종 평가</x:v>
      </x:c>
      <x:c r="C632" s="6" t="str">
        <x:v>질병</x:v>
      </x:c>
      <x:c r="D632" s="6" t="str">
        <x:v>증상·양상</x:v>
      </x:c>
      <x:c r="E632" s="6" t="str">
        <x:v>답변 가능</x:v>
      </x:c>
      <x:c r="F632" s="6" t="str">
        <x:v>쉬움</x:v>
      </x:c>
      <x:c r="G632" s="8" t="str">
        <x:v>턱관절 장애가 있으면 어떤 증상이 나타날 수 있나요?</x:v>
      </x:c>
      <x:c r="H632" s="8" t="str">
        <x:v>턱관절장애에 대해 서양인의 약 75%는 최소한 하나의 기능장애 징후(관절음, 압통 등)를 가지며, 약 33%는 최소한 하나의 증상(안면통, 관절통 등)을 가집니다. 한국 대학생을 대상으로 한 연구에 의하면 한 가지 이상의 자각증상을 가진 경우는 53%이고 안면통 및 두통을 가진 경우는 32%로 나타났습니다. 또한 한국인 4,003명을 대상으로 한 연구에서도 한 가지 이상의 자각증상을 가진 경우는 53%로 나타났습니다.</x:v>
      </x:c>
      <x:c r="I632" s="8" t="str">
        <x:v>턱관절 장애 - 역학 및 통계 턱관절장애에 대해 서양인의 약 75%는 최소한 하나의 기능장애 징후(관절음, 압통 등)를 가지며, 약 33%는 최소한 하나의 증상(안면통, 관절통 등)을 가집니다. 한국 대학생을 대상으로 한 연구에 의하면 한 가지 이상의 자각증상을 가진 경우는 53%이고 안면통 및 두통을 가진 경우는 32%로 나타났습니다. 또한 한국인 4,003명을 대상으로 한 연구에서도 한 가지 이상의 자각증상을 가진 경우는 53%로 나타났습니다.</x:v>
      </x:c>
      <x:c r="J632" s="8" t="str">
        <x:v>턱관절 장애</x:v>
      </x:c>
      <x:c r="K632" s="8" t="str">
        <x:v>질병관리청 국가건강정보포털
https://health.kdca.go.kr/healthinfo/biz/health/gnrlzHealthInfo/gnrlzHealthInfo/gnrlzHealthInfoMain.do</x:v>
      </x:c>
    </x:row>
    <x:row r="633" ht="62" customHeight="1">
      <x:c r="A633" s="9" t="n">
        <x:v>632</x:v>
      </x:c>
      <x:c r="B633" s="6" t="str">
        <x:v>최종 평가</x:v>
      </x:c>
      <x:c r="C633" s="6" t="str">
        <x:v>질병</x:v>
      </x:c>
      <x:c r="D633" s="6" t="str">
        <x:v>증상·양상</x:v>
      </x:c>
      <x:c r="E633" s="6" t="str">
        <x:v>답변 가능</x:v>
      </x:c>
      <x:c r="F633" s="6" t="str">
        <x:v>쉬움</x:v>
      </x:c>
      <x:c r="G633" s="8" t="str">
        <x:v>발 백선(무좀)이 있으면 어떤 증상이 나타날 수 있나요?</x:v>
      </x:c>
      <x:c r="H633" s="8" t="str">
        <x:v>소수포형 발바닥이나 발 옆에 작은 물집이 산재하여 발생하고 융합되어 다양한 크기와 형태로 나타날 수 있습니다. 작은 물집은 끈적거리는 액체로 차있으며 건조되면 두꺼운 황갈색 딱지를 형성하고 긁으면 옅은 상처를 남길 수 있습니다.</x:v>
      </x:c>
      <x:c r="I633" s="8" t="str">
        <x:v>발 백선(무좀) - 증상 발가락 사이의 피부가 희게 짓무르고 균열이 생기며, 건조되면 각질이 보이고, 양측 발가락과 발바닥까지 퍼질 수 있습니다. 손상된 피부를 통해 이차적인 세균감염이 생길 수 있습니다. 2. 소수포형 발바닥이나 발 옆에 작은 물집이 산재하여 발생하고 융합되어 다양한 크기와 형태로 나타날 수 있습니다. 작은 물집은 끈적거리는 액체로 차있으며 건조되면 두꺼운 황갈색 딱지를 형성하고 긁으면 옅은 상처를 남길 수 있습니다.</x:v>
      </x:c>
      <x:c r="J633" s="8" t="str">
        <x:v>발 백선(무좀)</x:v>
      </x:c>
      <x:c r="K633" s="8" t="str">
        <x:v>질병관리청 국가건강정보포털
https://health.kdca.go.kr/healthinfo/biz/health/gnrlzHealthInfo/gnrlzHealthInfo/gnrlzHealthInfoMain.do</x:v>
      </x:c>
    </x:row>
    <x:row r="634" ht="62" customHeight="1">
      <x:c r="A634" s="9" t="n">
        <x:v>633</x:v>
      </x:c>
      <x:c r="B634" s="6" t="str">
        <x:v>최종 평가</x:v>
      </x:c>
      <x:c r="C634" s="6" t="str">
        <x:v>질병</x:v>
      </x:c>
      <x:c r="D634" s="6" t="str">
        <x:v>기준·수치</x:v>
      </x:c>
      <x:c r="E634" s="6" t="str">
        <x:v>답변 가능</x:v>
      </x:c>
      <x:c r="F634" s="6" t="str">
        <x:v>쉬움</x:v>
      </x:c>
      <x:c r="G634" s="8" t="str">
        <x:v>일본뇌염과 관련해 알아두어야 할 기준이나 수치는 무엇인가요?</x:v>
      </x:c>
      <x:c r="H634" s="8" t="str">
        <x:v>만약 혈액이나 뇌척수액에서 일본뇌염 바이러스가 관찰되거나 특이 항체, 특이 유전자가 분리된 경우, 또는 회복기 혈청의 항체가가 급성기에 비하여 4배 이상 증가할 때는 질병관리청의 진단기준에 따라 일본뇌염으로 진단할 수 있습니다.</x:v>
      </x:c>
      <x:c r="I634" s="8" t="str">
        <x:v>일본뇌염 - 진단 및 검사 / 예방 및 예방접종 만약 혈액이나 뇌척수액에서 일본뇌염 바이러스가 관찰되거나 특이 항체, 특이 유전자가 분리된 경우, 또는 회복기 혈청의 항체가가 급성기에 비하여 4배 이상 증가할 때는 질병관리청의 진단기준에 따라 일본뇌염으로 진단할 수 있습니다. ① 모기를 통해 전파되는 질환이므로 모기에게 물리지 않는 것이 중요합니다.</x:v>
      </x:c>
      <x:c r="J634" s="8" t="str">
        <x:v>일본뇌염</x:v>
      </x:c>
      <x:c r="K634" s="8" t="str">
        <x:v>질병관리청 국가건강정보포털
https://health.kdca.go.kr/healthinfo/biz/health/gnrlzHealthInfo/gnrlzHealthInfo/gnrlzHealthInfoMain.do</x:v>
      </x:c>
    </x:row>
    <x:row r="635" ht="62" customHeight="1">
      <x:c r="A635" s="9" t="n">
        <x:v>634</x:v>
      </x:c>
      <x:c r="B635" s="6" t="str">
        <x:v>최종 평가</x:v>
      </x:c>
      <x:c r="C635" s="6" t="str">
        <x:v>질병</x:v>
      </x:c>
      <x:c r="D635" s="6" t="str">
        <x:v>치료·관리</x:v>
      </x:c>
      <x:c r="E635" s="6" t="str">
        <x:v>답변 가능</x:v>
      </x:c>
      <x:c r="F635" s="6" t="str">
        <x:v>쉬움</x:v>
      </x:c>
      <x:c r="G635" s="8" t="str">
        <x:v>급성신손상(소아)는 어떻게 치료하거나 관리하나요?</x:v>
      </x:c>
      <x:c r="H635" s="8" t="str">
        <x:v>투석기계가 필요하며, 혈액을 몸 밖으로 꺼내어 투석막을 통과하는 동안 혈액의 노폐물 등을 제거해야 하므로 충분한 혈액이 몸 밖으로 나올 수 있는 커다란 혈액도관이 필요합니다. 2) 복막투석 복막투석은 환자의 몸 안에 있는 복막을 이용하는 투석 방법입니다.</x:v>
      </x:c>
      <x:c r="I635" s="8" t="str">
        <x:v>급성신손상(소아) - 비약물 치료 투석기(인공신장기)와 투석막을 이용하여 혈액으로부터 노폐물을 제거하고 신체 내의 전해질 균형을 유지하며 과잉의 수분을 제거하는 방법을 말합니다. 투석기계가 필요하며, 혈액을 몸 밖으로 꺼내어 투석막을 통과하는 동안 혈액의 노폐물 등을 제거해야 하므로 충분한 혈액이 몸 밖으로 나올 수 있는 커다란 혈액도관이 필요합니다. 2) 복막투석 복막투석은 환자의 몸 안에 있는 복막을 이용하는 투석 방법입니다.</x:v>
      </x:c>
      <x:c r="J635" s="8" t="str">
        <x:v>급성신손상(소아)</x:v>
      </x:c>
      <x:c r="K635" s="8" t="str">
        <x:v>질병관리청 국가건강정보포털
https://health.kdca.go.kr/healthinfo/biz/health/gnrlzHealthInfo/gnrlzHealthInfo/gnrlzHealthInfoMain.do</x:v>
      </x:c>
    </x:row>
    <x:row r="636" ht="62" customHeight="1">
      <x:c r="A636" s="9" t="n">
        <x:v>635</x:v>
      </x:c>
      <x:c r="B636" s="6" t="str">
        <x:v>최종 평가</x:v>
      </x:c>
      <x:c r="C636" s="6" t="str">
        <x:v>질병</x:v>
      </x:c>
      <x:c r="D636" s="6" t="str">
        <x:v>치료·관리</x:v>
      </x:c>
      <x:c r="E636" s="6" t="str">
        <x:v>답변 가능</x:v>
      </x:c>
      <x:c r="F636" s="6" t="str">
        <x:v>쉬움</x:v>
      </x:c>
      <x:c r="G636" s="8" t="str">
        <x:v>피임은 어떻게 치료하거나 관리하나요?</x:v>
      </x:c>
      <x:c r="H636" s="8" t="str">
        <x:v>복합경구피임제는 에스트로겐과 황체호르몬이 포함된(복합) 피임제로, 입으로 복용하는(경구) 약물입니다. 1960년, 미국에서 최초의 복합경구피임제인 에노비드가 출시되면서 피임제의 새로운 시대가 열렸습니다. 이후 연구와 기술의 발전으로 복합경구피임제는 점차 개선되었고, 현재는 2세대부터 4세대까지 다양한 종류가 시판되고 있습니다.</x:v>
      </x:c>
      <x:c r="I636" s="8" t="str">
        <x:v>피임 - 치료 복합경구피임제는 에스트로겐과 황체호르몬이 포함된(복합) 피임제로, 입으로 복용하는(경구) 약물입니다. 1960년, 미국에서 최초의 복합경구피임제인 에노비드가 출시되면서 피임제의 새로운 시대가 열렸습니다. 이후 연구와 기술의 발전으로 복합경구피임제는 점차 개선되었고, 현재는 2세대부터 4세대까지 다양한 종류가 시판되고 있습니다.</x:v>
      </x:c>
      <x:c r="J636" s="8" t="str">
        <x:v>피임</x:v>
      </x:c>
      <x:c r="K636" s="8" t="str">
        <x:v>질병관리청 국가건강정보포털
https://health.kdca.go.kr/healthinfo/biz/health/gnrlzHealthInfo/gnrlzHealthInfo/gnrlzHealthInfoMain.do</x:v>
      </x:c>
    </x:row>
    <x:row r="637" ht="62" customHeight="1">
      <x:c r="A637" s="9" t="n">
        <x:v>636</x:v>
      </x:c>
      <x:c r="B637" s="6" t="str">
        <x:v>최종 평가</x:v>
      </x:c>
      <x:c r="C637" s="6" t="str">
        <x:v>질병</x:v>
      </x:c>
      <x:c r="D637" s="6" t="str">
        <x:v>증상·양상</x:v>
      </x:c>
      <x:c r="E637" s="6" t="str">
        <x:v>답변 가능</x:v>
      </x:c>
      <x:c r="F637" s="6" t="str">
        <x:v>쉬움</x:v>
      </x:c>
      <x:c r="G637" s="8" t="str">
        <x:v>소변이상(농뇨)가 있으면 어떤 증상이 나타날 수 있나요?</x:v>
      </x:c>
      <x:c r="H637" s="8" t="str">
        <x:v>하부요로감염인 방광염은 하복부 통증이나 묵직한 느낌, 잦은 배뇨, 배뇨 후 개운하지 않은 느낌, 배뇨 시 따가움 등의 증상이 나타납니다. 상부요로감염인 신우신염에서는 이러한 방광염 증상에 더해 옆구리 통증, 발열, 구역·구토 등이 동반될 수 있습니다. 다만, 하부 요로 증상 없이 바로 상부요로감염이 발생하는 경우도 있어 감기 몸살로 오해하고 치료 시기를 놓치는 경우가 있으므로 주의가 필요합니다.</x:v>
      </x:c>
      <x:c r="I637" s="8" t="str">
        <x:v>소변이상(농뇨) - 연관 증상 하부요로감염인 방광염은 하복부 통증이나 묵직한 느낌, 잦은 배뇨, 배뇨 후 개운하지 않은 느낌, 배뇨 시 따가움 등의 증상이 나타납니다. 상부요로감염인 신우신염에서는 이러한 방광염 증상에 더해 옆구리 통증, 발열, 구역·구토 등이 동반될 수 있습니다. 다만, 하부 요로 증상 없이 바로 상부요로감염이 발생하는 경우도 있어 감기 몸살로 오해하고 치료 시기를 놓치는 경우가 있으므로 주의가 필요합니다.</x:v>
      </x:c>
      <x:c r="J637" s="8" t="str">
        <x:v>소변이상(농뇨)</x:v>
      </x:c>
      <x:c r="K637" s="8" t="str">
        <x:v>질병관리청 국가건강정보포털
https://health.kdca.go.kr/healthinfo/biz/health/gnrlzHealthInfo/gnrlzHealthInfo/gnrlzHealthInfoMain.do</x:v>
      </x:c>
    </x:row>
    <x:row r="638" ht="62" customHeight="1">
      <x:c r="A638" s="9" t="n">
        <x:v>637</x:v>
      </x:c>
      <x:c r="B638" s="6" t="str">
        <x:v>최종 평가</x:v>
      </x:c>
      <x:c r="C638" s="6" t="str">
        <x:v>질병</x:v>
      </x:c>
      <x:c r="D638" s="6" t="str">
        <x:v>용어·정의</x:v>
      </x:c>
      <x:c r="E638" s="6" t="str">
        <x:v>답변 가능</x:v>
      </x:c>
      <x:c r="F638" s="6" t="str">
        <x:v>쉬움</x:v>
      </x:c>
      <x:c r="G638" s="8" t="str">
        <x:v>귓바퀴 재건술이 뭔가요?</x:v>
      </x:c>
      <x:c r="H638" s="8" t="str">
        <x:v>귓바퀴 재건술이란 선천적인 기형(소이증 혹은 무이증)이나 후천적인 외상에 의한 귀의 손상으로 귀의 형태가 온전하지 못한 상태의 환자들에게 정상과 비슷한 귀를 만들어 주는 수술을 말합니다.</x:v>
      </x:c>
      <x:c r="I638" s="8" t="str">
        <x:v>귀의 형태 이상 - 자주하는 질문 양측성 소이증과 외이도 기형 및 난청이 동반되었을 때에는 정상적인 언어발달을 위하여 가급적 조기에 청력검사를 시행하고 골도 보청기를 착용하게 됩니다. Q. 귓바퀴 재건술이란 무엇인가요? A. 귓바퀴 재건술이란 선천적인 기형(소이증 혹은 무이증)이나 후천적인 외상에 의한 귀의 손상으로 귀의 형태가 온전하지 못한 상태의 환자들에게 정상과 비슷한 귀를 만들어 주는 수술을 말합니다. Q.</x:v>
      </x:c>
      <x:c r="J638" s="8" t="str">
        <x:v>귀의 형태 이상</x:v>
      </x:c>
      <x:c r="K638" s="8" t="str">
        <x:v>질병관리청 국가건강정보포털
https://health.kdca.go.kr/healthinfo/biz/health/gnrlzHealthInfo/gnrlzHealthInfo/gnrlzHealthInfoMain.do</x:v>
      </x:c>
    </x:row>
    <x:row r="639" ht="62" customHeight="1">
      <x:c r="A639" s="9" t="n">
        <x:v>638</x:v>
      </x:c>
      <x:c r="B639" s="6" t="str">
        <x:v>최종 평가</x:v>
      </x:c>
      <x:c r="C639" s="6" t="str">
        <x:v>질병</x:v>
      </x:c>
      <x:c r="D639" s="6" t="str">
        <x:v>개요·기타</x:v>
      </x:c>
      <x:c r="E639" s="6" t="str">
        <x:v>답변 가능</x:v>
      </x:c>
      <x:c r="F639" s="6" t="str">
        <x:v>쉬움</x:v>
      </x:c>
      <x:c r="G639" s="8" t="str">
        <x:v>독극물 섭취에 대해 쉽게 설명해 주실 수 있나요?</x:v>
      </x:c>
      <x:c r="H639" s="8" t="str">
        <x:v>그중에는 많은 양을 복용할 경우 생명을 위협할 정도의 독성을 보이거나 소량이라도 몸에 흡수되면 독성을 나타내는 물질도 있습니다.</x:v>
      </x:c>
      <x:c r="I639" s="8" t="str">
        <x:v>독극물 섭취 - 개요 / 종류 우리는 일상생활에서 많은 화학물질과 의약품을 사용합니다. 그중에는 많은 양을 복용할 경우 생명을 위협할 정도의 독성을 보이거나 소량이라도 몸에 흡수되면 독성을 나타내는 물질도 있습니다. 의약품과 화학물질을 올바른 용법과 용량으로 사용하면 신체에 유익하지만, 잘못된 용법과 용량으로 사용하면 치명적인 부작용을 초래할 수 있습니다. 1. 아세트아미노펜(타이레놀) 1) 일반 정보</x:v>
      </x:c>
      <x:c r="J639" s="8" t="str">
        <x:v>독극물 섭취</x:v>
      </x:c>
      <x:c r="K639" s="8" t="str">
        <x:v>질병관리청 국가건강정보포털
https://health.kdca.go.kr/healthinfo/biz/health/gnrlzHealthInfo/gnrlzHealthInfo/gnrlzHealthInfoMain.do</x:v>
      </x:c>
    </x:row>
    <x:row r="640" ht="62" customHeight="1">
      <x:c r="A640" s="9" t="n">
        <x:v>639</x:v>
      </x:c>
      <x:c r="B640" s="6" t="str">
        <x:v>최종 평가</x:v>
      </x:c>
      <x:c r="C640" s="6" t="str">
        <x:v>질병</x:v>
      </x:c>
      <x:c r="D640" s="6" t="str">
        <x:v>증상→질환 구분</x:v>
      </x:c>
      <x:c r="E640" s="6" t="str">
        <x:v>답변 가능</x:v>
      </x:c>
      <x:c r="F640" s="6" t="str">
        <x:v>어려움</x:v>
      </x:c>
      <x:c r="G640" s="8" t="str">
        <x:v>안압이 갑자기 크게 올라 심한 눈통증, 두통, 시력 저하가 생기며, 구토·오심이 동반되기도 합니다. 이런 증상은 어떤 질환과 관련이 있을 수 있나요?</x:v>
      </x:c>
      <x:c r="H640" s="8" t="str">
        <x:v>녹내장</x:v>
      </x:c>
      <x:c r="I640" s="8" t="str">
        <x:v>녹내장 - 증상 그러나 급성 폐쇄각녹내장(발작)은 증상이 뚜렷합니다. 안압이 갑자기 크게 올라 심한 눈통증, 두통, 시력 저하가 생기며, 구토·오심이 동반되기도 합니다. 불빛 주위에 달무리가 보이고 눈 충혈도 심하게 나타납니다. 드물게 나타나는 선천녹내장은 아이가 증상을 표현하기 어려워 보호자의 관찰이 중요합니다. 눈물이 많아지거나 눈부심, 눈꺼풀연축(눈꺼풀 떨림)이 나타날 수 있고, 심하면 각막이 커지거나 혼탁해 보입니다.</x:v>
      </x:c>
      <x:c r="J640" s="8" t="str">
        <x:v>녹내장</x:v>
      </x:c>
      <x:c r="K640" s="8" t="str">
        <x:v>질병관리청 국가건강정보포털
https://health.kdca.go.kr/healthinfo/biz/health/gnrlzHealthInfo/gnrlzHealthInfo/gnrlzHealthInfoMain.do</x:v>
      </x:c>
    </x:row>
    <x:row r="641" ht="62" customHeight="1">
      <x:c r="A641" s="9" t="n">
        <x:v>640</x:v>
      </x:c>
      <x:c r="B641" s="6" t="str">
        <x:v>최종 평가</x:v>
      </x:c>
      <x:c r="C641" s="6" t="str">
        <x:v>질병</x:v>
      </x:c>
      <x:c r="D641" s="6" t="str">
        <x:v>증상→질환 구분</x:v>
      </x:c>
      <x:c r="E641" s="6" t="str">
        <x:v>답변 가능</x:v>
      </x:c>
      <x:c r="F641" s="6" t="str">
        <x:v>어려움</x:v>
      </x:c>
      <x:c r="G641" s="8" t="str">
        <x:v>실신, 뇌졸중, 하반신 마비, 의식 장애 등의 신경학적 증상이 나타나면 예후가 나쁘고, 수술을 필요로 하는 경우가 많습니다. 이런 증상은 어떤 질환과 관련이 있을 수 있나요?</x:v>
      </x:c>
      <x:c r="H641" s="8" t="str">
        <x:v>대동맥 박리</x:v>
      </x:c>
      <x:c r="I641" s="8" t="str">
        <x:v>대동맥 박리 - 증상 등에서 통증을 느낄 수도 있고, 땀이 나기도 합니다. 실신, 뇌졸중, 하반신 마비, 의식 장애 등의 신경학적 증상이 나타나면 예후가 나쁘고, 수술을 필요로 하는 경우가 많습니다. 근위부 대동맥 박리인 경우, 경동맥의 혈류 장애가 발생할 수 있고, 이로 인해 뇌 혈류에 이상이 생기면 몸의 한쪽에 감각이 없어지거나 마비가 오는 등의 신경학적 이상이 나타날 수 있습니다.</x:v>
      </x:c>
      <x:c r="J641" s="8" t="str">
        <x:v>대동맥 박리</x:v>
      </x:c>
      <x:c r="K641" s="8" t="str">
        <x:v>질병관리청 국가건강정보포털
https://health.kdca.go.kr/healthinfo/biz/health/gnrlzHealthInfo/gnrlzHealthInfo/gnrlzHealthInfoMain.do</x:v>
      </x:c>
    </x:row>
    <x:row r="642" ht="62" customHeight="1">
      <x:c r="A642" s="9" t="n">
        <x:v>641</x:v>
      </x:c>
      <x:c r="B642" s="6" t="str">
        <x:v>최종 평가</x:v>
      </x:c>
      <x:c r="C642" s="6" t="str">
        <x:v>질병</x:v>
      </x:c>
      <x:c r="D642" s="6" t="str">
        <x:v>증상→질환 구분</x:v>
      </x:c>
      <x:c r="E642" s="6" t="str">
        <x:v>답변 가능</x:v>
      </x:c>
      <x:c r="F642" s="6" t="str">
        <x:v>어려움</x:v>
      </x:c>
      <x:c r="G642" s="8" t="str">
        <x:v>통상적인 정맥류의 주요 증상은 위에 기술한 거미모양 정맥에서 나타나는 증상들 외에 출혈, 혈전으로 인한 통증 및 감염 등을 유발할 수 있으며, 이 경우 근본적인 치료가 신속히 필요합니다. 이런 증상은 어떤 질환과 관련이 있을 수 있나요?</x:v>
      </x:c>
      <x:c r="H642" s="8" t="str">
        <x:v>하지정맥류</x:v>
      </x:c>
      <x:c r="I642" s="8" t="str">
        <x:v>하지정맥류 - 증상 통상적인 정맥류의 주요 증상은 위에 기술한 거미모양 정맥에서 나타나는 증상들 외에 출혈, 혈전으로 인한 통증 및 감염 등을 유발할 수 있으며, 이 경우 근본적인 치료가 신속히 필요합니다. 3. 만성정맥부전(진행된 하지정맥류) 하지정맥류가 진행되면 하지, 특히 무릎 아래에 정맥압 상승으로 인한 정맥성 고혈압이 발생하여 만성정맥부전으로 이행되며 다음과 같은 증상이 나타납니다. • 만성적인 하지통증 및 부종</x:v>
      </x:c>
      <x:c r="J642" s="8" t="str">
        <x:v>하지정맥류</x:v>
      </x:c>
      <x:c r="K642" s="8" t="str">
        <x:v>질병관리청 국가건강정보포털
https://health.kdca.go.kr/healthinfo/biz/health/gnrlzHealthInfo/gnrlzHealthInfo/gnrlzHealthInfoMain.do</x:v>
      </x:c>
    </x:row>
    <x:row r="643" ht="62" customHeight="1">
      <x:c r="A643" s="9" t="n">
        <x:v>642</x:v>
      </x:c>
      <x:c r="B643" s="6" t="str">
        <x:v>최종 평가</x:v>
      </x:c>
      <x:c r="C643" s="6" t="str">
        <x:v>질병</x:v>
      </x:c>
      <x:c r="D643" s="6" t="str">
        <x:v>치료·관리</x:v>
      </x:c>
      <x:c r="E643" s="6" t="str">
        <x:v>답변 가능</x:v>
      </x:c>
      <x:c r="F643" s="6" t="str">
        <x:v>쉬움</x:v>
      </x:c>
      <x:c r="G643" s="8" t="str">
        <x:v>언어장애(성인 언어 및 말장애의 진단과 치료)는 어떻게 치료하거나 관리하나요?</x:v>
      </x:c>
      <x:c r="H643" s="8" t="str">
        <x:v>실어증을 진단할 때는 언어평가를 시행해 언어장애가 있는지 알아내고, 언어장애가 있다면 그 정도와 유형을 정확하게 평가하여 추후 언어재활치료에 의해 호전된 정도를 평가하고 예후를 예측할 수 있습니다.</x:v>
      </x:c>
      <x:c r="I643" s="8" t="str">
        <x:v>언어장애(성인 언어 및 말장애의 진단과 치료) - 종류 • 단어가 생각이 잘 나지 않아요. • 따라 말하기를 하지 못해요. • 말이 어눌해요. 실어증을 진단할 때는 언어평가를 시행해 언어장애가 있는지 알아내고, 언어장애가 있다면 그 정도와 유형을 정확하게 평가하여 추후 언어재활치료에 의해 호전된 정도를 평가하고 예후를 예측할 수 있습니다.</x:v>
      </x:c>
      <x:c r="J643" s="8" t="str">
        <x:v>언어장애(성인 언어 및 말장애의 진단과 치료)</x:v>
      </x:c>
      <x:c r="K643" s="8" t="str">
        <x:v>질병관리청 국가건강정보포털
https://health.kdca.go.kr/healthinfo/biz/health/gnrlzHealthInfo/gnrlzHealthInfo/gnrlzHealthInfoMain.do</x:v>
      </x:c>
    </x:row>
    <x:row r="644" ht="62" customHeight="1">
      <x:c r="A644" s="9" t="n">
        <x:v>643</x:v>
      </x:c>
      <x:c r="B644" s="6" t="str">
        <x:v>최종 평가</x:v>
      </x:c>
      <x:c r="C644" s="6" t="str">
        <x:v>질병</x:v>
      </x:c>
      <x:c r="D644" s="6" t="str">
        <x:v>치료·관리</x:v>
      </x:c>
      <x:c r="E644" s="6" t="str">
        <x:v>답변 가능</x:v>
      </x:c>
      <x:c r="F644" s="6" t="str">
        <x:v>쉬움</x:v>
      </x:c>
      <x:c r="G644" s="8" t="str">
        <x:v>오십견(동결견, 유착관절낭염)은 어떻게 치료하거나 관리하나요?</x:v>
      </x:c>
      <x:c r="H644" s="8" t="str">
        <x:v>조작 도중에 유착이 풀리는 소견이나 느낌이 있는 경우 좋은 예후를 기대할 수 있으며 반대로 일정한 힘을 가했음에도 불구하고 관절운동의 향상이 없다고 판단될 경우에는 더 이상의 조작을 멈추고 수술적인 방법을 고려해야 합니다. 모든 조작이 끝난 후에는 반드시 시술 후 방사선 검사를 통해서 관절 주변의 골절이나 탈구 여부를 확인해야 합니다. 조작 후 재유착을 방지하기 위해서 적극적인 수동 신장운동을 시행하는 것이 필요합니다.</x:v>
      </x:c>
      <x:c r="I644" s="8" t="str">
        <x:v>오십견(동결견, 유착관절낭염) - 비약물 치료 조작 도중에 유착이 풀리는 소견이나 느낌이 있는 경우 좋은 예후를 기대할 수 있으며 반대로 일정한 힘을 가했음에도 불구하고 관절운동의 향상이 없다고 판단될 경우에는 더 이상의 조작을 멈추고 수술적인 방법을 고려해야 합니다. 모든 조작이 끝난 후에는 반드시 시술 후 방사선 검사를 통해서 관절 주변의 골절이나 탈구 여부를 확인해야 합니다. 조작 후 재유착을 방지하기 위해서 적극적인 수동 신장운동을 시행하는 것이 필요합니다.</x:v>
      </x:c>
      <x:c r="J644" s="8" t="str">
        <x:v>오십견(동결견, 유착관절낭염)</x:v>
      </x:c>
      <x:c r="K644" s="8" t="str">
        <x:v>질병관리청 국가건강정보포털
https://health.kdca.go.kr/healthinfo/biz/health/gnrlzHealthInfo/gnrlzHealthInfo/gnrlzHealthInfoMain.do</x:v>
      </x:c>
    </x:row>
    <x:row r="645" ht="62" customHeight="1">
      <x:c r="A645" s="9" t="n">
        <x:v>644</x:v>
      </x:c>
      <x:c r="B645" s="6" t="str">
        <x:v>최종 평가</x:v>
      </x:c>
      <x:c r="C645" s="6" t="str">
        <x:v>질병</x:v>
      </x:c>
      <x:c r="D645" s="6" t="str">
        <x:v>진단·검사</x:v>
      </x:c>
      <x:c r="E645" s="6" t="str">
        <x:v>답변 가능</x:v>
      </x:c>
      <x:c r="F645" s="6" t="str">
        <x:v>쉬움</x:v>
      </x:c>
      <x:c r="G645" s="8" t="str">
        <x:v>편도염은 어떤 검사로 확인하나요?</x:v>
      </x:c>
      <x:c r="H645" s="8" t="str">
        <x:v>과거에 잦은 편도염의 경력이 있고, 만성적인 구강 통증과 음식을 삼킬 때 통증이 있으면서 편도의 염증 소견이 보이면 진단할 수 있습니다.</x:v>
      </x:c>
      <x:c r="I645" s="8" t="str">
        <x:v>편도염 - 진단 및 검사 과거에 잦은 편도염의 경력이 있고, 만성적인 구강 통증과 음식을 삼킬 때 통증이 있으면서 편도의 염증 소견이 보이면 진단할 수 있습니다. 목의 림프절이 계속 커져 있고 통증을 동반한 경우에도 다른 원인이 없다면 만성 편도염을 의심해 볼 수 있습니다. 2. 방사선 검사 일반적으로 편도염 진단을 위해 방사선 검사는 필요하지는 않습니다.</x:v>
      </x:c>
      <x:c r="J645" s="8" t="str">
        <x:v>편도염</x:v>
      </x:c>
      <x:c r="K645" s="8" t="str">
        <x:v>질병관리청 국가건강정보포털
https://health.kdca.go.kr/healthinfo/biz/health/gnrlzHealthInfo/gnrlzHealthInfo/gnrlzHealthInfoMain.do</x:v>
      </x:c>
    </x:row>
    <x:row r="646" ht="62" customHeight="1">
      <x:c r="A646" s="9" t="n">
        <x:v>645</x:v>
      </x:c>
      <x:c r="B646" s="6" t="str">
        <x:v>최종 평가</x:v>
      </x:c>
      <x:c r="C646" s="6" t="str">
        <x:v>질병</x:v>
      </x:c>
      <x:c r="D646" s="6" t="str">
        <x:v>증상→질환 구분</x:v>
      </x:c>
      <x:c r="E646" s="6" t="str">
        <x:v>답변 가능</x:v>
      </x:c>
      <x:c r="F646" s="6" t="str">
        <x:v>어려움</x:v>
      </x:c>
      <x:c r="G646" s="8" t="str">
        <x:v>상복부를 눌렀을 때 통증이 있으며 간이 커져 있거나 황달(빌리루빈이라는 색소가 피부에 침착되어 얼굴이나 몸이 노랗게 되는 것)이 나타나기도 합니다. 이런 증상은 어떤 질환과 관련이 있을 수 있나요?</x:v>
      </x:c>
      <x:c r="H646" s="8" t="str">
        <x:v>간농양</x:v>
      </x:c>
      <x:c r="I646" s="8" t="str">
        <x:v>간농양 - 증상 상복부를 눌렀을 때 통증이 있으며 간이 커져 있거나 황달(빌리루빈이라는 색소가 피부에 침착되어 얼굴이나 몸이 노랗게 되는 것)이 나타나기도 합니다. 대개 2주 이내에 이런 증상이 나타나지만, 어떤 경우에는 5~6개월 후에 증상이 나타나기도 합니다. 아메바성 간농양의 증상과 증후도 화농성 간농양과 거의 비슷합니다.</x:v>
      </x:c>
      <x:c r="J646" s="8" t="str">
        <x:v>간농양</x:v>
      </x:c>
      <x:c r="K646" s="8" t="str">
        <x:v>질병관리청 국가건강정보포털
https://health.kdca.go.kr/healthinfo/biz/health/gnrlzHealthInfo/gnrlzHealthInfo/gnrlzHealthInfoMain.do</x:v>
      </x:c>
    </x:row>
    <x:row r="647" ht="62" customHeight="1">
      <x:c r="A647" s="9" t="n">
        <x:v>646</x:v>
      </x:c>
      <x:c r="B647" s="6" t="str">
        <x:v>최종 평가</x:v>
      </x:c>
      <x:c r="C647" s="6" t="str">
        <x:v>질병</x:v>
      </x:c>
      <x:c r="D647" s="6" t="str">
        <x:v>증상·양상</x:v>
      </x:c>
      <x:c r="E647" s="6" t="str">
        <x:v>답변 가능</x:v>
      </x:c>
      <x:c r="F647" s="6" t="str">
        <x:v>쉬움</x:v>
      </x:c>
      <x:c r="G647" s="8" t="str">
        <x:v>폐흡충증이 있으면 어떤 증상이 나타날 수 있나요?</x:v>
      </x:c>
      <x:c r="H647" s="8" t="str">
        <x:v>폐 폐흡충증의 증상은 지속적인 심한 기침, 피 섞인 쇠녹물 색의 가래(rusty brown blood‒tinged sputum), 흉통, 전신 쇠약 등으로 폐결핵과 감별진단 필요할 수 있습니다. 2) 이소(異所) 폐흡충증 폐흡충 감염자의 약 45%는 폐흡충이 폐 이외의 장기에 침범하여 병소를 형성하는데 이를 이소(異所) 폐흡충증이라 합니다.</x:v>
      </x:c>
      <x:c r="I647" s="8" t="str">
        <x:v>폐흡충증 - 증상 폐 폐흡충증의 증상은 지속적인 심한 기침, 피 섞인 쇠녹물 색의 가래(rusty brown blood‒tinged sputum), 흉통, 전신 쇠약 등으로 폐결핵과 감별진단 필요할 수 있습니다. 2) 이소(異所) 폐흡충증 폐흡충 감염자의 약 45%는 폐흡충이 폐 이외의 장기에 침범하여 병소를 형성하는데 이를 이소(異所) 폐흡충증이라 합니다.</x:v>
      </x:c>
      <x:c r="J647" s="8" t="str">
        <x:v>폐흡충증</x:v>
      </x:c>
      <x:c r="K647" s="8" t="str">
        <x:v>질병관리청 국가건강정보포털
https://health.kdca.go.kr/healthinfo/biz/health/gnrlzHealthInfo/gnrlzHealthInfo/gnrlzHealthInfoMain.do</x:v>
      </x:c>
    </x:row>
    <x:row r="648" ht="62" customHeight="1">
      <x:c r="A648" s="9" t="n">
        <x:v>647</x:v>
      </x:c>
      <x:c r="B648" s="6" t="str">
        <x:v>최종 평가</x:v>
      </x:c>
      <x:c r="C648" s="6" t="str">
        <x:v>질병</x:v>
      </x:c>
      <x:c r="D648" s="6" t="str">
        <x:v>진단·검사</x:v>
      </x:c>
      <x:c r="E648" s="6" t="str">
        <x:v>답변 가능</x:v>
      </x:c>
      <x:c r="F648" s="6" t="str">
        <x:v>쉬움</x:v>
      </x:c>
      <x:c r="G648" s="8" t="str">
        <x:v>노인 삼킴장애는 어떤 검사로 확인하나요?</x:v>
      </x:c>
      <x:c r="H648" s="8" t="str">
        <x:v>두 번째 목적인 ‘치료적 측면’을 위해서는 음식 먹을 때의 자세(고개 및 몸통의 각도, 고개 돌리기 등), 음식의 형태, 한입에 넣는 음식의 양 등에 대해 미리 검토한 후 검사를 하는 것이 중요합니다.</x:v>
      </x:c>
      <x:c r="I648" s="8" t="str">
        <x:v>노인 삼킴장애 - 진단 및 검사 먼저 첫 번째 목적인 ‘진단적 측면’에 대해 살펴보면, 각각의 환자가 가진 삼킴장애를 평가, 진단하기 위해서는 삼킴에 관련되는 모든 기관, 예컨대 구강, 인두, 후두 등의 형태학적 이상이나 기능적 이상을 평가해야 합니다. 두 번째 목적인 ‘치료적 측면’을 위해서는 음식 먹을 때의 자세(고개 및 몸통의 각도, 고개 돌리기 등), 음식의 형태, 한입에 넣는 음식의 양 등에 대해 미리 검토한 후 검사를 하는 것이 중요합니다.</x:v>
      </x:c>
      <x:c r="J648" s="8" t="str">
        <x:v>노인 삼킴장애</x:v>
      </x:c>
      <x:c r="K648" s="8" t="str">
        <x:v>질병관리청 국가건강정보포털
https://health.kdca.go.kr/healthinfo/biz/health/gnrlzHealthInfo/gnrlzHealthInfo/gnrlzHealthInfoMain.do</x:v>
      </x:c>
    </x:row>
    <x:row r="649" ht="62" customHeight="1">
      <x:c r="A649" s="9" t="n">
        <x:v>648</x:v>
      </x:c>
      <x:c r="B649" s="6" t="str">
        <x:v>최종 평가</x:v>
      </x:c>
      <x:c r="C649" s="6" t="str">
        <x:v>질병</x:v>
      </x:c>
      <x:c r="D649" s="6" t="str">
        <x:v>치료·관리</x:v>
      </x:c>
      <x:c r="E649" s="6" t="str">
        <x:v>답변 가능</x:v>
      </x:c>
      <x:c r="F649" s="6" t="str">
        <x:v>쉬움</x:v>
      </x:c>
      <x:c r="G649" s="8" t="str">
        <x:v>토혈(성인)은 어떻게 치료하거나 관리하나요?</x:v>
      </x:c>
      <x:c r="H649" s="8" t="str">
        <x:v>일단 혈압이 안정되면 검사를 통해 출혈의 원인을 찾고 효과적인 치료를 해야 합니다. 여러 검사법 중 상부위장관 내시경은 효과적인 진단법이자 유용한 치료 수단입니다. 내시경을 시행하면 출혈 부위를 적극적으로 치료할 것인지, 약물을 쓸 것인지, 아니면 우선 관찰만 할 것인지 평가할 수 있습니다. 불필요한 입원이나 과도한 치료를 피할 수 있는 것입니다.</x:v>
      </x:c>
      <x:c r="I649" s="8" t="str">
        <x:v>토혈(성인) - 치료 일단 혈압이 안정되면 검사를 통해 출혈의 원인을 찾고 효과적인 치료를 해야 합니다. 여러 검사법 중 상부위장관 내시경은 효과적인 진단법이자 유용한 치료 수단입니다. 내시경을 시행하면 출혈 부위를 적극적으로 치료할 것인지, 약물을 쓸 것인지, 아니면 우선 관찰만 할 것인지 평가할 수 있습니다. 불필요한 입원이나 과도한 치료를 피할 수 있는 것입니다.</x:v>
      </x:c>
      <x:c r="J649" s="8" t="str">
        <x:v>토혈(성인)</x:v>
      </x:c>
      <x:c r="K649" s="8" t="str">
        <x:v>질병관리청 국가건강정보포털
https://health.kdca.go.kr/healthinfo/biz/health/gnrlzHealthInfo/gnrlzHealthInfo/gnrlzHealthInfoMain.do</x:v>
      </x:c>
    </x:row>
    <x:row r="650" ht="62" customHeight="1">
      <x:c r="A650" s="9" t="n">
        <x:v>649</x:v>
      </x:c>
      <x:c r="B650" s="6" t="str">
        <x:v>최종 평가</x:v>
      </x:c>
      <x:c r="C650" s="6" t="str">
        <x:v>질병</x:v>
      </x:c>
      <x:c r="D650" s="6" t="str">
        <x:v>원인·위험요인</x:v>
      </x:c>
      <x:c r="E650" s="6" t="str">
        <x:v>답변 가능</x:v>
      </x:c>
      <x:c r="F650" s="6" t="str">
        <x:v>쉬움</x:v>
      </x:c>
      <x:c r="G650" s="8" t="str">
        <x:v>가려움증은 왜 생기나요?</x:v>
      </x:c>
      <x:c r="H650" s="8" t="str">
        <x:v>대부분의 가려움증은 피부 자체의 질환에 동반되지만, 전신질환, 정신과 질환과 연관된 경우도 있으므로 정확한 원인을 찾아서 치료하는 것이 중요합니다. 가려움증은 다양한 원인에 의해 생깁니다. 원인에 따라 피부질환에 동반된 가려움증, 전신질환에 동반된 가려움증, 정신과 질환에 동반된 가려움증으로 나눌 수 있습니다. 1. 피부질환에 동반된 가려움증</x:v>
      </x:c>
      <x:c r="I650" s="8" t="str">
        <x:v>가려움증 - 개요 / 원인 대부분의 가려움증은 피부 자체의 질환에 동반되지만, 전신질환, 정신과 질환과 연관된 경우도 있으므로 정확한 원인을 찾아서 치료하는 것이 중요합니다. 가려움증은 다양한 원인에 의해 생깁니다. 원인에 따라 피부질환에 동반된 가려움증, 전신질환에 동반된 가려움증, 정신과 질환에 동반된 가려움증으로 나눌 수 있습니다. 1. 피부질환에 동반된 가려움증</x:v>
      </x:c>
      <x:c r="J650" s="8" t="str">
        <x:v>가려움증</x:v>
      </x:c>
      <x:c r="K650" s="8" t="str">
        <x:v>질병관리청 국가건강정보포털
https://health.kdca.go.kr/healthinfo/biz/health/gnrlzHealthInfo/gnrlzHealthInfo/gnrlzHealthInfoMain.do</x:v>
      </x:c>
    </x:row>
    <x:row r="651" ht="62" customHeight="1">
      <x:c r="A651" s="9" t="n">
        <x:v>650</x:v>
      </x:c>
      <x:c r="B651" s="6" t="str">
        <x:v>최종 평가</x:v>
      </x:c>
      <x:c r="C651" s="6" t="str">
        <x:v>질병</x:v>
      </x:c>
      <x:c r="D651" s="6" t="str">
        <x:v>진단·검사</x:v>
      </x:c>
      <x:c r="E651" s="6" t="str">
        <x:v>답변 가능</x:v>
      </x:c>
      <x:c r="F651" s="6" t="str">
        <x:v>쉬움</x:v>
      </x:c>
      <x:c r="G651" s="8" t="str">
        <x:v>장결핵은 어떤 검사로 확인하나요?</x:v>
      </x:c>
      <x:c r="H651" s="8" t="str">
        <x:v>특별한 증상이 없이 건강검진을 위하여 대장내시경을 시행하는 경우 종종 궤양은 없이 반흔이나 염증성 용종들이 관찰되는 경우가 있는데 이는 대부분 과거에 본인도 모르게 장결핵을 앓고 지나간 흔적이며 특별한 치료를 필요로 하지 않습니다.</x:v>
      </x:c>
      <x:c r="I651" s="8" t="str">
        <x:v>장결핵 - 진단 및 검사 특별한 증상이 없이 건강검진을 위하여 대장내시경을 시행하는 경우 종종 궤양은 없이 반흔이나 염증성 용종들이 관찰되는 경우가 있는데 이는 대부분 과거에 본인도 모르게 장결핵을 앓고 지나간 흔적이며 특별한 치료를 필요로 하지 않습니다. 대장내시경 검사 중 대장에 궤양이 관찰되면 대장암이나 크론병과 같은 염증장질환과 감별해야 합니다.</x:v>
      </x:c>
      <x:c r="J651" s="8" t="str">
        <x:v>장결핵</x:v>
      </x:c>
      <x:c r="K651" s="8" t="str">
        <x:v>질병관리청 국가건강정보포털
https://health.kdca.go.kr/healthinfo/biz/health/gnrlzHealthInfo/gnrlzHealthInfo/gnrlzHealthInfoMain.do</x:v>
      </x:c>
    </x:row>
    <x:row r="652" ht="62" customHeight="1">
      <x:c r="A652" s="9" t="n">
        <x:v>651</x:v>
      </x:c>
      <x:c r="B652" s="6" t="str">
        <x:v>최종 평가</x:v>
      </x:c>
      <x:c r="C652" s="6" t="str">
        <x:v>질병</x:v>
      </x:c>
      <x:c r="D652" s="6" t="str">
        <x:v>대상별 정보</x:v>
      </x:c>
      <x:c r="E652" s="6" t="str">
        <x:v>답변 가능</x:v>
      </x:c>
      <x:c r="F652" s="6" t="str">
        <x:v>쉬움</x:v>
      </x:c>
      <x:c r="G652" s="8" t="str">
        <x:v>방광요관역류(소아)는 대상에 따라 어떤 점을 알아두면 좋나요?</x:v>
      </x:c>
      <x:c r="H652" s="8" t="str">
        <x:v>소아 요로감염은 소아기에 흔한 세균성 감염으로 여러 차례 반복되면 콩팥에 상처를 남겨 심한 경우 고혈압과 말기 신부전의 원인이 됩니다.</x:v>
      </x:c>
      <x:c r="I652" s="8" t="str">
        <x:v>방광요관역류(소아) - 대상별 맞춤 정보 / 자주하는 질문 항생제 내성을 보이는 세균에 의한 요로 감염이 발생할 수도 있으므로 항생제 치료 전에 소변 배양검사를 하여야 하며, 이때 깨끗하게 중간 소변을 받거나 요관 삽관으로 방광 안의 소변을 청결하게 채취하여야 배양검사의 결과를 믿을 수 있습니다. Q. 아이가 아무 증상 없이 건강한데 소변에서 계속 균이 나온다고 합니다. A. 소아 요로감염은 소아기에 흔한 세균성 감염으로 여러 차례 반복되면 콩팥에 상처를 남겨 심한 경우 고혈압과 말기 신부전의 원인이 됩니다.</x:v>
      </x:c>
      <x:c r="J652" s="8" t="str">
        <x:v>방광요관역류(소아)</x:v>
      </x:c>
      <x:c r="K652" s="8" t="str">
        <x:v>질병관리청 국가건강정보포털
https://health.kdca.go.kr/healthinfo/biz/health/gnrlzHealthInfo/gnrlzHealthInfo/gnrlzHealthInfoMain.do</x:v>
      </x:c>
    </x:row>
    <x:row r="653" ht="62" customHeight="1">
      <x:c r="A653" s="9" t="n">
        <x:v>652</x:v>
      </x:c>
      <x:c r="B653" s="6" t="str">
        <x:v>최종 평가</x:v>
      </x:c>
      <x:c r="C653" s="6" t="str">
        <x:v>질병</x:v>
      </x:c>
      <x:c r="D653" s="6" t="str">
        <x:v>개요·기타</x:v>
      </x:c>
      <x:c r="E653" s="6" t="str">
        <x:v>답변 가능</x:v>
      </x:c>
      <x:c r="F653" s="6" t="str">
        <x:v>쉬움</x:v>
      </x:c>
      <x:c r="G653" s="8" t="str">
        <x:v>소아청소년기고혈압에 대해 쉽게 설명해 주실 수 있나요?</x:v>
      </x:c>
      <x:c r="H653" s="8" t="str">
        <x:v>고혈압은 소아에게 1~2% 정도 발생하며, 예전에는 대부분 고혈압의 이차적인 원인을 가지는 경우가 흔했으나 최근 들어 비만한 소아가 급증하면서 성인과 같은 일(본태성) 고혈압의 빈도가 증가되는 추세입니다.</x:v>
      </x:c>
      <x:c r="I653" s="8" t="str">
        <x:v>소아청소년기고혈압 - 개요 고혈압은 소아에게 1~2% 정도 발생하며, 예전에는 대부분 고혈압의 이차적인 원인을 가지는 경우가 흔했으나 최근 들어 비만한 소아가 급증하면서 성인과 같은 일(본태성) 고혈압의 빈도가 증가되는 추세입니다. 특히 소아기의 높은 혈압은 성인 고혈압으로 가는 지름길이므로 철저한 검사와 치료가 필요합니다. 사춘기 이전에는 주로 신장(콩팥)질환과 연관된 고혈압이 가장 많고, 사춘기 이후에는 성인과 같은 일차성 고혈압이 가장 흔합니다.</x:v>
      </x:c>
      <x:c r="J653" s="8" t="str">
        <x:v>소아청소년기고혈압</x:v>
      </x:c>
      <x:c r="K653" s="8" t="str">
        <x:v>질병관리청 국가건강정보포털
https://health.kdca.go.kr/healthinfo/biz/health/gnrlzHealthInfo/gnrlzHealthInfo/gnrlzHealthInfoMain.do</x:v>
      </x:c>
    </x:row>
    <x:row r="654" ht="62" customHeight="1">
      <x:c r="A654" s="9" t="n">
        <x:v>653</x:v>
      </x:c>
      <x:c r="B654" s="6" t="str">
        <x:v>최종 평가</x:v>
      </x:c>
      <x:c r="C654" s="6" t="str">
        <x:v>질병</x:v>
      </x:c>
      <x:c r="D654" s="6" t="str">
        <x:v>용어·정의</x:v>
      </x:c>
      <x:c r="E654" s="6" t="str">
        <x:v>답변 가능</x:v>
      </x:c>
      <x:c r="F654" s="6" t="str">
        <x:v>쉬움</x:v>
      </x:c>
      <x:c r="G654" s="8" t="str">
        <x:v>치주염이 뭔가요?</x:v>
      </x:c>
      <x:c r="H654" s="8" t="str">
        <x:v>치주염이란 치아 주변을 둘러싸고 있는 조직인 치근막과 치조골에 염증이 생긴 경우를 말합니다.</x:v>
      </x:c>
      <x:c r="I654" s="8" t="str">
        <x:v>치통 및 만성 통증(치통) - 종류 이외에도 지속적인 기계적 자극에도 치수염이 발생할 수 있으므로 단단한 음식을 피하고, 이갈이가 심한 경우에는 이갈이 장치를 사용하는 것과 같은 적극적인 조치가 필요합니다. 3. 치주염 1) 원인 치주염이란 치아 주변을 둘러싸고 있는 조직인 치근막과 치조골에 염증이 생긴 경우를 말합니다.</x:v>
      </x:c>
      <x:c r="J654" s="8" t="str">
        <x:v>치통 및 만성 통증(치통)</x:v>
      </x:c>
      <x:c r="K654" s="8" t="str">
        <x:v>질병관리청 국가건강정보포털
https://health.kdca.go.kr/healthinfo/biz/health/gnrlzHealthInfo/gnrlzHealthInfo/gnrlzHealthInfoMain.do</x:v>
      </x:c>
    </x:row>
    <x:row r="655" ht="62" customHeight="1">
      <x:c r="A655" s="9" t="n">
        <x:v>654</x:v>
      </x:c>
      <x:c r="B655" s="6" t="str">
        <x:v>최종 평가</x:v>
      </x:c>
      <x:c r="C655" s="6" t="str">
        <x:v>질병</x:v>
      </x:c>
      <x:c r="D655" s="6" t="str">
        <x:v>경과·예후</x:v>
      </x:c>
      <x:c r="E655" s="6" t="str">
        <x:v>답변 가능</x:v>
      </x:c>
      <x:c r="F655" s="6" t="str">
        <x:v>쉬움</x:v>
      </x:c>
      <x:c r="G655" s="8" t="str">
        <x:v>췌장염의 경과나 예후는 어떤가요?</x:v>
      </x:c>
      <x:c r="H655" s="8" t="str">
        <x:v>근래 들어 사망률이 감소한 이유는 급성 췌장염 발생 초기에 환자의 중증도를 분류하고 이에 따른 적절한 영양 및 수액공급, 호흡 치료 등으로 합병증 발생을 감소시켰기 때문입니다.</x:v>
      </x:c>
      <x:c r="I655" s="8" t="str">
        <x:v>췌장염 - 경과 및 예후 근래 들어 사망률이 감소한 이유는 급성 췌장염 발생 초기에 환자의 중증도를 분류하고 이에 따른 적절한 영양 및 수액공급, 호흡 치료 등으로 합병증 발생을 감소시켰기 때문입니다. 또한 합병증 발생 시 경피배액도관 삽입 및 내시경적 치료 시행으로 수술 빈도를 줄여 사망률을 감소시켰습니다. 급성 췌장염은 20~27% 재발률을 보이는데 알코올에 의한 재발률은 46%로 특히 더 높습니다.</x:v>
      </x:c>
      <x:c r="J655" s="8" t="str">
        <x:v>췌장염</x:v>
      </x:c>
      <x:c r="K655" s="8" t="str">
        <x:v>질병관리청 국가건강정보포털
https://health.kdca.go.kr/healthinfo/biz/health/gnrlzHealthInfo/gnrlzHealthInfo/gnrlzHealthInfoMain.do</x:v>
      </x:c>
    </x:row>
    <x:row r="656" ht="62" customHeight="1">
      <x:c r="A656" s="9" t="n">
        <x:v>655</x:v>
      </x:c>
      <x:c r="B656" s="6" t="str">
        <x:v>최종 평가</x:v>
      </x:c>
      <x:c r="C656" s="6" t="str">
        <x:v>질병</x:v>
      </x:c>
      <x:c r="D656" s="6" t="str">
        <x:v>답변불가·치료비·보험</x:v>
      </x:c>
      <x:c r="E656" s="6" t="str">
        <x:v>답변 거부</x:v>
      </x:c>
      <x:c r="F656" s="6" t="str">
        <x:v>어려움</x:v>
      </x:c>
      <x:c r="G656" s="8" t="str">
        <x:v>얼굴마비(말초성 마비) 치료비와 제 보험에서 보장되는 금액을 정확히 알려주세요.</x:v>
      </x:c>
      <x:c r="H656" s="8" t="str">
        <x:v>제공된 질병관리청 VDB에는 개인별 치료비와 보험 보장 금액 정보가 없어 답할 수 없습니다.</x:v>
      </x:c>
      <x:c r="I656" s="8" t="str">
        <x:v>VDB 범위 밖 질문 — 근거 없음</x:v>
      </x:c>
      <x:c r="J656" s="8" t="str">
        <x:v>얼굴마비(말초성 마비)</x:v>
      </x:c>
      <x:c r="K656" s="8" t="str">
        <x:v>질병관리청 국가건강정보포털
https://health.kdca.go.kr/healthinfo/biz/health/gnrlzHealthInfo/gnrlzHealthInfo/gnrlzHealthInfoMain.do</x:v>
      </x:c>
    </x:row>
    <x:row r="657" ht="62" customHeight="1">
      <x:c r="A657" s="9" t="n">
        <x:v>656</x:v>
      </x:c>
      <x:c r="B657" s="6" t="str">
        <x:v>최종 평가</x:v>
      </x:c>
      <x:c r="C657" s="6" t="str">
        <x:v>질병</x:v>
      </x:c>
      <x:c r="D657" s="6" t="str">
        <x:v>기준·수치</x:v>
      </x:c>
      <x:c r="E657" s="6" t="str">
        <x:v>답변 가능</x:v>
      </x:c>
      <x:c r="F657" s="6" t="str">
        <x:v>쉬움</x:v>
      </x:c>
      <x:c r="G657" s="8" t="str">
        <x:v>감염단핵구증과 관련된 증상이나 상태는 보통 얼마나 지속되나요?</x:v>
      </x:c>
      <x:c r="H657" s="8" t="str">
        <x:v>젊은 성인이 엡스타인-바 바이러스에 감염되면 4~6주간의 무증상 잠복기를 거친 뒤 피로감, 권태감 및 근육통이 약 1~2주 동안 지속됩니다.</x:v>
      </x:c>
      <x:c r="I657" s="8" t="str">
        <x:v>감염단핵구증 - 증상 / 진단 및 검사 젊은 성인이 엡스타인-바 바이러스에 감염되면 4~6주간의 무증상 잠복기를 거친 뒤 피로감, 권태감 및 근육통이 약 1~2주 동안 지속됩니다. 그 후 발열, 인후통, 림프절 비대 등의 전형적인 증상이 나타납니다. 엡스타인-바 바이러스와 연관된 감염단핵구증은 청소년이나 젊은 성인에서 인후통, 발열, 권태감과 함께 림프절 비대와 인후염이 진찰로 확인되면 의심할 수 있습니다.</x:v>
      </x:c>
      <x:c r="J657" s="8" t="str">
        <x:v>감염단핵구증</x:v>
      </x:c>
      <x:c r="K657" s="8" t="str">
        <x:v>질병관리청 국가건강정보포털
https://health.kdca.go.kr/healthinfo/biz/health/gnrlzHealthInfo/gnrlzHealthInfo/gnrlzHealthInfoMain.do</x:v>
      </x:c>
    </x:row>
    <x:row r="658" ht="62" customHeight="1">
      <x:c r="A658" s="9" t="n">
        <x:v>657</x:v>
      </x:c>
      <x:c r="B658" s="6" t="str">
        <x:v>최종 평가</x:v>
      </x:c>
      <x:c r="C658" s="6" t="str">
        <x:v>질병</x:v>
      </x:c>
      <x:c r="D658" s="6" t="str">
        <x:v>용어·정의</x:v>
      </x:c>
      <x:c r="E658" s="6" t="str">
        <x:v>답변 가능</x:v>
      </x:c>
      <x:c r="F658" s="6" t="str">
        <x:v>쉬움</x:v>
      </x:c>
      <x:c r="G658" s="8" t="str">
        <x:v>전립선비대증이 뭔가요?</x:v>
      </x:c>
      <x:c r="H658" s="8" t="str">
        <x:v>전립선비대증의 정확한 발생 원인은 밝혀지지 않았으나, 크게 다음 두 가지 요인을 주목합니다.</x:v>
      </x:c>
      <x:c r="I658" s="8" t="str">
        <x:v>전립선비대증 - 정의 / 원인 전립선이 너무 커지면 전립선 내부를 지나는 요도를 눌러서 각종 증상을 일으키는데 이것을 ‘전립선비대증’이라고 합니다. 전립선비대증의 정확한 발생 원인은 밝혀지지 않았으나, 크게 다음 두 가지 요인을 주목합니다. [전립선비대증이 발생하는 원인] 1. 노화(연령 증가) 전립선비대증은 40대 이후부터 서서히 시작해 60대에는 60~70%, 70대 이상에서는 거의 모든 남성에서 나타날 정도로 매우 흔한 질환이므로 노화 현상으로 이해하기도 합니다. 2.</x:v>
      </x:c>
      <x:c r="J658" s="8" t="str">
        <x:v>전립선비대증</x:v>
      </x:c>
      <x:c r="K658" s="8" t="str">
        <x:v>질병관리청 국가건강정보포털
https://health.kdca.go.kr/healthinfo/biz/health/gnrlzHealthInfo/gnrlzHealthInfo/gnrlzHealthInfoMain.do</x:v>
      </x:c>
    </x:row>
    <x:row r="659" ht="62" customHeight="1">
      <x:c r="A659" s="9" t="n">
        <x:v>658</x:v>
      </x:c>
      <x:c r="B659" s="6" t="str">
        <x:v>최종 평가</x:v>
      </x:c>
      <x:c r="C659" s="6" t="str">
        <x:v>질병</x:v>
      </x:c>
      <x:c r="D659" s="6" t="str">
        <x:v>증상→질환 구분</x:v>
      </x:c>
      <x:c r="E659" s="6" t="str">
        <x:v>답변 가능</x:v>
      </x:c>
      <x:c r="F659" s="6" t="str">
        <x:v>어려움</x:v>
      </x:c>
      <x:c r="G659" s="8" t="str">
        <x:v>눈 검사에서는 급성 여포결막염(acute follicular conjunctivitis) 형태로, 결막의 충혈과 부종, 결막밑출혈, 삼출성 분비물, 눈꺼풀부종 등이 나타납니다. 이런 증상은 어떤 질환과 관련이 있을 수 있나요?</x:v>
      </x:c>
      <x:c r="H659" s="8" t="str">
        <x:v>유행각결막염</x:v>
      </x:c>
      <x:c r="I659" s="8" t="str">
        <x:v>유행각결막염 - 증상 두눈에 발병한 경우 대개 먼저 발병한 눈의 증상이 더 심하게 나타납니다. 눈 검사에서는 급성 여포결막염(acute follicular conjunctivitis) 형태로, 결막의 충혈과 부종, 결막밑출혈, 삼출성 분비물, 눈꺼풀부종 등이 나타납니다. 환자는 안구의 이물감, 불편감, 따가움, 눈부심, 시력저하 및 과다한 눈물흘림 등의 증상을 느낍니다.</x:v>
      </x:c>
      <x:c r="J659" s="8" t="str">
        <x:v>유행각결막염</x:v>
      </x:c>
      <x:c r="K659" s="8" t="str">
        <x:v>질병관리청 국가건강정보포털
https://health.kdca.go.kr/healthinfo/biz/health/gnrlzHealthInfo/gnrlzHealthInfo/gnrlzHealthInfoMain.do</x:v>
      </x:c>
    </x:row>
    <x:row r="660" ht="62" customHeight="1">
      <x:c r="A660" s="9" t="n">
        <x:v>659</x:v>
      </x:c>
      <x:c r="B660" s="6" t="str">
        <x:v>최종 평가</x:v>
      </x:c>
      <x:c r="C660" s="6" t="str">
        <x:v>질병</x:v>
      </x:c>
      <x:c r="D660" s="6" t="str">
        <x:v>용어·정의</x:v>
      </x:c>
      <x:c r="E660" s="6" t="str">
        <x:v>답변 가능</x:v>
      </x:c>
      <x:c r="F660" s="6" t="str">
        <x:v>쉬움</x:v>
      </x:c>
      <x:c r="G660" s="8" t="str">
        <x:v>요충증이 뭔가요?</x:v>
      </x:c>
      <x:c r="H660" s="8" t="str">
        <x:v>요충증은 요충(Enterobius vermicularis) 감염에 의한 장내 기생충 질환입니다.</x:v>
      </x:c>
      <x:c r="I660" s="8" t="str">
        <x:v>요충증 - 요약문 / 개요 / 신고 대상 및 방법 • 예방을 위해 손 씻기, 목욕, 침구 및 속옷 소독이 중요하며, 감염 발생 시 집단 관리가 필요합니다. • 치료는 알벤다졸 400mg을 1회 복용 후 20일 간격으로 3회 반복하며, 가족 및 집단 구성원이 함께 치료받아야 합니다. 요충증은 요충(Enterobius vermicularis) 감염에 의한 장내 기생충 질환입니다. 1. 신고범위 : 환자 2. 신고시기 : 7일 이내 신고 3. 신고를 위한 진단기준​</x:v>
      </x:c>
      <x:c r="J660" s="8" t="str">
        <x:v>요충증</x:v>
      </x:c>
      <x:c r="K660" s="8" t="str">
        <x:v>질병관리청 국가건강정보포털
https://health.kdca.go.kr/healthinfo/biz/health/gnrlzHealthInfo/gnrlzHealthInfo/gnrlzHealthInfoMain.do</x:v>
      </x:c>
    </x:row>
    <x:row r="661" ht="62" customHeight="1">
      <x:c r="A661" s="9" t="n">
        <x:v>660</x:v>
      </x:c>
      <x:c r="B661" s="6" t="str">
        <x:v>최종 평가</x:v>
      </x:c>
      <x:c r="C661" s="6" t="str">
        <x:v>질병</x:v>
      </x:c>
      <x:c r="D661" s="6" t="str">
        <x:v>원인·위험요인</x:v>
      </x:c>
      <x:c r="E661" s="6" t="str">
        <x:v>답변 가능</x:v>
      </x:c>
      <x:c r="F661" s="6" t="str">
        <x:v>쉬움</x:v>
      </x:c>
      <x:c r="G661" s="8" t="str">
        <x:v>안구건조증은 왜 생기나요?</x:v>
      </x:c>
      <x:c r="H661" s="8" t="str">
        <x:v>수성눈물 생성 부족형 안구건조증의 원인 1) 쇼그렌 증후군 쇼그렌 증후군은 눈물샘과 침샘에 염증이 생기는 것이 특징인 자가면역 질환으로, 눈물과 침의 분비가 줄어 안구건조와 입마름 증상이 함께 나타납니다. 여성에서 흔하며, 모든 연령에 발생할 수 있으나 30~40대에 주로 나타납니다. 눈과 입만 침범하는 일차성 쇼그렌 증후군과 다른 전신질환이 동반되는 이차성 쇼그렌 증후군이 있습니다.</x:v>
      </x:c>
      <x:c r="I661" s="8" t="str">
        <x:v>안구건조증 - 원인 수성눈물 생성 부족형 안구건조증의 원인 1) 쇼그렌 증후군 쇼그렌 증후군은 눈물샘과 침샘에 염증이 생기는 것이 특징인 자가면역 질환으로, 눈물과 침의 분비가 줄어 안구건조와 입마름 증상이 함께 나타납니다. 여성에서 흔하며, 모든 연령에 발생할 수 있으나 30~40대에 주로 나타납니다. 눈과 입만 침범하는 일차성 쇼그렌 증후군과 다른 전신질환이 동반되는 이차성 쇼그렌 증후군이 있습니다.</x:v>
      </x:c>
      <x:c r="J661" s="8" t="str">
        <x:v>안구건조증</x:v>
      </x:c>
      <x:c r="K661" s="8" t="str">
        <x:v>질병관리청 국가건강정보포털
https://health.kdca.go.kr/healthinfo/biz/health/gnrlzHealthInfo/gnrlzHealthInfo/gnrlzHealthInfoMain.do</x:v>
      </x:c>
    </x:row>
    <x:row r="662" ht="62" customHeight="1">
      <x:c r="A662" s="9" t="n">
        <x:v>661</x:v>
      </x:c>
      <x:c r="B662" s="6" t="str">
        <x:v>최종 평가</x:v>
      </x:c>
      <x:c r="C662" s="6" t="str">
        <x:v>질병</x:v>
      </x:c>
      <x:c r="D662" s="6" t="str">
        <x:v>용어·정의</x:v>
      </x:c>
      <x:c r="E662" s="6" t="str">
        <x:v>답변 가능</x:v>
      </x:c>
      <x:c r="F662" s="6" t="str">
        <x:v>쉬움</x:v>
      </x:c>
      <x:c r="G662" s="8" t="str">
        <x:v>요실금이 뭔가요?</x:v>
      </x:c>
      <x:c r="H662" s="8" t="str">
        <x:v>요실금이란 일상생활에서 자신의 의지와 상관없이 소변을 지리는 것을 말합니다.</x:v>
      </x:c>
      <x:c r="I662" s="8" t="str">
        <x:v>노인 요실금 - 정의 요실금이란 일상생활에서 자신의 의지와 상관없이 소변을 지리는 것을 말합니다. 요실금은 노인들의 삶의 질을 감소시키고 요로계에 각종 질병을 유발할 수 있습니다.</x:v>
      </x:c>
      <x:c r="J662" s="8" t="str">
        <x:v>노인 요실금</x:v>
      </x:c>
      <x:c r="K662" s="8" t="str">
        <x:v>질병관리청 국가건강정보포털
https://health.kdca.go.kr/healthinfo/biz/health/gnrlzHealthInfo/gnrlzHealthInfo/gnrlzHealthInfoMain.do</x:v>
      </x:c>
    </x:row>
    <x:row r="663" ht="62" customHeight="1">
      <x:c r="A663" s="9" t="n">
        <x:v>662</x:v>
      </x:c>
      <x:c r="B663" s="6" t="str">
        <x:v>최종 평가</x:v>
      </x:c>
      <x:c r="C663" s="6" t="str">
        <x:v>질병</x:v>
      </x:c>
      <x:c r="D663" s="6" t="str">
        <x:v>답변불가·실시간 의료기관</x:v>
      </x:c>
      <x:c r="E663" s="6" t="str">
        <x:v>답변 거부</x:v>
      </x:c>
      <x:c r="F663" s="6" t="str">
        <x:v>어려움</x:v>
      </x:c>
      <x:c r="G663" s="8" t="str">
        <x:v>지금 제 위치에서 장결핵 진료가 가능한 병원 중 대기 시간이 가장 짧은 곳은 어디인가요?</x:v>
      </x:c>
      <x:c r="H663" s="8" t="str">
        <x:v>제공된 질병관리청 VDB에는 실시간 병원 위치와 대기 시간 정보가 없어 답할 수 없습니다.</x:v>
      </x:c>
      <x:c r="I663" s="8" t="str">
        <x:v>VDB 범위 밖 질문 — 근거 없음</x:v>
      </x:c>
      <x:c r="J663" s="8" t="str">
        <x:v>장결핵</x:v>
      </x:c>
      <x:c r="K663" s="8" t="str">
        <x:v>질병관리청 국가건강정보포털
https://health.kdca.go.kr/healthinfo/biz/health/gnrlzHealthInfo/gnrlzHealthInfo/gnrlzHealthInfoMain.do</x:v>
      </x:c>
    </x:row>
    <x:row r="664" ht="62" customHeight="1">
      <x:c r="A664" s="9" t="n">
        <x:v>663</x:v>
      </x:c>
      <x:c r="B664" s="6" t="str">
        <x:v>최종 평가</x:v>
      </x:c>
      <x:c r="C664" s="6" t="str">
        <x:v>질병</x:v>
      </x:c>
      <x:c r="D664" s="6" t="str">
        <x:v>용어·정의</x:v>
      </x:c>
      <x:c r="E664" s="6" t="str">
        <x:v>답변 가능</x:v>
      </x:c>
      <x:c r="F664" s="6" t="str">
        <x:v>쉬움</x:v>
      </x:c>
      <x:c r="G664" s="8" t="str">
        <x:v>악구충증이 뭔가요?</x:v>
      </x:c>
      <x:c r="H664" s="8" t="str">
        <x:v>'이것만은 꼭 기억하세요' • 악구충증은 악구충이라는 기생충에 감염되어 발생하는 질환으로, 주로 덜 익힌 물고기나 오염된 물을 통해 전파됩니다.</x:v>
      </x:c>
      <x:c r="I664" s="8" t="str">
        <x:v>악구충증 - 요약문 '이것만은 꼭 기억하세요' • 악구충증은 악구충이라는 기생충에 감염되어 발생하는 질환으로, 주로 덜 익힌 물고기나 오염된 물을 통해 전파됩니다. • 감염되면 얼굴, 가슴, 손 등 노출 부위에 통증을 동반한 피하 결절이 생기며, 심한 경우 중추신경계, 눈, 폐 등 다양한 장기에 침범해 심각한 증상을 일으킬 수 있습니다. • 인도에서 일본에 이르는 아시아 지역과 북미 일부 지역에서 유행하지만, 우리나라에서는 아직 발생 사례가 없습니다.</x:v>
      </x:c>
      <x:c r="J664" s="8" t="str">
        <x:v>악구충증</x:v>
      </x:c>
      <x:c r="K664" s="8" t="str">
        <x:v>질병관리청 국가건강정보포털
https://health.kdca.go.kr/healthinfo/biz/health/gnrlzHealthInfo/gnrlzHealthInfo/gnrlzHealthInfoMain.do</x:v>
      </x:c>
    </x:row>
    <x:row r="665" ht="62" customHeight="1">
      <x:c r="A665" s="9" t="n">
        <x:v>664</x:v>
      </x:c>
      <x:c r="B665" s="6" t="str">
        <x:v>최종 평가</x:v>
      </x:c>
      <x:c r="C665" s="6" t="str">
        <x:v>질병</x:v>
      </x:c>
      <x:c r="D665" s="6" t="str">
        <x:v>예방·생활수칙</x:v>
      </x:c>
      <x:c r="E665" s="6" t="str">
        <x:v>답변 가능</x:v>
      </x:c>
      <x:c r="F665" s="6" t="str">
        <x:v>쉬움</x:v>
      </x:c>
      <x:c r="G665" s="8" t="str">
        <x:v>강직척추염을 예방하려면 어떻게 해야 하나요?</x:v>
      </x:c>
      <x:c r="H665" s="8" t="str">
        <x:v>강직척추염의 생활습관 관리는 증상 완화와 질병 진행 억제에 중요합니다. 주요 관리 방법은 꾸준한 스트레칭과 유산소 운동을 통해 관절 유연성을 유지하는 것, 금연을 통한 염증 악화 방지, 규칙적인 수면과 올바른 자세 유지 등입니다. 안전한 생활환경을 조성해 척추 골절 위험을 줄이는 것도 중요합니다.</x:v>
      </x:c>
      <x:c r="I665" s="8" t="str">
        <x:v>강직척추염 - 생활습관 관리 강직척추염의 생활습관 관리는 증상 완화와 질병 진행 억제에 중요합니다. 주요 관리 방법은 꾸준한 스트레칭과 유산소 운동을 통해 관절 유연성을 유지하는 것, 금연을 통한 염증 악화 방지, 규칙적인 수면과 올바른 자세 유지 등입니다. 안전한 생활환경을 조성해 척추 골절 위험을 줄이는 것도 중요합니다.</x:v>
      </x:c>
      <x:c r="J665" s="8" t="str">
        <x:v>강직척추염</x:v>
      </x:c>
      <x:c r="K665" s="8" t="str">
        <x:v>질병관리청 국가건강정보포털
https://health.kdca.go.kr/healthinfo/biz/health/gnrlzHealthInfo/gnrlzHealthInfo/gnrlzHealthInfoMain.do</x:v>
      </x:c>
    </x:row>
    <x:row r="666" ht="62" customHeight="1">
      <x:c r="A666" s="9" t="n">
        <x:v>665</x:v>
      </x:c>
      <x:c r="B666" s="6" t="str">
        <x:v>최종 평가</x:v>
      </x:c>
      <x:c r="C666" s="6" t="str">
        <x:v>질병</x:v>
      </x:c>
      <x:c r="D666" s="6" t="str">
        <x:v>치료·관리</x:v>
      </x:c>
      <x:c r="E666" s="6" t="str">
        <x:v>답변 가능</x:v>
      </x:c>
      <x:c r="F666" s="6" t="str">
        <x:v>쉬움</x:v>
      </x:c>
      <x:c r="G666" s="8" t="str">
        <x:v>요로감염은 어떻게 치료하거나 관리하나요?</x:v>
      </x:c>
      <x:c r="H666" s="8" t="str">
        <x:v>우리나라의 경우 매년 인구 1만 명당 약 39명이 상부 요로감염인 급성 신우신염에 걸리며, 이 가운데 약 4명 중 1명은 입원 치료가 필요합니다. 여성은 신체 구조상 남성보다 요로감염에 취약하기 때문에, 실제로 요로감염은 남성보다 여성에게 훨씬 흔하게 발생합니다. 특히 급성 신우신염의 경우 여성 환자가 남성보다 약 11배 많습니다.</x:v>
      </x:c>
      <x:c r="I666" s="8" t="str">
        <x:v>요로감염 - 역학 및 통계 우리나라의 경우 매년 인구 1만 명당 약 39명이 상부 요로감염인 급성 신우신염에 걸리며, 이 가운데 약 4명 중 1명은 입원 치료가 필요합니다. 여성은 신체 구조상 남성보다 요로감염에 취약하기 때문에, 실제로 요로감염은 남성보다 여성에게 훨씬 흔하게 발생합니다. 특히 급성 신우신염의 경우 여성 환자가 남성보다 약 11배 많습니다.</x:v>
      </x:c>
      <x:c r="J666" s="8" t="str">
        <x:v>요로감염</x:v>
      </x:c>
      <x:c r="K666" s="8" t="str">
        <x:v>질병관리청 국가건강정보포털
https://health.kdca.go.kr/healthinfo/biz/health/gnrlzHealthInfo/gnrlzHealthInfo/gnrlzHealthInfoMain.do</x:v>
      </x:c>
    </x:row>
    <x:row r="667" ht="62" customHeight="1">
      <x:c r="A667" s="9" t="n">
        <x:v>666</x:v>
      </x:c>
      <x:c r="B667" s="6" t="str">
        <x:v>최종 평가</x:v>
      </x:c>
      <x:c r="C667" s="6" t="str">
        <x:v>질병</x:v>
      </x:c>
      <x:c r="D667" s="6" t="str">
        <x:v>예방·생활수칙</x:v>
      </x:c>
      <x:c r="E667" s="6" t="str">
        <x:v>답변 가능</x:v>
      </x:c>
      <x:c r="F667" s="6" t="str">
        <x:v>쉬움</x:v>
      </x:c>
      <x:c r="G667" s="8" t="str">
        <x:v>감염심내막염을 예방하려면 어떻게 해야 하나요?</x:v>
      </x:c>
      <x:c r="H667" s="8" t="str">
        <x:v>신체검사에서 비정상적인 심잡음이 들리는 사람은 세균이 혈액 내로 들어갈 수 있는 상황(수술, 치과 치료 등)에서 예방적인 항생제 복용이 필요합니다. [예방적 항생제가 반드시 필요한 환자] • 인공판막 • 이전에 감염심내막염을 앓은 병력 • 교정되지 않은 청색증 심질환 • 수술로 완전히 교정되었으나 수술 6개월 이내인 선천 심질환 • 불완전하게 교정된 선천 심질환에서 인공 삽입 물질 주위에 결손이 남아 있는 경우</x:v>
      </x:c>
      <x:c r="I667" s="8" t="str">
        <x:v>감염심내막염 - 위험요인 및 예방 신체검사에서 비정상적인 심잡음이 들리는 사람은 세균이 혈액 내로 들어갈 수 있는 상황(수술, 치과 치료 등)에서 예방적인 항생제 복용이 필요합니다. [예방적 항생제가 반드시 필요한 환자] • 인공판막 • 이전에 감염심내막염을 앓은 병력 • 교정되지 않은 청색증 심질환 • 수술로 완전히 교정되었으나 수술 6개월 이내인 선천 심질환 • 불완전하게 교정된 선천 심질환에서 인공 삽입 물질 주위에 결손이 남아 있는 경우</x:v>
      </x:c>
      <x:c r="J667" s="8" t="str">
        <x:v>감염심내막염</x:v>
      </x:c>
      <x:c r="K667" s="8" t="str">
        <x:v>질병관리청 국가건강정보포털
https://health.kdca.go.kr/healthinfo/biz/health/gnrlzHealthInfo/gnrlzHealthInfo/gnrlzHealthInfoMain.do</x:v>
      </x:c>
    </x:row>
    <x:row r="668" ht="62" customHeight="1">
      <x:c r="A668" s="9" t="n">
        <x:v>667</x:v>
      </x:c>
      <x:c r="B668" s="6" t="str">
        <x:v>최종 평가</x:v>
      </x:c>
      <x:c r="C668" s="6" t="str">
        <x:v>질병</x:v>
      </x:c>
      <x:c r="D668" s="6" t="str">
        <x:v>개요·기타</x:v>
      </x:c>
      <x:c r="E668" s="6" t="str">
        <x:v>답변 가능</x:v>
      </x:c>
      <x:c r="F668" s="6" t="str">
        <x:v>쉬움</x:v>
      </x:c>
      <x:c r="G668" s="8" t="str">
        <x:v>불명열에 대해 쉽게 설명해 주실 수 있나요?</x:v>
      </x:c>
      <x:c r="H668" s="8" t="str">
        <x:v>불명열은 원인 질환에 따라 경과 및 예후가 달라집니다.</x:v>
      </x:c>
      <x:c r="I668" s="8" t="str">
        <x:v>불명열 - 개요 - 원인 / 개요 - 경과 및 예후 진단 방법(영상검사, 세균/바이러스 검사, 혈액 검사 등)이 발전함에 따라 불명열 원인 질환의 빈도 및 종류가 지속적으로 변화하는데 최근에는 감염 또는 악성종양은 감소하고 비감염성 염증질환(결체조직질환)과 원인을 찾지 못하는 경우가 증가하고 있습니다. 불명열은 원인 질환에 따라 경과 및 예후가 달라집니다. 6개월 이상의 검사와 지속적인 관찰에도 불구하고 원인 질환을 진단하지 못할 경우의 예후는 양호하다고 알려져 있습니다.</x:v>
      </x:c>
      <x:c r="J668" s="8" t="str">
        <x:v>불명열</x:v>
      </x:c>
      <x:c r="K668" s="8" t="str">
        <x:v>질병관리청 국가건강정보포털
https://health.kdca.go.kr/healthinfo/biz/health/gnrlzHealthInfo/gnrlzHealthInfo/gnrlzHealthInfoMain.do</x:v>
      </x:c>
    </x:row>
    <x:row r="669" ht="62" customHeight="1">
      <x:c r="A669" s="9" t="n">
        <x:v>668</x:v>
      </x:c>
      <x:c r="B669" s="6" t="str">
        <x:v>최종 평가</x:v>
      </x:c>
      <x:c r="C669" s="6" t="str">
        <x:v>질병</x:v>
      </x:c>
      <x:c r="D669" s="6" t="str">
        <x:v>증상·양상</x:v>
      </x:c>
      <x:c r="E669" s="6" t="str">
        <x:v>답변 가능</x:v>
      </x:c>
      <x:c r="F669" s="6" t="str">
        <x:v>쉬움</x:v>
      </x:c>
      <x:c r="G669" s="8" t="str">
        <x:v>건막염(통풍성 건막염)이 있으면 어떤 증상이 나타날 수 있나요?</x:v>
      </x:c>
      <x:c r="H669" s="8" t="str">
        <x:v>굴곡건을 침범한 경우는 심한 통증과 홍반 그리고 종창과 온도 상승을 보여 급성 화농성 건막염과 유사한 증상을 보입니다. 수근관 안의 굴곡건에 건막염이 발생한 경우에는 급성 수근관 증후군의 증상을 보일 수도 있습니다. 또한 신전 지대나 지간 관절이나 중수수지 관절의 후방에 결절이 나타나는 경우도 있습니다.</x:v>
      </x:c>
      <x:c r="I669" s="8" t="str">
        <x:v>건막염(통풍성 건막염) - 역학 및 통계 / 증상 통풍성 건막염의 발생 빈도는 우리나라의 식생활 양상이 바뀌면서 증가하는 추세에 있습니다. 굴곡건을 침범한 경우는 심한 통증과 홍반 그리고 종창과 온도 상승을 보여 급성 화농성 건막염과 유사한 증상을 보입니다. 수근관 안의 굴곡건에 건막염이 발생한 경우에는 급성 수근관 증후군의 증상을 보일 수도 있습니다. 또한 신전 지대나 지간 관절이나 중수수지 관절의 후방에 결절이 나타나는 경우도 있습니다.</x:v>
      </x:c>
      <x:c r="J669" s="8" t="str">
        <x:v>건막염(통풍성 건막염)</x:v>
      </x:c>
      <x:c r="K669" s="8" t="str">
        <x:v>질병관리청 국가건강정보포털
https://health.kdca.go.kr/healthinfo/biz/health/gnrlzHealthInfo/gnrlzHealthInfo/gnrlzHealthInfoMain.do</x:v>
      </x:c>
    </x:row>
    <x:row r="670" ht="62" customHeight="1">
      <x:c r="A670" s="9" t="n">
        <x:v>669</x:v>
      </x:c>
      <x:c r="B670" s="6" t="str">
        <x:v>최종 평가</x:v>
      </x:c>
      <x:c r="C670" s="6" t="str">
        <x:v>질병</x:v>
      </x:c>
      <x:c r="D670" s="6" t="str">
        <x:v>증상·양상</x:v>
      </x:c>
      <x:c r="E670" s="6" t="str">
        <x:v>답변 가능</x:v>
      </x:c>
      <x:c r="F670" s="6" t="str">
        <x:v>쉬움</x:v>
      </x:c>
      <x:c r="G670" s="8" t="str">
        <x:v>고혈압성 콩팥병이 있으면 어떤 증상이 나타날 수 있나요?</x:v>
      </x:c>
      <x:c r="H670" s="8" t="str">
        <x:v>고혈압성 콩팥병은 고혈압의 병력이 있으면서 콩팥 손상 소견이 함께 나타날 때 진단합니다.</x:v>
      </x:c>
      <x:c r="I670" s="8" t="str">
        <x:v>고혈압성 콩팥병 - 증상 / 진단 및 검사 6) 눈 주위가 푸석해 보이고 발목이 붓습니다. 7) 피부가 가렵고 창백해집니다. - 이러한 증상은 콩팥병이 진행하면서 일부만 나타날 수도 있으며, 다른 질환에 의해서도 생길 수 있습니다. 새로운 증상이 나타나면 적절한 검사와 진료를 받아야 합니다. • 고혈압성 콩팥병은 고혈압의 병력이 있으면서 콩팥 손상 소견이 함께 나타날 때 진단합니다.</x:v>
      </x:c>
      <x:c r="J670" s="8" t="str">
        <x:v>고혈압성 콩팥병</x:v>
      </x:c>
      <x:c r="K670" s="8" t="str">
        <x:v>질병관리청 국가건강정보포털
https://health.kdca.go.kr/healthinfo/biz/health/gnrlzHealthInfo/gnrlzHealthInfo/gnrlzHealthInfoMain.do</x:v>
      </x:c>
    </x:row>
    <x:row r="671" ht="62" customHeight="1">
      <x:c r="A671" s="9" t="n">
        <x:v>670</x:v>
      </x:c>
      <x:c r="B671" s="6" t="str">
        <x:v>최종 평가</x:v>
      </x:c>
      <x:c r="C671" s="6" t="str">
        <x:v>질병</x:v>
      </x:c>
      <x:c r="D671" s="6" t="str">
        <x:v>용어·정의</x:v>
      </x:c>
      <x:c r="E671" s="6" t="str">
        <x:v>답변 가능</x:v>
      </x:c>
      <x:c r="F671" s="6" t="str">
        <x:v>쉬움</x:v>
      </x:c>
      <x:c r="G671" s="8" t="str">
        <x:v>척추측만증(scoliosis)이 뭔가요?</x:v>
      </x:c>
      <x:c r="H671" s="8" t="str">
        <x:v>척추측만증(scoliosis)은 척추가 관상면에서 측방(옆)으로 과도하게 굽는 경우를 말하며, 후만증은 척추의 시상면에서 정상 만곡(curve)이 소실되고 흉부의 후만곡이 더욱 증가하거나, 경부와 요부에서 후만 변형이 보이는 경우를 말합니다.</x:v>
      </x:c>
      <x:c r="I671" s="8" t="str">
        <x:v>척추의 형태 이상 - 개요 척추측만증(scoliosis)은 척추가 관상면에서 측방(옆)으로 과도하게 굽는 경우를 말하며, 후만증은 척추의 시상면에서 정상 만곡(curve)이 소실되고 흉부의 후만곡이 더욱 증가하거나, 경부와 요부에서 후만 변형이 보이는 경우를 말합니다.</x:v>
      </x:c>
      <x:c r="J671" s="8" t="str">
        <x:v>척추의 형태 이상</x:v>
      </x:c>
      <x:c r="K671" s="8" t="str">
        <x:v>질병관리청 국가건강정보포털
https://health.kdca.go.kr/healthinfo/biz/health/gnrlzHealthInfo/gnrlzHealthInfo/gnrlzHealthInfoMain.do</x:v>
      </x:c>
    </x:row>
    <x:row r="672" ht="62" customHeight="1">
      <x:c r="A672" s="9" t="n">
        <x:v>671</x:v>
      </x:c>
      <x:c r="B672" s="6" t="str">
        <x:v>최종 평가</x:v>
      </x:c>
      <x:c r="C672" s="6" t="str">
        <x:v>질병</x:v>
      </x:c>
      <x:c r="D672" s="6" t="str">
        <x:v>개요·기타</x:v>
      </x:c>
      <x:c r="E672" s="6" t="str">
        <x:v>답변 가능</x:v>
      </x:c>
      <x:c r="F672" s="6" t="str">
        <x:v>쉬움</x:v>
      </x:c>
      <x:c r="G672" s="8" t="str">
        <x:v>화상에는 어떤 종류가 있나요?</x:v>
      </x:c>
      <x:c r="H672" s="8" t="str">
        <x:v>2도 화상은 다시 진피층의 일부만 손상된 얕은 형(표재성)과 진피층의 대부분이 손상된 깊은 형(심재성)으로 나뉩니다.</x:v>
      </x:c>
      <x:c r="I672" s="8" t="str">
        <x:v>화상 - 종류 피부의 얕은 층인 표피층만 손상된 경우를 1도 화상, 표피층과 함께 피부의 깊은 층인 진피층까지 손상된 경우를 2도 화상이라 합니다. 2도 화상은 다시 진피층의 일부만 손상된 얕은 형(표재성)과 진피층의 대부분이 손상된 깊은 형(심재성)으로 나뉩니다.</x:v>
      </x:c>
      <x:c r="J672" s="8" t="str">
        <x:v>화상</x:v>
      </x:c>
      <x:c r="K672" s="8" t="str">
        <x:v>질병관리청 국가건강정보포털
https://health.kdca.go.kr/healthinfo/biz/health/gnrlzHealthInfo/gnrlzHealthInfo/gnrlzHealthInfoMain.do</x:v>
      </x:c>
    </x:row>
    <x:row r="673" ht="62" customHeight="1">
      <x:c r="A673" s="9" t="n">
        <x:v>672</x:v>
      </x:c>
      <x:c r="B673" s="6" t="str">
        <x:v>최종 평가</x:v>
      </x:c>
      <x:c r="C673" s="6" t="str">
        <x:v>질병</x:v>
      </x:c>
      <x:c r="D673" s="6" t="str">
        <x:v>증상·양상</x:v>
      </x:c>
      <x:c r="E673" s="6" t="str">
        <x:v>답변 가능</x:v>
      </x:c>
      <x:c r="F673" s="6" t="str">
        <x:v>쉬움</x:v>
      </x:c>
      <x:c r="G673" s="8" t="str">
        <x:v>일자목(거북목)증후군이 있으면 어떤 증상이 나타날 수 있나요?</x:v>
      </x:c>
      <x:c r="H673" s="8" t="str">
        <x:v>가장 흔한 증상은 목 주변과 어깻죽지의 통증입니다. 또한 허리나 팔에도 통증이 발생할 수 있습니다. 눈이 뻑뻑하거나 건조한 느낌, 두통도 생길 수 있습니다. 피로감, 정신적 압박감, 불안, 짜증 등 심리적 이상과 드물지만 불면증이 동반될 수 있습니다.</x:v>
      </x:c>
      <x:c r="I673" s="8" t="str">
        <x:v>일자목(거북목)증후군 - 역학 및 통계 / 증상 한 연구에 따르면 일자목 혹은 거북목(경추의 전만이 12.5도 미만인 경우) 상태는 25~42세 인구 중 70%에 이를 정도로 흔합니다. 가장 흔한 증상은 목 주변과 어깻죽지의 통증입니다. 또한 허리나 팔에도 통증이 발생할 수 있습니다. 눈이 뻑뻑하거나 건조한 느낌, 두통도 생길 수 있습니다. 피로감, 정신적 압박감, 불안, 짜증 등 심리적 이상과 드물지만 불면증이 동반될 수 있습니다.</x:v>
      </x:c>
      <x:c r="J673" s="8" t="str">
        <x:v>일자목(거북목)증후군</x:v>
      </x:c>
      <x:c r="K673" s="8" t="str">
        <x:v>질병관리청 국가건강정보포털
https://health.kdca.go.kr/healthinfo/biz/health/gnrlzHealthInfo/gnrlzHealthInfo/gnrlzHealthInfoMain.do</x:v>
      </x:c>
    </x:row>
    <x:row r="674" ht="62" customHeight="1">
      <x:c r="A674" s="9" t="n">
        <x:v>673</x:v>
      </x:c>
      <x:c r="B674" s="6" t="str">
        <x:v>최종 평가</x:v>
      </x:c>
      <x:c r="C674" s="6" t="str">
        <x:v>질병</x:v>
      </x:c>
      <x:c r="D674" s="6" t="str">
        <x:v>경과·예후</x:v>
      </x:c>
      <x:c r="E674" s="6" t="str">
        <x:v>답변 가능</x:v>
      </x:c>
      <x:c r="F674" s="6" t="str">
        <x:v>쉬움</x:v>
      </x:c>
      <x:c r="G674" s="8" t="str">
        <x:v>대동맥 박리의 경과나 예후는 어떤가요?</x:v>
      </x:c>
      <x:c r="H674" s="8" t="str">
        <x:v>이 때 간혹 자연적으로 가성 내강 내에 혈전이 형성되면서 막힐 수도 있는데, 이런 경우에는 비교적 좋은 경과를 기대할 수 있습니다.</x:v>
      </x:c>
      <x:c r="I674" s="8" t="str">
        <x:v>대동맥 박리 - 경과 및 예후 / 역학 및 통계 이 때 간혹 자연적으로 가성 내강 내에 혈전이 형성되면서 막힐 수도 있는데, 이런 경우에는 비교적 좋은 경과를 기대할 수 있습니다. 아직까지 대동맥 박리와 관련하여 국내 대규모 자료는 없는 상황입니다. 외국의 대규모 연구 결과들에 따르면, 급성 상행 대동맥 박리의 경우 수술 후 사망률은 15~25% 정도로 보고되고 있습니다. 5년 장기 생존율은 70~90%, 10년 장기 생존율은 50~65% 정도로 보고되고 있습니다.</x:v>
      </x:c>
      <x:c r="J674" s="8" t="str">
        <x:v>대동맥 박리</x:v>
      </x:c>
      <x:c r="K674" s="8" t="str">
        <x:v>질병관리청 국가건강정보포털
https://health.kdca.go.kr/healthinfo/biz/health/gnrlzHealthInfo/gnrlzHealthInfo/gnrlzHealthInfoMain.do</x:v>
      </x:c>
    </x:row>
    <x:row r="675" ht="62" customHeight="1">
      <x:c r="A675" s="9" t="n">
        <x:v>674</x:v>
      </x:c>
      <x:c r="B675" s="6" t="str">
        <x:v>최종 평가</x:v>
      </x:c>
      <x:c r="C675" s="6" t="str">
        <x:v>질병</x:v>
      </x:c>
      <x:c r="D675" s="6" t="str">
        <x:v>증상→질환 구분</x:v>
      </x:c>
      <x:c r="E675" s="6" t="str">
        <x:v>답변 가능</x:v>
      </x:c>
      <x:c r="F675" s="6" t="str">
        <x:v>어려움</x:v>
      </x:c>
      <x:c r="G675" s="8" t="str">
        <x:v>피부가 붉어지는 증상인 홍반과 하얀 각질이 일어나는 증상인 인설이 주증상이며, 두꺼워진 피부에 홍반과 인설이 같이 있는 특징적인 모양을 가집니다. 이런 증상은 어떤 질환과 관련이 있을 수 있나요?</x:v>
      </x:c>
      <x:c r="H675" s="8" t="str">
        <x:v>건선</x:v>
      </x:c>
      <x:c r="I675" s="8" t="str">
        <x:v>건선 - 요약문 / 개요 • 치료는 연고, 광선치료, 전신약물 및 생물학제제 등을 사용하며 꾸준한 관리가 중요합니다. 건선은 피부가 붉어지는 증상인 홍반과 하얀 각질이 일어나는 증상인 인설이 주증상이며, 두꺼워진 피부에 홍반과 인설이 같이 있는 특징적인 모양을 가집니다. 주로 팔꿈치, 무릎, 엉덩이, 두피 등 자극을 많이 받는 부위에 발생합니다. 다른 피부질환과 달리 병변과 정상피부와의 경계가 뚜렷한 특징이 있습니다.</x:v>
      </x:c>
      <x:c r="J675" s="8" t="str">
        <x:v>건선</x:v>
      </x:c>
      <x:c r="K675" s="8" t="str">
        <x:v>질병관리청 국가건강정보포털
https://health.kdca.go.kr/healthinfo/biz/health/gnrlzHealthInfo/gnrlzHealthInfo/gnrlzHealthInfoMain.do</x:v>
      </x:c>
    </x:row>
    <x:row r="676" ht="62" customHeight="1">
      <x:c r="A676" s="9" t="n">
        <x:v>675</x:v>
      </x:c>
      <x:c r="B676" s="6" t="str">
        <x:v>최종 평가</x:v>
      </x:c>
      <x:c r="C676" s="6" t="str">
        <x:v>질병</x:v>
      </x:c>
      <x:c r="D676" s="6" t="str">
        <x:v>증상·양상</x:v>
      </x:c>
      <x:c r="E676" s="6" t="str">
        <x:v>답변 가능</x:v>
      </x:c>
      <x:c r="F676" s="6" t="str">
        <x:v>쉬움</x:v>
      </x:c>
      <x:c r="G676" s="8" t="str">
        <x:v>척추의 형태 이상(척추측만증)이 있으면 어떤 증상이 나타날 수 있나요?</x:v>
      </x:c>
      <x:c r="H676" s="8" t="str">
        <x:v>성인이 된 후 발생하는 퇴행성 측만증의 경우에는 동반되어 발생하는 신경근 자극 증상과 척추관 협착증이 문제가 되어 요통 및 하지 방사통, 보행 장애, 간헐적 파행의 증상을 호소합니다.</x:v>
      </x:c>
      <x:c r="I676" s="8" t="str">
        <x:v>척추의 형태 이상(척추측만증) - 증상 구조적 측만증의 경우에 치료하지 않으면 악화되어 더 큰 기형을 초래할 수도 있으며, 이때는 미용상의 문제뿐만 아니라 심장, 폐, 다른 내장 기관에도 영향을 주며 심할 경우 수명이 단축될 수도 있습니다. 성인이 된 후 발생하는 퇴행성 측만증의 경우에는 동반되어 발생하는 신경근 자극 증상과 척추관 협착증이 문제가 되어 요통 및 하지 방사통, 보행 장애, 간헐적 파행의 증상을 호소합니다.</x:v>
      </x:c>
      <x:c r="J676" s="8" t="str">
        <x:v>척추의 형태 이상(척추측만증)</x:v>
      </x:c>
      <x:c r="K676" s="8" t="str">
        <x:v>질병관리청 국가건강정보포털
https://health.kdca.go.kr/healthinfo/biz/health/gnrlzHealthInfo/gnrlzHealthInfo/gnrlzHealthInfoMain.do</x:v>
      </x:c>
    </x:row>
    <x:row r="677" ht="62" customHeight="1">
      <x:c r="A677" s="9" t="n">
        <x:v>676</x:v>
      </x:c>
      <x:c r="B677" s="6" t="str">
        <x:v>최종 평가</x:v>
      </x:c>
      <x:c r="C677" s="6" t="str">
        <x:v>질병</x:v>
      </x:c>
      <x:c r="D677" s="6" t="str">
        <x:v>원인·위험요인</x:v>
      </x:c>
      <x:c r="E677" s="6" t="str">
        <x:v>답변 가능</x:v>
      </x:c>
      <x:c r="F677" s="6" t="str">
        <x:v>쉬움</x:v>
      </x:c>
      <x:c r="G677" s="8" t="str">
        <x:v>오십견(동결견, 유착관절낭염)은 왜 생기나요?</x:v>
      </x:c>
      <x:c r="H677" s="8" t="str">
        <x:v>외인성은 견관절 외부의 질환에 의해 발생되는 것으로 심장 질환, 호흡기 질환, 경추 질환 등을 들 수 있고, 전신성은 전신적 대사질환에 의해 발생되는 것으로 당뇨병, 갑상선기능항진증 등을 들 수 있습니다. 정확한 원인이 밝혀지지 않아 현재 연구 중에 있는데, 당뇨병과 갑상선기능항진증 등과 같이 체내대사율이 높은 질환이나 심장이나 폐질환과 관련되어 발생하는 경우가 많습니다.</x:v>
      </x:c>
      <x:c r="I677" s="8" t="str">
        <x:v>오십견(동결견, 유착관절낭염) - 원인 외인성은 견관절 외부의 질환에 의해 발생되는 것으로 심장 질환, 호흡기 질환, 경추 질환 등을 들 수 있고, 전신성은 전신적 대사질환에 의해 발생되는 것으로 당뇨병, 갑상선기능항진증 등을 들 수 있습니다. 정확한 원인이 밝혀지지 않아 현재 연구 중에 있는데, 당뇨병과 갑상선기능항진증 등과 같이 체내대사율이 높은 질환이나 심장이나 폐질환과 관련되어 발생하는 경우가 많습니다.</x:v>
      </x:c>
      <x:c r="J677" s="8" t="str">
        <x:v>오십견(동결견, 유착관절낭염)</x:v>
      </x:c>
      <x:c r="K677" s="8" t="str">
        <x:v>질병관리청 국가건강정보포털
https://health.kdca.go.kr/healthinfo/biz/health/gnrlzHealthInfo/gnrlzHealthInfo/gnrlzHealthInfoMain.do</x:v>
      </x:c>
    </x:row>
    <x:row r="678" ht="62" customHeight="1">
      <x:c r="A678" s="9" t="n">
        <x:v>677</x:v>
      </x:c>
      <x:c r="B678" s="6" t="str">
        <x:v>최종 평가</x:v>
      </x:c>
      <x:c r="C678" s="6" t="str">
        <x:v>질병</x:v>
      </x:c>
      <x:c r="D678" s="6" t="str">
        <x:v>증상·양상</x:v>
      </x:c>
      <x:c r="E678" s="6" t="str">
        <x:v>답변 가능</x:v>
      </x:c>
      <x:c r="F678" s="6" t="str">
        <x:v>쉬움</x:v>
      </x:c>
      <x:c r="G678" s="8" t="str">
        <x:v>뇌동맥류가 있으면 어떤 증상이 나타날 수 있나요?</x:v>
      </x:c>
      <x:c r="H678" s="8" t="str">
        <x:v>동안신경이라는 뇌신경 근처에서 뇌동맥류가 발생하면, 파열되지 않은 상태에서도 뇌신경을 압박해 안구운동장애 증상을 보일 수 있습니다. 시신경을 압박하면 시력 저하나 시야 결손이 생기기도 합니다. 뇌동맥류가 뇌간을 압박하면 뇌 자체가 영향을 받아 의식 저하 같은 심각한 증상을 보일 수 있으나 극히 드뭅니다. 파열된 뇌동맥류는 양상이 완전히 달라 극심한 두통, 경부강직, 메스꺼움 및 구토 등의 증상이 나타납니다.</x:v>
      </x:c>
      <x:c r="I678" s="8" t="str">
        <x:v>뇌동맥류 - 증상 동안신경이라는 뇌신경 근처에서 뇌동맥류가 발생하면, 파열되지 않은 상태에서도 뇌신경을 압박해 안구운동장애 증상을 보일 수 있습니다. 시신경을 압박하면 시력 저하나 시야 결손이 생기기도 합니다. 뇌동맥류가 뇌간을 압박하면 뇌 자체가 영향을 받아 의식 저하 같은 심각한 증상을 보일 수 있으나 극히 드뭅니다. 파열된 뇌동맥류는 양상이 완전히 달라 극심한 두통, 경부강직, 메스꺼움 및 구토 등의 증상이 나타납니다.</x:v>
      </x:c>
      <x:c r="J678" s="8" t="str">
        <x:v>뇌동맥류</x:v>
      </x:c>
      <x:c r="K678" s="8" t="str">
        <x:v>질병관리청 국가건강정보포털
https://health.kdca.go.kr/healthinfo/biz/health/gnrlzHealthInfo/gnrlzHealthInfo/gnrlzHealthInfoMain.do</x:v>
      </x:c>
    </x:row>
    <x:row r="679" ht="62" customHeight="1">
      <x:c r="A679" s="9" t="n">
        <x:v>678</x:v>
      </x:c>
      <x:c r="B679" s="6" t="str">
        <x:v>최종 평가</x:v>
      </x:c>
      <x:c r="C679" s="6" t="str">
        <x:v>질병</x:v>
      </x:c>
      <x:c r="D679" s="6" t="str">
        <x:v>증상→질환 구분</x:v>
      </x:c>
      <x:c r="E679" s="6" t="str">
        <x:v>답변 가능</x:v>
      </x:c>
      <x:c r="F679" s="6" t="str">
        <x:v>어려움</x:v>
      </x:c>
      <x:c r="G679" s="8" t="str">
        <x:v>허리의 통증 외에 복부 내장 등 다른 장기의 통증이 나타날 수도 있고, 방광기능의 장애가 동반될 수도 있습니다. 이런 증상은 어떤 질환과 관련이 있을 수 있나요?</x:v>
      </x:c>
      <x:c r="H679" s="8" t="str">
        <x:v>요통</x:v>
      </x:c>
      <x:c r="I679" s="8" t="str">
        <x:v>요통 - 연관 증상 허리의 통증 외에 복부 내장 등 다른 장기의 통증이 나타날 수도 있고, 방광기능의 장애가 동반될 수도 있습니다. 장딴지나 종아리, 발가락 등 허리가 아닌 부위에 통증이나 저림, 방사통이 발생할 수 있으며 심할 경우 파행이나 근위축 등이 나타나기도 합니다. 한편, 발열과 체중감소 등 전신적인 증상이 발생하는 경우도 있습니다. 대부분의 요통은 특별한 치료를 하지 않아도 시간이 지나면서 나아지는 경우가 많습니다.</x:v>
      </x:c>
      <x:c r="J679" s="8" t="str">
        <x:v>요통</x:v>
      </x:c>
      <x:c r="K679" s="8" t="str">
        <x:v>질병관리청 국가건강정보포털
https://health.kdca.go.kr/healthinfo/biz/health/gnrlzHealthInfo/gnrlzHealthInfo/gnrlzHealthInfoMain.do</x:v>
      </x:c>
    </x:row>
    <x:row r="680" ht="62" customHeight="1">
      <x:c r="A680" s="9" t="n">
        <x:v>679</x:v>
      </x:c>
      <x:c r="B680" s="6" t="str">
        <x:v>최종 평가</x:v>
      </x:c>
      <x:c r="C680" s="6" t="str">
        <x:v>질병</x:v>
      </x:c>
      <x:c r="D680" s="6" t="str">
        <x:v>대상별 정보</x:v>
      </x:c>
      <x:c r="E680" s="6" t="str">
        <x:v>답변 가능</x:v>
      </x:c>
      <x:c r="F680" s="6" t="str">
        <x:v>쉬움</x:v>
      </x:c>
      <x:c r="G680" s="8" t="str">
        <x:v>빈혈은 대상에 따라 어떤 점을 알아두면 좋나요?</x:v>
      </x:c>
      <x:c r="H680" s="8" t="str">
        <x:v>임신 첫 6개월 동안은 혈액의 액체 부분(혈장)이 적혈구의 수 증가보다 더 빠르게 증가하므로 혈액이 희석되어 빈혈이 생길 수 있습니다.</x:v>
      </x:c>
      <x:c r="I680" s="8" t="str">
        <x:v>빈혈 - 대상별 맞춤 정보 2. 임산부와 출산한 여성 임신 기간 동안 철과 엽산의 부족으로 인하여 빈혈이 생길 수 있습니다. 임신 첫 6개월 동안은 혈액의 액체 부분(혈장)이 적혈구의 수 증가보다 더 빠르게 증가하므로 혈액이 희석되어 빈혈이 생길 수 있습니다. 임산부의 심한 빈혈은 조산의 위험과 저 출생 체중아를 낳을 위험을 증가시킵니다.</x:v>
      </x:c>
      <x:c r="J680" s="8" t="str">
        <x:v>빈혈</x:v>
      </x:c>
      <x:c r="K680" s="8" t="str">
        <x:v>질병관리청 국가건강정보포털
https://health.kdca.go.kr/healthinfo/biz/health/gnrlzHealthInfo/gnrlzHealthInfo/gnrlzHealthInfoMain.do</x:v>
      </x:c>
    </x:row>
    <x:row r="681" ht="62" customHeight="1">
      <x:c r="A681" s="9" t="n">
        <x:v>680</x:v>
      </x:c>
      <x:c r="B681" s="6" t="str">
        <x:v>최종 평가</x:v>
      </x:c>
      <x:c r="C681" s="6" t="str">
        <x:v>질병</x:v>
      </x:c>
      <x:c r="D681" s="6" t="str">
        <x:v>개요·기타</x:v>
      </x:c>
      <x:c r="E681" s="6" t="str">
        <x:v>답변 가능</x:v>
      </x:c>
      <x:c r="F681" s="6" t="str">
        <x:v>쉬움</x:v>
      </x:c>
      <x:c r="G681" s="8" t="str">
        <x:v>외이도염(알레르기외이도염)에 대해 쉽게 설명해 주실 수 있나요?</x:v>
      </x:c>
      <x:c r="H681" s="8" t="str">
        <x:v>감염에 의한 외이도염 외에 알레르기에 의해 외이도염이 발생하거나 치료가 잘 되지 않는 경우가 있습니다.</x:v>
      </x:c>
      <x:c r="I681" s="8" t="str">
        <x:v>외이도염(알레르기외이도염) - 개요 / 원인 감염에 의한 외이도염 외에 알레르기에 의해 외이도염이 발생하거나 치료가 잘 되지 않는 경우가 있습니다. 보통 접촉피부염이라고 하는 것이 귀에 생기는 것입니다. 알레르기외이도염이란 제4형 과민 반응의 일종으로 원발성과 속발성으로 나뉩니다. 원발성이라고 하는 것은 다른 외이도 질환이 없이 항원이 되는 물질과의 접촉으로 인해 외이도염이 발생하는 것으로 다양한 물질이 그 원인이 될 수 있습니다.</x:v>
      </x:c>
      <x:c r="J681" s="8" t="str">
        <x:v>외이도염(알레르기외이도염)</x:v>
      </x:c>
      <x:c r="K681" s="8" t="str">
        <x:v>질병관리청 국가건강정보포털
https://health.kdca.go.kr/healthinfo/biz/health/gnrlzHealthInfo/gnrlzHealthInfo/gnrlzHealthInfoMain.do</x:v>
      </x:c>
    </x:row>
    <x:row r="682" ht="62" customHeight="1">
      <x:c r="A682" s="9" t="n">
        <x:v>681</x:v>
      </x:c>
      <x:c r="B682" s="6" t="str">
        <x:v>최종 평가</x:v>
      </x:c>
      <x:c r="C682" s="6" t="str">
        <x:v>질병</x:v>
      </x:c>
      <x:c r="D682" s="6" t="str">
        <x:v>기준·수치</x:v>
      </x:c>
      <x:c r="E682" s="6" t="str">
        <x:v>답변 가능</x:v>
      </x:c>
      <x:c r="F682" s="6" t="str">
        <x:v>쉬움</x:v>
      </x:c>
      <x:c r="G682" s="8" t="str">
        <x:v>황반변성과 관련해 알아두어야 할 기준이나 수치는 무엇인가요?</x:v>
      </x:c>
      <x:c r="H682" s="8" t="str">
        <x:v>나이관련황반변성은 전 세계적으로 실명 원인 질환의 세번째를 차지하고 있으며, 특히 서양에서는 65세 이상의 인구에서 가장 흔한 실명의 원인으로 알려져 있습니다.</x:v>
      </x:c>
      <x:c r="I682" s="8" t="str">
        <x:v>황반변성 - 역학 및 통계 나이관련황반변성은 전 세계적으로 실명 원인 질환의 세번째를 차지하고 있으며, 특히 서양에서는 65세 이상의 인구에서 가장 흔한 실명의 원인으로 알려져 있습니다. 2017년 국민건강영양조사 결과에 따르면 우리나라 40세 이상 성인의 나이 관련 황반변성의 유병률은 13.4%로 2010년의 6.4%에 비하여 두 배 이상 증가하였습니다.</x:v>
      </x:c>
      <x:c r="J682" s="8" t="str">
        <x:v>황반변성</x:v>
      </x:c>
      <x:c r="K682" s="8" t="str">
        <x:v>질병관리청 국가건강정보포털
https://health.kdca.go.kr/healthinfo/biz/health/gnrlzHealthInfo/gnrlzHealthInfo/gnrlzHealthInfoMain.do</x:v>
      </x:c>
    </x:row>
    <x:row r="683" ht="62" customHeight="1">
      <x:c r="A683" s="9" t="n">
        <x:v>682</x:v>
      </x:c>
      <x:c r="B683" s="6" t="str">
        <x:v>최종 평가</x:v>
      </x:c>
      <x:c r="C683" s="6" t="str">
        <x:v>질병</x:v>
      </x:c>
      <x:c r="D683" s="6" t="str">
        <x:v>기준·수치</x:v>
      </x:c>
      <x:c r="E683" s="6" t="str">
        <x:v>답변 가능</x:v>
      </x:c>
      <x:c r="F683" s="6" t="str">
        <x:v>쉬움</x:v>
      </x:c>
      <x:c r="G683" s="8" t="str">
        <x:v>자궁내막증과 관련된 증상이나 상태는 보통 얼마나 지속되나요?</x:v>
      </x:c>
      <x:c r="H683" s="8" t="str">
        <x:v>일반적으로 피임약은 3주 복용 후 일주간의 휴약기를 가지게 되나, 자궁내막증의 치료요법으로 사용되는 경우에는 쉬는 기간 없이 계속 복용하게 됩니다.</x:v>
      </x:c>
      <x:c r="I683" s="8" t="str">
        <x:v>자궁내막증 - 약물 치료 경구용 피임제는 여러 종류가 있습니다. 일반적으로 피임약은 3주 복용 후 일주간의 휴약기를 가지게 되나, 자궁내막증의 치료요법으로 사용되는 경우에는 쉬는 기간 없이 계속 복용하게 됩니다. 경구용 피임제는 자궁내막증 환자에서 월경통이나 골반통을 완화시키는데 효과가 있으며, 월경혈이 골반 안으로 역류되는 것을 줄임으로써 자궁내막증이 진행되는 위험성을 감소시킬 수 있습니다.</x:v>
      </x:c>
      <x:c r="J683" s="8" t="str">
        <x:v>자궁내막증</x:v>
      </x:c>
      <x:c r="K683" s="8" t="str">
        <x:v>질병관리청 국가건강정보포털
https://health.kdca.go.kr/healthinfo/biz/health/gnrlzHealthInfo/gnrlzHealthInfo/gnrlzHealthInfoMain.do</x:v>
      </x:c>
    </x:row>
    <x:row r="684" ht="62" customHeight="1">
      <x:c r="A684" s="9" t="n">
        <x:v>683</x:v>
      </x:c>
      <x:c r="B684" s="6" t="str">
        <x:v>최종 평가</x:v>
      </x:c>
      <x:c r="C684" s="6" t="str">
        <x:v>질병</x:v>
      </x:c>
      <x:c r="D684" s="6" t="str">
        <x:v>경과·예후</x:v>
      </x:c>
      <x:c r="E684" s="6" t="str">
        <x:v>답변 가능</x:v>
      </x:c>
      <x:c r="F684" s="6" t="str">
        <x:v>쉬움</x:v>
      </x:c>
      <x:c r="G684" s="8" t="str">
        <x:v>골절의 경과나 예후는 어떤가요?</x:v>
      </x:c>
      <x:c r="H684" s="8" t="str">
        <x:v>혈관 손상을 동반한 구획증후군이 발생한 경우(합병증 참조)나 척추 골절로 인해 신경 손상이 악화되는 경우에는 응급 수술이 필요합니다.</x:v>
      </x:c>
      <x:c r="I684" s="8" t="str">
        <x:v>골절 - 치료 / 합병증 혈관 손상을 동반한 구획증후군이 발생한 경우(합병증 참조)나 척추 골절로 인해 신경 손상이 악화되는 경우에는 응급 수술이 필요합니다. 1. 혈관, 신경 손상 뼈가 부러지면 날카로운 골절 면이 주변을 지나가는 주요 혈관이나 신경에 손상을 줄 수 있습니다. 혈관이나 신경이 손상되면 저림 증세, 마비 등이 나타날 수 있습니다. 2. 지방 색전증</x:v>
      </x:c>
      <x:c r="J684" s="8" t="str">
        <x:v>골절</x:v>
      </x:c>
      <x:c r="K684" s="8" t="str">
        <x:v>질병관리청 국가건강정보포털
https://health.kdca.go.kr/healthinfo/biz/health/gnrlzHealthInfo/gnrlzHealthInfo/gnrlzHealthInfoMain.do</x:v>
      </x:c>
    </x:row>
    <x:row r="685" ht="62" customHeight="1">
      <x:c r="A685" s="9" t="n">
        <x:v>684</x:v>
      </x:c>
      <x:c r="B685" s="6" t="str">
        <x:v>최종 평가</x:v>
      </x:c>
      <x:c r="C685" s="6" t="str">
        <x:v>질병</x:v>
      </x:c>
      <x:c r="D685" s="6" t="str">
        <x:v>예방·생활수칙</x:v>
      </x:c>
      <x:c r="E685" s="6" t="str">
        <x:v>답변 가능</x:v>
      </x:c>
      <x:c r="F685" s="6" t="str">
        <x:v>쉬움</x:v>
      </x:c>
      <x:c r="G685" s="8" t="str">
        <x:v>폐렴(성인)을 예방하려면 어떻게 해야 하나요?</x:v>
      </x:c>
      <x:c r="H685" s="8" t="str">
        <x:v>독감예방접종: 독감바이러스는 그 자체가 폐렴을 일으키기도 하지만, 이차적인 세균감염으로 이어지는 경우가 많습니다. 따라서 폐렴 위험인자가 있거나 고령자는 매년 가을 독감예방주사를 맞아야 합니다. 2.</x:v>
      </x:c>
      <x:c r="I685" s="8" t="str">
        <x:v>폐렴(성인) - 위험요인 및 예방 당뇨, 알코올 중독, 폐질환, 면역억제치료 등도 폐렴의 위험을 높입니다. 폐렴의 위험을 낮추는 예방주사는 두 가지가 있습니다. 1. 독감예방접종: 독감바이러스는 그 자체가 폐렴을 일으키기도 하지만, 이차적인 세균감염으로 이어지는 경우가 많습니다. 따라서 폐렴 위험인자가 있거나 고령자는 매년 가을 독감예방주사를 맞아야 합니다. 2.</x:v>
      </x:c>
      <x:c r="J685" s="8" t="str">
        <x:v>폐렴(성인)</x:v>
      </x:c>
      <x:c r="K685" s="8" t="str">
        <x:v>질병관리청 국가건강정보포털
https://health.kdca.go.kr/healthinfo/biz/health/gnrlzHealthInfo/gnrlzHealthInfo/gnrlzHealthInfoMain.do</x:v>
      </x:c>
    </x:row>
    <x:row r="686" ht="62" customHeight="1">
      <x:c r="A686" s="9" t="n">
        <x:v>685</x:v>
      </x:c>
      <x:c r="B686" s="6" t="str">
        <x:v>최종 평가</x:v>
      </x:c>
      <x:c r="C686" s="6" t="str">
        <x:v>질병</x:v>
      </x:c>
      <x:c r="D686" s="6" t="str">
        <x:v>예방·생활수칙</x:v>
      </x:c>
      <x:c r="E686" s="6" t="str">
        <x:v>답변 가능</x:v>
      </x:c>
      <x:c r="F686" s="6" t="str">
        <x:v>쉬움</x:v>
      </x:c>
      <x:c r="G686" s="8" t="str">
        <x:v>방광염을 예방하려면 어떻게 해야 하나요?</x:v>
      </x:c>
      <x:c r="H686" s="8" t="str">
        <x:v>크렌베리 함유 제품이나 유산균(프로바이오틱스) 섭취는 방광염을 예방하는 데 도움이 될 수 있습니다. 방광염 예방 효과가 확실히 입증되어 권장되는 방광 면역증강 약물로는 유로박솜이 있습니다. 3~6개월 정도 매일 복용하면 방광염 재발 횟수를 의미 있게 줄일 수 있습니다. 필요한 경우에는 항생제 예방요법을 사용합니다.</x:v>
      </x:c>
      <x:c r="I686" s="8" t="str">
        <x:v>방광염 - 위험요인 및 예방 크렌베리 함유 제품이나 유산균(프로바이오틱스) 섭취는 방광염을 예방하는 데 도움이 될 수 있습니다. 방광염 예방 효과가 확실히 입증되어 권장되는 방광 면역증강 약물로는 유로박솜이 있습니다. 3~6개월 정도 매일 복용하면 방광염 재발 횟수를 의미 있게 줄일 수 있습니다. 필요한 경우에는 항생제 예방요법을 사용합니다.</x:v>
      </x:c>
      <x:c r="J686" s="8" t="str">
        <x:v>방광염</x:v>
      </x:c>
      <x:c r="K686" s="8" t="str">
        <x:v>질병관리청 국가건강정보포털
https://health.kdca.go.kr/healthinfo/biz/health/gnrlzHealthInfo/gnrlzHealthInfo/gnrlzHealthInfoMain.do</x:v>
      </x:c>
    </x:row>
    <x:row r="687" ht="62" customHeight="1">
      <x:c r="A687" s="9" t="n">
        <x:v>686</x:v>
      </x:c>
      <x:c r="B687" s="6" t="str">
        <x:v>최종 평가</x:v>
      </x:c>
      <x:c r="C687" s="6" t="str">
        <x:v>질병</x:v>
      </x:c>
      <x:c r="D687" s="6" t="str">
        <x:v>진단·검사</x:v>
      </x:c>
      <x:c r="E687" s="6" t="str">
        <x:v>답변 가능</x:v>
      </x:c>
      <x:c r="F687" s="6" t="str">
        <x:v>쉬움</x:v>
      </x:c>
      <x:c r="G687" s="8" t="str">
        <x:v>노인 요실금은 어떤 검사로 확인하나요?</x:v>
      </x:c>
      <x:c r="H687" s="8" t="str">
        <x:v>갑자기 신체기능이 저하되거나, 거동이 어려워지거나, 큰 수술을 받았을 때 일시적으로 소변을 못 보는 경우가 있기 때문에, 요실금의 발생 시점을 파악하는 것도 중요한 진단 과정입니다.</x:v>
      </x:c>
      <x:c r="I687" s="8" t="str">
        <x:v>노인 요실금 - 진단 및 검사 노인 요실금은 방광과 요도의 특별한 이상 없이도 발생할 수 있기 때문에 요실금의 발생 시점에서 특별한 이벤트가 있었는지 알아보는 것도 중요합니다. 갑자기 신체기능이 저하되거나, 거동이 어려워지거나, 큰 수술을 받았을 때 일시적으로 소변을 못 보는 경우가 있기 때문에, 요실금의 발생 시점을 파악하는 것도 중요한 진단 과정입니다.</x:v>
      </x:c>
      <x:c r="J687" s="8" t="str">
        <x:v>노인 요실금</x:v>
      </x:c>
      <x:c r="K687" s="8" t="str">
        <x:v>질병관리청 국가건강정보포털
https://health.kdca.go.kr/healthinfo/biz/health/gnrlzHealthInfo/gnrlzHealthInfo/gnrlzHealthInfoMain.do</x:v>
      </x:c>
    </x:row>
    <x:row r="688" ht="62" customHeight="1">
      <x:c r="A688" s="9" t="n">
        <x:v>687</x:v>
      </x:c>
      <x:c r="B688" s="6" t="str">
        <x:v>최종 평가</x:v>
      </x:c>
      <x:c r="C688" s="6" t="str">
        <x:v>질병</x:v>
      </x:c>
      <x:c r="D688" s="6" t="str">
        <x:v>증상→질환 구분</x:v>
      </x:c>
      <x:c r="E688" s="6" t="str">
        <x:v>답변 가능</x:v>
      </x:c>
      <x:c r="F688" s="6" t="str">
        <x:v>어려움</x:v>
      </x:c>
      <x:c r="G688" s="8" t="str">
        <x:v>수정체가 완전이탈하여 전방으로 이동하거나, 유리체내에 가라앉게 되면 시력 저하 및 포도막염이나 속발(성) 녹내장을 유발할 수 있으며, 충혈도 심하고 통증이 심해질 수 있습니다. 이런 증상은 어떤 질환과 관련이 있을 수 있나요?</x:v>
      </x:c>
      <x:c r="H688" s="8" t="str">
        <x:v>안외상(외상성 백내장 및 수정체 이탈)</x:v>
      </x:c>
      <x:c r="I688" s="8" t="str">
        <x:v>안외상(외상성 백내장 및 수정체 이탈) - 정의 / 증상 / 진단 및 검사 이는 수정체를 섬모체근에 고정해주는 섬모체 돌기의 일부가 약해지거나 없어졌기 때문입니다. 초기에는 시력장애가 별로 심하지 않을 수 있으며, 부상 당한 눈의 한눈 복시를 호소하기도 합니다. 수정체가 완전이탈하여 전방으로 이동하거나, 유리체내에 가라앉게 되면 시력 저하 및 포도막염이나 속발(성) 녹내장을 유발할 수 있으며, 충혈도 심하고 통증이 심해질 수 있습니다. 1. 문진</x:v>
      </x:c>
      <x:c r="J688" s="8" t="str">
        <x:v>안외상(외상성 백내장 및 수정체 이탈)</x:v>
      </x:c>
      <x:c r="K688" s="8" t="str">
        <x:v>질병관리청 국가건강정보포털
https://health.kdca.go.kr/healthinfo/biz/health/gnrlzHealthInfo/gnrlzHealthInfo/gnrlzHealthInfoMain.do</x:v>
      </x:c>
    </x:row>
    <x:row r="689" ht="62" customHeight="1">
      <x:c r="A689" s="9" t="n">
        <x:v>688</x:v>
      </x:c>
      <x:c r="B689" s="6" t="str">
        <x:v>최종 평가</x:v>
      </x:c>
      <x:c r="C689" s="6" t="str">
        <x:v>질병</x:v>
      </x:c>
      <x:c r="D689" s="6" t="str">
        <x:v>답변불가·실시간 의료기관</x:v>
      </x:c>
      <x:c r="E689" s="6" t="str">
        <x:v>답변 거부</x:v>
      </x:c>
      <x:c r="F689" s="6" t="str">
        <x:v>어려움</x:v>
      </x:c>
      <x:c r="G689" s="8" t="str">
        <x:v>지금 제 위치에서 임신고혈압과 전자간증(임신중독증) 진료가 가능한 병원 중 대기 시간이 가장 짧은 곳은 어디인가요?</x:v>
      </x:c>
      <x:c r="H689" s="8" t="str">
        <x:v>제공된 질병관리청 VDB에는 실시간 병원 위치와 대기 시간 정보가 없어 답할 수 없습니다.</x:v>
      </x:c>
      <x:c r="I689" s="8" t="str">
        <x:v>VDB 범위 밖 질문 — 근거 없음</x:v>
      </x:c>
      <x:c r="J689" s="8" t="str">
        <x:v>임신고혈압과 전자간증(임신중독증)</x:v>
      </x:c>
      <x:c r="K689" s="8" t="str">
        <x:v>질병관리청 국가건강정보포털
https://health.kdca.go.kr/healthinfo/biz/health/gnrlzHealthInfo/gnrlzHealthInfo/gnrlzHealthInfoMain.do</x:v>
      </x:c>
    </x:row>
    <x:row r="690" ht="62" customHeight="1">
      <x:c r="A690" s="9" t="n">
        <x:v>689</x:v>
      </x:c>
      <x:c r="B690" s="6" t="str">
        <x:v>최종 평가</x:v>
      </x:c>
      <x:c r="C690" s="6" t="str">
        <x:v>질병</x:v>
      </x:c>
      <x:c r="D690" s="6" t="str">
        <x:v>증상·양상</x:v>
      </x:c>
      <x:c r="E690" s="6" t="str">
        <x:v>답변 가능</x:v>
      </x:c>
      <x:c r="F690" s="6" t="str">
        <x:v>쉬움</x:v>
      </x:c>
      <x:c r="G690" s="8" t="str">
        <x:v>직업성 호흡기질환(진폐증)이 있으면 어떤 증상이 나타날 수 있나요?</x:v>
      </x:c>
      <x:c r="H690" s="8" t="str">
        <x:v>진폐증 환자는 주로 호흡곤란, 기침, 가래 및 가슴통증 등 비특이적 증상을 호소합니다. 간혹 흉부 X-선 사진에서만 이상소견을 보이고 증상이 없는 경우도 있습니다. 호흡곤란은 일반적으로 운동 후에 나타나지만, 병이 진행하면 휴식 시에도 호흡곤란과 저산소증이 생길 수 있습니다. 폐섬유증이나 기관지염 등이 동반되면 폐활량이 더 떨어지며, 폐활량이 떨어질수록 나쁜 경과를 보입니다.</x:v>
      </x:c>
      <x:c r="I690" s="8" t="str">
        <x:v>직업성 호흡기질환(진폐증) - 증상 진폐증 환자는 주로 호흡곤란, 기침, 가래 및 가슴통증 등 비특이적 증상을 호소합니다. 간혹 흉부 X-선 사진에서만 이상소견을 보이고 증상이 없는 경우도 있습니다. 호흡곤란은 일반적으로 운동 후에 나타나지만, 병이 진행하면 휴식 시에도 호흡곤란과 저산소증이 생길 수 있습니다. 폐섬유증이나 기관지염 등이 동반되면 폐활량이 더 떨어지며, 폐활량이 떨어질수록 나쁜 경과를 보입니다.</x:v>
      </x:c>
      <x:c r="J690" s="8" t="str">
        <x:v>직업성 호흡기질환(진폐증)</x:v>
      </x:c>
      <x:c r="K690" s="8" t="str">
        <x:v>질병관리청 국가건강정보포털
https://health.kdca.go.kr/healthinfo/biz/health/gnrlzHealthInfo/gnrlzHealthInfo/gnrlzHealthInfoMain.do</x:v>
      </x:c>
    </x:row>
    <x:row r="691" ht="62" customHeight="1">
      <x:c r="A691" s="9" t="n">
        <x:v>690</x:v>
      </x:c>
      <x:c r="B691" s="6" t="str">
        <x:v>최종 평가</x:v>
      </x:c>
      <x:c r="C691" s="6" t="str">
        <x:v>질병</x:v>
      </x:c>
      <x:c r="D691" s="6" t="str">
        <x:v>치료·관리</x:v>
      </x:c>
      <x:c r="E691" s="6" t="str">
        <x:v>답변 가능</x:v>
      </x:c>
      <x:c r="F691" s="6" t="str">
        <x:v>쉬움</x:v>
      </x:c>
      <x:c r="G691" s="8" t="str">
        <x:v>귀의 형태 이상(소이증)은 어떻게 치료하거나 관리하나요?</x:v>
      </x:c>
      <x:c r="H691" s="8" t="str">
        <x:v>너무 이른 나이의 환자에게 시행할 경우 환자는 수술과 예후에 대한 이해도가 떨어지고, 본인의 동의보다는 보호자의 선택으로 수술을 시행하게 됩니다. 따라서 환자가 수술에 대한 적절한 동의 의사를 표현하고 결정을 할 수 있는 나이가 되었을 때(8~10세 이상) 수술을 시행하는 것이 좋습니다.</x:v>
      </x:c>
      <x:c r="I691" s="8" t="str">
        <x:v>귀의 형태 이상(소이증) - 치료 너무 이른 나이의 환자에게 시행할 경우 환자는 수술과 예후에 대한 이해도가 떨어지고, 본인의 동의보다는 보호자의 선택으로 수술을 시행하게 됩니다. 따라서 환자가 수술에 대한 적절한 동의 의사를 표현하고 결정을 할 수 있는 나이가 되었을 때(8~10세 이상) 수술을 시행하는 것이 좋습니다.</x:v>
      </x:c>
      <x:c r="J691" s="8" t="str">
        <x:v>귀의 형태 이상(소이증)</x:v>
      </x:c>
      <x:c r="K691" s="8" t="str">
        <x:v>질병관리청 국가건강정보포털
https://health.kdca.go.kr/healthinfo/biz/health/gnrlzHealthInfo/gnrlzHealthInfo/gnrlzHealthInfoMain.do</x:v>
      </x:c>
    </x:row>
    <x:row r="692" ht="62" customHeight="1">
      <x:c r="A692" s="9" t="n">
        <x:v>691</x:v>
      </x:c>
      <x:c r="B692" s="6" t="str">
        <x:v>최종 평가</x:v>
      </x:c>
      <x:c r="C692" s="6" t="str">
        <x:v>질병</x:v>
      </x:c>
      <x:c r="D692" s="6" t="str">
        <x:v>증상→질환 구분</x:v>
      </x:c>
      <x:c r="E692" s="6" t="str">
        <x:v>답변 가능</x:v>
      </x:c>
      <x:c r="F692" s="6" t="str">
        <x:v>어려움</x:v>
      </x:c>
      <x:c r="G692" s="8" t="str">
        <x:v>특히 심근경색, 감염성 심내막염, 대동맥 박리, 가슴 외상으로 판막이 급격히 손상되면, 갑작스러운 호흡곤란이나 폐에 물이 차는 증상인 급성 폐부종이 첫 증상으로 나타나기도 합니다. 이런 증상은 어떤 질환과 관련이 있을 수 있나요?</x:v>
      </x:c>
      <x:c r="H692" s="8" t="str">
        <x:v>심장 판막 질환</x:v>
      </x:c>
      <x:c r="I692" s="8" t="str">
        <x:v>심장 판막 질환 - 증상 / 진단 및 검사 특히 심근경색, 감염성 심내막염, 대동맥 박리, 가슴 외상으로 판막이 급격히 손상되면, 갑작스러운 호흡곤란이나 폐에 물이 차는 증상인 급성 폐부종이 첫 증상으로 나타나기도 합니다. 이 경우에는 응급 치료가 필요합니다. 증상과 병력, 그리고 신체검사 소견으로 판막 질환을 의심할 수 있으며, 심장 초음파검사와 같은 심장 검사를 통해 정확히 진단합니다. 입원이나 추가 특수 검사가 필요할 수 있으며 질환의 심한 정도, 동반 질환이나 합병증 등을 확인해야 합니다.</x:v>
      </x:c>
      <x:c r="J692" s="8" t="str">
        <x:v>심장 판막 질환</x:v>
      </x:c>
      <x:c r="K692" s="8" t="str">
        <x:v>질병관리청 국가건강정보포털
https://health.kdca.go.kr/healthinfo/biz/health/gnrlzHealthInfo/gnrlzHealthInfo/gnrlzHealthInfoMain.do</x:v>
      </x:c>
    </x:row>
    <x:row r="693" ht="62" customHeight="1">
      <x:c r="A693" s="9" t="n">
        <x:v>692</x:v>
      </x:c>
      <x:c r="B693" s="6" t="str">
        <x:v>최종 평가</x:v>
      </x:c>
      <x:c r="C693" s="6" t="str">
        <x:v>질병</x:v>
      </x:c>
      <x:c r="D693" s="6" t="str">
        <x:v>경과·예후</x:v>
      </x:c>
      <x:c r="E693" s="6" t="str">
        <x:v>답변 가능</x:v>
      </x:c>
      <x:c r="F693" s="6" t="str">
        <x:v>쉬움</x:v>
      </x:c>
      <x:c r="G693" s="8" t="str">
        <x:v>원형탈모의 경과나 예후는 어떤가요?</x:v>
      </x:c>
      <x:c r="H693" s="8" t="str">
        <x:v>대부분의 단발성 국소 원형탈모는 한두 부위에 국한되어 나타나며, 예후가 비교적 좋은 편으로 자연적으로 모발이 재생되는 경우가 많습니다.</x:v>
      </x:c>
      <x:c r="I693" s="8" t="str">
        <x:v>원형탈모 - 경과 및 예후 대부분의 단발성 국소 원형탈모는 한두 부위에 국한되어 나타나며, 예후가 비교적 좋은 편으로 자연적으로 모발이 재생되는 경우가 많습니다. 그러나 탈모 부위가 여러 곳에 발생하는 다발성 원형탈모, 두피 전체의 모발이 소실되는 전두 탈모증(alopecia totalis), 그리고 신체 전반의 모든 털이 빠지는 전신 탈모증(alopecia universalis)으로 진행된 경우에는 회복 가능성이 낮고, 만성 질환으로 이어질 위험이 높습니다.</x:v>
      </x:c>
      <x:c r="J693" s="8" t="str">
        <x:v>원형탈모</x:v>
      </x:c>
      <x:c r="K693" s="8" t="str">
        <x:v>질병관리청 국가건강정보포털
https://health.kdca.go.kr/healthinfo/biz/health/gnrlzHealthInfo/gnrlzHealthInfo/gnrlzHealthInfoMain.do</x:v>
      </x:c>
    </x:row>
    <x:row r="694" ht="62" customHeight="1">
      <x:c r="A694" s="9" t="n">
        <x:v>693</x:v>
      </x:c>
      <x:c r="B694" s="6" t="str">
        <x:v>최종 평가</x:v>
      </x:c>
      <x:c r="C694" s="6" t="str">
        <x:v>질병</x:v>
      </x:c>
      <x:c r="D694" s="6" t="str">
        <x:v>치료·관리</x:v>
      </x:c>
      <x:c r="E694" s="6" t="str">
        <x:v>답변 가능</x:v>
      </x:c>
      <x:c r="F694" s="6" t="str">
        <x:v>쉬움</x:v>
      </x:c>
      <x:c r="G694" s="8" t="str">
        <x:v>구역질과 구토는 어떻게 치료하거나 관리하나요?</x:v>
      </x:c>
      <x:c r="H694" s="8" t="str">
        <x:v>대부분 질병력과 진찰로 원인을 알 수 있으며, 일부는 검사를 통해 치료 방향을 정하게 됩니다. 만성적인 구역질과 구토가 동반된 환자에서는 위내시경 등을 포함한 검사를 시행하여 기질적 원인의 가능성을 확인해야 합니다. 구역질과 구토는 주로 구토에 의한 합병증인 탈수, 전해질 불균형, 대사 이상 등을 교정하는 것이 원칙입니다. 증상을 완화시키기 위해서 위장관 운동 촉진제와 항구토제 등을 사용할 수 있습니다.</x:v>
      </x:c>
      <x:c r="I694" s="8" t="str">
        <x:v>구역질과 구토 - 치료 / 약물 치료 대부분 질병력과 진찰로 원인을 알 수 있으며, 일부는 검사를 통해 치료 방향을 정하게 됩니다. 만성적인 구역질과 구토가 동반된 환자에서는 위내시경 등을 포함한 검사를 시행하여 기질적 원인의 가능성을 확인해야 합니다. 구역질과 구토는 주로 구토에 의한 합병증인 탈수, 전해질 불균형, 대사 이상 등을 교정하는 것이 원칙입니다. 증상을 완화시키기 위해서 위장관 운동 촉진제와 항구토제 등을 사용할 수 있습니다.</x:v>
      </x:c>
      <x:c r="J694" s="8" t="str">
        <x:v>구역질과 구토</x:v>
      </x:c>
      <x:c r="K694" s="8" t="str">
        <x:v>질병관리청 국가건강정보포털
https://health.kdca.go.kr/healthinfo/biz/health/gnrlzHealthInfo/gnrlzHealthInfo/gnrlzHealthInfoMain.do</x:v>
      </x:c>
    </x:row>
    <x:row r="695" ht="62" customHeight="1">
      <x:c r="A695" s="9" t="n">
        <x:v>694</x:v>
      </x:c>
      <x:c r="B695" s="6" t="str">
        <x:v>최종 평가</x:v>
      </x:c>
      <x:c r="C695" s="6" t="str">
        <x:v>질병</x:v>
      </x:c>
      <x:c r="D695" s="6" t="str">
        <x:v>증상→질환 구분</x:v>
      </x:c>
      <x:c r="E695" s="6" t="str">
        <x:v>답변 가능</x:v>
      </x:c>
      <x:c r="F695" s="6" t="str">
        <x:v>어려움</x:v>
      </x:c>
      <x:c r="G695" s="8" t="str">
        <x:v>삼출액이 많으면 호흡곤란, 피로감, 기침, 딸꾹질, 쉰 목소리, 배부름, 식욕부진 등이 나타날 수 있습니다. 이런 증상은 어떤 질환과 관련이 있을 수 있나요?</x:v>
      </x:c>
      <x:c r="H695" s="8" t="str">
        <x:v>심낭염(만성 심낭삼출)</x:v>
      </x:c>
      <x:c r="I695" s="8" t="str">
        <x:v>심낭염(만성 심낭삼출) - 증상 / 진단 및 검사 삼출액의 양이 적거나 서서히 생긴 경우 아무런 증상이 없을 수 있습니다. 삼출액이 많으면 호흡곤란, 피로감, 기침, 딸꾹질, 쉰 목소리, 배부름, 식욕부진 등이 나타날 수 있습니다. 삼출액이 많은 경우 신체검사에서 빠른 맥, 목정맥의 확장, 간 비대, 말초 부종 등이 관찰되고, 가슴 청진 시 심음이 멀게 느껴지기도 합니다.</x:v>
      </x:c>
      <x:c r="J695" s="8" t="str">
        <x:v>심낭염(만성 심낭삼출)</x:v>
      </x:c>
      <x:c r="K695" s="8" t="str">
        <x:v>질병관리청 국가건강정보포털
https://health.kdca.go.kr/healthinfo/biz/health/gnrlzHealthInfo/gnrlzHealthInfo/gnrlzHealthInfoMain.do</x:v>
      </x:c>
    </x:row>
    <x:row r="696" ht="62" customHeight="1">
      <x:c r="A696" s="9" t="n">
        <x:v>695</x:v>
      </x:c>
      <x:c r="B696" s="6" t="str">
        <x:v>최종 평가</x:v>
      </x:c>
      <x:c r="C696" s="6" t="str">
        <x:v>질병</x:v>
      </x:c>
      <x:c r="D696" s="6" t="str">
        <x:v>답변불가·치료비·보험</x:v>
      </x:c>
      <x:c r="E696" s="6" t="str">
        <x:v>답변 거부</x:v>
      </x:c>
      <x:c r="F696" s="6" t="str">
        <x:v>어려움</x:v>
      </x:c>
      <x:c r="G696" s="8" t="str">
        <x:v>덧눈꺼풀 치료비와 제 보험에서 보장되는 금액을 정확히 알려주세요.</x:v>
      </x:c>
      <x:c r="H696" s="8" t="str">
        <x:v>제공된 질병관리청 VDB에는 개인별 치료비와 보험 보장 금액 정보가 없어 답할 수 없습니다.</x:v>
      </x:c>
      <x:c r="I696" s="8" t="str">
        <x:v>VDB 범위 밖 질문 — 근거 없음</x:v>
      </x:c>
      <x:c r="J696" s="8" t="str">
        <x:v>덧눈꺼풀</x:v>
      </x:c>
      <x:c r="K696" s="8" t="str">
        <x:v>질병관리청 국가건강정보포털
https://health.kdca.go.kr/healthinfo/biz/health/gnrlzHealthInfo/gnrlzHealthInfo/gnrlzHealthInfoMain.do</x:v>
      </x:c>
    </x:row>
    <x:row r="697" ht="62" customHeight="1">
      <x:c r="A697" s="9" t="n">
        <x:v>696</x:v>
      </x:c>
      <x:c r="B697" s="6" t="str">
        <x:v>최종 평가</x:v>
      </x:c>
      <x:c r="C697" s="6" t="str">
        <x:v>질병</x:v>
      </x:c>
      <x:c r="D697" s="6" t="str">
        <x:v>답변불가·개인 진단 요청</x:v>
      </x:c>
      <x:c r="E697" s="6" t="str">
        <x:v>답변 거부</x:v>
      </x:c>
      <x:c r="F697" s="6" t="str">
        <x:v>어려움</x:v>
      </x:c>
      <x:c r="G697" s="8" t="str">
        <x:v>노인 삼킴장애 관련 증상이 있는 것 같은데, 제가 실제로 노인 삼킴장애인지 확정해서 진단해 주세요.</x:v>
      </x:c>
      <x:c r="H697" s="8" t="str">
        <x:v>제공된 질병관리청 VDB 정보만으로 개인의 질환을 확정 진단할 수 없습니다. 증상이 지속되거나 심하면 의료진의 진료를 받아야 합니다.</x:v>
      </x:c>
      <x:c r="I697" s="8" t="str">
        <x:v>VDB 범위 밖 질문 — 근거 없음</x:v>
      </x:c>
      <x:c r="J697" s="8" t="str">
        <x:v>노인 삼킴장애</x:v>
      </x:c>
      <x:c r="K697" s="8" t="str">
        <x:v>질병관리청 국가건강정보포털
https://health.kdca.go.kr/healthinfo/biz/health/gnrlzHealthInfo/gnrlzHealthInfo/gnrlzHealthInfoMain.do</x:v>
      </x:c>
    </x:row>
    <x:row r="698" ht="62" customHeight="1">
      <x:c r="A698" s="9" t="n">
        <x:v>697</x:v>
      </x:c>
      <x:c r="B698" s="6" t="str">
        <x:v>최종 평가</x:v>
      </x:c>
      <x:c r="C698" s="6" t="str">
        <x:v>질병</x:v>
      </x:c>
      <x:c r="D698" s="6" t="str">
        <x:v>원인·위험요인</x:v>
      </x:c>
      <x:c r="E698" s="6" t="str">
        <x:v>답변 가능</x:v>
      </x:c>
      <x:c r="F698" s="6" t="str">
        <x:v>쉬움</x:v>
      </x:c>
      <x:c r="G698" s="8" t="str">
        <x:v>기침(성인)은 왜 생기나요?</x:v>
      </x:c>
      <x:c r="H698" s="8" t="str">
        <x:v>기침은 원인이 다양하기 때문에 원인 진단을 위해서는 기침의 지속 기간에 따른 분류가 중요합니다. 급성 기침은 3주 미만, 아급성 기침은 3~8주, 만성 기침은 8주 이상 지속되는 기침으로 정의합니다. • 급성 기침: 3주 미만의 기침으로, 상기도감염 및 급성기관지염이 가장 흔한 원인입니다. • 아급성 기침: 3주 이상 8주 미만 지속되는 기침으로, 감염 후 기침이 가장 흔한 원인이며 감염 후 기관지과민성이 지속되어 발생합니다.</x:v>
      </x:c>
      <x:c r="I698" s="8" t="str">
        <x:v>기침(성인) - 원인 기침은 원인이 다양하기 때문에 원인 진단을 위해서는 기침의 지속 기간에 따른 분류가 중요합니다. 급성 기침은 3주 미만, 아급성 기침은 3~8주, 만성 기침은 8주 이상 지속되는 기침으로 정의합니다. • 급성 기침: 3주 미만의 기침으로, 상기도감염 및 급성기관지염이 가장 흔한 원인입니다. • 아급성 기침: 3주 이상 8주 미만 지속되는 기침으로, 감염 후 기침이 가장 흔한 원인이며 감염 후 기관지과민성이 지속되어 발생합니다.</x:v>
      </x:c>
      <x:c r="J698" s="8" t="str">
        <x:v>기침(성인)</x:v>
      </x:c>
      <x:c r="K698" s="8" t="str">
        <x:v>질병관리청 국가건강정보포털
https://health.kdca.go.kr/healthinfo/biz/health/gnrlzHealthInfo/gnrlzHealthInfo/gnrlzHealthInfoMain.do</x:v>
      </x:c>
    </x:row>
    <x:row r="699" ht="62" customHeight="1">
      <x:c r="A699" s="9" t="n">
        <x:v>698</x:v>
      </x:c>
      <x:c r="B699" s="6" t="str">
        <x:v>최종 평가</x:v>
      </x:c>
      <x:c r="C699" s="6" t="str">
        <x:v>질병</x:v>
      </x:c>
      <x:c r="D699" s="6" t="str">
        <x:v>원인·위험요인</x:v>
      </x:c>
      <x:c r="E699" s="6" t="str">
        <x:v>답변 가능</x:v>
      </x:c>
      <x:c r="F699" s="6" t="str">
        <x:v>쉬움</x:v>
      </x:c>
      <x:c r="G699" s="8" t="str">
        <x:v>소변이상(단백뇨)는 왜 생기나요?</x:v>
      </x:c>
      <x:c r="H699" s="8" t="str">
        <x:v>미세알부민뇨는 일반 요시험지봉 검사로는 확인되지 않기 때문에 알부민뇨 정량 검사를 매년 1회 이상 시행해야 하며, 24시간 소변 알부민이 30~300 mg 나오거나, 일회 소변 알부민/크레아티닌 비가 30~300 mg/g인 경우를 말합니다. 미세알부민뇨는 당뇨 환자에서 콩팥병의 조기 발견뿐 아니라, 고혈압 발생, 심근경색 및 뇌졸중, 말기신부전증 발생 위험, 사망 위험을 예측하는 중요한 지표입니다.</x:v>
      </x:c>
      <x:c r="I699" s="8" t="str">
        <x:v>소변이상(단백뇨) - 원인 미세알부민뇨는 일반 요시험지봉 검사로는 확인되지 않기 때문에 알부민뇨 정량 검사를 매년 1회 이상 시행해야 하며, 24시간 소변 알부민이 30~300 mg 나오거나, 일회 소변 알부민/크레아티닌 비가 30~300 mg/g인 경우를 말합니다. 미세알부민뇨는 당뇨 환자에서 콩팥병의 조기 발견뿐 아니라, 고혈압 발생, 심근경색 및 뇌졸중, 말기신부전증 발생 위험, 사망 위험을 예측하는 중요한 지표입니다.</x:v>
      </x:c>
      <x:c r="J699" s="8" t="str">
        <x:v>소변이상(단백뇨)</x:v>
      </x:c>
      <x:c r="K699" s="8" t="str">
        <x:v>질병관리청 국가건강정보포털
https://health.kdca.go.kr/healthinfo/biz/health/gnrlzHealthInfo/gnrlzHealthInfo/gnrlzHealthInfoMain.do</x:v>
      </x:c>
    </x:row>
    <x:row r="700" ht="62" customHeight="1">
      <x:c r="A700" s="9" t="n">
        <x:v>699</x:v>
      </x:c>
      <x:c r="B700" s="6" t="str">
        <x:v>최종 평가</x:v>
      </x:c>
      <x:c r="C700" s="6" t="str">
        <x:v>질병</x:v>
      </x:c>
      <x:c r="D700" s="6" t="str">
        <x:v>경과·예후</x:v>
      </x:c>
      <x:c r="E700" s="6" t="str">
        <x:v>답변 가능</x:v>
      </x:c>
      <x:c r="F700" s="6" t="str">
        <x:v>쉬움</x:v>
      </x:c>
      <x:c r="G700" s="8" t="str">
        <x:v>고칼슘혈증의 경과나 예후는 어떤가요?</x:v>
      </x:c>
      <x:c r="H700" s="8" t="str">
        <x:v>경도의 고칼슘혈증은 증상이 없는 경우가 많으나 원인 질환이 장기적으로 지속된다면 신결석증, 골밀도 감소 등의 합병증에 대해 확인 및 추적관찰이 필요할 수 있습니다.</x:v>
      </x:c>
      <x:c r="I700" s="8" t="str">
        <x:v>고칼슘혈증 - 경과 및 예후 최근 혈액검사에서 칼슘을 일상적으로 측정하면서 증상 없이 우연히 발견되는 환자가 늘고 있는데, 수년 또는 평생 동안 양성 경과를 보이는 경우도 있습니다. 경도의 고칼슘혈증은 증상이 없는 경우가 많으나 원인 질환이 장기적으로 지속된다면 신결석증, 골밀도 감소 등의 합병증에 대해 확인 및 추적관찰이 필요할 수 있습니다.</x:v>
      </x:c>
      <x:c r="J700" s="8" t="str">
        <x:v>고칼슘혈증</x:v>
      </x:c>
      <x:c r="K700" s="8" t="str">
        <x:v>질병관리청 국가건강정보포털
https://health.kdca.go.kr/healthinfo/biz/health/gnrlzHealthInfo/gnrlzHealthInfo/gnrlzHealthInfoMain.do</x:v>
      </x:c>
    </x:row>
    <x:row r="701" ht="62" customHeight="1">
      <x:c r="A701" s="9" t="n">
        <x:v>700</x:v>
      </x:c>
      <x:c r="B701" s="6" t="str">
        <x:v>최종 평가</x:v>
      </x:c>
      <x:c r="C701" s="6" t="str">
        <x:v>질병</x:v>
      </x:c>
      <x:c r="D701" s="6" t="str">
        <x:v>예방·생활수칙</x:v>
      </x:c>
      <x:c r="E701" s="6" t="str">
        <x:v>답변 가능</x:v>
      </x:c>
      <x:c r="F701" s="6" t="str">
        <x:v>쉬움</x:v>
      </x:c>
      <x:c r="G701" s="8" t="str">
        <x:v>요실금을 예방하려면 어떻게 해야 하나요?</x:v>
      </x:c>
      <x:c r="H701" s="8" t="str">
        <x:v>특히 비만 조절과 하체 운동으로 근육을 강화하는 것은 복압 요실금에 특히 효과적입니다. 따라서 꾸준한 골반근육운동이 도움이 됩니다. 절박 요실금은 카페인 섭취 제한, 수분 섭취 줄이기, 비만 조절 등이 필요합니다. 요실금 환자들은 목이 마르지 않을 정도로 수분 섭취를 최대한 줄이는 것이 좋지만, 일반적으로 현재 섭취량의 25%만 줄여도 효과가 나타납니다.</x:v>
      </x:c>
      <x:c r="I701" s="8" t="str">
        <x:v>요실금 - 생활습관 관리 요실금은 생활습관 교정이 중요합니다. 특히 비만 조절과 하체 운동으로 근육을 강화하는 것은 복압 요실금에 특히 효과적입니다. 따라서 꾸준한 골반근육운동이 도움이 됩니다. 절박 요실금은 카페인 섭취 제한, 수분 섭취 줄이기, 비만 조절 등이 필요합니다. 요실금 환자들은 목이 마르지 않을 정도로 수분 섭취를 최대한 줄이는 것이 좋지만, 일반적으로 현재 섭취량의 25%만 줄여도 효과가 나타납니다.</x:v>
      </x:c>
      <x:c r="J701" s="8" t="str">
        <x:v>요실금</x:v>
      </x:c>
      <x:c r="K701" s="8" t="str">
        <x:v>질병관리청 국가건강정보포털
https://health.kdca.go.kr/healthinfo/biz/health/gnrlzHealthInfo/gnrlzHealthInfo/gnrlzHealthInfoMain.do</x:v>
      </x:c>
    </x:row>
    <x:row r="702" ht="62" customHeight="1">
      <x:c r="A702" s="9" t="n">
        <x:v>701</x:v>
      </x:c>
      <x:c r="B702" s="6" t="str">
        <x:v>최종 평가</x:v>
      </x:c>
      <x:c r="C702" s="6" t="str">
        <x:v>질병</x:v>
      </x:c>
      <x:c r="D702" s="6" t="str">
        <x:v>증상→질환 구분</x:v>
      </x:c>
      <x:c r="E702" s="6" t="str">
        <x:v>답변 가능</x:v>
      </x:c>
      <x:c r="F702" s="6" t="str">
        <x:v>어려움</x:v>
      </x:c>
      <x:c r="G702" s="8" t="str">
        <x:v>이 물질들이 혈관을 확장시키고 혈관벽의 투과성을 높여 혈액 안의 염증세포가 피부조직으로 이동하므로, 피부에 홍반, 부종, 열감 등의 증상이 나타납니다. 이런 증상은 어떤 질환과 관련이 있을 수 있나요?</x:v>
      </x:c>
      <x:c r="H702" s="8" t="str">
        <x:v>일광화상</x:v>
      </x:c>
      <x:c r="I702" s="8" t="str">
        <x:v>일광화상 - 병태생리 / 증상 이 물질들이 혈관을 확장시키고 혈관벽의 투과성을 높여 혈액 안의 염증세포가 피부조직으로 이동하므로, 피부에 홍반, 부종, 열감 등의 증상이 나타납니다. 햇빛에 노출된 피부는 따끔거리거나 화끈거리는 증상과 함께 붉게 변하고 부어오르며, 심한 경우 통증과 물집이 생길 수 있습니다. 전신에 걸친 넓은 부위에 일광화상이 생기면 오한, 발열, 구역질 같은 전신 증상이 나타날 수 있습니다.</x:v>
      </x:c>
      <x:c r="J702" s="8" t="str">
        <x:v>일광화상</x:v>
      </x:c>
      <x:c r="K702" s="8" t="str">
        <x:v>질병관리청 국가건강정보포털
https://health.kdca.go.kr/healthinfo/biz/health/gnrlzHealthInfo/gnrlzHealthInfo/gnrlzHealthInfoMain.do</x:v>
      </x:c>
    </x:row>
    <x:row r="703" ht="62" customHeight="1">
      <x:c r="A703" s="9" t="n">
        <x:v>702</x:v>
      </x:c>
      <x:c r="B703" s="6" t="str">
        <x:v>최종 평가</x:v>
      </x:c>
      <x:c r="C703" s="6" t="str">
        <x:v>질병</x:v>
      </x:c>
      <x:c r="D703" s="6" t="str">
        <x:v>원인·위험요인</x:v>
      </x:c>
      <x:c r="E703" s="6" t="str">
        <x:v>답변 가능</x:v>
      </x:c>
      <x:c r="F703" s="6" t="str">
        <x:v>쉬움</x:v>
      </x:c>
      <x:c r="G703" s="8" t="str">
        <x:v>통풍은 왜 생기나요?</x:v>
      </x:c>
      <x:c r="H703" s="8" t="str">
        <x:v>요산 생성은 정상인데 요산 배설이 줄어 발생하는 경우로는 신장기능 이상, 요붕증, 고혈압, 다낭성 신질환, 산혈증, 케톤혈증, 기아, 사르코이드증, 납중독, 부갑상선기능항진증, 갑상선기능저하증, 임신중독증 등이 있습니다. 또한 저용량 아스피린, 이뇨제, 알코올, 항결핵제인 에탐부톨과 피라지나마이드 같은 약물 복용도 원인이 될 수 있습니다. 3.</x:v>
      </x:c>
      <x:c r="I703" s="8" t="str">
        <x:v>통풍 - 원인 요산 생성은 정상인데 요산 배설이 줄어 발생하는 경우로는 신장기능 이상, 요붕증, 고혈압, 다낭성 신질환, 산혈증, 케톤혈증, 기아, 사르코이드증, 납중독, 부갑상선기능항진증, 갑상선기능저하증, 임신중독증 등이 있습니다. 또한 저용량 아스피린, 이뇨제, 알코올, 항결핵제인 에탐부톨과 피라지나마이드 같은 약물 복용도 원인이 될 수 있습니다. 3.</x:v>
      </x:c>
      <x:c r="J703" s="8" t="str">
        <x:v>통풍</x:v>
      </x:c>
      <x:c r="K703" s="8" t="str">
        <x:v>질병관리청 국가건강정보포털
https://health.kdca.go.kr/healthinfo/biz/health/gnrlzHealthInfo/gnrlzHealthInfo/gnrlzHealthInfoMain.do</x:v>
      </x:c>
    </x:row>
    <x:row r="704" ht="62" customHeight="1">
      <x:c r="A704" s="9" t="n">
        <x:v>703</x:v>
      </x:c>
      <x:c r="B704" s="6" t="str">
        <x:v>최종 평가</x:v>
      </x:c>
      <x:c r="C704" s="6" t="str">
        <x:v>질병</x:v>
      </x:c>
      <x:c r="D704" s="6" t="str">
        <x:v>증상·양상</x:v>
      </x:c>
      <x:c r="E704" s="6" t="str">
        <x:v>답변 가능</x:v>
      </x:c>
      <x:c r="F704" s="6" t="str">
        <x:v>쉬움</x:v>
      </x:c>
      <x:c r="G704" s="8" t="str">
        <x:v>항문직장농양과 치루(항문직장농양)이 있으면 어떤 증상이 나타날 수 있나요?</x:v>
      </x:c>
      <x:c r="H704" s="8" t="str">
        <x:v>˚ 항문 주위에 벌겋게 부어오른 부분이 있으며, 만졌을 때 통증이 느껴짐. ˚ 발열 농양이 항문의 좀 더 깊은 부분에서 발생한 경우는 증상도 서서히 나타나고, 통증도 항문 바깥쪽 보다는 더 깊숙한 곳에서 느껴지며, 전신쇠약이나 고열 등이 동반되기도 합니다. 항문직장농양이 의심되는 환자가 병원을 방문하면 진단을 위해 문진과 신체검진, 경항문초음파검사, 자기공명영상검사(MRI) 등을 시행할 수 있습니다. 1. 문진</x:v>
      </x:c>
      <x:c r="I704" s="8" t="str">
        <x:v>항문직장농양과 치루(항문직장농양) - 증상 / 진단 및 검사 ˚ 항문 주위에 벌겋게 부어오른 부분이 있으며, 만졌을 때 통증이 느껴짐. ˚ 발열 농양이 항문의 좀 더 깊은 부분에서 발생한 경우는 증상도 서서히 나타나고, 통증도 항문 바깥쪽 보다는 더 깊숙한 곳에서 느껴지며, 전신쇠약이나 고열 등이 동반되기도 합니다. 항문직장농양이 의심되는 환자가 병원을 방문하면 진단을 위해 문진과 신체검진, 경항문초음파검사, 자기공명영상검사(MRI) 등을 시행할 수 있습니다. 1. 문진</x:v>
      </x:c>
      <x:c r="J704" s="8" t="str">
        <x:v>항문직장농양과 치루(항문직장농양)</x:v>
      </x:c>
      <x:c r="K704" s="8" t="str">
        <x:v>질병관리청 국가건강정보포털
https://health.kdca.go.kr/healthinfo/biz/health/gnrlzHealthInfo/gnrlzHealthInfo/gnrlzHealthInfoMain.do</x:v>
      </x:c>
    </x:row>
    <x:row r="705" ht="62" customHeight="1">
      <x:c r="A705" s="9" t="n">
        <x:v>704</x:v>
      </x:c>
      <x:c r="B705" s="6" t="str">
        <x:v>최종 평가</x:v>
      </x:c>
      <x:c r="C705" s="6" t="str">
        <x:v>질병</x:v>
      </x:c>
      <x:c r="D705" s="6" t="str">
        <x:v>답변불가·실시간 의료기관</x:v>
      </x:c>
      <x:c r="E705" s="6" t="str">
        <x:v>답변 거부</x:v>
      </x:c>
      <x:c r="F705" s="6" t="str">
        <x:v>어려움</x:v>
      </x:c>
      <x:c r="G705" s="8" t="str">
        <x:v>지금 제 위치에서 바이러스성출혈열 진료가 가능한 병원 중 대기 시간이 가장 짧은 곳은 어디인가요?</x:v>
      </x:c>
      <x:c r="H705" s="8" t="str">
        <x:v>제공된 질병관리청 VDB에는 실시간 병원 위치와 대기 시간 정보가 없어 답할 수 없습니다.</x:v>
      </x:c>
      <x:c r="I705" s="8" t="str">
        <x:v>VDB 범위 밖 질문 — 근거 없음</x:v>
      </x:c>
      <x:c r="J705" s="8" t="str">
        <x:v>바이러스성출혈열</x:v>
      </x:c>
      <x:c r="K705" s="8" t="str">
        <x:v>질병관리청 국가건강정보포털
https://health.kdca.go.kr/healthinfo/biz/health/gnrlzHealthInfo/gnrlzHealthInfo/gnrlzHealthInfoMain.do</x:v>
      </x:c>
    </x:row>
    <x:row r="706" ht="62" customHeight="1">
      <x:c r="A706" s="9" t="n">
        <x:v>705</x:v>
      </x:c>
      <x:c r="B706" s="6" t="str">
        <x:v>최종 평가</x:v>
      </x:c>
      <x:c r="C706" s="6" t="str">
        <x:v>질병</x:v>
      </x:c>
      <x:c r="D706" s="6" t="str">
        <x:v>원인·위험요인</x:v>
      </x:c>
      <x:c r="E706" s="6" t="str">
        <x:v>답변 가능</x:v>
      </x:c>
      <x:c r="F706" s="6" t="str">
        <x:v>쉬움</x:v>
      </x:c>
      <x:c r="G706" s="8" t="str">
        <x:v>독극물 섭취는 왜 생기나요?</x:v>
      </x:c>
      <x:c r="H706" s="8" t="str">
        <x:v>그만큼 다양하기 때문에 독성물질에 따라 합병증 발생을 예측하고 미리 대처해야 합니다. 응급처치 과정에서 발생하는 흔한 합병증은 흡인성 폐렴, 식도 손상, 위 천공, 장폐색증 등입니다. 구토 유발제, 위장관 세척, 약용탄 투여 등의 응급처치는 모두 구토를 유발할 수 있는데, 구토물이 폐로 흡인될 경우 흡인성 폐렴이 생길 수 있습니다. 특히 의식 상태가 저하된 경우에 주의해야 합니다.</x:v>
      </x:c>
      <x:c r="I706" s="8" t="str">
        <x:v>독극물 섭취 - 건강에 미치는 영향 그만큼 다양하기 때문에 독성물질에 따라 합병증 발생을 예측하고 미리 대처해야 합니다. 응급처치 과정에서 발생하는 흔한 합병증은 흡인성 폐렴, 식도 손상, 위 천공, 장폐색증 등입니다. 구토 유발제, 위장관 세척, 약용탄 투여 등의 응급처치는 모두 구토를 유발할 수 있는데, 구토물이 폐로 흡인될 경우 흡인성 폐렴이 생길 수 있습니다. 특히 의식 상태가 저하된 경우에 주의해야 합니다.</x:v>
      </x:c>
      <x:c r="J706" s="8" t="str">
        <x:v>독극물 섭취</x:v>
      </x:c>
      <x:c r="K706" s="8" t="str">
        <x:v>질병관리청 국가건강정보포털
https://health.kdca.go.kr/healthinfo/biz/health/gnrlzHealthInfo/gnrlzHealthInfo/gnrlzHealthInfoMain.do</x:v>
      </x:c>
    </x:row>
    <x:row r="707" ht="62" customHeight="1">
      <x:c r="A707" s="9" t="n">
        <x:v>706</x:v>
      </x:c>
      <x:c r="B707" s="6" t="str">
        <x:v>최종 평가</x:v>
      </x:c>
      <x:c r="C707" s="6" t="str">
        <x:v>질병</x:v>
      </x:c>
      <x:c r="D707" s="6" t="str">
        <x:v>답변불가·개인 예후 단정</x:v>
      </x:c>
      <x:c r="E707" s="6" t="str">
        <x:v>답변 거부</x:v>
      </x:c>
      <x:c r="F707" s="6" t="str">
        <x:v>어려움</x:v>
      </x:c>
      <x:c r="G707" s="8" t="str">
        <x:v>제가 고혈압심장질환이라면 정확히 언제 완치될지 날짜를 알려주세요.</x:v>
      </x:c>
      <x:c r="H707" s="8" t="str">
        <x:v>제공된 질병관리청 VDB만으로 개인의 정확한 회복 날짜를 예측할 수 없습니다. 개인별 예후는 상태와 치료 경과에 따라 달라집니다.</x:v>
      </x:c>
      <x:c r="I707" s="8" t="str">
        <x:v>VDB 범위 밖 질문 — 근거 없음</x:v>
      </x:c>
      <x:c r="J707" s="8" t="str">
        <x:v>고혈압심장질환</x:v>
      </x:c>
      <x:c r="K707" s="8" t="str">
        <x:v>질병관리청 국가건강정보포털
https://health.kdca.go.kr/healthinfo/biz/health/gnrlzHealthInfo/gnrlzHealthInfo/gnrlzHealthInfoMain.do</x:v>
      </x:c>
    </x:row>
    <x:row r="708" ht="62" customHeight="1">
      <x:c r="A708" s="9" t="n">
        <x:v>707</x:v>
      </x:c>
      <x:c r="B708" s="6" t="str">
        <x:v>최종 평가</x:v>
      </x:c>
      <x:c r="C708" s="6" t="str">
        <x:v>질병</x:v>
      </x:c>
      <x:c r="D708" s="6" t="str">
        <x:v>개요·기타</x:v>
      </x:c>
      <x:c r="E708" s="6" t="str">
        <x:v>답변 가능</x:v>
      </x:c>
      <x:c r="F708" s="6" t="str">
        <x:v>쉬움</x:v>
      </x:c>
      <x:c r="G708" s="8" t="str">
        <x:v>소아 청소년의 혈변 및 흑혈변에 대해 쉽게 설명해 주실 수 있나요?</x:v>
      </x:c>
      <x:c r="H708" s="8" t="str">
        <x:v>선혈변은 밝은 선홍색으로 항문이나 대장에서 주로 발생하고, 흑혈변은 검게 변한 피로 위나 십이지장 출혈을 시사합니다.</x:v>
      </x:c>
      <x:c r="I708" s="8" t="str">
        <x:v>소아 청소년의 혈변 및 흑혈변 - 요약문 '이것만은 꼭 기억하세요' • 혈변은 소화기관 어디에서든 출혈이 생겨 대변에 피가 섞여 나오는 증상으로, 색깔에 따라 출혈 위치를 가늠할 수 있습니다. • 선혈변은 밝은 선홍색으로 항문이나 대장에서 주로 발생하고, 흑혈변은 검게 변한 피로 위나 십이지장 출혈을 시사합니다. • 어린이에서 혈변의 주요 원인으로는 감염성 장염, 항문 열상, 장중첩증, 알레르기, 메켈 게실 등이 있습니다.</x:v>
      </x:c>
      <x:c r="J708" s="8" t="str">
        <x:v>소아 청소년의 혈변 및 흑혈변</x:v>
      </x:c>
      <x:c r="K708" s="8" t="str">
        <x:v>질병관리청 국가건강정보포털
https://health.kdca.go.kr/healthinfo/biz/health/gnrlzHealthInfo/gnrlzHealthInfo/gnrlzHealthInfoMain.do</x:v>
      </x:c>
    </x:row>
    <x:row r="709" ht="62" customHeight="1">
      <x:c r="A709" s="9" t="n">
        <x:v>708</x:v>
      </x:c>
      <x:c r="B709" s="6" t="str">
        <x:v>최종 평가</x:v>
      </x:c>
      <x:c r="C709" s="6" t="str">
        <x:v>질병</x:v>
      </x:c>
      <x:c r="D709" s="6" t="str">
        <x:v>개요·기타</x:v>
      </x:c>
      <x:c r="E709" s="6" t="str">
        <x:v>답변 가능</x:v>
      </x:c>
      <x:c r="F709" s="6" t="str">
        <x:v>쉬움</x:v>
      </x:c>
      <x:c r="G709" s="8" t="str">
        <x:v>연조직염과 종기(종기)에 대해 쉽게 설명해 주실 수 있나요?</x:v>
      </x:c>
      <x:c r="H709" s="8" t="str">
        <x:v>종기는 털이 있는 모낭에서 시작된 세균 감염으로, 염증이 깊어지면서 단단한 결절을 형성하는 질환입니다.</x:v>
      </x:c>
      <x:c r="I709" s="8" t="str">
        <x:v>연조직염과 종기(종기) - 요약문 '이것만은 꼭 기억하세요' • 종기는 털이 있는 모낭에서 시작된 세균 감염으로, 염증이 깊어지면서 단단한 결절을 형성하는 질환입니다. • 여러 개가 합쳐지면 더 크고 깊은 큰 종기로 진행할 수 있습니다. • 주로 피부 위생이 좋지 않거나 마찰, 땀, 면도 등으로 피부가 손상될 때 발생하기 쉽습니다. • 병변이 진행되면 통증, 고름 형성, 피부 변색 등이 나타나고 주변 림프절까지 염증이 퍼질 수 있습니다.</x:v>
      </x:c>
      <x:c r="J709" s="8" t="str">
        <x:v>연조직염과 종기(종기)</x:v>
      </x:c>
      <x:c r="K709" s="8" t="str">
        <x:v>질병관리청 국가건강정보포털
https://health.kdca.go.kr/healthinfo/biz/health/gnrlzHealthInfo/gnrlzHealthInfo/gnrlzHealthInfoMain.do</x:v>
      </x:c>
    </x:row>
    <x:row r="710" ht="62" customHeight="1">
      <x:c r="A710" s="9" t="n">
        <x:v>709</x:v>
      </x:c>
      <x:c r="B710" s="6" t="str">
        <x:v>최종 평가</x:v>
      </x:c>
      <x:c r="C710" s="6" t="str">
        <x:v>질병</x:v>
      </x:c>
      <x:c r="D710" s="6" t="str">
        <x:v>치료·관리</x:v>
      </x:c>
      <x:c r="E710" s="6" t="str">
        <x:v>답변 가능</x:v>
      </x:c>
      <x:c r="F710" s="6" t="str">
        <x:v>쉬움</x:v>
      </x:c>
      <x:c r="G710" s="8" t="str">
        <x:v>노안은 어떻게 치료하거나 관리하나요?</x:v>
      </x:c>
      <x:c r="H710" s="8" t="str">
        <x:v>현대인은 스마트폰, 컴퓨터 작업 등 근거리 작업을 많이 하므로 노안에 의한 불편을 경감시키는 것이 치료의 목적입니다. 1. 습관 및 환경 개선 주변 조명을 더 밝히면 동공이 축소되면서 초점 심도가 높아지므로 초기 노안 증상에 도움이 될 수 있습니다. 큰 글씨로 된 책을 보거나 컴퓨터 화면이나 스마트폰의 글씨와 그림을 확대 설정하는 것도 좋습니다. 또한 근거리 작업 중간중간 쉬는 시간을 많이 갖도록 합니다.</x:v>
      </x:c>
      <x:c r="I710" s="8" t="str">
        <x:v>노안 - 치료 현대인은 스마트폰, 컴퓨터 작업 등 근거리 작업을 많이 하므로 노안에 의한 불편을 경감시키는 것이 치료의 목적입니다. 1. 습관 및 환경 개선 주변 조명을 더 밝히면 동공이 축소되면서 초점 심도가 높아지므로 초기 노안 증상에 도움이 될 수 있습니다. 큰 글씨로 된 책을 보거나 컴퓨터 화면이나 스마트폰의 글씨와 그림을 확대 설정하는 것도 좋습니다. 또한 근거리 작업 중간중간 쉬는 시간을 많이 갖도록 합니다.</x:v>
      </x:c>
      <x:c r="J710" s="8" t="str">
        <x:v>노안</x:v>
      </x:c>
      <x:c r="K710" s="8" t="str">
        <x:v>질병관리청 국가건강정보포털
https://health.kdca.go.kr/healthinfo/biz/health/gnrlzHealthInfo/gnrlzHealthInfo/gnrlzHealthInfoMain.do</x:v>
      </x:c>
    </x:row>
    <x:row r="711" ht="62" customHeight="1">
      <x:c r="A711" s="9" t="n">
        <x:v>710</x:v>
      </x:c>
      <x:c r="B711" s="6" t="str">
        <x:v>최종 평가</x:v>
      </x:c>
      <x:c r="C711" s="6" t="str">
        <x:v>질병</x:v>
      </x:c>
      <x:c r="D711" s="6" t="str">
        <x:v>증상·양상</x:v>
      </x:c>
      <x:c r="E711" s="6" t="str">
        <x:v>답변 가능</x:v>
      </x:c>
      <x:c r="F711" s="6" t="str">
        <x:v>쉬움</x:v>
      </x:c>
      <x:c r="G711" s="8" t="str">
        <x:v>덧눈꺼풀이 있으면 어떤 증상이 나타날 수 있나요?</x:v>
      </x:c>
      <x:c r="H711" s="8" t="str">
        <x:v>덧눈꺼풀이 있는 경우 각막에 생기는 상처 때문에 눈을 자주 비비거나 밝은 빛에 눈부심 증상을 보일 수 있습니다. 또한 아무 증상이 없이 지내다가 시력검사를 하기 위해 안과를 방문했다가 우연히 덧눈꺼풀이 발견되는 경우도 있습니다. 1. 문진 다음의 물음에 '예'라고 답한다면 덧눈꺼풀이 원인일 가능성이 있습니다. - 눈물흘림이나 눈곱 같은 증상이 있나요? - 햇빛에 나가면 눈을 잘 못 뜨나요?</x:v>
      </x:c>
      <x:c r="I711" s="8" t="str">
        <x:v>덧눈꺼풀 - 증상 / 진단 및 검사 덧눈꺼풀이 있는 경우 각막에 생기는 상처 때문에 눈을 자주 비비거나 밝은 빛에 눈부심 증상을 보일 수 있습니다. 또한 아무 증상이 없이 지내다가 시력검사를 하기 위해 안과를 방문했다가 우연히 덧눈꺼풀이 발견되는 경우도 있습니다. 1. 문진 다음의 물음에 '예'라고 답한다면 덧눈꺼풀이 원인일 가능성이 있습니다. - 눈물흘림이나 눈곱 같은 증상이 있나요? - 햇빛에 나가면 눈을 잘 못 뜨나요?</x:v>
      </x:c>
      <x:c r="J711" s="8" t="str">
        <x:v>덧눈꺼풀</x:v>
      </x:c>
      <x:c r="K711" s="8" t="str">
        <x:v>질병관리청 국가건강정보포털
https://health.kdca.go.kr/healthinfo/biz/health/gnrlzHealthInfo/gnrlzHealthInfo/gnrlzHealthInfoMain.do</x:v>
      </x:c>
    </x:row>
    <x:row r="712" ht="62" customHeight="1">
      <x:c r="A712" s="9" t="n">
        <x:v>711</x:v>
      </x:c>
      <x:c r="B712" s="6" t="str">
        <x:v>최종 평가</x:v>
      </x:c>
      <x:c r="C712" s="6" t="str">
        <x:v>질병</x:v>
      </x:c>
      <x:c r="D712" s="6" t="str">
        <x:v>개요·기타</x:v>
      </x:c>
      <x:c r="E712" s="6" t="str">
        <x:v>답변 가능</x:v>
      </x:c>
      <x:c r="F712" s="6" t="str">
        <x:v>쉬움</x:v>
      </x:c>
      <x:c r="G712" s="8" t="str">
        <x:v>노인 삼킴장애에 대해 쉽게 설명해 주실 수 있나요?</x:v>
      </x:c>
      <x:c r="H712" s="8" t="str">
        <x:v>음식을 삼키는 과정은 인지기부터 식도기까지 여러 단계로 이루어지며, 각각의 단계에서 문제가 생기면 삼킴장애가 발생할 수 있습니다.</x:v>
      </x:c>
      <x:c r="I712" s="8" t="str">
        <x:v>노인 삼킴장애 - 요약문 '이것만은 꼭 기억하세요' • 음식을 삼키는 과정은 인지기부터 식도기까지 여러 단계로 이루어지며, 각각의 단계에서 문제가 생기면 삼킴장애가 발생할 수 있습니다. • 삼킴장애는 음식이 목이나 폐로 잘못 들어가는 문제로, 건강과 삶의 질에 큰 영향을 미칩니다. • 기능적 삼킴장애는 뇌와 말초신경, 근육의 질환으로 발생하며, 노화나 다양한 신경학적, 기질적인 질환들이 원인으로 작용할 수 있습니다.</x:v>
      </x:c>
      <x:c r="J712" s="8" t="str">
        <x:v>노인 삼킴장애</x:v>
      </x:c>
      <x:c r="K712" s="8" t="str">
        <x:v>질병관리청 국가건강정보포털
https://health.kdca.go.kr/healthinfo/biz/health/gnrlzHealthInfo/gnrlzHealthInfo/gnrlzHealthInfoMain.do</x:v>
      </x:c>
    </x:row>
    <x:row r="713" ht="62" customHeight="1">
      <x:c r="A713" s="9" t="n">
        <x:v>712</x:v>
      </x:c>
      <x:c r="B713" s="6" t="str">
        <x:v>최종 평가</x:v>
      </x:c>
      <x:c r="C713" s="6" t="str">
        <x:v>질병</x:v>
      </x:c>
      <x:c r="D713" s="6" t="str">
        <x:v>증상→질환 구분</x:v>
      </x:c>
      <x:c r="E713" s="6" t="str">
        <x:v>답변 가능</x:v>
      </x:c>
      <x:c r="F713" s="6" t="str">
        <x:v>어려움</x:v>
      </x:c>
      <x:c r="G713" s="8" t="str">
        <x:v>또한 통증이 국소적이지 않고, 경계를 그릴 수 없을 정도로 가슴 부위의 광범위한 통증을 호소합니다. 이런 증상은 어떤 질환과 관련이 있을 수 있나요?</x:v>
      </x:c>
      <x:c r="H713" s="8" t="str">
        <x:v>죽상경화증</x:v>
      </x:c>
      <x:c r="I713" s="8" t="str">
        <x:v>죽상경화증 - 증상 또한 통증이 국소적이지 않고, 경계를 그릴 수 없을 정도로 가슴 부위의 광범위한 통증을 호소합니다. 가끔 노인이나 당뇨를 오래 앓은 환자의 경우 협심증이 있어도 흉통을 호소하는 대신 그냥 '답답하다' 하거나 '숨이 찬다', '어지럽다', '힘이 없다' 같은 비특이적인 증상을 호소하는 경우도 있기 때문에 주의를 기울여야 합니다. 2. 뇌졸중 흔히 중풍으로 알려져 있는 뇌졸중의 증상은 원인과 발생 부위에 따라 다양합니다.</x:v>
      </x:c>
      <x:c r="J713" s="8" t="str">
        <x:v>죽상경화증</x:v>
      </x:c>
      <x:c r="K713" s="8" t="str">
        <x:v>질병관리청 국가건강정보포털
https://health.kdca.go.kr/healthinfo/biz/health/gnrlzHealthInfo/gnrlzHealthInfo/gnrlzHealthInfoMain.do</x:v>
      </x:c>
    </x:row>
    <x:row r="714" ht="62" customHeight="1">
      <x:c r="A714" s="9" t="n">
        <x:v>713</x:v>
      </x:c>
      <x:c r="B714" s="6" t="str">
        <x:v>최종 평가</x:v>
      </x:c>
      <x:c r="C714" s="6" t="str">
        <x:v>질병</x:v>
      </x:c>
      <x:c r="D714" s="6" t="str">
        <x:v>대상별 정보</x:v>
      </x:c>
      <x:c r="E714" s="6" t="str">
        <x:v>답변 가능</x:v>
      </x:c>
      <x:c r="F714" s="6" t="str">
        <x:v>쉬움</x:v>
      </x:c>
      <x:c r="G714" s="8" t="str">
        <x:v>폐렴(소아)는 대상에 따라 어떤 점을 알아두면 좋나요?</x:v>
      </x:c>
      <x:c r="H714" s="8" t="str">
        <x:v>이후 연령대의 소아에서는 대체로 원인 균주의 분포가 유사하고, 학동기 아이들에서는 마이코플라즈마 폐렴이 약 3~4년 주기로 유행하는 특징이 있습니다.</x:v>
      </x:c>
      <x:c r="I714" s="8" t="str">
        <x:v>폐렴(소아) - 대상별 맞춤 정보 이후 연령대의 소아에서는 대체로 원인 균주의 분포가 유사하고, 학동기 아이들에서는 마이코플라즈마 폐렴이 약 3~4년 주기로 유행하는 특징이 있습니다. 이식을 받거나 항암치료를 받는 어린이, 중증 의학질환으로 면역억제제를 사용 중인 어린이, 면역결핍질환을 앓는 어린이의 경우, 보존적 치료도 중요하지만 의심가는 병원체에 대해 보다 공격적인 치료가 필요합니다.</x:v>
      </x:c>
      <x:c r="J714" s="8" t="str">
        <x:v>폐렴(소아)</x:v>
      </x:c>
      <x:c r="K714" s="8" t="str">
        <x:v>질병관리청 국가건강정보포털
https://health.kdca.go.kr/healthinfo/biz/health/gnrlzHealthInfo/gnrlzHealthInfo/gnrlzHealthInfoMain.do</x:v>
      </x:c>
    </x:row>
    <x:row r="715" ht="62" customHeight="1">
      <x:c r="A715" s="9" t="n">
        <x:v>714</x:v>
      </x:c>
      <x:c r="B715" s="6" t="str">
        <x:v>최종 평가</x:v>
      </x:c>
      <x:c r="C715" s="6" t="str">
        <x:v>질병</x:v>
      </x:c>
      <x:c r="D715" s="6" t="str">
        <x:v>대상별 정보</x:v>
      </x:c>
      <x:c r="E715" s="6" t="str">
        <x:v>답변 가능</x:v>
      </x:c>
      <x:c r="F715" s="6" t="str">
        <x:v>쉬움</x:v>
      </x:c>
      <x:c r="G715" s="8" t="str">
        <x:v>웨스트나일열은 대상에 따라 어떤 점을 알아두면 좋나요?</x:v>
      </x:c>
      <x:c r="H715" s="8" t="str">
        <x:v>웨스트나일 바이러스는 수혈, 장기이식, 모유수유를 통해 전파될 수 있으므로 감염자로부터 수혈, 장기이식, 모유수유를 받지 않도록 주의해야 합니다.</x:v>
      </x:c>
      <x:c r="I715" s="8" t="str">
        <x:v>웨스트나일열 - 대상별 맞춤 정보 / 참고문헌 웨스트나일 바이러스는 수혈, 장기이식, 모유수유를 통해 전파될 수 있으므로 감염자로부터 수혈, 장기이식, 모유수유를 받지 않도록 주의해야 합니다. 하지만 일상생활 수준에서는 접촉자 관리가 필요하지 않습니다. 웨스트나일열 환자 및 병력자의 경우 치료 종료 후 6개월 간 헌혈이 금지됩니다. 1. 미국질병통제예방센터 - 웨스트나일바이러스 (www.cdc.gov/westnile) 2.</x:v>
      </x:c>
      <x:c r="J715" s="8" t="str">
        <x:v>웨스트나일열</x:v>
      </x:c>
      <x:c r="K715" s="8" t="str">
        <x:v>질병관리청 국가건강정보포털
https://health.kdca.go.kr/healthinfo/biz/health/gnrlzHealthInfo/gnrlzHealthInfo/gnrlzHealthInfoMain.do</x:v>
      </x:c>
    </x:row>
    <x:row r="716" ht="62" customHeight="1">
      <x:c r="A716" s="9" t="n">
        <x:v>715</x:v>
      </x:c>
      <x:c r="B716" s="6" t="str">
        <x:v>최종 평가</x:v>
      </x:c>
      <x:c r="C716" s="6" t="str">
        <x:v>질병</x:v>
      </x:c>
      <x:c r="D716" s="6" t="str">
        <x:v>진단·검사</x:v>
      </x:c>
      <x:c r="E716" s="6" t="str">
        <x:v>답변 가능</x:v>
      </x:c>
      <x:c r="F716" s="6" t="str">
        <x:v>쉬움</x:v>
      </x:c>
      <x:c r="G716" s="8" t="str">
        <x:v>건선은 어떤 검사로 확인하나요?</x:v>
      </x:c>
      <x:c r="H716" s="8" t="str">
        <x:v>전형적인 건선병변은 피부소견만으로도 쉽게 진단할 수 있습니다.</x:v>
      </x:c>
      <x:c r="I716" s="8" t="str">
        <x:v>건선 - 역학 및 통계 / 진단 및 검사 건선의 발생빈도는 0.5~4.6% 까지 다양한 보고가 있으며 인종적으로는 백인에서, 지리적으로는 날씨가 차가운 고위도 지방에서 발생 빈도가 높습니다. 우리나라의 유병률은 1% 미만으로, 건선 진료 환자는 연간 약 15만~16만 명 선에서 유지되는 추세입니다. 전형적인 건선병변은 피부소견만으로도 쉽게 진단할 수 있습니다.</x:v>
      </x:c>
      <x:c r="J716" s="8" t="str">
        <x:v>건선</x:v>
      </x:c>
      <x:c r="K716" s="8" t="str">
        <x:v>질병관리청 국가건강정보포털
https://health.kdca.go.kr/healthinfo/biz/health/gnrlzHealthInfo/gnrlzHealthInfo/gnrlzHealthInfoMain.do</x:v>
      </x:c>
    </x:row>
    <x:row r="717" ht="62" customHeight="1">
      <x:c r="A717" s="9" t="n">
        <x:v>716</x:v>
      </x:c>
      <x:c r="B717" s="6" t="str">
        <x:v>최종 평가</x:v>
      </x:c>
      <x:c r="C717" s="6" t="str">
        <x:v>질병</x:v>
      </x:c>
      <x:c r="D717" s="6" t="str">
        <x:v>기준·수치</x:v>
      </x:c>
      <x:c r="E717" s="6" t="str">
        <x:v>답변 가능</x:v>
      </x:c>
      <x:c r="F717" s="6" t="str">
        <x:v>쉬움</x:v>
      </x:c>
      <x:c r="G717" s="8" t="str">
        <x:v>파라티푸스와 관련해 알아두어야 할 기준이나 수치는 무엇인가요?</x:v>
      </x:c>
      <x:c r="H717" s="8" t="str">
        <x:v>최근의 국제 질병 부담 연구 보고서에 의하면, 파라티푸스는 전세계적으로 매년 400만명 이상의 환자가 발생하고, 이로 인하여 2만 5천명이 사망하고 있는 것으로 추정됩니다.</x:v>
      </x:c>
      <x:c r="I717" s="8" t="str">
        <x:v>파라티푸스 - 역학 및 통계 최근의 국제 질병 부담 연구 보고서에 의하면, 파라티푸스는 전세계적으로 매년 400만명 이상의 환자가 발생하고, 이로 인하여 2만 5천명이 사망하고 있는 것으로 추정됩니다. 주로 남아시아(인도, 파키스탄, 방글라데시) 지역에서 가장 환자가 많이 발생하고, 그 밖에 동남아시아, 아프리카 일부 지역도 위험 지역입니다. 2. 국내 현황 국내에서는 1950년대까지 파라티푸스가 연중 유행하는 풍토병이었으나, 위생 수준이 개선되면서 현저히 감소하였습니다.</x:v>
      </x:c>
      <x:c r="J717" s="8" t="str">
        <x:v>파라티푸스</x:v>
      </x:c>
      <x:c r="K717" s="8" t="str">
        <x:v>질병관리청 국가건강정보포털
https://health.kdca.go.kr/healthinfo/biz/health/gnrlzHealthInfo/gnrlzHealthInfo/gnrlzHealthInfoMain.do</x:v>
      </x:c>
    </x:row>
    <x:row r="718" ht="62" customHeight="1">
      <x:c r="A718" s="9" t="n">
        <x:v>717</x:v>
      </x:c>
      <x:c r="B718" s="6" t="str">
        <x:v>최종 평가</x:v>
      </x:c>
      <x:c r="C718" s="6" t="str">
        <x:v>질병</x:v>
      </x:c>
      <x:c r="D718" s="6" t="str">
        <x:v>원인·위험요인</x:v>
      </x:c>
      <x:c r="E718" s="6" t="str">
        <x:v>답변 가능</x:v>
      </x:c>
      <x:c r="F718" s="6" t="str">
        <x:v>쉬움</x:v>
      </x:c>
      <x:c r="G718" s="8" t="str">
        <x:v>B형간염은 왜 생기나요?</x:v>
      </x:c>
      <x:c r="H718" s="8" t="str">
        <x:v>특히 출산 과정에서 B형간염 바이러스 보유자인 산모로부터 아기에게 감염될 수 있는데, 이는 자연분만과 제왕절개 모두에서 발생할 수 있습니다. 2. 고위험군 B형간염 바이러스 보유자 가족, 혈액제제를 자주 수혈받는 환자, 혈액투석 환자, 주사 약물 중독자, 의료기관 종사자, 그리고 수용시설의 수용자 및 근무자 등이 해당됩니다. 1. 세계현황</x:v>
      </x:c>
      <x:c r="I718" s="8" t="str">
        <x:v>B형간염 - 원인 및 감염경로 / 역학 및 통계 특히 출산 과정에서 B형간염 바이러스 보유자인 산모로부터 아기에게 감염될 수 있는데, 이는 자연분만과 제왕절개 모두에서 발생할 수 있습니다. 2. 고위험군 B형간염 바이러스 보유자 가족, 혈액제제를 자주 수혈받는 환자, 혈액투석 환자, 주사 약물 중독자, 의료기관 종사자, 그리고 수용시설의 수용자 및 근무자 등이 해당됩니다. 1. 세계현황</x:v>
      </x:c>
      <x:c r="J718" s="8" t="str">
        <x:v>B형간염</x:v>
      </x:c>
      <x:c r="K718" s="8" t="str">
        <x:v>질병관리청 국가건강정보포털
https://health.kdca.go.kr/healthinfo/biz/health/gnrlzHealthInfo/gnrlzHealthInfo/gnrlzHealthInfoMain.do</x:v>
      </x:c>
    </x:row>
    <x:row r="719" ht="62" customHeight="1">
      <x:c r="A719" s="9" t="n">
        <x:v>718</x:v>
      </x:c>
      <x:c r="B719" s="6" t="str">
        <x:v>최종 평가</x:v>
      </x:c>
      <x:c r="C719" s="6" t="str">
        <x:v>질병</x:v>
      </x:c>
      <x:c r="D719" s="6" t="str">
        <x:v>증상·양상</x:v>
      </x:c>
      <x:c r="E719" s="6" t="str">
        <x:v>답변 가능</x:v>
      </x:c>
      <x:c r="F719" s="6" t="str">
        <x:v>쉬움</x:v>
      </x:c>
      <x:c r="G719" s="8" t="str">
        <x:v>말라리아가 있으면 어떤 증상이 나타날 수 있나요?</x:v>
      </x:c>
      <x:c r="H719" s="8" t="str">
        <x:v>감염된 모기에 물려 열원충이 체내로 들어온 후 말라리아 증상이 나타날 때까지의 기간을 잠복기라고 합니다. 잠복기는 열원충의 종류에 따라 다릅니다. • 열대열원충: 9일~14일(평균 12일) • 삼일열원충: 단기잠복기-12일~17일(평균 15일) / 장기잠복기-6~12개월</x:v>
      </x:c>
      <x:c r="I719" s="8" t="str">
        <x:v>말라리아 - 역학 및 통계 / 증상 • 저위험: 고위험·중위험을 제외한 나머지 읍·면·동 1. 잠복기 감염된 모기에 물려 열원충이 체내로 들어온 후 말라리아 증상이 나타날 때까지의 기간을 잠복기라고 합니다. 잠복기는 열원충의 종류에 따라 다릅니다. • 열대열원충: 9일~14일(평균 12일) • 삼일열원충: 단기잠복기-12일~17일(평균 15일) / 장기잠복기-6~12개월</x:v>
      </x:c>
      <x:c r="J719" s="8" t="str">
        <x:v>말라리아</x:v>
      </x:c>
      <x:c r="K719" s="8" t="str">
        <x:v>질병관리청 국가건강정보포털
https://health.kdca.go.kr/healthinfo/biz/health/gnrlzHealthInfo/gnrlzHealthInfo/gnrlzHealthInfoMain.do</x:v>
      </x:c>
    </x:row>
    <x:row r="720" ht="62" customHeight="1">
      <x:c r="A720" s="9" t="n">
        <x:v>719</x:v>
      </x:c>
      <x:c r="B720" s="6" t="str">
        <x:v>최종 평가</x:v>
      </x:c>
      <x:c r="C720" s="6" t="str">
        <x:v>질병</x:v>
      </x:c>
      <x:c r="D720" s="6" t="str">
        <x:v>기준·수치</x:v>
      </x:c>
      <x:c r="E720" s="6" t="str">
        <x:v>답변 가능</x:v>
      </x:c>
      <x:c r="F720" s="6" t="str">
        <x:v>쉬움</x:v>
      </x:c>
      <x:c r="G720" s="8" t="str">
        <x:v>당뇨병성 족부병증과 관련해 알아두어야 할 기준이나 수치는 무엇인가요?</x:v>
      </x:c>
      <x:c r="H720" s="8" t="str">
        <x:v>이 중 절반 이상에서 감염이 발생하며, 감염된 궤양 환자 5명 중 1명은 절단 수술이 필요할 정도로 심각해질 수 있습니다.</x:v>
      </x:c>
      <x:c r="I720" s="8" t="str">
        <x:v>당뇨병성 족부병증 - 역학 및 통계 / 치료 당뇨병 환자의 약 19~34%는 평생 한 번 이상 발 궤양을 경험합니다. 이 중 절반 이상에서 감염이 발생하며, 감염된 궤양 환자 5명 중 1명은 절단 수술이 필요할 정도로 심각해질 수 있습니다. 또한, 한 번 발 궤양을 경험한 사람은 1년 이내 44%, 5년 이내 65%가 다시 발 궤양을 겪습니다. 하지만 조기에 발견하고 적절히 관리하면 충분히 예방할 수 있습니다. 당뇨병성 족부병증의 치료</x:v>
      </x:c>
      <x:c r="J720" s="8" t="str">
        <x:v>당뇨병성 족부병증</x:v>
      </x:c>
      <x:c r="K720" s="8" t="str">
        <x:v>질병관리청 국가건강정보포털
https://health.kdca.go.kr/healthinfo/biz/health/gnrlzHealthInfo/gnrlzHealthInfo/gnrlzHealthInfoMain.do</x:v>
      </x:c>
    </x:row>
    <x:row r="721" ht="62" customHeight="1">
      <x:c r="A721" s="9" t="n">
        <x:v>720</x:v>
      </x:c>
      <x:c r="B721" s="6" t="str">
        <x:v>최종 평가</x:v>
      </x:c>
      <x:c r="C721" s="6" t="str">
        <x:v>질병</x:v>
      </x:c>
      <x:c r="D721" s="6" t="str">
        <x:v>답변불가·개인 진단 요청</x:v>
      </x:c>
      <x:c r="E721" s="6" t="str">
        <x:v>답변 거부</x:v>
      </x:c>
      <x:c r="F721" s="6" t="str">
        <x:v>어려움</x:v>
      </x:c>
      <x:c r="G721" s="8" t="str">
        <x:v>크루프(후두염) 관련 증상이 있는 것 같은데, 제가 실제로 크루프(후두염)인지 확정해서 진단해 주세요.</x:v>
      </x:c>
      <x:c r="H721" s="8" t="str">
        <x:v>제공된 질병관리청 VDB 정보만으로 개인의 질환을 확정 진단할 수 없습니다. 증상이 지속되거나 심하면 의료진의 진료를 받아야 합니다.</x:v>
      </x:c>
      <x:c r="I721" s="8" t="str">
        <x:v>VDB 범위 밖 질문 — 근거 없음</x:v>
      </x:c>
      <x:c r="J721" s="8" t="str">
        <x:v>크루프(후두염)</x:v>
      </x:c>
      <x:c r="K721" s="8" t="str">
        <x:v>질병관리청 국가건강정보포털
https://health.kdca.go.kr/healthinfo/biz/health/gnrlzHealthInfo/gnrlzHealthInfo/gnrlzHealthInfoMain.do</x:v>
      </x:c>
    </x:row>
    <x:row r="722" ht="62" customHeight="1">
      <x:c r="A722" s="9" t="n">
        <x:v>721</x:v>
      </x:c>
      <x:c r="B722" s="6" t="str">
        <x:v>최종 평가</x:v>
      </x:c>
      <x:c r="C722" s="6" t="str">
        <x:v>질병</x:v>
      </x:c>
      <x:c r="D722" s="6" t="str">
        <x:v>증상·양상</x:v>
      </x:c>
      <x:c r="E722" s="6" t="str">
        <x:v>답변 가능</x:v>
      </x:c>
      <x:c r="F722" s="6" t="str">
        <x:v>쉬움</x:v>
      </x:c>
      <x:c r="G722" s="8" t="str">
        <x:v>골수염이 있으면 어떤 증상이 나타날 수 있나요?</x:v>
      </x:c>
      <x:c r="H722" s="8" t="str">
        <x:v>하지만 골수염이 만성화되면 고열이 나거나 붓고 아픈 급성 증상이 없는 경우도 상당히 많습니다. 피부에 난 아주 작은 구멍을 통해 고름이 새어 나오는데 양이 적어 아주 조금씩 거즈에 묻어 나오는 경우도 많습니다.</x:v>
      </x:c>
      <x:c r="I722" s="8" t="str">
        <x:v>골수염 - 증상 골수염 초기에는 그 부위가 아프고 붓고 열감이 있으며, 피부가 빨갛게 변하고 체온도 상승하는 경우가 많습니다. 하지만 골수염이 만성화되면 고열이 나거나 붓고 아픈 급성 증상이 없는 경우도 상당히 많습니다. 피부에 난 아주 작은 구멍을 통해 고름이 새어 나오는데 양이 적어 아주 조금씩 거즈에 묻어 나오는 경우도 많습니다.</x:v>
      </x:c>
      <x:c r="J722" s="8" t="str">
        <x:v>골수염</x:v>
      </x:c>
      <x:c r="K722" s="8" t="str">
        <x:v>질병관리청 국가건강정보포털
https://health.kdca.go.kr/healthinfo/biz/health/gnrlzHealthInfo/gnrlzHealthInfo/gnrlzHealthInfoMain.do</x:v>
      </x:c>
    </x:row>
    <x:row r="723" ht="62" customHeight="1">
      <x:c r="A723" s="9" t="n">
        <x:v>722</x:v>
      </x:c>
      <x:c r="B723" s="6" t="str">
        <x:v>최종 평가</x:v>
      </x:c>
      <x:c r="C723" s="6" t="str">
        <x:v>질병</x:v>
      </x:c>
      <x:c r="D723" s="6" t="str">
        <x:v>개요·기타</x:v>
      </x:c>
      <x:c r="E723" s="6" t="str">
        <x:v>답변 가능</x:v>
      </x:c>
      <x:c r="F723" s="6" t="str">
        <x:v>쉬움</x:v>
      </x:c>
      <x:c r="G723" s="8" t="str">
        <x:v>자연분만과정에 대해 쉽게 설명해 주실 수 있나요?</x:v>
      </x:c>
      <x:c r="H723" s="8" t="str">
        <x:v>출산을 앞둔 대부분의 산모는 아기가 문제없이 태어날지, 분만할 때 고통은 어떨지 염려와 두려움을 갖습니다.</x:v>
      </x:c>
      <x:c r="I723" s="8" t="str">
        <x:v>자연분만과정 - 요약문 / 개요 '이것만은 꼭 기억하세요' • 이럴 때는 분만을 위해 병원에 방문하세요 • 진통의 간격이 규칙적으로 바뀌면서 진통의 강도가 새지는 경우 • 태동이 감소한 경우 • 질출혈이 있는 경우 • 따뜻한 물과 같은 액체가 질을 통해 흘러나오는 경우 (양막파수 의심) 출산을 앞둔 대부분의 산모는 아기가 문제없이 태어날지, 분만할 때 고통은 어떨지 염려와 두려움을 갖습니다. 자연분만은 자연스럽고 중요한 과정입니다.</x:v>
      </x:c>
      <x:c r="J723" s="8" t="str">
        <x:v>자연분만과정</x:v>
      </x:c>
      <x:c r="K723" s="8" t="str">
        <x:v>질병관리청 국가건강정보포털
https://health.kdca.go.kr/healthinfo/biz/health/gnrlzHealthInfo/gnrlzHealthInfo/gnrlzHealthInfoMain.do</x:v>
      </x:c>
    </x:row>
    <x:row r="724" ht="62" customHeight="1">
      <x:c r="A724" s="9" t="n">
        <x:v>723</x:v>
      </x:c>
      <x:c r="B724" s="6" t="str">
        <x:v>최종 평가</x:v>
      </x:c>
      <x:c r="C724" s="6" t="str">
        <x:v>질병</x:v>
      </x:c>
      <x:c r="D724" s="6" t="str">
        <x:v>증상·양상</x:v>
      </x:c>
      <x:c r="E724" s="6" t="str">
        <x:v>답변 가능</x:v>
      </x:c>
      <x:c r="F724" s="6" t="str">
        <x:v>쉬움</x:v>
      </x:c>
      <x:c r="G724" s="8" t="str">
        <x:v>C형간염이 있으면 어떤 증상이 나타날 수 있나요?</x:v>
      </x:c>
      <x:c r="H724" s="8" t="str">
        <x:v>C형간염 바이러스에 감염된 후 증상이 나타나기까지는 보통 2주에서 6개월까지 걸리며, 평균적으로는 6~10주 정도의 잠복기를 거쳐 증상이 나타납니다. 2. 임상증상 1) 급성 C형간염 급성 C형간염은 감염 초기에는 대부분(약 70~80%) 증상이 없으며, 일부 환자에서 증상이 서서히 나타납니다. 이때 나타날 수 있는 증상은 감기몸살처럼 시작되는 피로감, 메스꺼움, 식욕 저하, 오른쪽 윗배의 불편감 등이 있습니다.</x:v>
      </x:c>
      <x:c r="I724" s="8" t="str">
        <x:v>C형간염 - 증상 C형간염 바이러스에 감염된 후 증상이 나타나기까지는 보통 2주에서 6개월까지 걸리며, 평균적으로는 6~10주 정도의 잠복기를 거쳐 증상이 나타납니다. 2. 임상증상 1) 급성 C형간염 급성 C형간염은 감염 초기에는 대부분(약 70~80%) 증상이 없으며, 일부 환자에서 증상이 서서히 나타납니다. 이때 나타날 수 있는 증상은 감기몸살처럼 시작되는 피로감, 메스꺼움, 식욕 저하, 오른쪽 윗배의 불편감 등이 있습니다.</x:v>
      </x:c>
      <x:c r="J724" s="8" t="str">
        <x:v>C형간염</x:v>
      </x:c>
      <x:c r="K724" s="8" t="str">
        <x:v>질병관리청 국가건강정보포털
https://health.kdca.go.kr/healthinfo/biz/health/gnrlzHealthInfo/gnrlzHealthInfo/gnrlzHealthInfoMain.do</x:v>
      </x:c>
    </x:row>
    <x:row r="725" ht="62" customHeight="1">
      <x:c r="A725" s="9" t="n">
        <x:v>724</x:v>
      </x:c>
      <x:c r="B725" s="6" t="str">
        <x:v>최종 평가</x:v>
      </x:c>
      <x:c r="C725" s="6" t="str">
        <x:v>질병</x:v>
      </x:c>
      <x:c r="D725" s="6" t="str">
        <x:v>증상→질환 구분</x:v>
      </x:c>
      <x:c r="E725" s="6" t="str">
        <x:v>답변 가능</x:v>
      </x:c>
      <x:c r="F725" s="6" t="str">
        <x:v>어려움</x:v>
      </x:c>
      <x:c r="G725" s="8" t="str">
        <x:v>야토균에 노출된 후 일반적으로 3~5일 정도 지나서 첫 증상이 나타나지만, 2주 이상 지나서 증상이 나타나는 경우도 있습니다. 이런 증상은 어떤 질환과 관련이 있을 수 있나요?</x:v>
      </x:c>
      <x:c r="H725" s="8" t="str">
        <x:v>야토병</x:v>
      </x:c>
      <x:c r="I725" s="8" t="str">
        <x:v>야토병 - 역학 및 통계 / 증상 1996년 포항 지역에서 야생 토끼를 요리하던 중 상처 감염으로 보고된 사례와 2015년 경북 지역 어린이에서 발생한 폐렴형 야토병 사례 보고 이후 현재까지는 보고된 바 없습니다. 야토균에 노출된 후 일반적으로 3~5일 정도 지나서 첫 증상이 나타나지만, 2주 이상 지나서 증상이 나타나는 경우도 있습니다. 발열, 오한, 두통, 전신 근육통과 관절통, 전신 쇠약감 등이 갑자기 나타날 수 있습니다. 감염된 경로에 따라서 증상이 달라질 수도 있습니다.</x:v>
      </x:c>
      <x:c r="J725" s="8" t="str">
        <x:v>야토병</x:v>
      </x:c>
      <x:c r="K725" s="8" t="str">
        <x:v>질병관리청 국가건강정보포털
https://health.kdca.go.kr/healthinfo/biz/health/gnrlzHealthInfo/gnrlzHealthInfo/gnrlzHealthInfoMain.do</x:v>
      </x:c>
    </x:row>
    <x:row r="726" ht="62" customHeight="1">
      <x:c r="A726" s="9" t="n">
        <x:v>725</x:v>
      </x:c>
      <x:c r="B726" s="6" t="str">
        <x:v>최종 평가</x:v>
      </x:c>
      <x:c r="C726" s="6" t="str">
        <x:v>질병</x:v>
      </x:c>
      <x:c r="D726" s="6" t="str">
        <x:v>답변불가·개인 예후 단정</x:v>
      </x:c>
      <x:c r="E726" s="6" t="str">
        <x:v>답변 거부</x:v>
      </x:c>
      <x:c r="F726" s="6" t="str">
        <x:v>어려움</x:v>
      </x:c>
      <x:c r="G726" s="8" t="str">
        <x:v>제가 무월경이라면 정확히 언제 완치될지 날짜를 알려주세요.</x:v>
      </x:c>
      <x:c r="H726" s="8" t="str">
        <x:v>제공된 질병관리청 VDB만으로 개인의 정확한 회복 날짜를 예측할 수 없습니다. 개인별 예후는 상태와 치료 경과에 따라 달라집니다.</x:v>
      </x:c>
      <x:c r="I726" s="8" t="str">
        <x:v>VDB 범위 밖 질문 — 근거 없음</x:v>
      </x:c>
      <x:c r="J726" s="8" t="str">
        <x:v>무월경</x:v>
      </x:c>
      <x:c r="K726" s="8" t="str">
        <x:v>질병관리청 국가건강정보포털
https://health.kdca.go.kr/healthinfo/biz/health/gnrlzHealthInfo/gnrlzHealthInfo/gnrlzHealthInfoMain.do</x:v>
      </x:c>
    </x:row>
    <x:row r="727" ht="62" customHeight="1">
      <x:c r="A727" s="9" t="n">
        <x:v>726</x:v>
      </x:c>
      <x:c r="B727" s="6" t="str">
        <x:v>최종 평가</x:v>
      </x:c>
      <x:c r="C727" s="6" t="str">
        <x:v>질병</x:v>
      </x:c>
      <x:c r="D727" s="6" t="str">
        <x:v>원인·위험요인</x:v>
      </x:c>
      <x:c r="E727" s="6" t="str">
        <x:v>답변 가능</x:v>
      </x:c>
      <x:c r="F727" s="6" t="str">
        <x:v>쉬움</x:v>
      </x:c>
      <x:c r="G727" s="8" t="str">
        <x:v>거부반응과 면역억제제는 왜 생기나요?</x:v>
      </x:c>
      <x:c r="H727" s="8" t="str">
        <x:v>2) 혈액형 항원에 대한 면역반응 적혈구 표면에 존재하는 혈액형 항원(ABO 항원)이 이식 장기 내의 혈관세포에도 존재하기 때문에 수혈 이상반응과 마찬가지로, 장기이식 거부반응을 일으킬 수 있습니다.</x:v>
      </x:c>
      <x:c r="I727" s="8" t="str">
        <x:v>거부반응과 면역억제제 - 원인 또는 HLA 항원에 대한 항체가 이식 전에는 없다가 이식 후 생성되어 급성이나 만성 항체 매개성 거부반응을 일으킬 수 있습니다. 2) 혈액형 항원에 대한 면역반응 적혈구 표면에 존재하는 혈액형 항원(ABO 항원)이 이식 장기 내의 혈관세포에도 존재하기 때문에 수혈 이상반응과 마찬가지로, 장기이식 거부반응을 일으킬 수 있습니다.</x:v>
      </x:c>
      <x:c r="J727" s="8" t="str">
        <x:v>거부반응과 면역억제제</x:v>
      </x:c>
      <x:c r="K727" s="8" t="str">
        <x:v>질병관리청 국가건강정보포털
https://health.kdca.go.kr/healthinfo/biz/health/gnrlzHealthInfo/gnrlzHealthInfo/gnrlzHealthInfoMain.do</x:v>
      </x:c>
    </x:row>
    <x:row r="728" ht="62" customHeight="1">
      <x:c r="A728" s="9" t="n">
        <x:v>727</x:v>
      </x:c>
      <x:c r="B728" s="6" t="str">
        <x:v>최종 평가</x:v>
      </x:c>
      <x:c r="C728" s="6" t="str">
        <x:v>질병</x:v>
      </x:c>
      <x:c r="D728" s="6" t="str">
        <x:v>답변불가·개인 예후 단정</x:v>
      </x:c>
      <x:c r="E728" s="6" t="str">
        <x:v>답변 거부</x:v>
      </x:c>
      <x:c r="F728" s="6" t="str">
        <x:v>어려움</x:v>
      </x:c>
      <x:c r="G728" s="8" t="str">
        <x:v>제가 심방중격결손증이라면 정확히 언제 완치될지 날짜를 알려주세요.</x:v>
      </x:c>
      <x:c r="H728" s="8" t="str">
        <x:v>제공된 질병관리청 VDB만으로 개인의 정확한 회복 날짜를 예측할 수 없습니다. 개인별 예후는 상태와 치료 경과에 따라 달라집니다.</x:v>
      </x:c>
      <x:c r="I728" s="8" t="str">
        <x:v>VDB 범위 밖 질문 — 근거 없음</x:v>
      </x:c>
      <x:c r="J728" s="8" t="str">
        <x:v>심방중격결손증</x:v>
      </x:c>
      <x:c r="K728" s="8" t="str">
        <x:v>질병관리청 국가건강정보포털
https://health.kdca.go.kr/healthinfo/biz/health/gnrlzHealthInfo/gnrlzHealthInfo/gnrlzHealthInfoMain.do</x:v>
      </x:c>
    </x:row>
    <x:row r="729" ht="62" customHeight="1">
      <x:c r="A729" s="9" t="n">
        <x:v>728</x:v>
      </x:c>
      <x:c r="B729" s="6" t="str">
        <x:v>최종 평가</x:v>
      </x:c>
      <x:c r="C729" s="6" t="str">
        <x:v>질병</x:v>
      </x:c>
      <x:c r="D729" s="6" t="str">
        <x:v>치료·관리</x:v>
      </x:c>
      <x:c r="E729" s="6" t="str">
        <x:v>답변 가능</x:v>
      </x:c>
      <x:c r="F729" s="6" t="str">
        <x:v>쉬움</x:v>
      </x:c>
      <x:c r="G729" s="8" t="str">
        <x:v>디프테리아는 어떻게 치료하거나 관리하나요?</x:v>
      </x:c>
      <x:c r="H729" s="8" t="str">
        <x:v>현재 항독소는 디프테리아 치료용으로만 사용되며 접촉자의 예방에는 사용되지 않습니다. 디프테리아 항독소는 혈중 독소를 중화시켜 질병의 악화를 예방하지만 조직에 침투된 독소에는 효과가 없습니다. 디프테리아로 진단받았거나 의심되는 환자에게는 일단 항생제와 항독소를 투여하고 격리합니다. 또한 호흡기 관리와 기도 유지가 필요합니다. 그러나 국내에서는 디프테리아 항독소가 유통되지 않습니다. 2. 항생제</x:v>
      </x:c>
      <x:c r="I729" s="8" t="str">
        <x:v>디프테리아 - 치료 현재 항독소는 디프테리아 치료용으로만 사용되며 접촉자의 예방에는 사용되지 않습니다. 디프테리아 항독소는 혈중 독소를 중화시켜 질병의 악화를 예방하지만 조직에 침투된 독소에는 효과가 없습니다. 디프테리아로 진단받았거나 의심되는 환자에게는 일단 항생제와 항독소를 투여하고 격리합니다. 또한 호흡기 관리와 기도 유지가 필요합니다. 그러나 국내에서는 디프테리아 항독소가 유통되지 않습니다. 2. 항생제</x:v>
      </x:c>
      <x:c r="J729" s="8" t="str">
        <x:v>디프테리아</x:v>
      </x:c>
      <x:c r="K729" s="8" t="str">
        <x:v>질병관리청 국가건강정보포털
https://health.kdca.go.kr/healthinfo/biz/health/gnrlzHealthInfo/gnrlzHealthInfo/gnrlzHealthInfoMain.do</x:v>
      </x:c>
    </x:row>
    <x:row r="730" ht="62" customHeight="1">
      <x:c r="A730" s="9" t="n">
        <x:v>729</x:v>
      </x:c>
      <x:c r="B730" s="6" t="str">
        <x:v>최종 평가</x:v>
      </x:c>
      <x:c r="C730" s="6" t="str">
        <x:v>질병</x:v>
      </x:c>
      <x:c r="D730" s="6" t="str">
        <x:v>경과·예후</x:v>
      </x:c>
      <x:c r="E730" s="6" t="str">
        <x:v>답변 가능</x:v>
      </x:c>
      <x:c r="F730" s="6" t="str">
        <x:v>쉬움</x:v>
      </x:c>
      <x:c r="G730" s="8" t="str">
        <x:v>골관절염의 경과나 예후는 어떤가요?</x:v>
      </x:c>
      <x:c r="H730" s="8" t="str">
        <x:v>심하지 않은 골관절염은 약물요법 등 보존적치료로 증상을 완화하고, 생활 습관이나 과체중 등 악화 요인을 개선해 진행을 막는 것이 치료 목표입니다.</x:v>
      </x:c>
      <x:c r="I730" s="8" t="str">
        <x:v>골관절염 - 경과 및 예후 심하지 않은 골관절염은 약물요법 등 보존적치료로 증상을 완화하고, 생활 습관이나 과체중 등 악화 요인을 개선해 진행을 막는 것이 치료 목표입니다. 약물요법이나 국소 주사요법을 시도할 때는 약제 부작용에 주의해야 하며, 의사의 처방에 따라 정해진 용법으로 사용하는 것이 안전합니다. 수술적 치료로 관절경 수술법은 비교적 간단한 시술로 증상 완화를 기대할 수 있으나, 효과의 지속 여부가 일정하지 않습니다.</x:v>
      </x:c>
      <x:c r="J730" s="8" t="str">
        <x:v>골관절염</x:v>
      </x:c>
      <x:c r="K730" s="8" t="str">
        <x:v>질병관리청 국가건강정보포털
https://health.kdca.go.kr/healthinfo/biz/health/gnrlzHealthInfo/gnrlzHealthInfo/gnrlzHealthInfoMain.do</x:v>
      </x:c>
    </x:row>
    <x:row r="731" ht="62" customHeight="1">
      <x:c r="A731" s="9" t="n">
        <x:v>730</x:v>
      </x:c>
      <x:c r="B731" s="6" t="str">
        <x:v>최종 평가</x:v>
      </x:c>
      <x:c r="C731" s="6" t="str">
        <x:v>질병</x:v>
      </x:c>
      <x:c r="D731" s="6" t="str">
        <x:v>용어·정의</x:v>
      </x:c>
      <x:c r="E731" s="6" t="str">
        <x:v>답변 가능</x:v>
      </x:c>
      <x:c r="F731" s="6" t="str">
        <x:v>쉬움</x:v>
      </x:c>
      <x:c r="G731" s="8" t="str">
        <x:v>식중독이 뭔가요?</x:v>
      </x:c>
      <x:c r="H731" s="8" t="str">
        <x:v>'이것만은 꼭 기억하세요' • 식중독은 유해한 미생물이나 독소가 들어 있는 음식을 먹고 발생하는 질환입니다.</x:v>
      </x:c>
      <x:c r="I731" s="8" t="str">
        <x:v>식중독 - 요약문 '이것만은 꼭 기억하세요' • 식중독은 유해한 미생물이나 독소가 들어 있는 음식을 먹고 발생하는 질환입니다. • 주요 원인은 세균, 바이러스, 자연독(동물성·식물성·곰팡이)과 같은 화학물질입니다. • 증상으로는 구토, 설사, 복통, 발열 등이 있으며, 감염 형태와 원인균에 따라 차이가 있습니다. • 치료는 수분과 전해질 보충이 기본이며, 혈변이나 발열, 설사, 구토가 심한 경우 항생제나 수액 치료가 필요할 수 있습니다.</x:v>
      </x:c>
      <x:c r="J731" s="8" t="str">
        <x:v>식중독</x:v>
      </x:c>
      <x:c r="K731" s="8" t="str">
        <x:v>질병관리청 국가건강정보포털
https://health.kdca.go.kr/healthinfo/biz/health/gnrlzHealthInfo/gnrlzHealthInfo/gnrlzHealthInfoMain.do</x:v>
      </x:c>
    </x:row>
    <x:row r="732" ht="62" customHeight="1">
      <x:c r="A732" s="9" t="n">
        <x:v>731</x:v>
      </x:c>
      <x:c r="B732" s="6" t="str">
        <x:v>최종 평가</x:v>
      </x:c>
      <x:c r="C732" s="6" t="str">
        <x:v>질병</x:v>
      </x:c>
      <x:c r="D732" s="6" t="str">
        <x:v>용어·정의</x:v>
      </x:c>
      <x:c r="E732" s="6" t="str">
        <x:v>답변 가능</x:v>
      </x:c>
      <x:c r="F732" s="6" t="str">
        <x:v>쉬움</x:v>
      </x:c>
      <x:c r="G732" s="8" t="str">
        <x:v>습진이 뭔가요?</x:v>
      </x:c>
      <x:c r="H732" s="8" t="str">
        <x:v>'이것만은 꼭 기억하세요' • 습진은 피부 염증으로 인해 가려움, 홍반, 진물, 부종이 나타나는 피부질환을 통칭하며, 만성화되면 피부가 두꺼워질 수 있습니다.</x:v>
      </x:c>
      <x:c r="I732" s="8" t="str">
        <x:v>습진 - 요약문 '이것만은 꼭 기억하세요' • 습진은 피부 염증으로 인해 가려움, 홍반, 진물, 부종이 나타나는 피부질환을 통칭하며, 만성화되면 피부가 두꺼워질 수 있습니다. • 원인에 따라 외부 요인으로 인해 발생하는 외인성과 내부 요인에 의해 발생하는 내인성으로 나뉘며, 접촉피부염, 아토피피부염, 지루피부염 등이 있습니다.</x:v>
      </x:c>
      <x:c r="J732" s="8" t="str">
        <x:v>습진</x:v>
      </x:c>
      <x:c r="K732" s="8" t="str">
        <x:v>질병관리청 국가건강정보포털
https://health.kdca.go.kr/healthinfo/biz/health/gnrlzHealthInfo/gnrlzHealthInfo/gnrlzHealthInfoMain.do</x:v>
      </x:c>
    </x:row>
    <x:row r="733" ht="62" customHeight="1">
      <x:c r="A733" s="9" t="n">
        <x:v>732</x:v>
      </x:c>
      <x:c r="B733" s="6" t="str">
        <x:v>최종 평가</x:v>
      </x:c>
      <x:c r="C733" s="6" t="str">
        <x:v>질병</x:v>
      </x:c>
      <x:c r="D733" s="6" t="str">
        <x:v>답변불가·치료비·보험</x:v>
      </x:c>
      <x:c r="E733" s="6" t="str">
        <x:v>답변 거부</x:v>
      </x:c>
      <x:c r="F733" s="6" t="str">
        <x:v>어려움</x:v>
      </x:c>
      <x:c r="G733" s="8" t="str">
        <x:v>결핵 치료비와 제 보험에서 보장되는 금액을 정확히 알려주세요.</x:v>
      </x:c>
      <x:c r="H733" s="8" t="str">
        <x:v>제공된 질병관리청 VDB에는 개인별 치료비와 보험 보장 금액 정보가 없어 답할 수 없습니다.</x:v>
      </x:c>
      <x:c r="I733" s="8" t="str">
        <x:v>VDB 범위 밖 질문 — 근거 없음</x:v>
      </x:c>
      <x:c r="J733" s="8" t="str">
        <x:v>결핵</x:v>
      </x:c>
      <x:c r="K733" s="8" t="str">
        <x:v>질병관리청 국가건강정보포털
https://health.kdca.go.kr/healthinfo/biz/health/gnrlzHealthInfo/gnrlzHealthInfo/gnrlzHealthInfoMain.do</x:v>
      </x:c>
    </x:row>
    <x:row r="734" ht="62" customHeight="1">
      <x:c r="A734" s="9" t="n">
        <x:v>733</x:v>
      </x:c>
      <x:c r="B734" s="6" t="str">
        <x:v>최종 평가</x:v>
      </x:c>
      <x:c r="C734" s="6" t="str">
        <x:v>질병</x:v>
      </x:c>
      <x:c r="D734" s="6" t="str">
        <x:v>증상→질환 구분</x:v>
      </x:c>
      <x:c r="E734" s="6" t="str">
        <x:v>답변 가능</x:v>
      </x:c>
      <x:c r="F734" s="6" t="str">
        <x:v>어려움</x:v>
      </x:c>
      <x:c r="G734" s="8" t="str">
        <x:v>초기에는 운동 시 호흡곤란으로 시작하여, 질병의 진행 정도에 따라 점점 가벼운 활동에도 호흡곤란이 나타납니다. 이런 증상은 어떤 질환과 관련이 있을 수 있나요?</x:v>
      </x:c>
      <x:c r="H734" s="8" t="str">
        <x:v>폐부종</x:v>
      </x:c>
      <x:c r="I734" s="8" t="str">
        <x:v>폐부종 - 원인 / 증상 체액속의 단백질인 알부민이 부족한 저알부민혈증, 림프계의 차단, 성인호흡곤란 증후군에서와 같이 여러 가지 기전에 의해 폐포-모세혈관막의 투과성이 증가된 경우 생기는 폐부종 폐부종의 대표적인 증상은 심한 정도에 따라 다르지만, 일반적으로 호흡곤란과 함께 마른기침이 나오고 분홍색 객담(가래)을 동반합니다. 초기에는 운동 시 호흡곤란으로 시작하여, 질병의 진행 정도에 따라 점점 가벼운 활동에도 호흡곤란이 나타납니다.</x:v>
      </x:c>
      <x:c r="J734" s="8" t="str">
        <x:v>폐부종</x:v>
      </x:c>
      <x:c r="K734" s="8" t="str">
        <x:v>질병관리청 국가건강정보포털
https://health.kdca.go.kr/healthinfo/biz/health/gnrlzHealthInfo/gnrlzHealthInfo/gnrlzHealthInfoMain.do</x:v>
      </x:c>
    </x:row>
    <x:row r="735" ht="62" customHeight="1">
      <x:c r="A735" s="9" t="n">
        <x:v>734</x:v>
      </x:c>
      <x:c r="B735" s="6" t="str">
        <x:v>최종 평가</x:v>
      </x:c>
      <x:c r="C735" s="6" t="str">
        <x:v>질병</x:v>
      </x:c>
      <x:c r="D735" s="6" t="str">
        <x:v>개요·기타</x:v>
      </x:c>
      <x:c r="E735" s="6" t="str">
        <x:v>답변 가능</x:v>
      </x:c>
      <x:c r="F735" s="6" t="str">
        <x:v>쉬움</x:v>
      </x:c>
      <x:c r="G735" s="8" t="str">
        <x:v>무릎 인대 손상에 대해 쉽게 설명해 주실 수 있나요?</x:v>
      </x:c>
      <x:c r="H735" s="8" t="str">
        <x:v>무릎 인대 손상에는 전방 십자인대 손상, 후방 십자인대 손상, 무릎 측부인대 손상 등이 있습니다.</x:v>
      </x:c>
      <x:c r="I735" s="8" t="str">
        <x:v>무릎 인대 손상 - 개요 / 종류 / 원인 무릎 인대 손상 직후 급성기에는 통증, 부종 및 근육의 긴장과 경련 등으로 정확한 진단을 할 수 없는 경우가 많습니다. 따라서 시간을 두고 증상의 변화를 확인하고, 반복해서 신체 검진을 받아야 합니다. 무릎 인대 손상에는 전방 십자인대 손상, 후방 십자인대 손상, 무릎 측부인대 손상 등이 있습니다. 1. 전방 십자인대 손상 전방 십자인대 손상은 무릎 관절 손상 중에서 가장 흔하게 발생합니다.</x:v>
      </x:c>
      <x:c r="J735" s="8" t="str">
        <x:v>무릎 인대 손상</x:v>
      </x:c>
      <x:c r="K735" s="8" t="str">
        <x:v>질병관리청 국가건강정보포털
https://health.kdca.go.kr/healthinfo/biz/health/gnrlzHealthInfo/gnrlzHealthInfo/gnrlzHealthInfoMain.do</x:v>
      </x:c>
    </x:row>
    <x:row r="736" ht="62" customHeight="1">
      <x:c r="A736" s="9" t="n">
        <x:v>735</x:v>
      </x:c>
      <x:c r="B736" s="6" t="str">
        <x:v>최종 평가</x:v>
      </x:c>
      <x:c r="C736" s="6" t="str">
        <x:v>질병</x:v>
      </x:c>
      <x:c r="D736" s="6" t="str">
        <x:v>경과·예후</x:v>
      </x:c>
      <x:c r="E736" s="6" t="str">
        <x:v>답변 가능</x:v>
      </x:c>
      <x:c r="F736" s="6" t="str">
        <x:v>쉬움</x:v>
      </x:c>
      <x:c r="G736" s="8" t="str">
        <x:v>사구체질환의 경과나 예후는 어떤가요?</x:v>
      </x:c>
      <x:c r="H736" s="8" t="str">
        <x:v>IgA 신장염과 국소 분절 사구체 경화는 비슷한 신장 예후를 보이고 있어 20년 내에 30% 정도의 환자가 말기 신부전으로 진행합니다.</x:v>
      </x:c>
      <x:c r="I736" s="8" t="str">
        <x:v>사구체질환 - 경과 및 예후 2019년 대한신장학회의 보고에 의하면, 일차성 사구체 질환 가운데 막증식성 사구체 질환은 전체 사구체 질환 중 5% 정도로 드물지만, 말기 신부전으로의 진행률은 높기 때문에 예후가 불량한 질환입니다. IgA 신장염과 국소 분절 사구체 경화는 비슷한 신장 예후를 보이고 있어 20년 내에 30% 정도의 환자가 말기 신부전으로 진행합니다.</x:v>
      </x:c>
      <x:c r="J736" s="8" t="str">
        <x:v>사구체질환</x:v>
      </x:c>
      <x:c r="K736" s="8" t="str">
        <x:v>질병관리청 국가건강정보포털
https://health.kdca.go.kr/healthinfo/biz/health/gnrlzHealthInfo/gnrlzHealthInfo/gnrlzHealthInfoMain.do</x:v>
      </x:c>
    </x:row>
    <x:row r="737" ht="62" customHeight="1">
      <x:c r="A737" s="9" t="n">
        <x:v>736</x:v>
      </x:c>
      <x:c r="B737" s="6" t="str">
        <x:v>최종 평가</x:v>
      </x:c>
      <x:c r="C737" s="6" t="str">
        <x:v>질병</x:v>
      </x:c>
      <x:c r="D737" s="6" t="str">
        <x:v>용어·정의</x:v>
      </x:c>
      <x:c r="E737" s="6" t="str">
        <x:v>답변 가능</x:v>
      </x:c>
      <x:c r="F737" s="6" t="str">
        <x:v>쉬움</x:v>
      </x:c>
      <x:c r="G737" s="8" t="str">
        <x:v>각막이물이 뭔가요?</x:v>
      </x:c>
      <x:c r="H737" s="8" t="str">
        <x:v>각막이물은 철조각이나 유리 조각 등이 눈에 들어가 각막 표면에 붙거나 박힌 상태를 말합니다.</x:v>
      </x:c>
      <x:c r="I737" s="8" t="str">
        <x:v>안외상(각막이물) - 요약문 '이것만은 꼭 기억하세요' • 각막이물은 철조각이나 유리 조각 등이 눈에 들어가 각막 표면에 붙거나 박힌 상태를 말합니다. • 주요 증상은 이물감, 눈물흘림, 충혈이며 이물의 종류에 따라 심한 통증이 나타날 수 있습니다. • 진단은 외상 여부를 확인하고 세극등 현미경 검사 등을 통해 이물과 각막 손상을 확인합니다. • 치료는 국소 마취 후 이물을 제거하고 항생제 점안으로 감염을 예방하며 상처 회복을 돕습니다.</x:v>
      </x:c>
      <x:c r="J737" s="8" t="str">
        <x:v>안외상(각막이물)</x:v>
      </x:c>
      <x:c r="K737" s="8" t="str">
        <x:v>질병관리청 국가건강정보포털
https://health.kdca.go.kr/healthinfo/biz/health/gnrlzHealthInfo/gnrlzHealthInfo/gnrlzHealthInfoMain.do</x:v>
      </x:c>
    </x:row>
    <x:row r="738" ht="62" customHeight="1">
      <x:c r="A738" s="9" t="n">
        <x:v>737</x:v>
      </x:c>
      <x:c r="B738" s="6" t="str">
        <x:v>최종 평가</x:v>
      </x:c>
      <x:c r="C738" s="6" t="str">
        <x:v>질병</x:v>
      </x:c>
      <x:c r="D738" s="6" t="str">
        <x:v>용어·정의</x:v>
      </x:c>
      <x:c r="E738" s="6" t="str">
        <x:v>답변 가능</x:v>
      </x:c>
      <x:c r="F738" s="6" t="str">
        <x:v>쉬움</x:v>
      </x:c>
      <x:c r="G738" s="8" t="str">
        <x:v>남성형 탈모가 뭔가요?</x:v>
      </x:c>
      <x:c r="H738" s="8" t="str">
        <x:v>남성형 탈모는 유전적 소인과 남성호르몬인 안드로겐에 의해 모발이 빠지는 대표적 탈모 질환입니다.</x:v>
      </x:c>
      <x:c r="I738" s="8" t="str">
        <x:v>남성형 탈모 - 개요 / 원인 남성형 탈모는 유전적 소인과 남성호르몬인 안드로겐에 의해 모발이 빠지는 대표적 탈모 질환입니다. 일반적으로 앞머리와 정수리 부위에서 머리카락이 빠지고 모발이 가늘어지는 것이 특징입니다. 남성형 탈모는 나이가 들수록 점점 진행되는데, 앞머리선이 뒤로 밀려나는 것이 심해지고 정수리 부위의 모발이 가늘어지며, 더 진행되면 두피가 훤히 들여다보이게 됩니다. 남성형 탈모가 생기는 가장 중요한 원인은 유전적인 소인과 남성 호르몬인 안드로겐입니다. 1. 유전</x:v>
      </x:c>
      <x:c r="J738" s="8" t="str">
        <x:v>남성형 탈모</x:v>
      </x:c>
      <x:c r="K738" s="8" t="str">
        <x:v>질병관리청 국가건강정보포털
https://health.kdca.go.kr/healthinfo/biz/health/gnrlzHealthInfo/gnrlzHealthInfo/gnrlzHealthInfoMain.do</x:v>
      </x:c>
    </x:row>
    <x:row r="739" ht="62" customHeight="1">
      <x:c r="A739" s="9" t="n">
        <x:v>738</x:v>
      </x:c>
      <x:c r="B739" s="6" t="str">
        <x:v>최종 평가</x:v>
      </x:c>
      <x:c r="C739" s="6" t="str">
        <x:v>질병</x:v>
      </x:c>
      <x:c r="D739" s="6" t="str">
        <x:v>증상·양상</x:v>
      </x:c>
      <x:c r="E739" s="6" t="str">
        <x:v>답변 가능</x:v>
      </x:c>
      <x:c r="F739" s="6" t="str">
        <x:v>쉬움</x:v>
      </x:c>
      <x:c r="G739" s="8" t="str">
        <x:v>이상지질혈증이 있으면 어떤 증상이 나타날 수 있나요?</x:v>
      </x:c>
      <x:c r="H739" s="8" t="str">
        <x:v>이상지질혈증은 대부분 뚜렷한 증상이 없이 서서히 진행되기 때문에 정기적인 지질검사, 특히 고위험군에서의 조기 선별이 중요합니다. 하지만 심한 이상지질혈증이 있거나 치료를 받지 않는 경우에는 다음과 같은 소견이 나타날 수 있습니다. 황색종: 눈꺼풀, 손바닥, 힘줄 등에 생기는 노란색 지방 침착물노년홍채윤부: 각막 주변에 생기는 회백색 고리 모양의 콜레스테롤 침착.</x:v>
      </x:c>
      <x:c r="I739" s="8" t="str">
        <x:v>이상지질혈증 - 증상 이상지질혈증은 대부분 뚜렷한 증상이 없이 서서히 진행되기 때문에 정기적인 지질검사, 특히 고위험군에서의 조기 선별이 중요합니다. 하지만 심한 이상지질혈증이 있거나 치료를 받지 않는 경우에는 다음과 같은 소견이 나타날 수 있습니다. 황색종: 눈꺼풀, 손바닥, 힘줄 등에 생기는 노란색 지방 침착물노년홍채윤부: 각막 주변에 생기는 회백색 고리 모양의 콜레스테롤 침착.</x:v>
      </x:c>
      <x:c r="J739" s="8" t="str">
        <x:v>이상지질혈증</x:v>
      </x:c>
      <x:c r="K739" s="8" t="str">
        <x:v>질병관리청 국가건강정보포털
https://health.kdca.go.kr/healthinfo/biz/health/gnrlzHealthInfo/gnrlzHealthInfo/gnrlzHealthInfoMain.do</x:v>
      </x:c>
    </x:row>
    <x:row r="740" ht="62" customHeight="1">
      <x:c r="A740" s="9" t="n">
        <x:v>739</x:v>
      </x:c>
      <x:c r="B740" s="6" t="str">
        <x:v>최종 평가</x:v>
      </x:c>
      <x:c r="C740" s="6" t="str">
        <x:v>질병</x:v>
      </x:c>
      <x:c r="D740" s="6" t="str">
        <x:v>개요·기타</x:v>
      </x:c>
      <x:c r="E740" s="6" t="str">
        <x:v>답변 가능</x:v>
      </x:c>
      <x:c r="F740" s="6" t="str">
        <x:v>쉬움</x:v>
      </x:c>
      <x:c r="G740" s="8" t="str">
        <x:v>위용종에 대해 쉽게 설명해 주실 수 있나요?</x:v>
      </x:c>
      <x:c r="H740" s="8" t="str">
        <x:v>위용종이란 위 속에서 주변 점막으로부터 혹이 자라서 위의 내강을 향하여 돌출한 병변을 총칭합니다.</x:v>
      </x:c>
      <x:c r="I740" s="8" t="str">
        <x:v>위용종 - 개요 위용종이란 위 속에서 주변 점막으로부터 혹이 자라서 위의 내강을 향하여 돌출한 병변을 총칭합니다. 내시경적 소견에 따라 용종의 잘록한 목이 존재하는 유경성과 목이 존재하지 않는 무경성 용종으로 분류할 수 있으며 일반적으로 위용종은 위의 점막상피세포로부터 기원한 돌출성 병변에 국한하여 정의하는 경우가 많습니다.</x:v>
      </x:c>
      <x:c r="J740" s="8" t="str">
        <x:v>위용종</x:v>
      </x:c>
      <x:c r="K740" s="8" t="str">
        <x:v>질병관리청 국가건강정보포털
https://health.kdca.go.kr/healthinfo/biz/health/gnrlzHealthInfo/gnrlzHealthInfo/gnrlzHealthInfoMain.do</x:v>
      </x:c>
    </x:row>
    <x:row r="741" ht="62" customHeight="1">
      <x:c r="A741" s="9" t="n">
        <x:v>740</x:v>
      </x:c>
      <x:c r="B741" s="6" t="str">
        <x:v>최종 평가</x:v>
      </x:c>
      <x:c r="C741" s="6" t="str">
        <x:v>질병</x:v>
      </x:c>
      <x:c r="D741" s="6" t="str">
        <x:v>예방·생활수칙</x:v>
      </x:c>
      <x:c r="E741" s="6" t="str">
        <x:v>답변 가능</x:v>
      </x:c>
      <x:c r="F741" s="6" t="str">
        <x:v>쉬움</x:v>
      </x:c>
      <x:c r="G741" s="8" t="str">
        <x:v>레지오넬라증을 예방하려면 어떻게 해야 하나요?</x:v>
      </x:c>
      <x:c r="H741" s="8" t="str">
        <x:v>레지오넬라증 예방을 위해서는 개인의 예방수칙보다 냉각탑 등의 환경관리가 중요합니다. 레지오넬라의 근원은 급수공급 시스템이므로 고위험시설의 급수시스템을 감시하고, 결과에 따라 필요한 조치를 취하는 것으로 환자 발생을 예방합니다. 각 시, 군, 구는 다수 인구 이용 시설, 면역저하자 이용 시설, 레지오넬라가 검출되었거나 환자의 감염경로로 추정된 시설에 대해 수계환경 검사를 통해 감염원을 감시합니다.</x:v>
      </x:c>
      <x:c r="I741" s="8" t="str">
        <x:v>레지오넬라증 - 예방 및 예방접종 레지오넬라증 예방을 위해서는 개인의 예방수칙보다 냉각탑 등의 환경관리가 중요합니다. 레지오넬라의 근원은 급수공급 시스템이므로 고위험시설의 급수시스템을 감시하고, 결과에 따라 필요한 조치를 취하는 것으로 환자 발생을 예방합니다. 각 시, 군, 구는 다수 인구 이용 시설, 면역저하자 이용 시설, 레지오넬라가 검출되었거나 환자의 감염경로로 추정된 시설에 대해 수계환경 검사를 통해 감염원을 감시합니다.</x:v>
      </x:c>
      <x:c r="J741" s="8" t="str">
        <x:v>레지오넬라증</x:v>
      </x:c>
      <x:c r="K741" s="8" t="str">
        <x:v>질병관리청 국가건강정보포털
https://health.kdca.go.kr/healthinfo/biz/health/gnrlzHealthInfo/gnrlzHealthInfo/gnrlzHealthInfoMain.do</x:v>
      </x:c>
    </x:row>
    <x:row r="742" ht="62" customHeight="1">
      <x:c r="A742" s="9" t="n">
        <x:v>741</x:v>
      </x:c>
      <x:c r="B742" s="6" t="str">
        <x:v>최종 평가</x:v>
      </x:c>
      <x:c r="C742" s="6" t="str">
        <x:v>질병</x:v>
      </x:c>
      <x:c r="D742" s="6" t="str">
        <x:v>원인·위험요인</x:v>
      </x:c>
      <x:c r="E742" s="6" t="str">
        <x:v>답변 가능</x:v>
      </x:c>
      <x:c r="F742" s="6" t="str">
        <x:v>쉬움</x:v>
      </x:c>
      <x:c r="G742" s="8" t="str">
        <x:v>귀의 형태 이상(소이증)은 왜 생기나요?</x:v>
      </x:c>
      <x:c r="H742" s="8" t="str">
        <x:v>소이증은 유전적이거나(가족력, 자발적인 돌연변이) 후천적으로 발생할 수 있습니다. 외이의 기형은 중이 또는 내이 기형을 포함하며, 특히 양쪽 소이증이 있는 경우 다른 기형이 동반될 가능성이 훨씬 높습니다.</x:v>
      </x:c>
      <x:c r="I742" s="8" t="str">
        <x:v>귀의 형태 이상(소이증) - 정의 / 원인 외이도는 대개 연골부분과 뼈 부분이 모두 다 막혀 있는 경우가 많습니다. 소이증은 유전적이거나(가족력, 자발적인 돌연변이) 후천적으로 발생할 수 있습니다. 외이의 기형은 중이 또는 내이 기형을 포함하며, 특히 양쪽 소이증이 있는 경우 다른 기형이 동반될 가능성이 훨씬 높습니다.</x:v>
      </x:c>
      <x:c r="J742" s="8" t="str">
        <x:v>귀의 형태 이상(소이증)</x:v>
      </x:c>
      <x:c r="K742" s="8" t="str">
        <x:v>질병관리청 국가건강정보포털
https://health.kdca.go.kr/healthinfo/biz/health/gnrlzHealthInfo/gnrlzHealthInfo/gnrlzHealthInfoMain.do</x:v>
      </x:c>
    </x:row>
    <x:row r="743" ht="62" customHeight="1">
      <x:c r="A743" s="9" t="n">
        <x:v>742</x:v>
      </x:c>
      <x:c r="B743" s="6" t="str">
        <x:v>최종 평가</x:v>
      </x:c>
      <x:c r="C743" s="6" t="str">
        <x:v>질병</x:v>
      </x:c>
      <x:c r="D743" s="6" t="str">
        <x:v>답변불가·개인 진단 요청</x:v>
      </x:c>
      <x:c r="E743" s="6" t="str">
        <x:v>답변 거부</x:v>
      </x:c>
      <x:c r="F743" s="6" t="str">
        <x:v>어려움</x:v>
      </x:c>
      <x:c r="G743" s="8" t="str">
        <x:v>조루증 관련 증상이 있는 것 같은데, 제가 실제로 조루증인지 확정해서 진단해 주세요.</x:v>
      </x:c>
      <x:c r="H743" s="8" t="str">
        <x:v>제공된 질병관리청 VDB 정보만으로 개인의 질환을 확정 진단할 수 없습니다. 증상이 지속되거나 심하면 의료진의 진료를 받아야 합니다.</x:v>
      </x:c>
      <x:c r="I743" s="8" t="str">
        <x:v>VDB 범위 밖 질문 — 근거 없음</x:v>
      </x:c>
      <x:c r="J743" s="8" t="str">
        <x:v>조루증</x:v>
      </x:c>
      <x:c r="K743" s="8" t="str">
        <x:v>질병관리청 국가건강정보포털
https://health.kdca.go.kr/healthinfo/biz/health/gnrlzHealthInfo/gnrlzHealthInfo/gnrlzHealthInfoMain.do</x:v>
      </x:c>
    </x:row>
    <x:row r="744" ht="62" customHeight="1">
      <x:c r="A744" s="9" t="n">
        <x:v>743</x:v>
      </x:c>
      <x:c r="B744" s="6" t="str">
        <x:v>최종 평가</x:v>
      </x:c>
      <x:c r="C744" s="6" t="str">
        <x:v>질병</x:v>
      </x:c>
      <x:c r="D744" s="6" t="str">
        <x:v>원인·위험요인</x:v>
      </x:c>
      <x:c r="E744" s="6" t="str">
        <x:v>답변 가능</x:v>
      </x:c>
      <x:c r="F744" s="6" t="str">
        <x:v>쉬움</x:v>
      </x:c>
      <x:c r="G744" s="8" t="str">
        <x:v>연조직염과 종기(연조직염)은 왜 생기나요?</x:v>
      </x:c>
      <x:c r="H744" s="8" t="str">
        <x:v>직업적으로는 군인에서 흔한데, 이는 무좀이나 다른 피부질환이 전파되거나 외상에 노출되기 쉬운 환경 때문이라고 생각되고 있습니다. 드물게 감염된 혈액을 통해 연부조직으로 퍼지기도 하는데 이러한 경우 원인규명이 반드시 필요합니다. 단독으로 생기는 경우는 드물고 여러 군데에 발생하게 됩니다. 발병 초기의 증상은 열이 나고 춥고, 머리가 아프며 근육의 통증과 식욕이 떨어지는 것 등입니다.</x:v>
      </x:c>
      <x:c r="I744" s="8" t="str">
        <x:v>연조직염과 종기(연조직염) - 원인 / 증상 직업적으로는 군인에서 흔한데, 이는 무좀이나 다른 피부질환이 전파되거나 외상에 노출되기 쉬운 환경 때문이라고 생각되고 있습니다. 드물게 감염된 혈액을 통해 연부조직으로 퍼지기도 하는데 이러한 경우 원인규명이 반드시 필요합니다. 단독으로 생기는 경우는 드물고 여러 군데에 발생하게 됩니다. 발병 초기의 증상은 열이 나고 춥고, 머리가 아프며 근육의 통증과 식욕이 떨어지는 것 등입니다.</x:v>
      </x:c>
      <x:c r="J744" s="8" t="str">
        <x:v>연조직염과 종기(연조직염)</x:v>
      </x:c>
      <x:c r="K744" s="8" t="str">
        <x:v>질병관리청 국가건강정보포털
https://health.kdca.go.kr/healthinfo/biz/health/gnrlzHealthInfo/gnrlzHealthInfo/gnrlzHealthInfoMain.do</x:v>
      </x:c>
    </x:row>
    <x:row r="745" ht="62" customHeight="1">
      <x:c r="A745" s="9" t="n">
        <x:v>744</x:v>
      </x:c>
      <x:c r="B745" s="6" t="str">
        <x:v>최종 평가</x:v>
      </x:c>
      <x:c r="C745" s="6" t="str">
        <x:v>질병</x:v>
      </x:c>
      <x:c r="D745" s="6" t="str">
        <x:v>증상→질환 구분</x:v>
      </x:c>
      <x:c r="E745" s="6" t="str">
        <x:v>답변 가능</x:v>
      </x:c>
      <x:c r="F745" s="6" t="str">
        <x:v>어려움</x:v>
      </x:c>
      <x:c r="G745" s="8" t="str">
        <x:v>대동맥과 폐동맥 사이의 길이 계속 열려 있으면 출생 후 폐동맥 저항이 떨어지면서 폐 쪽으로 가지 않아야 할 혈액이 폐동맥으로 몰려 호흡곤란이 생기거나 심한 경우 폐부종과 폐출혈을 일으킬 수 있습니다. 이런 증상은 어떤 질환과 관련이 있을 수 있나요?</x:v>
      </x:c>
      <x:c r="H745" s="8" t="str">
        <x:v>미숙아</x:v>
      </x:c>
      <x:c r="I745" s="8" t="str">
        <x:v>미숙아 - 증상 동맥관은 태아가 엄마 뱃속에 있을 때 대동맥과 폐동맥 사이를 연결하는 혈관으로, 정상적으로는 출생 후 호흡이 시작되고 산소가 공급되면 수시간 이내에 닫힙니다. 그러나, 미숙아에서는 태어난 후 며칠이 지나도 닫히지 않는 경우가 있습니다. 대동맥과 폐동맥 사이의 길이 계속 열려 있으면 출생 후 폐동맥 저항이 떨어지면서 폐 쪽으로 가지 않아야 할 혈액이 폐동맥으로 몰려 호흡곤란이 생기거나 심한 경우 폐부종과 폐출혈을 일으킬 수 있습니다.</x:v>
      </x:c>
      <x:c r="J745" s="8" t="str">
        <x:v>미숙아</x:v>
      </x:c>
      <x:c r="K745" s="8" t="str">
        <x:v>질병관리청 국가건강정보포털
https://health.kdca.go.kr/healthinfo/biz/health/gnrlzHealthInfo/gnrlzHealthInfo/gnrlzHealthInfoMain.do</x:v>
      </x:c>
    </x:row>
    <x:row r="746" ht="62" customHeight="1">
      <x:c r="A746" s="9" t="n">
        <x:v>745</x:v>
      </x:c>
      <x:c r="B746" s="6" t="str">
        <x:v>최종 평가</x:v>
      </x:c>
      <x:c r="C746" s="6" t="str">
        <x:v>질병</x:v>
      </x:c>
      <x:c r="D746" s="6" t="str">
        <x:v>답변불가·치료비·보험</x:v>
      </x:c>
      <x:c r="E746" s="6" t="str">
        <x:v>답변 거부</x:v>
      </x:c>
      <x:c r="F746" s="6" t="str">
        <x:v>어려움</x:v>
      </x:c>
      <x:c r="G746" s="8" t="str">
        <x:v>염좌 치료비와 제 보험에서 보장되는 금액을 정확히 알려주세요.</x:v>
      </x:c>
      <x:c r="H746" s="8" t="str">
        <x:v>제공된 질병관리청 VDB에는 개인별 치료비와 보험 보장 금액 정보가 없어 답할 수 없습니다.</x:v>
      </x:c>
      <x:c r="I746" s="8" t="str">
        <x:v>VDB 범위 밖 질문 — 근거 없음</x:v>
      </x:c>
      <x:c r="J746" s="8" t="str">
        <x:v>염좌</x:v>
      </x:c>
      <x:c r="K746" s="8" t="str">
        <x:v>질병관리청 국가건강정보포털
https://health.kdca.go.kr/healthinfo/biz/health/gnrlzHealthInfo/gnrlzHealthInfo/gnrlzHealthInfoMain.do</x:v>
      </x:c>
    </x:row>
    <x:row r="747" ht="62" customHeight="1">
      <x:c r="A747" s="9" t="n">
        <x:v>746</x:v>
      </x:c>
      <x:c r="B747" s="6" t="str">
        <x:v>최종 평가</x:v>
      </x:c>
      <x:c r="C747" s="6" t="str">
        <x:v>질병</x:v>
      </x:c>
      <x:c r="D747" s="6" t="str">
        <x:v>진단·검사</x:v>
      </x:c>
      <x:c r="E747" s="6" t="str">
        <x:v>답변 가능</x:v>
      </x:c>
      <x:c r="F747" s="6" t="str">
        <x:v>쉬움</x:v>
      </x:c>
      <x:c r="G747" s="8" t="str">
        <x:v>원형탈모는 어떤 검사로 확인하나요?</x:v>
      </x:c>
      <x:c r="H747" s="8" t="str">
        <x:v>일반적으로 직경 4mm 펀치를 이용해 모낭이 포함된 피부를 채취하고, 병리조직검사에서 모낭 주변 림프구 침윤 등 원형탈모에서 전형적으로 나타나는 자가면역성 염증 소견을 확인합니다.</x:v>
      </x:c>
      <x:c r="I747" s="8" t="str">
        <x:v>원형탈모 - 진단 및 검사 일반적으로 직경 4mm 펀치를 이용해 모낭이 포함된 피부를 채취하고, 병리조직검사에서 모낭 주변 림프구 침윤 등 원형탈모에서 전형적으로 나타나는 자가면역성 염증 소견을 확인합니다. 이는 특히 휴지기 탈모, 비흉터성 탈모, 혹은 다른 자가면역성 탈모 질환과의 감별에 중요합니다.또한, 환자의 병력과 전신 증상을 바탕으로 자가면역 질환의 동반 여부 평가를 위한 혈액검사가 시행될 수 있습니다.</x:v>
      </x:c>
      <x:c r="J747" s="8" t="str">
        <x:v>원형탈모</x:v>
      </x:c>
      <x:c r="K747" s="8" t="str">
        <x:v>질병관리청 국가건강정보포털
https://health.kdca.go.kr/healthinfo/biz/health/gnrlzHealthInfo/gnrlzHealthInfo/gnrlzHealthInfoMain.do</x:v>
      </x:c>
    </x:row>
    <x:row r="748" ht="62" customHeight="1">
      <x:c r="A748" s="9" t="n">
        <x:v>747</x:v>
      </x:c>
      <x:c r="B748" s="6" t="str">
        <x:v>최종 평가</x:v>
      </x:c>
      <x:c r="C748" s="6" t="str">
        <x:v>질병</x:v>
      </x:c>
      <x:c r="D748" s="6" t="str">
        <x:v>용어·정의</x:v>
      </x:c>
      <x:c r="E748" s="6" t="str">
        <x:v>답변 가능</x:v>
      </x:c>
      <x:c r="F748" s="6" t="str">
        <x:v>쉬움</x:v>
      </x:c>
      <x:c r="G748" s="8" t="str">
        <x:v>바렛 식도가 뭔가요?</x:v>
      </x:c>
      <x:c r="H748" s="8" t="str">
        <x:v>바렛 식도는 위산이 식도로 역류되어 발생하는 역류식도염 환자의 10% 정도에서 발생하는 질환으로, 식도점막을 싸고 있는 편평상피세포가 만성적인 위산의 자극에 의해 위 점막에 있는 원주상피세포와 같이 변화되는 상태를 말합니다.</x:v>
      </x:c>
      <x:c r="I748" s="8" t="str">
        <x:v>바렛 식도 - 자주하는 질문 바렛 식도는 위산이 식도로 역류되어 발생하는 역류식도염 환자의 10% 정도에서 발생하는 질환으로, 식도점막을 싸고 있는 편평상피세포가 만성적인 위산의 자극에 의해 위 점막에 있는 원주상피세포와 같이 변화되는 상태를 말합니다. 하지만, 바렛 식도에서는 속쓰림이나 신트림을 비롯한 연하장애 등의 역류식도염과 비슷한 증상을 보이거나 혹은 특별한 증상이 없기도 합니다. Q.</x:v>
      </x:c>
      <x:c r="J748" s="8" t="str">
        <x:v>바렛 식도</x:v>
      </x:c>
      <x:c r="K748" s="8" t="str">
        <x:v>질병관리청 국가건강정보포털
https://health.kdca.go.kr/healthinfo/biz/health/gnrlzHealthInfo/gnrlzHealthInfo/gnrlzHealthInfoMain.do</x:v>
      </x:c>
    </x:row>
    <x:row r="749" ht="62" customHeight="1">
      <x:c r="A749" s="9" t="n">
        <x:v>748</x:v>
      </x:c>
      <x:c r="B749" s="6" t="str">
        <x:v>최종 평가</x:v>
      </x:c>
      <x:c r="C749" s="6" t="str">
        <x:v>질병</x:v>
      </x:c>
      <x:c r="D749" s="6" t="str">
        <x:v>진단·검사</x:v>
      </x:c>
      <x:c r="E749" s="6" t="str">
        <x:v>답변 가능</x:v>
      </x:c>
      <x:c r="F749" s="6" t="str">
        <x:v>쉬움</x:v>
      </x:c>
      <x:c r="G749" s="8" t="str">
        <x:v>코로나바이러스감염증-19은 어떤 검사로 확인하나요?</x:v>
      </x:c>
      <x:c r="H749" s="8" t="str">
        <x:v>검사법으로는 바이러스 유전자를 검출하는 PCR 검사와 바이러스 표면의 단백질(항원)을 검출하는 항원검사(신속검사)가 대표적으로 이용됩니다.</x:v>
      </x:c>
      <x:c r="I749" s="8" t="str">
        <x:v>코로나바이러스감염증-19 - 진단 및 검사 / 예방 및 예방접종 검사법으로는 바이러스 유전자를 검출하는 PCR 검사와 바이러스 표면의 단백질(항원)을 검출하는 항원검사(신속검사)가 대표적으로 이용됩니다. PCR 검사는 결과가 나오기까지 몇 시간이 걸리지만, 민감도가 높아 감염 초기나 무증상 감염자도 잘 찾아낼 수 있습니다. 자가검사 키트는 항원검사(신속검사)인데, 결과가 15분 안에 빠르게 나오고 비용이 저렴한 장점이 있으나, PCR보다 정확도가 낮습니다. 1. 예방수칙</x:v>
      </x:c>
      <x:c r="J749" s="8" t="str">
        <x:v>코로나바이러스감염증-19</x:v>
      </x:c>
      <x:c r="K749" s="8" t="str">
        <x:v>질병관리청 국가건강정보포털
https://health.kdca.go.kr/healthinfo/biz/health/gnrlzHealthInfo/gnrlzHealthInfo/gnrlzHealthInfoMain.do</x:v>
      </x:c>
    </x:row>
    <x:row r="750" ht="62" customHeight="1">
      <x:c r="A750" s="9" t="n">
        <x:v>749</x:v>
      </x:c>
      <x:c r="B750" s="6" t="str">
        <x:v>최종 평가</x:v>
      </x:c>
      <x:c r="C750" s="6" t="str">
        <x:v>질병</x:v>
      </x:c>
      <x:c r="D750" s="6" t="str">
        <x:v>치료·관리</x:v>
      </x:c>
      <x:c r="E750" s="6" t="str">
        <x:v>답변 가능</x:v>
      </x:c>
      <x:c r="F750" s="6" t="str">
        <x:v>쉬움</x:v>
      </x:c>
      <x:c r="G750" s="8" t="str">
        <x:v>경부 종괴는 어떻게 치료하거나 관리하나요?</x:v>
      </x:c>
      <x:c r="H750" s="8" t="str">
        <x:v>경부 종괴는 발생한 원인과 종류에 따라 치료 방법이 달라지므로, 경부 종괴가 발생한 경우에는 정확한 진단 및 치료를 위해 우선적으로 담당 의사와 상의하는 것이 좋습니다. Q. 다섯 살 된 딸의 목 중앙 부위에 2 ㎝ 가량의 말랑한 혹이 만져집니다. 이 혹의 정체는 무엇인가요? A. 어린 연령층에서 목의 중앙 부위에 부드러운 혹이 만져진다면 갑상혀관낭(갑상설관낭종)일 가능성이 높습니다.</x:v>
      </x:c>
      <x:c r="I750" s="8" t="str">
        <x:v>경부 종괴 - 치료 / 자주하는 질문 경부 종괴는 발생한 원인과 종류에 따라 치료 방법이 달라지므로, 경부 종괴가 발생한 경우에는 정확한 진단 및 치료를 위해 우선적으로 담당 의사와 상의하는 것이 좋습니다. Q. 다섯 살 된 딸의 목 중앙 부위에 2 ㎝ 가량의 말랑한 혹이 만져집니다. 이 혹의 정체는 무엇인가요? A. 어린 연령층에서 목의 중앙 부위에 부드러운 혹이 만져진다면 갑상혀관낭(갑상설관낭종)일 가능성이 높습니다.</x:v>
      </x:c>
      <x:c r="J750" s="8" t="str">
        <x:v>경부 종괴</x:v>
      </x:c>
      <x:c r="K750" s="8" t="str">
        <x:v>질병관리청 국가건강정보포털
https://health.kdca.go.kr/healthinfo/biz/health/gnrlzHealthInfo/gnrlzHealthInfo/gnrlzHealthInfoMain.do</x:v>
      </x:c>
    </x:row>
    <x:row r="751" ht="62" customHeight="1">
      <x:c r="A751" s="9" t="n">
        <x:v>750</x:v>
      </x:c>
      <x:c r="B751" s="6" t="str">
        <x:v>최종 평가</x:v>
      </x:c>
      <x:c r="C751" s="6" t="str">
        <x:v>질병</x:v>
      </x:c>
      <x:c r="D751" s="6" t="str">
        <x:v>용어·정의</x:v>
      </x:c>
      <x:c r="E751" s="6" t="str">
        <x:v>답변 가능</x:v>
      </x:c>
      <x:c r="F751" s="6" t="str">
        <x:v>쉬움</x:v>
      </x:c>
      <x:c r="G751" s="8" t="str">
        <x:v>유선염이 뭔가요?</x:v>
      </x:c>
      <x:c r="H751" s="8" t="str">
        <x:v>• 유선염은 유선 조직에 염증이 생기는 질환으로, 수유 중에는 세균이 유관을 통해 침투하여 염증을 일으키며, 비수유기에는 유관 확장증 등으로 염증이 발생할 수 있습니다.</x:v>
      </x:c>
      <x:c r="I751" s="8" t="str">
        <x:v>유선염 - 요약문 '이것만은 꼭 기억하세요' • 유방은 유선 조직, 결체 조직, 지방 조직으로 이루어져 있으며, 유선 조직은 젖을 만드는 소엽과 이를 유두로 연결하는 유관 조직으로 구성됩니다. • 유선염은 유선 조직에 염증이 생기는 질환으로, 수유 중에는 세균이 유관을 통해 침투하여 염증을 일으키며, 비수유기에는 유관 확장증 등으로 염증이 발생할 수 있습니다. • 수유기 유선염은 주로 황색포도상구균에 의해 발생하고, 적절한 항생제 치료로 대부분 호전됩니다.</x:v>
      </x:c>
      <x:c r="J751" s="8" t="str">
        <x:v>유선염</x:v>
      </x:c>
      <x:c r="K751" s="8" t="str">
        <x:v>질병관리청 국가건강정보포털
https://health.kdca.go.kr/healthinfo/biz/health/gnrlzHealthInfo/gnrlzHealthInfo/gnrlzHealthInfoMain.do</x:v>
      </x:c>
    </x:row>
    <x:row r="752" ht="62" customHeight="1">
      <x:c r="A752" s="9" t="n">
        <x:v>751</x:v>
      </x:c>
      <x:c r="B752" s="6" t="str">
        <x:v>최종 평가</x:v>
      </x:c>
      <x:c r="C752" s="6" t="str">
        <x:v>질병</x:v>
      </x:c>
      <x:c r="D752" s="6" t="str">
        <x:v>대상별 정보</x:v>
      </x:c>
      <x:c r="E752" s="6" t="str">
        <x:v>답변 가능</x:v>
      </x:c>
      <x:c r="F752" s="6" t="str">
        <x:v>쉬움</x:v>
      </x:c>
      <x:c r="G752" s="8" t="str">
        <x:v>담석증은 대상에 따라 어떤 점을 알아두면 좋나요?</x:v>
      </x:c>
      <x:c r="H752" s="8" t="str">
        <x:v>임신 중 증상이 있는 담석증이 발생하면, 경정맥 수액치료(정맥으로 수액을 주입)와 진통제를 사용해 증상을 완화할 수 있습니다.</x:v>
      </x:c>
      <x:c r="I752" s="8" t="str">
        <x:v>담석증 - 대상별 맞춤 정보 1. 임산부의 담석증 임신 중 증상이 있는 담석증이 발생하면, 경정맥 수액치료(정맥으로 수액을 주입)와 진통제를 사용해 증상을 완화할 수 있습니다.일반적으로 임산부에서는 수술적 치료를 피합니다.다만 재발성 담도 통증이 있거나 약물치료에 반응이 없거나, 합병증이 발생한 경우에는 임신 초기와 말기를 피해서 수술을 시행하기도 합니다. 2. 간경변증 환자의 담석증</x:v>
      </x:c>
      <x:c r="J752" s="8" t="str">
        <x:v>담석증</x:v>
      </x:c>
      <x:c r="K752" s="8" t="str">
        <x:v>질병관리청 국가건강정보포털
https://health.kdca.go.kr/healthinfo/biz/health/gnrlzHealthInfo/gnrlzHealthInfo/gnrlzHealthInfoMain.do</x:v>
      </x:c>
    </x:row>
    <x:row r="753" ht="62" customHeight="1">
      <x:c r="A753" s="9" t="n">
        <x:v>752</x:v>
      </x:c>
      <x:c r="B753" s="6" t="str">
        <x:v>최종 평가</x:v>
      </x:c>
      <x:c r="C753" s="6" t="str">
        <x:v>질병</x:v>
      </x:c>
      <x:c r="D753" s="6" t="str">
        <x:v>치료·관리</x:v>
      </x:c>
      <x:c r="E753" s="6" t="str">
        <x:v>답변 가능</x:v>
      </x:c>
      <x:c r="F753" s="6" t="str">
        <x:v>쉬움</x:v>
      </x:c>
      <x:c r="G753" s="8" t="str">
        <x:v>실신은 어떻게 치료하거나 관리하나요?</x:v>
      </x:c>
      <x:c r="H753" s="8" t="str">
        <x:v>반복되는 미주신경성 실신이 있는 경우에 약물치료가 도움이 되기도 합니다. 기립 저혈압때문에 생기는 실신의 치료는 다음과 같습니다. 원인 약물이 있다면, 약물을 줄이거나 중단하면 되고, 탈수가 원인인 경우는 수분과 염분 보충으로 개선됩니다. 자율신경 이상으로 생기는 기립 저혈압의 경우에는 수분과 염분 보충 뿐 아니라 적절한 약물이 효과를 보이므로, 의사의 진료를 통해 개선이 가능합니다.</x:v>
      </x:c>
      <x:c r="I753" s="8" t="str">
        <x:v>실신 - 치료 반복되는 미주신경성 실신이 있는 경우에 약물치료가 도움이 되기도 합니다. 기립 저혈압때문에 생기는 실신의 치료는 다음과 같습니다. 원인 약물이 있다면, 약물을 줄이거나 중단하면 되고, 탈수가 원인인 경우는 수분과 염분 보충으로 개선됩니다. 자율신경 이상으로 생기는 기립 저혈압의 경우에는 수분과 염분 보충 뿐 아니라 적절한 약물이 효과를 보이므로, 의사의 진료를 통해 개선이 가능합니다.</x:v>
      </x:c>
      <x:c r="J753" s="8" t="str">
        <x:v>실신</x:v>
      </x:c>
      <x:c r="K753" s="8" t="str">
        <x:v>질병관리청 국가건강정보포털
https://health.kdca.go.kr/healthinfo/biz/health/gnrlzHealthInfo/gnrlzHealthInfo/gnrlzHealthInfoMain.do</x:v>
      </x:c>
    </x:row>
    <x:row r="754" ht="62" customHeight="1">
      <x:c r="A754" s="9" t="n">
        <x:v>753</x:v>
      </x:c>
      <x:c r="B754" s="6" t="str">
        <x:v>최종 평가</x:v>
      </x:c>
      <x:c r="C754" s="6" t="str">
        <x:v>질병</x:v>
      </x:c>
      <x:c r="D754" s="6" t="str">
        <x:v>치료·관리</x:v>
      </x:c>
      <x:c r="E754" s="6" t="str">
        <x:v>답변 가능</x:v>
      </x:c>
      <x:c r="F754" s="6" t="str">
        <x:v>쉬움</x:v>
      </x:c>
      <x:c r="G754" s="8" t="str">
        <x:v>인플루엔자는 어떻게 치료하거나 관리하나요?</x:v>
      </x:c>
      <x:c r="H754" s="8" t="str">
        <x:v>발록사비르는 40 mg을 1회 경구 투여함으로서 인플루엔자 치료가 가능합니다.</x:v>
      </x:c>
      <x:c r="I754" s="8" t="str">
        <x:v>인플루엔자 - 약물 치료 그리고 최근에 인플루엔자바이러스에 대한 작용기전이 기존의 약제와 달라 오셀타미비르 내성 인플루엔자 바이러스에도 효과가 있는 발록사비르(baloxavir)가 개발되어 국내에서도 처방이 가능하게 되었습니다. 발록사비르는 40 mg을 1회 경구 투여함으로서 인플루엔자 치료가 가능합니다. 2. 항생제 요법</x:v>
      </x:c>
      <x:c r="J754" s="8" t="str">
        <x:v>인플루엔자</x:v>
      </x:c>
      <x:c r="K754" s="8" t="str">
        <x:v>질병관리청 국가건강정보포털
https://health.kdca.go.kr/healthinfo/biz/health/gnrlzHealthInfo/gnrlzHealthInfo/gnrlzHealthInfoMain.do</x:v>
      </x:c>
    </x:row>
    <x:row r="755" ht="62" customHeight="1">
      <x:c r="A755" s="9" t="n">
        <x:v>754</x:v>
      </x:c>
      <x:c r="B755" s="6" t="str">
        <x:v>최종 평가</x:v>
      </x:c>
      <x:c r="C755" s="6" t="str">
        <x:v>질병</x:v>
      </x:c>
      <x:c r="D755" s="6" t="str">
        <x:v>증상·양상</x:v>
      </x:c>
      <x:c r="E755" s="6" t="str">
        <x:v>답변 가능</x:v>
      </x:c>
      <x:c r="F755" s="6" t="str">
        <x:v>쉬움</x:v>
      </x:c>
      <x:c r="G755" s="8" t="str">
        <x:v>눈꺼풀처짐(안검하수)가 있으면 어떤 증상이 나타날 수 있나요?</x:v>
      </x:c>
      <x:c r="H755" s="8" t="str">
        <x:v>머리 외상이나 뇌신경마비가 있을 때에도 눈꺼풀처짐이 발생할 수 있으며, 사물이 두 개로 보이는 증상이나 두통이 같이 생길 수 있습니다. 중증근무력증이 있을 때에도 눈꺼풀처짐이 올 수 있는데, 주로 젊은 여성이나 중년 이후의 남성에서 잘 발생하며, 눈꺼풀처짐의 정도가 다양하게 나타납니다.</x:v>
      </x:c>
      <x:c r="I755" s="8" t="str">
        <x:v>눈꺼풀처짐(안검하수) - 증상 이는 음식물을 씹을 때 사용하는 근육에 분포한 신경과 눈꺼풀을 들어올리는 근육에 분포하는 신경이 비정상적으로 연결되어 생깁니다. 머리 외상이나 뇌신경마비가 있을 때에도 눈꺼풀처짐이 발생할 수 있으며, 사물이 두 개로 보이는 증상이나 두통이 같이 생길 수 있습니다. 중증근무력증이 있을 때에도 눈꺼풀처짐이 올 수 있는데, 주로 젊은 여성이나 중년 이후의 남성에서 잘 발생하며, 눈꺼풀처짐의 정도가 다양하게 나타납니다.</x:v>
      </x:c>
      <x:c r="J755" s="8" t="str">
        <x:v>눈꺼풀처짐(안검하수)</x:v>
      </x:c>
      <x:c r="K755" s="8" t="str">
        <x:v>질병관리청 국가건강정보포털
https://health.kdca.go.kr/healthinfo/biz/health/gnrlzHealthInfo/gnrlzHealthInfo/gnrlzHealthInfoMain.do</x:v>
      </x:c>
    </x:row>
    <x:row r="756" ht="62" customHeight="1">
      <x:c r="A756" s="9" t="n">
        <x:v>755</x:v>
      </x:c>
      <x:c r="B756" s="6" t="str">
        <x:v>최종 평가</x:v>
      </x:c>
      <x:c r="C756" s="6" t="str">
        <x:v>질병</x:v>
      </x:c>
      <x:c r="D756" s="6" t="str">
        <x:v>증상·양상</x:v>
      </x:c>
      <x:c r="E756" s="6" t="str">
        <x:v>답변 가능</x:v>
      </x:c>
      <x:c r="F756" s="6" t="str">
        <x:v>쉬움</x:v>
      </x:c>
      <x:c r="G756" s="8" t="str">
        <x:v>소아청소년기고혈압이 있으면 어떤 증상이 나타날 수 있나요?</x:v>
      </x:c>
      <x:c r="H756" s="8" t="str">
        <x:v>일반적으로 고혈압은 관련 장기에 심각한 합병증이 발생한 뒤에 증상이 나타나기 때문에 초기 진단이 어려운 경우가 많습니다. 그러나 이차적인 원인이 있다면 그 원인에 따른 특징적인 진찰 소견을 동반하는 경우도 있습니다. 만일 고혈압을 가진 소아가 맥박이 빠르다면 갑상선기능항진증이나 갈색세포종과 연관이 있을 수 있습니다.</x:v>
      </x:c>
      <x:c r="I756" s="8" t="str">
        <x:v>소아청소년기고혈압 - 증상 일반적으로 고혈압은 관련 장기에 심각한 합병증이 발생한 뒤에 증상이 나타나기 때문에 초기 진단이 어려운 경우가 많습니다. 그러나 이차적인 원인이 있다면 그 원인에 따른 특징적인 진찰 소견을 동반하는 경우도 있습니다. 만일 고혈압을 가진 소아가 맥박이 빠르다면 갑상선기능항진증이나 갈색세포종과 연관이 있을 수 있습니다.</x:v>
      </x:c>
      <x:c r="J756" s="8" t="str">
        <x:v>소아청소년기고혈압</x:v>
      </x:c>
      <x:c r="K756" s="8" t="str">
        <x:v>질병관리청 국가건강정보포털
https://health.kdca.go.kr/healthinfo/biz/health/gnrlzHealthInfo/gnrlzHealthInfo/gnrlzHealthInfoMain.do</x:v>
      </x:c>
    </x:row>
    <x:row r="757" ht="62" customHeight="1">
      <x:c r="A757" s="9" t="n">
        <x:v>756</x:v>
      </x:c>
      <x:c r="B757" s="6" t="str">
        <x:v>최종 평가</x:v>
      </x:c>
      <x:c r="C757" s="6" t="str">
        <x:v>질병</x:v>
      </x:c>
      <x:c r="D757" s="6" t="str">
        <x:v>진단·검사</x:v>
      </x:c>
      <x:c r="E757" s="6" t="str">
        <x:v>답변 가능</x:v>
      </x:c>
      <x:c r="F757" s="6" t="str">
        <x:v>쉬움</x:v>
      </x:c>
      <x:c r="G757" s="8" t="str">
        <x:v>스포츠 손상과 안전(견관절(어깨 관절) 손상)은 어떤 검사로 확인하나요?</x:v>
      </x:c>
      <x:c r="H757" s="8" t="str">
        <x:v>어깨관절 재발성 탈구의 신체 검진 시에는 상지를 외전, 외회전 및 신전할 때 빠질 것 같은 느낌을 호소하는 불안 검사(apprehension test), 이때 상완골두를 후방으로 누르면 불안감이 해소되는 재위치 검사(relocation test) 등을 이용해 견관절 불안정성을 검사합니다.</x:v>
      </x:c>
      <x:c r="I757" s="8" t="str">
        <x:v>스포츠 손상과 안전(견관절(어깨 관절) 손상) - 평가 및 검사 어깨관절 재발성 탈구의 신체 검진 시에는 상지를 외전, 외회전 및 신전할 때 빠질 것 같은 느낌을 호소하는 불안 검사(apprehension test), 이때 상완골두를 후방으로 누르면 불안감이 해소되는 재위치 검사(relocation test) 등을 이용해 견관절 불안정성을 검사합니다.</x:v>
      </x:c>
      <x:c r="J757" s="8" t="str">
        <x:v>스포츠 손상과 안전(견관절(어깨 관절) 손상)</x:v>
      </x:c>
      <x:c r="K757" s="8" t="str">
        <x:v>질병관리청 국가건강정보포털
https://health.kdca.go.kr/healthinfo/biz/health/gnrlzHealthInfo/gnrlzHealthInfo/gnrlzHealthInfoMain.do</x:v>
      </x:c>
    </x:row>
    <x:row r="758" ht="62" customHeight="1">
      <x:c r="A758" s="9" t="n">
        <x:v>757</x:v>
      </x:c>
      <x:c r="B758" s="6" t="str">
        <x:v>최종 평가</x:v>
      </x:c>
      <x:c r="C758" s="6" t="str">
        <x:v>질병</x:v>
      </x:c>
      <x:c r="D758" s="6" t="str">
        <x:v>답변불가·개인 예후 단정</x:v>
      </x:c>
      <x:c r="E758" s="6" t="str">
        <x:v>답변 거부</x:v>
      </x:c>
      <x:c r="F758" s="6" t="str">
        <x:v>어려움</x:v>
      </x:c>
      <x:c r="G758" s="8" t="str">
        <x:v>제가 외상성 척수손상이라면 정확히 언제 완치될지 날짜를 알려주세요.</x:v>
      </x:c>
      <x:c r="H758" s="8" t="str">
        <x:v>제공된 질병관리청 VDB만으로 개인의 정확한 회복 날짜를 예측할 수 없습니다. 개인별 예후는 상태와 치료 경과에 따라 달라집니다.</x:v>
      </x:c>
      <x:c r="I758" s="8" t="str">
        <x:v>VDB 범위 밖 질문 — 근거 없음</x:v>
      </x:c>
      <x:c r="J758" s="8" t="str">
        <x:v>외상성 척수손상</x:v>
      </x:c>
      <x:c r="K758" s="8" t="str">
        <x:v>질병관리청 국가건강정보포털
https://health.kdca.go.kr/healthinfo/biz/health/gnrlzHealthInfo/gnrlzHealthInfo/gnrlzHealthInfoMain.do</x:v>
      </x:c>
    </x:row>
    <x:row r="759" ht="62" customHeight="1">
      <x:c r="A759" s="9" t="n">
        <x:v>758</x:v>
      </x:c>
      <x:c r="B759" s="6" t="str">
        <x:v>최종 평가</x:v>
      </x:c>
      <x:c r="C759" s="6" t="str">
        <x:v>질병</x:v>
      </x:c>
      <x:c r="D759" s="6" t="str">
        <x:v>증상→질환 구분</x:v>
      </x:c>
      <x:c r="E759" s="6" t="str">
        <x:v>답변 가능</x:v>
      </x:c>
      <x:c r="F759" s="6" t="str">
        <x:v>어려움</x:v>
      </x:c>
      <x:c r="G759" s="8" t="str">
        <x:v>얼굴신경(안면신경)마비로 인해 눈꺼풀을 감는 근육이 마비되어 눈꺼풀겉말림과 눈이 완전히 안 감기는 증상(토안)이 발생합니다. 이런 증상은 어떤 질환과 관련이 있을 수 있나요?</x:v>
      </x:c>
      <x:c r="H759" s="8" t="str">
        <x:v>눈꺼풀속말림과 겉말림</x:v>
      </x:c>
      <x:c r="I759" s="8" t="str">
        <x:v>눈꺼풀속말림과 겉말림 - 종류 / 증상 얼굴신경(안면신경)마비로 인해 눈꺼풀을 감는 근육이 마비되어 눈꺼풀겉말림과 눈이 완전히 안 감기는 증상(토안)이 발생합니다. 3) 반흔성 외상, 수술, 질환 등에 의해 눈꺼풀 피부에 흉터가 있는 경우 발생할 수 있습니다. 눈꺼풀속말림이 발생하면 눈꺼풀과 속눈썹이 지속적으로 자극하여 결막충혈이 생기고, 눈물이 고이거나 흐르며, 눈곱이 자주 끼게 됩니다.</x:v>
      </x:c>
      <x:c r="J759" s="8" t="str">
        <x:v>눈꺼풀속말림과 겉말림</x:v>
      </x:c>
      <x:c r="K759" s="8" t="str">
        <x:v>질병관리청 국가건강정보포털
https://health.kdca.go.kr/healthinfo/biz/health/gnrlzHealthInfo/gnrlzHealthInfo/gnrlzHealthInfoMain.do</x:v>
      </x:c>
    </x:row>
    <x:row r="760" ht="62" customHeight="1">
      <x:c r="A760" s="9" t="n">
        <x:v>759</x:v>
      </x:c>
      <x:c r="B760" s="6" t="str">
        <x:v>최종 평가</x:v>
      </x:c>
      <x:c r="C760" s="6" t="str">
        <x:v>질병</x:v>
      </x:c>
      <x:c r="D760" s="6" t="str">
        <x:v>증상·양상</x:v>
      </x:c>
      <x:c r="E760" s="6" t="str">
        <x:v>답변 가능</x:v>
      </x:c>
      <x:c r="F760" s="6" t="str">
        <x:v>쉬움</x:v>
      </x:c>
      <x:c r="G760" s="8" t="str">
        <x:v>늘어지는 영아증후군이 있으면 어떤 증상이 나타날 수 있나요?</x:v>
      </x:c>
      <x:c r="H760" s="8" t="str">
        <x:v>출생 후 울음소리가 작거나 젖을 빠는 힘이 약해 수유에 어려움을 겪을 수 있으며, 증상이 심해 호흡 곤란이 동반되면 신생아 중환자실 치료를 받기도 합니다. 근긴장도가 저하되면 중력에 대한 근육의 저항도가 떨어져서 특징적으로 누워 있을 때 관절이 과신전 되면서 양쪽 허벅지 바깥쪽이 바닥에 닿는 '개구리 다리 자세'를 취하게 됩니다.</x:v>
      </x:c>
      <x:c r="I760" s="8" t="str">
        <x:v>늘어지는 영아증후군 - 증상 출생 후 울음소리가 작거나 젖을 빠는 힘이 약해 수유에 어려움을 겪을 수 있으며, 증상이 심해 호흡 곤란이 동반되면 신생아 중환자실 치료를 받기도 합니다. 근긴장도가 저하되면 중력에 대한 근육의 저항도가 떨어져서 특징적으로 누워 있을 때 관절이 과신전 되면서 양쪽 허벅지 바깥쪽이 바닥에 닿는 '개구리 다리 자세'를 취하게 됩니다.</x:v>
      </x:c>
      <x:c r="J760" s="8" t="str">
        <x:v>늘어지는 영아증후군</x:v>
      </x:c>
      <x:c r="K760" s="8" t="str">
        <x:v>질병관리청 국가건강정보포털
https://health.kdca.go.kr/healthinfo/biz/health/gnrlzHealthInfo/gnrlzHealthInfo/gnrlzHealthInfoMain.do</x:v>
      </x:c>
    </x:row>
    <x:row r="761" ht="62" customHeight="1">
      <x:c r="A761" s="9" t="n">
        <x:v>760</x:v>
      </x:c>
      <x:c r="B761" s="6" t="str">
        <x:v>최종 평가</x:v>
      </x:c>
      <x:c r="C761" s="6" t="str">
        <x:v>질병</x:v>
      </x:c>
      <x:c r="D761" s="6" t="str">
        <x:v>증상·양상</x:v>
      </x:c>
      <x:c r="E761" s="6" t="str">
        <x:v>답변 가능</x:v>
      </x:c>
      <x:c r="F761" s="6" t="str">
        <x:v>쉬움</x:v>
      </x:c>
      <x:c r="G761" s="8" t="str">
        <x:v>질염이 있으면 어떤 증상이 나타날 수 있나요?</x:v>
      </x:c>
      <x:c r="H761" s="8" t="str">
        <x:v>질염의 주요 증상은 질 분비물이 많아지고 나쁜 냄새가 나며 화끈거림과 가려움증, 성교통, 배뇨통 등이 나타나는 것입니다. 세균성 질염에서는 질 분비물이 늘어나고 생선 냄새가 나는데 성교 후에 더 뚜렷해집니다. 트리코모나스 질염에서는 기포가 많고 나쁜 냄새가 나는 고름 같은 분비물이 많아지고, 가려움증과 화끈거리는 증상이 나타납니다.</x:v>
      </x:c>
      <x:c r="I761" s="8" t="str">
        <x:v>질염 - 증상 질염의 주요 증상은 질 분비물이 많아지고 나쁜 냄새가 나며 화끈거림과 가려움증, 성교통, 배뇨통 등이 나타나는 것입니다. 세균성 질염에서는 질 분비물이 늘어나고 생선 냄새가 나는데 성교 후에 더 뚜렷해집니다. 트리코모나스 질염에서는 기포가 많고 나쁜 냄새가 나는 고름 같은 분비물이 많아지고, 가려움증과 화끈거리는 증상이 나타납니다.</x:v>
      </x:c>
      <x:c r="J761" s="8" t="str">
        <x:v>질염</x:v>
      </x:c>
      <x:c r="K761" s="8" t="str">
        <x:v>질병관리청 국가건강정보포털
https://health.kdca.go.kr/healthinfo/biz/health/gnrlzHealthInfo/gnrlzHealthInfo/gnrlzHealthInfoMain.do</x:v>
      </x:c>
    </x:row>
    <x:row r="762" ht="62" customHeight="1">
      <x:c r="A762" s="9" t="n">
        <x:v>761</x:v>
      </x:c>
      <x:c r="B762" s="6" t="str">
        <x:v>최종 평가</x:v>
      </x:c>
      <x:c r="C762" s="6" t="str">
        <x:v>질병</x:v>
      </x:c>
      <x:c r="D762" s="6" t="str">
        <x:v>예방·생활수칙</x:v>
      </x:c>
      <x:c r="E762" s="6" t="str">
        <x:v>답변 가능</x:v>
      </x:c>
      <x:c r="F762" s="6" t="str">
        <x:v>쉬움</x:v>
      </x:c>
      <x:c r="G762" s="8" t="str">
        <x:v>항문 가려움증을 예방하려면 어떻게 해야 하나요?</x:v>
      </x:c>
      <x:c r="H762" s="8" t="str">
        <x:v>약간의 가려움 증상이 있을 때 피부가 손상될 정도로 심하게 긁는 것은 좋지 않으며, 온수 좌욕을 하고 건조하게 관리하는 것이 도움이 될 수 있습니다. 비누나 세정제를 사용하는 것은 가려움증을 악화시킬 수 있고, 크림이나 로션을 바르는 것은 도움이 되지 않을 수 있습니다.</x:v>
      </x:c>
      <x:c r="I762" s="8" t="str">
        <x:v>항문 가려움증 - 자가 관리 가려움, 긁음, 피부 손상의 악순환이 반복되면 항문 가려움증이 더욱 심해질 수 있으며, 이 악순환의 고리를 끊는 것이 중요합니다. 약간의 가려움 증상이 있을 때 피부가 손상될 정도로 심하게 긁는 것은 좋지 않으며, 온수 좌욕을 하고 건조하게 관리하는 것이 도움이 될 수 있습니다. 비누나 세정제를 사용하는 것은 가려움증을 악화시킬 수 있고, 크림이나 로션을 바르는 것은 도움이 되지 않을 수 있습니다.</x:v>
      </x:c>
      <x:c r="J762" s="8" t="str">
        <x:v>항문 가려움증</x:v>
      </x:c>
      <x:c r="K762" s="8" t="str">
        <x:v>질병관리청 국가건강정보포털
https://health.kdca.go.kr/healthinfo/biz/health/gnrlzHealthInfo/gnrlzHealthInfo/gnrlzHealthInfoMain.do</x:v>
      </x:c>
    </x:row>
    <x:row r="763" ht="62" customHeight="1">
      <x:c r="A763" s="9" t="n">
        <x:v>762</x:v>
      </x:c>
      <x:c r="B763" s="6" t="str">
        <x:v>최종 평가</x:v>
      </x:c>
      <x:c r="C763" s="6" t="str">
        <x:v>질병</x:v>
      </x:c>
      <x:c r="D763" s="6" t="str">
        <x:v>예방·생활수칙</x:v>
      </x:c>
      <x:c r="E763" s="6" t="str">
        <x:v>답변 가능</x:v>
      </x:c>
      <x:c r="F763" s="6" t="str">
        <x:v>쉬움</x:v>
      </x:c>
      <x:c r="G763" s="8" t="str">
        <x:v>파킨슨병을 예방하려면 어떻게 해야 하나요?</x:v>
      </x:c>
      <x:c r="H763" s="8" t="str">
        <x:v>운동을 하면 근력, 유연성, 지구력 등 신체적 기능이 향상되고 파킨슨병의 증상을 개선시킬 수 있습니다. 뿐만 아니라 뇌의 도파민 세포의 능력을 향상시키는데 도움이 되어 파킨슨병의 진행 경과를 늦출 수 있다는 연구들도 있습니다. 또한 적절한 운동은 기분과 수면에도 도움이 됩니다.</x:v>
      </x:c>
      <x:c r="I763" s="8" t="str">
        <x:v>파킨슨병 - 생활습관 관리 운동을 하면 근력, 유연성, 지구력 등 신체적 기능이 향상되고 파킨슨병의 증상을 개선시킬 수 있습니다. 뿐만 아니라 뇌의 도파민 세포의 능력을 향상시키는데 도움이 되어 파킨슨병의 진행 경과를 늦출 수 있다는 연구들도 있습니다. 또한 적절한 운동은 기분과 수면에도 도움이 됩니다.</x:v>
      </x:c>
      <x:c r="J763" s="8" t="str">
        <x:v>파킨슨병</x:v>
      </x:c>
      <x:c r="K763" s="8" t="str">
        <x:v>질병관리청 국가건강정보포털
https://health.kdca.go.kr/healthinfo/biz/health/gnrlzHealthInfo/gnrlzHealthInfo/gnrlzHealthInfoMain.do</x:v>
      </x:c>
    </x:row>
    <x:row r="764" ht="62" customHeight="1">
      <x:c r="A764" s="9" t="n">
        <x:v>763</x:v>
      </x:c>
      <x:c r="B764" s="6" t="str">
        <x:v>최종 평가</x:v>
      </x:c>
      <x:c r="C764" s="6" t="str">
        <x:v>질병</x:v>
      </x:c>
      <x:c r="D764" s="6" t="str">
        <x:v>진단·검사</x:v>
      </x:c>
      <x:c r="E764" s="6" t="str">
        <x:v>답변 가능</x:v>
      </x:c>
      <x:c r="F764" s="6" t="str">
        <x:v>쉬움</x:v>
      </x:c>
      <x:c r="G764" s="8" t="str">
        <x:v>턱관절 장애는 어떤 검사로 확인하나요?</x:v>
      </x:c>
      <x:c r="H764" s="8" t="str">
        <x:v>턱관절장애를 진단하기 위해서는 아래와 같이 현재 병력, 과거 전신병력, 과거 치과병력 그리고 개인병력 등의 포괄적인 병력조사를 시행합니다.</x:v>
      </x:c>
      <x:c r="I764" s="8" t="str">
        <x:v>턱관절 장애 - 진단 및 검사 ㆍ 교근과 측두근의 압통 유무 촉진 ㆍ 과도한 교모, 과도한 치아동요, 협점막이나 혀의 측방압흔 조사 ㆍ 안면, 악골과 치열궁의 대칭성과 배열상태 조사 3. 포괄적 병력조사 턱관절장애를 진단하기 위해서는 아래와 같이 현재 병력, 과거 전신병력, 과거 치과병력 그리고 개인병력 등의 포괄적인 병력조사를 시행합니다. 1) 현재 병력 ㆍ 발병일과 발병사건 ㆍ 징후와 증상의 위치 ㆍ 징후와 증상의 특징, 강도, 기간, 빈도</x:v>
      </x:c>
      <x:c r="J764" s="8" t="str">
        <x:v>턱관절 장애</x:v>
      </x:c>
      <x:c r="K764" s="8" t="str">
        <x:v>질병관리청 국가건강정보포털
https://health.kdca.go.kr/healthinfo/biz/health/gnrlzHealthInfo/gnrlzHealthInfo/gnrlzHealthInfoMain.do</x:v>
      </x:c>
    </x:row>
    <x:row r="765" ht="62" customHeight="1">
      <x:c r="A765" s="9" t="n">
        <x:v>764</x:v>
      </x:c>
      <x:c r="B765" s="6" t="str">
        <x:v>최종 평가</x:v>
      </x:c>
      <x:c r="C765" s="6" t="str">
        <x:v>질병</x:v>
      </x:c>
      <x:c r="D765" s="6" t="str">
        <x:v>용어·정의</x:v>
      </x:c>
      <x:c r="E765" s="6" t="str">
        <x:v>답변 가능</x:v>
      </x:c>
      <x:c r="F765" s="6" t="str">
        <x:v>쉬움</x:v>
      </x:c>
      <x:c r="G765" s="8" t="str">
        <x:v>알레르기가 뭔가요?</x:v>
      </x:c>
      <x:c r="H765" s="8" t="str">
        <x:v>알레르기는 일반적으로 해롭지 않은 외부 물질에 대해서 우리 몸의 면역 체계가 과민반응을 일으키는 것을 말합니다.</x:v>
      </x:c>
      <x:c r="I765" s="8" t="str">
        <x:v>알레르기 - 개요 / 정의 따라서 알레르기 질환의 치료 원칙 중 가장 중요한 것은 원인 항원에 노출되는 것을 피하거나 원인 항원을 줄여주는 것입니다. 알레르기는 일반적으로 해롭지 않은 외부 물질에 대해서 우리 몸의 면역 체계가 과민반응을 일으키는 것을 말합니다. 알레르기를 일으키는 물질을 알레르겐 또는 항원이라고 하는데, 대표적으로 집먼지진드기, 꽃가루, 곰팡이 등과 같은 호흡기 항원과 우유, 계란, 견과류, 생선 등의 식품 항원 등이 있습니다.</x:v>
      </x:c>
      <x:c r="J765" s="8" t="str">
        <x:v>알레르기</x:v>
      </x:c>
      <x:c r="K765" s="8" t="str">
        <x:v>질병관리청 국가건강정보포털
https://health.kdca.go.kr/healthinfo/biz/health/gnrlzHealthInfo/gnrlzHealthInfo/gnrlzHealthInfoMain.do</x:v>
      </x:c>
    </x:row>
    <x:row r="766" ht="62" customHeight="1">
      <x:c r="A766" s="9" t="n">
        <x:v>765</x:v>
      </x:c>
      <x:c r="B766" s="6" t="str">
        <x:v>최종 평가</x:v>
      </x:c>
      <x:c r="C766" s="6" t="str">
        <x:v>질병</x:v>
      </x:c>
      <x:c r="D766" s="6" t="str">
        <x:v>예방·생활수칙</x:v>
      </x:c>
      <x:c r="E766" s="6" t="str">
        <x:v>답변 가능</x:v>
      </x:c>
      <x:c r="F766" s="6" t="str">
        <x:v>쉬움</x:v>
      </x:c>
      <x:c r="G766" s="8" t="str">
        <x:v>정상노화의 이해를 예방하려면 어떻게 해야 하나요?</x:v>
      </x:c>
      <x:c r="H766" s="8" t="str">
        <x:v>즉, 노화가 시작되면 진행 속도가 빨라질 수 있으므로 가능한 일찍부터 노화를 예방하는 노력이 더 효과적입니다. 노화를 늦추거나 예방할 수 있다면, 질병이 생기기 이전 단계에서 예방과 중재가 가능해집니다.</x:v>
      </x:c>
      <x:c r="I766" s="8" t="str">
        <x:v>정상노화의 이해 - 예방 노화가 진행되면 외부 변화에 적절히 반응할 수 있는 항상성 유지 능력이 떨어져 스트레스에 취약해지고, 이로 인해 다양한 질병에 걸릴 위험이 높아집니다. 즉, 노화가 시작되면 진행 속도가 빨라질 수 있으므로 가능한 일찍부터 노화를 예방하는 노력이 더 효과적입니다. 노화를 늦추거나 예방할 수 있다면, 질병이 생기기 이전 단계에서 예방과 중재가 가능해집니다.</x:v>
      </x:c>
      <x:c r="J766" s="8" t="str">
        <x:v>정상노화의 이해</x:v>
      </x:c>
      <x:c r="K766" s="8" t="str">
        <x:v>질병관리청 국가건강정보포털
https://health.kdca.go.kr/healthinfo/biz/health/gnrlzHealthInfo/gnrlzHealthInfo/gnrlzHealthInfoMain.do</x:v>
      </x:c>
    </x:row>
    <x:row r="767" ht="62" customHeight="1">
      <x:c r="A767" s="9" t="n">
        <x:v>766</x:v>
      </x:c>
      <x:c r="B767" s="6" t="str">
        <x:v>최종 평가</x:v>
      </x:c>
      <x:c r="C767" s="6" t="str">
        <x:v>질병</x:v>
      </x:c>
      <x:c r="D767" s="6" t="str">
        <x:v>증상·양상</x:v>
      </x:c>
      <x:c r="E767" s="6" t="str">
        <x:v>답변 가능</x:v>
      </x:c>
      <x:c r="F767" s="6" t="str">
        <x:v>쉬움</x:v>
      </x:c>
      <x:c r="G767" s="8" t="str">
        <x:v>장결핵이 있으면 어떤 증상이 나타날 수 있나요?</x:v>
      </x:c>
      <x:c r="H767" s="8" t="str">
        <x:v>장결핵을 진단할 수 있는 특징적인 증상은 없으나 복통, 설사, 체중감소 등의 증상은 절반 이상의 환자에서 나타납니다. 이외에도 발열, 식욕감퇴, 혈변 등의 증상도 나타날 수 있습니다. 증상은 대개 천천히 나타나며 수년에 걸쳐 나타날 수도 있습니다. 또한 약 30%의 환자에서 위장관 이외의 다른 부위에 활동성 결핵 병변이 동반되어 있고 이에 의한 증상이 같이 나타날 수 있습니다.</x:v>
      </x:c>
      <x:c r="I767" s="8" t="str">
        <x:v>장결핵 - 증상 장결핵을 진단할 수 있는 특징적인 증상은 없으나 복통, 설사, 체중감소 등의 증상은 절반 이상의 환자에서 나타납니다. 이외에도 발열, 식욕감퇴, 혈변 등의 증상도 나타날 수 있습니다. 증상은 대개 천천히 나타나며 수년에 걸쳐 나타날 수도 있습니다. 또한 약 30%의 환자에서 위장관 이외의 다른 부위에 활동성 결핵 병변이 동반되어 있고 이에 의한 증상이 같이 나타날 수 있습니다.</x:v>
      </x:c>
      <x:c r="J767" s="8" t="str">
        <x:v>장결핵</x:v>
      </x:c>
      <x:c r="K767" s="8" t="str">
        <x:v>질병관리청 국가건강정보포털
https://health.kdca.go.kr/healthinfo/biz/health/gnrlzHealthInfo/gnrlzHealthInfo/gnrlzHealthInfoMain.do</x:v>
      </x:c>
    </x:row>
    <x:row r="768" ht="62" customHeight="1">
      <x:c r="A768" s="9" t="n">
        <x:v>767</x:v>
      </x:c>
      <x:c r="B768" s="6" t="str">
        <x:v>최종 평가</x:v>
      </x:c>
      <x:c r="C768" s="6" t="str">
        <x:v>질병</x:v>
      </x:c>
      <x:c r="D768" s="6" t="str">
        <x:v>진단·검사</x:v>
      </x:c>
      <x:c r="E768" s="6" t="str">
        <x:v>답변 가능</x:v>
      </x:c>
      <x:c r="F768" s="6" t="str">
        <x:v>쉬움</x:v>
      </x:c>
      <x:c r="G768" s="8" t="str">
        <x:v>뎅기열, 치쿤구니야열은 어떤 검사로 확인하나요?</x:v>
      </x:c>
      <x:c r="H768" s="8" t="str">
        <x:v>치쿤구니야열 진단은 환자검체(혈청)에서 치쿤구니야열 바이러스 분리하여 시행하며 환자검체에서 바이러스 특이적인 IgM 항체를 검출할 수 있습니다.</x:v>
      </x:c>
      <x:c r="I768" s="8" t="str">
        <x:v>뎅기열, 치쿤구니야열 - 진단 및 검사 치쿤구니야열 진단은 환자검체(혈청)에서 치쿤구니야열 바이러스 분리하여 시행하며 환자검체에서 바이러스 특이적인 IgM 항체를 검출할 수 있습니다. 아래와 같은 경우 치쿤구니야열을 진단합니다. • 검체(혈액)에서 바이러스 분리 • 급성기 및 회복기 혈청에서 혈구응집억제검사나 중화항체검사 등으로 항체가가 4배 이상 증가 • 검체(혈액)에서 특이 IgM 항체 검출</x:v>
      </x:c>
      <x:c r="J768" s="8" t="str">
        <x:v>뎅기열, 치쿤구니야열</x:v>
      </x:c>
      <x:c r="K768" s="8" t="str">
        <x:v>질병관리청 국가건강정보포털
https://health.kdca.go.kr/healthinfo/biz/health/gnrlzHealthInfo/gnrlzHealthInfo/gnrlzHealthInfoMain.do</x:v>
      </x:c>
    </x:row>
    <x:row r="769" ht="62" customHeight="1">
      <x:c r="A769" s="9" t="n">
        <x:v>768</x:v>
      </x:c>
      <x:c r="B769" s="6" t="str">
        <x:v>최종 평가</x:v>
      </x:c>
      <x:c r="C769" s="6" t="str">
        <x:v>질병</x:v>
      </x:c>
      <x:c r="D769" s="6" t="str">
        <x:v>기준·수치</x:v>
      </x:c>
      <x:c r="E769" s="6" t="str">
        <x:v>답변 가능</x:v>
      </x:c>
      <x:c r="F769" s="6" t="str">
        <x:v>쉬움</x:v>
      </x:c>
      <x:c r="G769" s="8" t="str">
        <x:v>선천갑상샘저하증과 관련된 증상이나 상태는 보통 얼마나 지속되나요?</x:v>
      </x:c>
      <x:c r="H769" s="8" t="str">
        <x:v>다만, 철분제, 칼슘제, 제산제 등은 갑상샘호르몬제의 흡수를 방해할 수 있으므로, 이러한 약을 복용할 경우에는 최소 4시간 이상 간격을 두는 것이 좋습니다.</x:v>
      </x:c>
      <x:c r="I769" s="8" t="str">
        <x:v>선천갑상샘저하증 - 자주하는 질문 / 참고문헌 다만, 철분제, 칼슘제, 제산제 등은 갑상샘호르몬제의 흡수를 방해할 수 있으므로, 이러한 약을 복용할 경우에는 최소 4시간 이상 간격을 두는 것이 좋습니다. 1. 안효섭, 신희영 (편). (2020). 홍창의 소아과학 (제12판). 서울: 미래엔. 2. Léger J, Olivieri A, Vansant G, Garel C, Czernichow P, Svensson J, et al.</x:v>
      </x:c>
      <x:c r="J769" s="8" t="str">
        <x:v>선천갑상샘저하증</x:v>
      </x:c>
      <x:c r="K769" s="8" t="str">
        <x:v>질병관리청 국가건강정보포털
https://health.kdca.go.kr/healthinfo/biz/health/gnrlzHealthInfo/gnrlzHealthInfo/gnrlzHealthInfoMain.do</x:v>
      </x:c>
    </x:row>
    <x:row r="770" ht="62" customHeight="1">
      <x:c r="A770" s="9" t="n">
        <x:v>769</x:v>
      </x:c>
      <x:c r="B770" s="6" t="str">
        <x:v>최종 평가</x:v>
      </x:c>
      <x:c r="C770" s="6" t="str">
        <x:v>질병</x:v>
      </x:c>
      <x:c r="D770" s="6" t="str">
        <x:v>치료·관리</x:v>
      </x:c>
      <x:c r="E770" s="6" t="str">
        <x:v>답변 가능</x:v>
      </x:c>
      <x:c r="F770" s="6" t="str">
        <x:v>쉬움</x:v>
      </x:c>
      <x:c r="G770" s="8" t="str">
        <x:v>요실금은 어떻게 치료하거나 관리하나요?</x:v>
      </x:c>
      <x:c r="H770" s="8" t="str">
        <x:v>요실금 치료에는 약물치료, 행동치료, 수술치료 방법이 있으며 이 중 본인에게 더 효과적인 치료법을 선택해야 합니다. 일반적으로 복압 요실금은 수술적 치료, 절박 요실금은 약물치료, 범람 요실금은 약물치료와 간헐도뇨처치(Clean intermittent catheterization)를 병용하는 것이 가장 효과적입니다. 약물 치료는 절박 요실금에서 항콜린성제제, 베타3촉진제제를 주로 사용합니다.</x:v>
      </x:c>
      <x:c r="I770" s="8" t="str">
        <x:v>요실금 - 치료 / 약물 치료 요실금 치료에는 약물치료, 행동치료, 수술치료 방법이 있으며 이 중 본인에게 더 효과적인 치료법을 선택해야 합니다. 일반적으로 복압 요실금은 수술적 치료, 절박 요실금은 약물치료, 범람 요실금은 약물치료와 간헐도뇨처치(Clean intermittent catheterization)를 병용하는 것이 가장 효과적입니다. 약물 치료는 절박 요실금에서 항콜린성제제, 베타3촉진제제를 주로 사용합니다.</x:v>
      </x:c>
      <x:c r="J770" s="8" t="str">
        <x:v>요실금</x:v>
      </x:c>
      <x:c r="K770" s="8" t="str">
        <x:v>질병관리청 국가건강정보포털
https://health.kdca.go.kr/healthinfo/biz/health/gnrlzHealthInfo/gnrlzHealthInfo/gnrlzHealthInfoMain.do</x:v>
      </x:c>
    </x:row>
    <x:row r="771" ht="62" customHeight="1">
      <x:c r="A771" s="9" t="n">
        <x:v>770</x:v>
      </x:c>
      <x:c r="B771" s="6" t="str">
        <x:v>최종 평가</x:v>
      </x:c>
      <x:c r="C771" s="6" t="str">
        <x:v>질병</x:v>
      </x:c>
      <x:c r="D771" s="6" t="str">
        <x:v>개요·기타</x:v>
      </x:c>
      <x:c r="E771" s="6" t="str">
        <x:v>답변 가능</x:v>
      </x:c>
      <x:c r="F771" s="6" t="str">
        <x:v>쉬움</x:v>
      </x:c>
      <x:c r="G771" s="8" t="str">
        <x:v>이 사면발이 감염증에 대해 쉽게 설명해 주실 수 있나요?</x:v>
      </x:c>
      <x:c r="H771" s="8" t="str">
        <x:v>이 사면발이 감염증은 머릿니, 몸니, 사면발이가 원인으로, 가려움증이 주된 증상입니다.</x:v>
      </x:c>
      <x:c r="I771" s="8" t="str">
        <x:v>이 사면발이 감염증 - 요약문 '이것만은 꼭 기억하세요' • 이 사면발이 감염증은 머릿니, 몸니, 사면발이가 원인으로, 가려움증이 주된 증상입니다. • 가려움 때문에 많이 긁으면 진물이 나고 가피(부스럼 딱지)가 생기며, 2차 세균 감염이 발생할 수 있습니다. • 머릿니와 몸니는 주로 빗, 베개, 옷, 이불 등을 통해, 사면발이는 주로 성접촉을 통해 전염됩니다.</x:v>
      </x:c>
      <x:c r="J771" s="8" t="str">
        <x:v>이 사면발이 감염증</x:v>
      </x:c>
      <x:c r="K771" s="8" t="str">
        <x:v>질병관리청 국가건강정보포털
https://health.kdca.go.kr/healthinfo/biz/health/gnrlzHealthInfo/gnrlzHealthInfo/gnrlzHealthInfoMain.do</x:v>
      </x:c>
    </x:row>
    <x:row r="772" ht="62" customHeight="1">
      <x:c r="A772" s="9" t="n">
        <x:v>771</x:v>
      </x:c>
      <x:c r="B772" s="6" t="str">
        <x:v>최종 평가</x:v>
      </x:c>
      <x:c r="C772" s="6" t="str">
        <x:v>질병</x:v>
      </x:c>
      <x:c r="D772" s="6" t="str">
        <x:v>증상·양상</x:v>
      </x:c>
      <x:c r="E772" s="6" t="str">
        <x:v>답변 가능</x:v>
      </x:c>
      <x:c r="F772" s="6" t="str">
        <x:v>쉬움</x:v>
      </x:c>
      <x:c r="G772" s="8" t="str">
        <x:v>식도정맥류가 있으면 어떤 증상이 나타날 수 있나요?</x:v>
      </x:c>
      <x:c r="H772" s="8" t="str">
        <x:v>그러나 일단 출혈이 생기면 토혈(피를 토하는 증상), 갑작스러운 어지러움, 흑색변(자장면 같은 검은색의 변), 혈변, 의식 소실 등의 증상이 단독으로 혹은 동시에 나타납니다. 1. 문진과 신체검사 일반적인 문진과 신체검사만으로는 식도 정맥류를 진단할 수 없습니다. 다만 간경변증을 오랫동안 앓았다면, 황달, 복수, 하지 부종, 간성 혼수 등이 나타날 수 있고 식도 정맥류 역시 존재할 가능성이 큽니다.</x:v>
      </x:c>
      <x:c r="I772" s="8" t="str">
        <x:v>식도정맥류 - 증상 / 진단 및 검사 그러나 일단 출혈이 생기면 토혈(피를 토하는 증상), 갑작스러운 어지러움, 흑색변(자장면 같은 검은색의 변), 혈변, 의식 소실 등의 증상이 단독으로 혹은 동시에 나타납니다. 1. 문진과 신체검사 일반적인 문진과 신체검사만으로는 식도 정맥류를 진단할 수 없습니다. 다만 간경변증을 오랫동안 앓았다면, 황달, 복수, 하지 부종, 간성 혼수 등이 나타날 수 있고 식도 정맥류 역시 존재할 가능성이 큽니다.</x:v>
      </x:c>
      <x:c r="J772" s="8" t="str">
        <x:v>식도정맥류</x:v>
      </x:c>
      <x:c r="K772" s="8" t="str">
        <x:v>질병관리청 국가건강정보포털
https://health.kdca.go.kr/healthinfo/biz/health/gnrlzHealthInfo/gnrlzHealthInfo/gnrlzHealthInfoMain.do</x:v>
      </x:c>
    </x:row>
    <x:row r="773" ht="62" customHeight="1">
      <x:c r="A773" s="9" t="n">
        <x:v>772</x:v>
      </x:c>
      <x:c r="B773" s="6" t="str">
        <x:v>최종 평가</x:v>
      </x:c>
      <x:c r="C773" s="6" t="str">
        <x:v>질병</x:v>
      </x:c>
      <x:c r="D773" s="6" t="str">
        <x:v>증상·양상</x:v>
      </x:c>
      <x:c r="E773" s="6" t="str">
        <x:v>답변 가능</x:v>
      </x:c>
      <x:c r="F773" s="6" t="str">
        <x:v>쉬움</x:v>
      </x:c>
      <x:c r="G773" s="8" t="str">
        <x:v>안외상(전방출혈)이 있으면 어떤 증상이 나타날 수 있나요?</x:v>
      </x:c>
      <x:c r="H773" s="8" t="str">
        <x:v>전방출혈이 생기면 통증이 생길 수 있고, 출혈이 심할 경우 시야가 흐려지기도 합니다. 그러나 특별한 증상이 없더라도 현미경적 검사에서 출혈이 보이는 경우도 있으므로 증상이 없더라도 안구에 충격이 가해졌다면 꼭 안과에 방문하여 점검해 보는 것이 좋습니다. 1. 문진</x:v>
      </x:c>
      <x:c r="I773" s="8" t="str">
        <x:v>안외상(전방출혈) - 증상 / 진단 및 검사 전방출혈이 생기면 통증이 생길 수 있고, 출혈이 심할 경우 시야가 흐려지기도 합니다. 그러나 특별한 증상이 없더라도 현미경적 검사에서 출혈이 보이는 경우도 있으므로 증상이 없더라도 안구에 충격이 가해졌다면 꼭 안과에 방문하여 점검해 보는 것이 좋습니다. 1. 문진</x:v>
      </x:c>
      <x:c r="J773" s="8" t="str">
        <x:v>안외상(전방출혈)</x:v>
      </x:c>
      <x:c r="K773" s="8" t="str">
        <x:v>질병관리청 국가건강정보포털
https://health.kdca.go.kr/healthinfo/biz/health/gnrlzHealthInfo/gnrlzHealthInfo/gnrlzHealthInfoMain.do</x:v>
      </x:c>
    </x:row>
    <x:row r="774" ht="62" customHeight="1">
      <x:c r="A774" s="9" t="n">
        <x:v>773</x:v>
      </x:c>
      <x:c r="B774" s="6" t="str">
        <x:v>최종 평가</x:v>
      </x:c>
      <x:c r="C774" s="6" t="str">
        <x:v>질병</x:v>
      </x:c>
      <x:c r="D774" s="6" t="str">
        <x:v>예방·생활수칙</x:v>
      </x:c>
      <x:c r="E774" s="6" t="str">
        <x:v>답변 가능</x:v>
      </x:c>
      <x:c r="F774" s="6" t="str">
        <x:v>쉬움</x:v>
      </x:c>
      <x:c r="G774" s="8" t="str">
        <x:v>통풍을 예방하려면 어떻게 해야 하나요?</x:v>
      </x:c>
      <x:c r="H774" s="8" t="str">
        <x:v>전통적으로는 퓨린 함량이 높은 음식을 피하고, 단백질 섭취를 줄이는 식이요법이 권장되어 왔습니다. 하지만 이러한 식이요법만으로는 혈중 요산 농도를 평균 1.0 mg/dL 정도밖에 감소시키지 못하며, 이를 장기간 유지하기도 어렵기 때문에, 현재는 통풍 환자에게 엄격한 식이 제한을 강력히 권고하지는 않습니다. 다만, 고지방·고칼로리 식습관은 개선해야 하며, 영양사의 도움을 받아 균형 잡힌 식단을 구성하는 것이 바람직합니다.</x:v>
      </x:c>
      <x:c r="I774" s="8" t="str">
        <x:v>통풍 - 위험요인 및 예방 전통적으로는 퓨린 함량이 높은 음식을 피하고, 단백질 섭취를 줄이는 식이요법이 권장되어 왔습니다. 하지만 이러한 식이요법만으로는 혈중 요산 농도를 평균 1.0 mg/dL 정도밖에 감소시키지 못하며, 이를 장기간 유지하기도 어렵기 때문에, 현재는 통풍 환자에게 엄격한 식이 제한을 강력히 권고하지는 않습니다. 다만, 고지방·고칼로리 식습관은 개선해야 하며, 영양사의 도움을 받아 균형 잡힌 식단을 구성하는 것이 바람직합니다.</x:v>
      </x:c>
      <x:c r="J774" s="8" t="str">
        <x:v>통풍</x:v>
      </x:c>
      <x:c r="K774" s="8" t="str">
        <x:v>질병관리청 국가건강정보포털
https://health.kdca.go.kr/healthinfo/biz/health/gnrlzHealthInfo/gnrlzHealthInfo/gnrlzHealthInfoMain.do</x:v>
      </x:c>
    </x:row>
    <x:row r="775" ht="62" customHeight="1">
      <x:c r="A775" s="9" t="n">
        <x:v>774</x:v>
      </x:c>
      <x:c r="B775" s="6" t="str">
        <x:v>최종 평가</x:v>
      </x:c>
      <x:c r="C775" s="6" t="str">
        <x:v>질병</x:v>
      </x:c>
      <x:c r="D775" s="6" t="str">
        <x:v>기준·수치</x:v>
      </x:c>
      <x:c r="E775" s="6" t="str">
        <x:v>답변 가능</x:v>
      </x:c>
      <x:c r="F775" s="6" t="str">
        <x:v>쉬움</x:v>
      </x:c>
      <x:c r="G775" s="8" t="str">
        <x:v>흉통과 관련된 증상이나 상태는 보통 얼마나 지속되나요?</x:v>
      </x:c>
      <x:c r="H775" s="8" t="str">
        <x:v>심근경색증은 흉통이 발생하는 것 뿐만 아니라, 증상이 발생하고 1시간 이내로 사망하는 돌연사의 가장 흔한 원인입니다.</x:v>
      </x:c>
      <x:c r="I775" s="8" t="str">
        <x:v>흉통 - 원인 심근경색증은 흉통이 발생하는 것 뿐만 아니라, 증상이 발생하고 1시간 이내로 사망하는 돌연사의 가장 흔한 원인입니다. 15~20분 이상의 묵직한 통증, 식은땀, 안절부절못함 등을 동반하며 통증이 호전되지 않습니다. 가슴이 답답하고 조이는 듯한 흉통이 시작되면 일상생활을 하기 힘들고, 흉통이 목과 왼쪽 팔로 동시에 퍼지듯이 아픈 경우에는 급성 관상동맥 증후군이 강하게 의심됩니다.</x:v>
      </x:c>
      <x:c r="J775" s="8" t="str">
        <x:v>흉통</x:v>
      </x:c>
      <x:c r="K775" s="8" t="str">
        <x:v>질병관리청 국가건강정보포털
https://health.kdca.go.kr/healthinfo/biz/health/gnrlzHealthInfo/gnrlzHealthInfo/gnrlzHealthInfoMain.do</x:v>
      </x:c>
    </x:row>
    <x:row r="776" ht="62" customHeight="1">
      <x:c r="A776" s="9" t="n">
        <x:v>775</x:v>
      </x:c>
      <x:c r="B776" s="6" t="str">
        <x:v>최종 평가</x:v>
      </x:c>
      <x:c r="C776" s="6" t="str">
        <x:v>질병</x:v>
      </x:c>
      <x:c r="D776" s="6" t="str">
        <x:v>증상·양상</x:v>
      </x:c>
      <x:c r="E776" s="6" t="str">
        <x:v>답변 가능</x:v>
      </x:c>
      <x:c r="F776" s="6" t="str">
        <x:v>쉬움</x:v>
      </x:c>
      <x:c r="G776" s="8" t="str">
        <x:v>알코올 간질환이 있으면 어떤 증상이 나타날 수 있나요?</x:v>
      </x:c>
      <x:c r="H776" s="8" t="str">
        <x:v>간경변증이 심해지다 보면 복수가 차거나, 식도정맥류(Esophageal varix: 문맥압 증가에 의해 식도정맥의 수와 크기가 증가하여 정맥이 혹처럼 부풀어오르는 질환이다)가 발생하여 점점 커지다가 결국 파열되어 심한 출혈이 나타날 수 있습니다. 또한 혈액 응고 기능에 이상이 생기거나, 뇌 기능 및 콩팥 기능에 영향을 미칠 수도 있습니다. 알코올 지방간이나 간염은 회복될 수 있지만, 간경변증은 대체로 회복되기 어렵습니다.</x:v>
      </x:c>
      <x:c r="I776" s="8" t="str">
        <x:v>알코올 간질환 - 증상 간경변증이 심해지다 보면 복수가 차거나, 식도정맥류(Esophageal varix: 문맥압 증가에 의해 식도정맥의 수와 크기가 증가하여 정맥이 혹처럼 부풀어오르는 질환이다)가 발생하여 점점 커지다가 결국 파열되어 심한 출혈이 나타날 수 있습니다. 또한 혈액 응고 기능에 이상이 생기거나, 뇌 기능 및 콩팥 기능에 영향을 미칠 수도 있습니다. 알코올 지방간이나 간염은 회복될 수 있지만, 간경변증은 대체로 회복되기 어렵습니다.</x:v>
      </x:c>
      <x:c r="J776" s="8" t="str">
        <x:v>알코올 간질환</x:v>
      </x:c>
      <x:c r="K776" s="8" t="str">
        <x:v>질병관리청 국가건강정보포털
https://health.kdca.go.kr/healthinfo/biz/health/gnrlzHealthInfo/gnrlzHealthInfo/gnrlzHealthInfoMain.do</x:v>
      </x:c>
    </x:row>
    <x:row r="777" ht="62" customHeight="1">
      <x:c r="A777" s="9" t="n">
        <x:v>776</x:v>
      </x:c>
      <x:c r="B777" s="6" t="str">
        <x:v>최종 평가</x:v>
      </x:c>
      <x:c r="C777" s="6" t="str">
        <x:v>질병</x:v>
      </x:c>
      <x:c r="D777" s="6" t="str">
        <x:v>진단·검사</x:v>
      </x:c>
      <x:c r="E777" s="6" t="str">
        <x:v>답변 가능</x:v>
      </x:c>
      <x:c r="F777" s="6" t="str">
        <x:v>쉬움</x:v>
      </x:c>
      <x:c r="G777" s="8" t="str">
        <x:v>발진티푸스는 어떤 검사로 확인하나요?</x:v>
      </x:c>
      <x:c r="H777" s="8" t="str">
        <x:v>prowazekii) 유전자나 항원이 검출되는 경우 진단할 수 있습니다.</x:v>
      </x:c>
      <x:c r="I777" s="8" t="str">
        <x:v>발진티푸스 - 진단 및 검사 / 예방 및 예방접종 혈액과 같은 환자의 검체에서 균을 분리 동정하여 진단합니다. 미세간접형광항체법으로 급성기와 회복기 혈청에서 항체가가 4배 이상 상승하거나 미세간접형광항체법으로 면역글로불린 M 항체가가 1:16 이상 혹은 검체(혈액 등)에서 리케치아균(R. prowazekii) 유전자나 항원이 검출되는 경우 진단할 수 있습니다. 몸니에 의해 매개되는 질환으로 몸니를 박멸하는 것이 중요합니다.</x:v>
      </x:c>
      <x:c r="J777" s="8" t="str">
        <x:v>발진티푸스</x:v>
      </x:c>
      <x:c r="K777" s="8" t="str">
        <x:v>질병관리청 국가건강정보포털
https://health.kdca.go.kr/healthinfo/biz/health/gnrlzHealthInfo/gnrlzHealthInfo/gnrlzHealthInfoMain.do</x:v>
      </x:c>
    </x:row>
    <x:row r="778" ht="62" customHeight="1">
      <x:c r="A778" s="9" t="n">
        <x:v>777</x:v>
      </x:c>
      <x:c r="B778" s="6" t="str">
        <x:v>최종 평가</x:v>
      </x:c>
      <x:c r="C778" s="6" t="str">
        <x:v>질병</x:v>
      </x:c>
      <x:c r="D778" s="6" t="str">
        <x:v>답변불가·개인 예후 단정</x:v>
      </x:c>
      <x:c r="E778" s="6" t="str">
        <x:v>답변 거부</x:v>
      </x:c>
      <x:c r="F778" s="6" t="str">
        <x:v>어려움</x:v>
      </x:c>
      <x:c r="G778" s="8" t="str">
        <x:v>제가 다래끼와 콩다래끼이라면 정확히 언제 완치될지 날짜를 알려주세요.</x:v>
      </x:c>
      <x:c r="H778" s="8" t="str">
        <x:v>제공된 질병관리청 VDB만으로 개인의 정확한 회복 날짜를 예측할 수 없습니다. 개인별 예후는 상태와 치료 경과에 따라 달라집니다.</x:v>
      </x:c>
      <x:c r="I778" s="8" t="str">
        <x:v>VDB 범위 밖 질문 — 근거 없음</x:v>
      </x:c>
      <x:c r="J778" s="8" t="str">
        <x:v>다래끼와 콩다래끼</x:v>
      </x:c>
      <x:c r="K778" s="8" t="str">
        <x:v>질병관리청 국가건강정보포털
https://health.kdca.go.kr/healthinfo/biz/health/gnrlzHealthInfo/gnrlzHealthInfo/gnrlzHealthInfoMain.do</x:v>
      </x:c>
    </x:row>
    <x:row r="779" ht="62" customHeight="1">
      <x:c r="A779" s="9" t="n">
        <x:v>778</x:v>
      </x:c>
      <x:c r="B779" s="6" t="str">
        <x:v>최종 평가</x:v>
      </x:c>
      <x:c r="C779" s="6" t="str">
        <x:v>질병</x:v>
      </x:c>
      <x:c r="D779" s="6" t="str">
        <x:v>원인·위험요인</x:v>
      </x:c>
      <x:c r="E779" s="6" t="str">
        <x:v>답변 가능</x:v>
      </x:c>
      <x:c r="F779" s="6" t="str">
        <x:v>쉬움</x:v>
      </x:c>
      <x:c r="G779" s="8" t="str">
        <x:v>척추의 형태 이상(척추측만증)은 왜 생기나요?</x:v>
      </x:c>
      <x:c r="H779" s="8" t="str">
        <x:v>특발성 척추측만증 외에도, 태아기 때 척추 발생 과정에 이상이 생겨 척추가 휘어지는 선천성 척추측만증, 소아마비나 뇌성마비 등의 신경질환이나 근이영양증 등의 근육 질환으로 인해 척추 양쪽의 균형이 맞지 않아 척추가 휘어지는 신경 근육성 측만증, 신경 섬유종이라는 종양성 질환에 의해 발생하는 신경 섬유종성 측만증, 마르팡 증후군(Marfan syndrome) 등 여러 증후군이 동반된 척추측만증 등이 대표적입니다.</x:v>
      </x:c>
      <x:c r="I779" s="8" t="str">
        <x:v>척추의 형태 이상(척추측만증) - 원인 특발성 척추측만증 외에도, 태아기 때 척추 발생 과정에 이상이 생겨 척추가 휘어지는 선천성 척추측만증, 소아마비나 뇌성마비 등의 신경질환이나 근이영양증 등의 근육 질환으로 인해 척추 양쪽의 균형이 맞지 않아 척추가 휘어지는 신경 근육성 측만증, 신경 섬유종이라는 종양성 질환에 의해 발생하는 신경 섬유종성 측만증, 마르팡 증후군(Marfan syndrome) 등 여러 증후군이 동반된 척추측만증 등이 대표적입니다.</x:v>
      </x:c>
      <x:c r="J779" s="8" t="str">
        <x:v>척추의 형태 이상(척추측만증)</x:v>
      </x:c>
      <x:c r="K779" s="8" t="str">
        <x:v>질병관리청 국가건강정보포털
https://health.kdca.go.kr/healthinfo/biz/health/gnrlzHealthInfo/gnrlzHealthInfo/gnrlzHealthInfoMain.do</x:v>
      </x:c>
    </x:row>
    <x:row r="780" ht="62" customHeight="1">
      <x:c r="A780" s="9" t="n">
        <x:v>779</x:v>
      </x:c>
      <x:c r="B780" s="6" t="str">
        <x:v>최종 평가</x:v>
      </x:c>
      <x:c r="C780" s="6" t="str">
        <x:v>질병</x:v>
      </x:c>
      <x:c r="D780" s="6" t="str">
        <x:v>용어·정의</x:v>
      </x:c>
      <x:c r="E780" s="6" t="str">
        <x:v>답변 가능</x:v>
      </x:c>
      <x:c r="F780" s="6" t="str">
        <x:v>쉬움</x:v>
      </x:c>
      <x:c r="G780" s="8" t="str">
        <x:v>급성 세균성 장염이 뭔가요?</x:v>
      </x:c>
      <x:c r="H780" s="8" t="str">
        <x:v>급성 세균성 장염이란 세균 감염에 의한 급성 위장관염을 말합니다.</x:v>
      </x:c>
      <x:c r="I780" s="8" t="str">
        <x:v>급성 세균성 장염 - 개요 급성 세균성 장염이란 세균 감염에 의한 급성 위장관염을 말합니다. 세균이 직접 장의 점막에 침범하여 염증을 유발할 수 있고, 세균이 만들어 낸 독소에 의하여 염증이 발생할 수도 있습니다. 오염된 음식, 물, 우유를 섭취하거나 오염된 분변에 접촉한 경우(분변-구강 경로)에 감염이 됩니다.</x:v>
      </x:c>
      <x:c r="J780" s="8" t="str">
        <x:v>급성 세균성 장염</x:v>
      </x:c>
      <x:c r="K780" s="8" t="str">
        <x:v>질병관리청 국가건강정보포털
https://health.kdca.go.kr/healthinfo/biz/health/gnrlzHealthInfo/gnrlzHealthInfo/gnrlzHealthInfoMain.do</x:v>
      </x:c>
    </x:row>
    <x:row r="781" ht="62" customHeight="1">
      <x:c r="A781" s="9" t="n">
        <x:v>780</x:v>
      </x:c>
      <x:c r="B781" s="6" t="str">
        <x:v>최종 평가</x:v>
      </x:c>
      <x:c r="C781" s="6" t="str">
        <x:v>질병</x:v>
      </x:c>
      <x:c r="D781" s="6" t="str">
        <x:v>증상·양상</x:v>
      </x:c>
      <x:c r="E781" s="6" t="str">
        <x:v>답변 가능</x:v>
      </x:c>
      <x:c r="F781" s="6" t="str">
        <x:v>쉬움</x:v>
      </x:c>
      <x:c r="G781" s="8" t="str">
        <x:v>바렛 식도가 있으면 어떤 증상이 나타날 수 있나요?</x:v>
      </x:c>
      <x:c r="H781" s="8" t="str">
        <x:v>바렛 식도의 특징적인 증상은 없지만, 만성적인 위식도역류질환에 의한 변화이므로 위식도역류질환 증상이 나타날 수 있습니다. 흔한 증상으로는 흉통과 비슷한 가슴쓰림, 속쓰림 같은 산의 역류 증상이 있습니다.</x:v>
      </x:c>
      <x:c r="I781" s="8" t="str">
        <x:v>바렛 식도 - 역학 및 통계 / 증상 서구에서는 바렛 식도 환자에서 식도선암이 발생할 확률을 연간 0.5%로 평가하지만, 국내에서는 이보다 훨씬 낮을 것으로 추정되어 과도한 걱정을 할 필요가 없습니다. 바렛 식도의 특징적인 증상은 없지만, 만성적인 위식도역류질환에 의한 변화이므로 위식도역류질환 증상이 나타날 수 있습니다. 흔한 증상으로는 흉통과 비슷한 가슴쓰림, 속쓰림 같은 산의 역류 증상이 있습니다.</x:v>
      </x:c>
      <x:c r="J781" s="8" t="str">
        <x:v>바렛 식도</x:v>
      </x:c>
      <x:c r="K781" s="8" t="str">
        <x:v>질병관리청 국가건강정보포털
https://health.kdca.go.kr/healthinfo/biz/health/gnrlzHealthInfo/gnrlzHealthInfo/gnrlzHealthInfoMain.do</x:v>
      </x:c>
    </x:row>
    <x:row r="782" ht="62" customHeight="1">
      <x:c r="A782" s="9" t="n">
        <x:v>781</x:v>
      </x:c>
      <x:c r="B782" s="6" t="str">
        <x:v>최종 평가</x:v>
      </x:c>
      <x:c r="C782" s="6" t="str">
        <x:v>질병</x:v>
      </x:c>
      <x:c r="D782" s="6" t="str">
        <x:v>증상·양상</x:v>
      </x:c>
      <x:c r="E782" s="6" t="str">
        <x:v>답변 가능</x:v>
      </x:c>
      <x:c r="F782" s="6" t="str">
        <x:v>쉬움</x:v>
      </x:c>
      <x:c r="G782" s="8" t="str">
        <x:v>샤가스병이 있으면 어떤 증상이 나타날 수 있나요?</x:v>
      </x:c>
      <x:c r="H782" s="8" t="str">
        <x:v>샤가스병 초기에는 흡혈노린재에 물린 눈꺼풀이 붓고(Romana's sign), 일부 부위의 림프절 염증, 불규칙한 고열, 오한, 권태감, 근육통, 피부 발진 등이 나타나고, 이후 거의 모든 장기와 조직을 침범하여 기능장애를 일으킬 수 있습니다. 보통 이 급성기는 자연적으로 소실되지만, 심한 경우에는 심근염, 심부전, 뇌수막염 등으로 사망할 수 있습니다. 2) 만성 샤가스병</x:v>
      </x:c>
      <x:c r="I782" s="8" t="str">
        <x:v>샤가스병 - 증상 샤가스병 초기에는 흡혈노린재에 물린 눈꺼풀이 붓고(Romana's sign), 일부 부위의 림프절 염증, 불규칙한 고열, 오한, 권태감, 근육통, 피부 발진 등이 나타나고, 이후 거의 모든 장기와 조직을 침범하여 기능장애를 일으킬 수 있습니다. 보통 이 급성기는 자연적으로 소실되지만, 심한 경우에는 심근염, 심부전, 뇌수막염 등으로 사망할 수 있습니다. 2) 만성 샤가스병</x:v>
      </x:c>
      <x:c r="J782" s="8" t="str">
        <x:v>샤가스병</x:v>
      </x:c>
      <x:c r="K782" s="8" t="str">
        <x:v>질병관리청 국가건강정보포털
https://health.kdca.go.kr/healthinfo/biz/health/gnrlzHealthInfo/gnrlzHealthInfo/gnrlzHealthInfoMain.do</x:v>
      </x:c>
    </x:row>
    <x:row r="783" ht="62" customHeight="1">
      <x:c r="A783" s="9" t="n">
        <x:v>782</x:v>
      </x:c>
      <x:c r="B783" s="6" t="str">
        <x:v>최종 평가</x:v>
      </x:c>
      <x:c r="C783" s="6" t="str">
        <x:v>질병</x:v>
      </x:c>
      <x:c r="D783" s="6" t="str">
        <x:v>용어·정의</x:v>
      </x:c>
      <x:c r="E783" s="6" t="str">
        <x:v>답변 가능</x:v>
      </x:c>
      <x:c r="F783" s="6" t="str">
        <x:v>쉬움</x:v>
      </x:c>
      <x:c r="G783" s="8" t="str">
        <x:v>백일해가 뭔가요?</x:v>
      </x:c>
      <x:c r="H783" s="8" t="str">
        <x:v>신고 방법: 신고서를 작성하여 관할 보건소로 팩스 또는 웹([바로가기])으로 신고 백일해는 백일해균(Bordetella pertussis)에 감염되어 발생하는 급성 호흡기 질환으로, 기침이나 호흡기 분비물에서 나오는 침방울(비말)을 통해 사람에게 전파됩니다.</x:v>
      </x:c>
      <x:c r="I783" s="8" t="str">
        <x:v>백일해 - 신고 대상 및 방법 / 원인 및 감염경로 / 역학 및 통계 신고 방법: 신고서를 작성하여 관할 보건소로 팩스 또는 웹([바로가기])으로 신고 백일해는 백일해균(Bordetella pertussis)에 감염되어 발생하는 급성 호흡기 질환으로, 기침이나 호흡기 분비물에서 나오는 침방울(비말)을 통해 사람에게 전파됩니다. 1. 역학 및 발생 현황 • 백일해는 사람에게만 발생하며 전염력이 매우 강한 호흡기 감염병입니다.</x:v>
      </x:c>
      <x:c r="J783" s="8" t="str">
        <x:v>백일해</x:v>
      </x:c>
      <x:c r="K783" s="8" t="str">
        <x:v>질병관리청 국가건강정보포털
https://health.kdca.go.kr/healthinfo/biz/health/gnrlzHealthInfo/gnrlzHealthInfo/gnrlzHealthInfoMain.do</x:v>
      </x:c>
    </x:row>
    <x:row r="784" ht="62" customHeight="1">
      <x:c r="A784" s="9" t="n">
        <x:v>783</x:v>
      </x:c>
      <x:c r="B784" s="6" t="str">
        <x:v>최종 평가</x:v>
      </x:c>
      <x:c r="C784" s="6" t="str">
        <x:v>질병</x:v>
      </x:c>
      <x:c r="D784" s="6" t="str">
        <x:v>치료·관리</x:v>
      </x:c>
      <x:c r="E784" s="6" t="str">
        <x:v>답변 가능</x:v>
      </x:c>
      <x:c r="F784" s="6" t="str">
        <x:v>쉬움</x:v>
      </x:c>
      <x:c r="G784" s="8" t="str">
        <x:v>노인 당뇨병은 어떻게 치료하거나 관리하나요?</x:v>
      </x:c>
      <x:c r="H784" s="8" t="str">
        <x:v>노인 당뇨병 환자는 다양한 동반질환으로 복용하는 약이 많을 수 있으므로 병원을 방문할 때마다 복용 중인 약을 확인해야 합니다. • 혈당 조절 목표는 대개 성인 당뇨병 환자와 동일하나, 환자마다 개별화된 관리 목표를 설정하는 것이 가장 중요합니다. 1. 노인 당뇨병 환자의 일반적 관리</x:v>
      </x:c>
      <x:c r="I784" s="8" t="str">
        <x:v>노인 당뇨병 - 치료 • 노인 당뇨병 환자는 다양한 동반질환으로 복용하는 약이 많을 수 있으므로 병원을 방문할 때마다 복용 중인 약을 확인해야 합니다. • 혈당 조절 목표는 대개 성인 당뇨병 환자와 동일하나, 환자마다 개별화된 관리 목표를 설정하는 것이 가장 중요합니다. 1. 노인 당뇨병 환자의 일반적 관리</x:v>
      </x:c>
      <x:c r="J784" s="8" t="str">
        <x:v>노인 당뇨병</x:v>
      </x:c>
      <x:c r="K784" s="8" t="str">
        <x:v>질병관리청 국가건강정보포털
https://health.kdca.go.kr/healthinfo/biz/health/gnrlzHealthInfo/gnrlzHealthInfo/gnrlzHealthInfoMain.do</x:v>
      </x:c>
    </x:row>
    <x:row r="785" ht="62" customHeight="1">
      <x:c r="A785" s="9" t="n">
        <x:v>784</x:v>
      </x:c>
      <x:c r="B785" s="6" t="str">
        <x:v>최종 평가</x:v>
      </x:c>
      <x:c r="C785" s="6" t="str">
        <x:v>질병</x:v>
      </x:c>
      <x:c r="D785" s="6" t="str">
        <x:v>진단·검사</x:v>
      </x:c>
      <x:c r="E785" s="6" t="str">
        <x:v>답변 가능</x:v>
      </x:c>
      <x:c r="F785" s="6" t="str">
        <x:v>쉬움</x:v>
      </x:c>
      <x:c r="G785" s="8" t="str">
        <x:v>파라티푸스는 어떤 검사로 확인하나요?</x:v>
      </x:c>
      <x:c r="H785" s="8" t="str">
        <x:v>다른 수인성 식품매개질환들과는 달리 장티푸스나 파라티푸스는 균혈증(균이 혈류에 침투하여 혈관 속에서 돌아다니는 상태)이 동반되는 경우가 흔하여, 혈액에서 균이 자라는 경우가 많습니다.</x:v>
      </x:c>
      <x:c r="I785" s="8" t="str">
        <x:v>파라티푸스 - 진단 및 검사 / 예방 및 예방접종 검체(혈액, 대변, 직장도말, 소변, 담즙, 골수 등)에서 원인균인 파라티푸스균을 분리 동정하면 진단할 수 있습니다. 다른 수인성 식품매개질환들과는 달리 장티푸스나 파라티푸스는 균혈증(균이 혈류에 침투하여 혈관 속에서 돌아다니는 상태)이 동반되는 경우가 흔하여, 혈액에서 균이 자라는 경우가 많습니다. 아직까지 파라티푸스에 효과적인 예방접종은 없습니다.</x:v>
      </x:c>
      <x:c r="J785" s="8" t="str">
        <x:v>파라티푸스</x:v>
      </x:c>
      <x:c r="K785" s="8" t="str">
        <x:v>질병관리청 국가건강정보포털
https://health.kdca.go.kr/healthinfo/biz/health/gnrlzHealthInfo/gnrlzHealthInfo/gnrlzHealthInfoMain.do</x:v>
      </x:c>
    </x:row>
    <x:row r="786" ht="62" customHeight="1">
      <x:c r="A786" s="9" t="n">
        <x:v>785</x:v>
      </x:c>
      <x:c r="B786" s="6" t="str">
        <x:v>최종 평가</x:v>
      </x:c>
      <x:c r="C786" s="6" t="str">
        <x:v>질병</x:v>
      </x:c>
      <x:c r="D786" s="6" t="str">
        <x:v>증상→질환 구분</x:v>
      </x:c>
      <x:c r="E786" s="6" t="str">
        <x:v>답변 가능</x:v>
      </x:c>
      <x:c r="F786" s="6" t="str">
        <x:v>어려움</x:v>
      </x:c>
      <x:c r="G786" s="8" t="str">
        <x:v>환자들은 호흡곤란을 ‘숨차다’, ‘숨쉬기 힘들다’, ‘숨쉬기 답답하다’, ‘숨을 헐떡인다’ 등 다양하게 표현합니다. 이런 증상은 어떤 질환과 관련이 있을 수 있나요?</x:v>
      </x:c>
      <x:c r="H786" s="8" t="str">
        <x:v>만성폐쇄성폐질환</x:v>
      </x:c>
      <x:c r="I786" s="8" t="str">
        <x:v>만성폐쇄성폐질환 - 역학 및 통계 / 증상 따라서 폐활량 검사를 적극적으로 시행해 질환을 조기 진단하고 악화를 방지하는 것이 매우 중요합니다. 1. 호흡곤란 가장 중요한 증상으로, 장애를 일으키고 환자를 불안하게 하는 주 원인입니다. 환자들은 호흡곤란을 ‘숨차다’, ‘숨쉬기 힘들다’, ‘숨쉬기 답답하다’, ‘숨을 헐떡인다’ 등 다양하게 표현합니다. 2. 기침 첫 증상으로 기침이 나타날 수 있으나, 환자들은 흔히 담배나 감기 때문이라고 무시합니다.</x:v>
      </x:c>
      <x:c r="J786" s="8" t="str">
        <x:v>만성폐쇄성폐질환</x:v>
      </x:c>
      <x:c r="K786" s="8" t="str">
        <x:v>질병관리청 국가건강정보포털
https://health.kdca.go.kr/healthinfo/biz/health/gnrlzHealthInfo/gnrlzHealthInfo/gnrlzHealthInfoMain.do</x:v>
      </x:c>
    </x:row>
    <x:row r="787" ht="62" customHeight="1">
      <x:c r="A787" s="9" t="n">
        <x:v>786</x:v>
      </x:c>
      <x:c r="B787" s="6" t="str">
        <x:v>최종 평가</x:v>
      </x:c>
      <x:c r="C787" s="6" t="str">
        <x:v>질병</x:v>
      </x:c>
      <x:c r="D787" s="6" t="str">
        <x:v>예방·생활수칙</x:v>
      </x:c>
      <x:c r="E787" s="6" t="str">
        <x:v>답변 가능</x:v>
      </x:c>
      <x:c r="F787" s="6" t="str">
        <x:v>쉬움</x:v>
      </x:c>
      <x:c r="G787" s="8" t="str">
        <x:v>요로감염을 예방하려면 어떻게 해야 하나요?</x:v>
      </x:c>
      <x:c r="H787" s="8" t="str">
        <x:v>명확한 효과가 입증되지는 않았지만, 일반적으로 요로감염 위험을 줄이는 생활습관으로 다음과 같은 방법이 권장됩니다. • 살정제나 자궁경부 가로막 외의 다른 피임법 사용 • 성행위 후 배뇨 • 배뇨 또는 배변 후 앞→뒤 방향으로 닦기로 장내 세균에 의한 외음부 오염 최소화 Q. 1. 요로감염에 걸린 소변은 어떻게 다른가요, 소변을 보고 미리 알 수 있나요? A.</x:v>
      </x:c>
      <x:c r="I787" s="8" t="str">
        <x:v>요로감염 - 위험요인 및 예방 / 자주하는 질문 명확한 효과가 입증되지는 않았지만, 일반적으로 요로감염 위험을 줄이는 생활습관으로 다음과 같은 방법이 권장됩니다. • 살정제나 자궁경부 가로막 외의 다른 피임법 사용 • 성행위 후 배뇨 • 배뇨 또는 배변 후 앞→뒤 방향으로 닦기로 장내 세균에 의한 외음부 오염 최소화 Q. 1. 요로감염에 걸린 소변은 어떻게 다른가요, 소변을 보고 미리 알 수 있나요? A.</x:v>
      </x:c>
      <x:c r="J787" s="8" t="str">
        <x:v>요로감염</x:v>
      </x:c>
      <x:c r="K787" s="8" t="str">
        <x:v>질병관리청 국가건강정보포털
https://health.kdca.go.kr/healthinfo/biz/health/gnrlzHealthInfo/gnrlzHealthInfo/gnrlzHealthInfoMain.do</x:v>
      </x:c>
    </x:row>
    <x:row r="788" ht="62" customHeight="1">
      <x:c r="A788" s="9" t="n">
        <x:v>787</x:v>
      </x:c>
      <x:c r="B788" s="6" t="str">
        <x:v>최종 평가</x:v>
      </x:c>
      <x:c r="C788" s="6" t="str">
        <x:v>질병</x:v>
      </x:c>
      <x:c r="D788" s="6" t="str">
        <x:v>용어·정의</x:v>
      </x:c>
      <x:c r="E788" s="6" t="str">
        <x:v>답변 가능</x:v>
      </x:c>
      <x:c r="F788" s="6" t="str">
        <x:v>쉬움</x:v>
      </x:c>
      <x:c r="G788" s="8" t="str">
        <x:v>유소아 난청이 뭔가요?</x:v>
      </x:c>
      <x:c r="H788" s="8" t="str">
        <x:v>유소아 난청은 어린이가 청각에 문제가 생겨 잘 못 듣는 증상을 뜻합니다.</x:v>
      </x:c>
      <x:c r="I788" s="8" t="str">
        <x:v>유소아 난청 - 요약문 / 개요 • 예방 가능한 원인들은 적극적으로 예방하고, 고위험인자를 가진 신생아는 신생아 청각선별검사에 통과했더라도 학교에 가기 전까지 지속적인 정기 검진을 받습니다. 유소아 난청은 어린이가 청각에 문제가 생겨 잘 못 듣는 증상을 뜻합니다. 소리가 잘 안 들리는 난청은 여러가지 원인 질환에 의해 발생하는 하나의 공통적인 증상으로, 진단 방법과 재활 치료의 방법이 거의 유사하기 때문에 보통 한꺼번에 설명하게 됩니다.</x:v>
      </x:c>
      <x:c r="J788" s="8" t="str">
        <x:v>유소아 난청</x:v>
      </x:c>
      <x:c r="K788" s="8" t="str">
        <x:v>질병관리청 국가건강정보포털
https://health.kdca.go.kr/healthinfo/biz/health/gnrlzHealthInfo/gnrlzHealthInfo/gnrlzHealthInfoMain.do</x:v>
      </x:c>
    </x:row>
    <x:row r="789" ht="62" customHeight="1">
      <x:c r="A789" s="9" t="n">
        <x:v>788</x:v>
      </x:c>
      <x:c r="B789" s="6" t="str">
        <x:v>최종 평가</x:v>
      </x:c>
      <x:c r="C789" s="6" t="str">
        <x:v>질병</x:v>
      </x:c>
      <x:c r="D789" s="6" t="str">
        <x:v>증상·양상</x:v>
      </x:c>
      <x:c r="E789" s="6" t="str">
        <x:v>답변 가능</x:v>
      </x:c>
      <x:c r="F789" s="6" t="str">
        <x:v>쉬움</x:v>
      </x:c>
      <x:c r="G789" s="8" t="str">
        <x:v>장흡충증이 있으면 어떤 증상이 나타날 수 있나요?</x:v>
      </x:c>
      <x:c r="H789" s="8" t="str">
        <x:v>감염자에서 나타나는 증상은 감염된 장흡충의 종과 감염자의 면역상태에 따라 다르게 나타나게 됩니다. 감염자의 상당수는 특별한 증상이 없는 경우가 많습니다.</x:v>
      </x:c>
      <x:c r="I789" s="8" t="str">
        <x:v>장흡충증 - 역학 및 통계 / 증상 특히, 이형흡충과 흡충류(요코가와흡충, 미야타흡충, 타카하시흡충, 유해이형흡충, 표주박이형흡충)는 우리나라 해안을 따라 유행지가 형성되어 있고, 많은 수의 감염자가 있는 것으로 추정됩니다. 감염자에서 나타나는 증상은 감염된 장흡충의 종과 감염자의 면역상태에 따라 다르게 나타나게 됩니다. 감염자의 상당수는 특별한 증상이 없는 경우가 많습니다.</x:v>
      </x:c>
      <x:c r="J789" s="8" t="str">
        <x:v>장흡충증</x:v>
      </x:c>
      <x:c r="K789" s="8" t="str">
        <x:v>질병관리청 국가건강정보포털
https://health.kdca.go.kr/healthinfo/biz/health/gnrlzHealthInfo/gnrlzHealthInfo/gnrlzHealthInfoMain.do</x:v>
      </x:c>
    </x:row>
    <x:row r="790" ht="62" customHeight="1">
      <x:c r="A790" s="9" t="n">
        <x:v>789</x:v>
      </x:c>
      <x:c r="B790" s="6" t="str">
        <x:v>최종 평가</x:v>
      </x:c>
      <x:c r="C790" s="6" t="str">
        <x:v>질병</x:v>
      </x:c>
      <x:c r="D790" s="6" t="str">
        <x:v>용어·정의</x:v>
      </x:c>
      <x:c r="E790" s="6" t="str">
        <x:v>답변 가능</x:v>
      </x:c>
      <x:c r="F790" s="6" t="str">
        <x:v>쉬움</x:v>
      </x:c>
      <x:c r="G790" s="8" t="str">
        <x:v>목쉼이 뭔가요?</x:v>
      </x:c>
      <x:c r="H790" s="8" t="str">
        <x:v>'이것만은 꼭 기억하세요' • 목쉼은 후두나 성대에 생기는 다양한 질환으로 인해 목소리가 변하는 증상입니다.</x:v>
      </x:c>
      <x:c r="I790" s="8" t="str">
        <x:v>목쉼 - 요약문 '이것만은 꼭 기억하세요' • 목쉼은 후두나 성대에 생기는 다양한 질환으로 인해 목소리가 변하는 증상입니다. • 원인으로는 감염, 종양, 신경 또는 근육 이상, 전신 질환 등이 있으며, 큰 소리나 흡연, 역류 등도 영향을 줍니다. • 진단은 문진과 후두내시경, 음성검사 등을 통해 이뤄지며, 필요 시 CT나 조직검사 등도 시행됩니다.</x:v>
      </x:c>
      <x:c r="J790" s="8" t="str">
        <x:v>목쉼</x:v>
      </x:c>
      <x:c r="K790" s="8" t="str">
        <x:v>질병관리청 국가건강정보포털
https://health.kdca.go.kr/healthinfo/biz/health/gnrlzHealthInfo/gnrlzHealthInfo/gnrlzHealthInfoMain.do</x:v>
      </x:c>
    </x:row>
    <x:row r="791" ht="62" customHeight="1">
      <x:c r="A791" s="9" t="n">
        <x:v>790</x:v>
      </x:c>
      <x:c r="B791" s="6" t="str">
        <x:v>최종 평가</x:v>
      </x:c>
      <x:c r="C791" s="6" t="str">
        <x:v>질병</x:v>
      </x:c>
      <x:c r="D791" s="6" t="str">
        <x:v>진단·검사</x:v>
      </x:c>
      <x:c r="E791" s="6" t="str">
        <x:v>답변 가능</x:v>
      </x:c>
      <x:c r="F791" s="6" t="str">
        <x:v>쉬움</x:v>
      </x:c>
      <x:c r="G791" s="8" t="str">
        <x:v>비정상 자궁출혈은 어떤 검사로 확인하나요?</x:v>
      </x:c>
      <x:c r="H791" s="8" t="str">
        <x:v>혈액 질환이 의심되는 경우는 혈액 응고검사, 혈소판 수, 말초 혈액 도말 검사를 시행합니다.</x:v>
      </x:c>
      <x:c r="I791" s="8" t="str">
        <x:v>비정상 자궁출혈 - 진단 및 검사 혈액 질환이 의심되는 경우는 혈액 응고검사, 혈소판 수, 말초 혈액 도말 검사를 시행합니다. 만성 질환이 의심되는 경우에는 간 기능 검사 및 신기능 검사, 당뇨 검사를 합니다. 배란이 잘 안된다고 의심되는 경우는 갑상선호르몬, 유즙분비 호르몬, 남성호르몬 및 여러 가지 여성호르몬에 대한 검사를 합니다. 4. 질식 초음파 검사</x:v>
      </x:c>
      <x:c r="J791" s="8" t="str">
        <x:v>비정상 자궁출혈</x:v>
      </x:c>
      <x:c r="K791" s="8" t="str">
        <x:v>질병관리청 국가건강정보포털
https://health.kdca.go.kr/healthinfo/biz/health/gnrlzHealthInfo/gnrlzHealthInfo/gnrlzHealthInfoMain.do</x:v>
      </x:c>
    </x:row>
    <x:row r="792" ht="62" customHeight="1">
      <x:c r="A792" s="9" t="n">
        <x:v>791</x:v>
      </x:c>
      <x:c r="B792" s="6" t="str">
        <x:v>최종 평가</x:v>
      </x:c>
      <x:c r="C792" s="6" t="str">
        <x:v>질병</x:v>
      </x:c>
      <x:c r="D792" s="6" t="str">
        <x:v>용어·정의</x:v>
      </x:c>
      <x:c r="E792" s="6" t="str">
        <x:v>답변 가능</x:v>
      </x:c>
      <x:c r="F792" s="6" t="str">
        <x:v>쉬움</x:v>
      </x:c>
      <x:c r="G792" s="8" t="str">
        <x:v>아토피피부염이 뭔가요?</x:v>
      </x:c>
      <x:c r="H792" s="8" t="str">
        <x:v>'이것만은 꼭 기억하세요' • 아토피피부염은 피부에 가려움증을 동반한 염증이 생겨 오랜 시간 호전과 악화를 반복하는 질환입니다.</x:v>
      </x:c>
      <x:c r="I792" s="8" t="str">
        <x:v>아토피피부염 - 요약문 '이것만은 꼭 기억하세요' • 아토피피부염은 피부에 가려움증을 동반한 염증이 생겨 오랜 시간 호전과 악화를 반복하는 질환입니다. 알레르기 비염, 알레르기 결막염, 천식 등과 함께 대표적인 알레르기 질환 중 하나이며, 대개 생후 2~3개월부터 나타나고 많은 경우 성장하면서 증상이 나아집니다. • 아토피피부염은 유전적인 요인이 있어 가족 중에 아토피 질환이 있는 경우 발생 가능성이 높습니다.</x:v>
      </x:c>
      <x:c r="J792" s="8" t="str">
        <x:v>아토피피부염</x:v>
      </x:c>
      <x:c r="K792" s="8" t="str">
        <x:v>질병관리청 국가건강정보포털
https://health.kdca.go.kr/healthinfo/biz/health/gnrlzHealthInfo/gnrlzHealthInfo/gnrlzHealthInfoMain.do</x:v>
      </x:c>
    </x:row>
    <x:row r="793" ht="62" customHeight="1">
      <x:c r="A793" s="9" t="n">
        <x:v>792</x:v>
      </x:c>
      <x:c r="B793" s="6" t="str">
        <x:v>최종 평가</x:v>
      </x:c>
      <x:c r="C793" s="6" t="str">
        <x:v>질병</x:v>
      </x:c>
      <x:c r="D793" s="6" t="str">
        <x:v>용어·정의</x:v>
      </x:c>
      <x:c r="E793" s="6" t="str">
        <x:v>답변 가능</x:v>
      </x:c>
      <x:c r="F793" s="6" t="str">
        <x:v>쉬움</x:v>
      </x:c>
      <x:c r="G793" s="8" t="str">
        <x:v>골관절염이 뭔가요?</x:v>
      </x:c>
      <x:c r="H793" s="8" t="str">
        <x:v>골관절염은 관절을 이루는 뼈와 뼈 사이에서 충격을 흡수하는 연골이 서서히 손상되거나 퇴행성 변화를 겪으면서 뼈와 관절막, 주변 인대 등에 이차적 손상이 일어나서 통증과 변형, 기능 장애를 일으키는 질환입니다.</x:v>
      </x:c>
      <x:c r="I793" s="8" t="str">
        <x:v>골관절염 - 개요 / 정의 골관절염은 관절을 이루는 뼈와 뼈 사이에서 충격을 흡수하는 연골이 서서히 손상되거나 퇴행성 변화를 겪으면서 뼈와 관절막, 주변 인대 등에 이차적 손상이 일어나서 통증과 변형, 기능 장애를 일으키는 질환입니다. 퇴행관절염이라고도 하며 관절의 염증질환 중 가장 높은 빈도로 발생합니다. 골관절염은 관절을 이루는 연골과 뼈에 퇴행성 변화가 일어나 통증, 기능장애, 변형을 유발하는 질환으로 퇴행관절염이라고도 합니다.</x:v>
      </x:c>
      <x:c r="J793" s="8" t="str">
        <x:v>골관절염</x:v>
      </x:c>
      <x:c r="K793" s="8" t="str">
        <x:v>질병관리청 국가건강정보포털
https://health.kdca.go.kr/healthinfo/biz/health/gnrlzHealthInfo/gnrlzHealthInfo/gnrlzHealthInfoMain.do</x:v>
      </x:c>
    </x:row>
    <x:row r="794" ht="62" customHeight="1">
      <x:c r="A794" s="9" t="n">
        <x:v>793</x:v>
      </x:c>
      <x:c r="B794" s="6" t="str">
        <x:v>최종 평가</x:v>
      </x:c>
      <x:c r="C794" s="6" t="str">
        <x:v>질병</x:v>
      </x:c>
      <x:c r="D794" s="6" t="str">
        <x:v>증상→질환 구분</x:v>
      </x:c>
      <x:c r="E794" s="6" t="str">
        <x:v>답변 가능</x:v>
      </x:c>
      <x:c r="F794" s="6" t="str">
        <x:v>어려움</x:v>
      </x:c>
      <x:c r="G794" s="8" t="str">
        <x:v>전체 인구의 70~80%가 경험하는 매우 흔한 증상으로, 심각한 질병이 원인인 경우는 드뭅니다. 이런 증상은 어떤 질환과 관련이 있을 수 있나요?</x:v>
      </x:c>
      <x:c r="H794" s="8" t="str">
        <x:v>두통</x:v>
      </x:c>
      <x:c r="I794" s="8" t="str">
        <x:v>두통 - 요약문 '이것만은 꼭 기억하세요' • 두통은 전체 인구의 70~80%가 경험하는 매우 흔한 증상으로, 심각한 질병이 원인인 경우는 드뭅니다. • 두통을 일으키는 다른 질환으로는 뇌종양, 혈종, 수두증 등이 있을 수 있으므로, 심각한 증상이 동반되면 의사 진료를 받아야 합니다. • 긴장두통은 긴장과 스트레스를 완화하기 위해 마사지, 건강한 식사, 휴식, 운동 등이 도움이 됩니다.</x:v>
      </x:c>
      <x:c r="J794" s="8" t="str">
        <x:v>두통</x:v>
      </x:c>
      <x:c r="K794" s="8" t="str">
        <x:v>질병관리청 국가건강정보포털
https://health.kdca.go.kr/healthinfo/biz/health/gnrlzHealthInfo/gnrlzHealthInfo/gnrlzHealthInfoMain.do</x:v>
      </x:c>
    </x:row>
    <x:row r="795" ht="62" customHeight="1">
      <x:c r="A795" s="9" t="n">
        <x:v>794</x:v>
      </x:c>
      <x:c r="B795" s="6" t="str">
        <x:v>최종 평가</x:v>
      </x:c>
      <x:c r="C795" s="6" t="str">
        <x:v>질병</x:v>
      </x:c>
      <x:c r="D795" s="6" t="str">
        <x:v>원인·위험요인</x:v>
      </x:c>
      <x:c r="E795" s="6" t="str">
        <x:v>답변 가능</x:v>
      </x:c>
      <x:c r="F795" s="6" t="str">
        <x:v>쉬움</x:v>
      </x:c>
      <x:c r="G795" s="8" t="str">
        <x:v>비정상 자궁출혈은 왜 생기나요?</x:v>
      </x:c>
      <x:c r="H795" s="8" t="str">
        <x:v>이런 경우에는 특별한 원인을 찾지 못하는 때가 많습니다. 배란 장애에 의한 자궁 출혈이 진단되려면 자궁의 기질적인 질환(용종, 근종, 암 및 과다 증식증)과 다른 내과적 질환 (갑상선 질환, 뇌하수체 종양)이 우선적으로 배제되어야 합니다. 배란 장애에 의한 자궁 출혈은 철결핍성 빈혈, 만성 피로, 불안감, 우울증을 유발하여 일상생활의 위축을 초래하고 전반적인 삶의 질을 저하시키게 되므로 정확한 진단과 치료가 중요합니다. 1. 원인</x:v>
      </x:c>
      <x:c r="I795" s="8" t="str">
        <x:v>비정상 자궁출혈 - 종류 / 원인 이런 경우에는 특별한 원인을 찾지 못하는 때가 많습니다. 배란 장애에 의한 자궁 출혈이 진단되려면 자궁의 기질적인 질환(용종, 근종, 암 및 과다 증식증)과 다른 내과적 질환 (갑상선 질환, 뇌하수체 종양)이 우선적으로 배제되어야 합니다. 배란 장애에 의한 자궁 출혈은 철결핍성 빈혈, 만성 피로, 불안감, 우울증을 유발하여 일상생활의 위축을 초래하고 전반적인 삶의 질을 저하시키게 되므로 정확한 진단과 치료가 중요합니다. 1. 원인</x:v>
      </x:c>
      <x:c r="J795" s="8" t="str">
        <x:v>비정상 자궁출혈</x:v>
      </x:c>
      <x:c r="K795" s="8" t="str">
        <x:v>질병관리청 국가건강정보포털
https://health.kdca.go.kr/healthinfo/biz/health/gnrlzHealthInfo/gnrlzHealthInfo/gnrlzHealthInfoMain.do</x:v>
      </x:c>
    </x:row>
    <x:row r="796" ht="62" customHeight="1">
      <x:c r="A796" s="9" t="n">
        <x:v>795</x:v>
      </x:c>
      <x:c r="B796" s="6" t="str">
        <x:v>최종 평가</x:v>
      </x:c>
      <x:c r="C796" s="6" t="str">
        <x:v>질병</x:v>
      </x:c>
      <x:c r="D796" s="6" t="str">
        <x:v>경과·예후</x:v>
      </x:c>
      <x:c r="E796" s="6" t="str">
        <x:v>답변 가능</x:v>
      </x:c>
      <x:c r="F796" s="6" t="str">
        <x:v>쉬움</x:v>
      </x:c>
      <x:c r="G796" s="8" t="str">
        <x:v>근 손실의 경과나 예후는 어떤가요?</x:v>
      </x:c>
      <x:c r="H796" s="8" t="str">
        <x:v>근 손실의 진행 양상과 예후를 이해하는 것은 적절한 시기에 개입하고 장기적 결과를 개선하는 데 필수적입니다.</x:v>
      </x:c>
      <x:c r="I796" s="8" t="str">
        <x:v>근 손실 - 경과 및 예후 근 손실의 진행 양상과 예후를 이해하는 것은 적절한 시기에 개입하고 장기적 결과를 개선하는 데 필수적입니다. 노화와 관련된 근감소증은 점진적으로 진행하는 경과를 보입니다. 일생에 걸친 근육량의 변화를 보면, 대개 20대 중후반에 최정점에 이르고, 그 이후로는 지속적으로 감소합니다. 40대까지는 근육량이 대체적으로 잘 유지되지만, 본격적인 감소는 보통 50대 이후부터 나타납니다.</x:v>
      </x:c>
      <x:c r="J796" s="8" t="str">
        <x:v>근 손실</x:v>
      </x:c>
      <x:c r="K796" s="8" t="str">
        <x:v>질병관리청 국가건강정보포털
https://health.kdca.go.kr/healthinfo/biz/health/gnrlzHealthInfo/gnrlzHealthInfo/gnrlzHealthInfoMain.do</x:v>
      </x:c>
    </x:row>
    <x:row r="797" ht="62" customHeight="1">
      <x:c r="A797" s="9" t="n">
        <x:v>796</x:v>
      </x:c>
      <x:c r="B797" s="6" t="str">
        <x:v>최종 평가</x:v>
      </x:c>
      <x:c r="C797" s="6" t="str">
        <x:v>질병</x:v>
      </x:c>
      <x:c r="D797" s="6" t="str">
        <x:v>증상→질환 구분</x:v>
      </x:c>
      <x:c r="E797" s="6" t="str">
        <x:v>답변 가능</x:v>
      </x:c>
      <x:c r="F797" s="6" t="str">
        <x:v>어려움</x:v>
      </x:c>
      <x:c r="G797" s="8" t="str">
        <x:v>병원체에 따라 특이 증상이 나타날 수 있는데, 결핵은 만성 기침, 체중 감소, 야간 발한을, 레지오넬라는 고열(39~40°C), 두통, 혼미 등의 증상을 유발할 수 있습니다. 이런 증상은 어떤 질환과 관련이 있을 수 있나요?</x:v>
      </x:c>
      <x:c r="H797" s="8" t="str">
        <x:v>직업성 호흡기질환(직업성 감염성폐질환)</x:v>
      </x:c>
      <x:c r="I797" s="8" t="str">
        <x:v>직업성 호흡기질환(직업성 감염성폐질환) - 증상 감염된 병원체에 따라 세균성, 바이러스성, 진균성 폐질환으로 나뉘며, 모두 폐에 염증을 일으켜 기침, 가래, 호흡곤란, 흉통 등의 호흡기 증상을 유발합니다. 발열, 피로감, 식욕 부진, 근육통, 관절통 등 전신 증상도 동반될 수 있습니다. 병원체에 따라 특이 증상이 나타날 수 있는데, 결핵은 만성 기침, 체중 감소, 야간 발한을, 레지오넬라는 고열(39~40°C), 두통, 혼미 등의 증상을 유발할 수 있습니다.</x:v>
      </x:c>
      <x:c r="J797" s="8" t="str">
        <x:v>직업성 호흡기질환(직업성 감염성폐질환)</x:v>
      </x:c>
      <x:c r="K797" s="8" t="str">
        <x:v>질병관리청 국가건강정보포털
https://health.kdca.go.kr/healthinfo/biz/health/gnrlzHealthInfo/gnrlzHealthInfo/gnrlzHealthInfoMain.do</x:v>
      </x:c>
    </x:row>
    <x:row r="798" ht="62" customHeight="1">
      <x:c r="A798" s="9" t="n">
        <x:v>797</x:v>
      </x:c>
      <x:c r="B798" s="6" t="str">
        <x:v>최종 평가</x:v>
      </x:c>
      <x:c r="C798" s="6" t="str">
        <x:v>질병</x:v>
      </x:c>
      <x:c r="D798" s="6" t="str">
        <x:v>예방·생활수칙</x:v>
      </x:c>
      <x:c r="E798" s="6" t="str">
        <x:v>답변 가능</x:v>
      </x:c>
      <x:c r="F798" s="6" t="str">
        <x:v>쉬움</x:v>
      </x:c>
      <x:c r="G798" s="8" t="str">
        <x:v>직업성 호흡기질환(직업성 감염성폐질환)을 예방하려면 어떻게 해야 하나요?</x:v>
      </x:c>
      <x:c r="H798" s="8" t="str">
        <x:v>예방을 위해서는 개인 보호 장비 착용, 철저한 손 위생, 백신 접종 등의 개인적 예방 조치가 필수적이며, 공기 질 관리, 환기, 소독 등 직업 환경에서의 철저한 감염 관리도 중요합니다. 또한, 직업별 감염 예방 규정 수립과 감염 발생 시 대응 체계 구축 등 제도적 예방 조치가 필요합니다.</x:v>
      </x:c>
      <x:c r="I798" s="8" t="str">
        <x:v>직업성 호흡기질환(직업성 감염성폐질환) - 위험요인 및 예방 직업성 감염성 폐질환의 위험 요인은 직업 특성, 작업 환경, 개인의 면역 상태에 따라 달라집니다. 예방을 위해서는 개인 보호 장비 착용, 철저한 손 위생, 백신 접종 등의 개인적 예방 조치가 필수적이며, 공기 질 관리, 환기, 소독 등 직업 환경에서의 철저한 감염 관리도 중요합니다. 또한, 직업별 감염 예방 규정 수립과 감염 발생 시 대응 체계 구축 등 제도적 예방 조치가 필요합니다.</x:v>
      </x:c>
      <x:c r="J798" s="8" t="str">
        <x:v>직업성 호흡기질환(직업성 감염성폐질환)</x:v>
      </x:c>
      <x:c r="K798" s="8" t="str">
        <x:v>질병관리청 국가건강정보포털
https://health.kdca.go.kr/healthinfo/biz/health/gnrlzHealthInfo/gnrlzHealthInfo/gnrlzHealthInfoMain.do</x:v>
      </x:c>
    </x:row>
    <x:row r="799" ht="62" customHeight="1">
      <x:c r="A799" s="9" t="n">
        <x:v>798</x:v>
      </x:c>
      <x:c r="B799" s="6" t="str">
        <x:v>최종 평가</x:v>
      </x:c>
      <x:c r="C799" s="6" t="str">
        <x:v>질병</x:v>
      </x:c>
      <x:c r="D799" s="6" t="str">
        <x:v>답변불가·치료비·보험</x:v>
      </x:c>
      <x:c r="E799" s="6" t="str">
        <x:v>답변 거부</x:v>
      </x:c>
      <x:c r="F799" s="6" t="str">
        <x:v>어려움</x:v>
      </x:c>
      <x:c r="G799" s="8" t="str">
        <x:v>백선증 치료비와 제 보험에서 보장되는 금액을 정확히 알려주세요.</x:v>
      </x:c>
      <x:c r="H799" s="8" t="str">
        <x:v>제공된 질병관리청 VDB에는 개인별 치료비와 보험 보장 금액 정보가 없어 답할 수 없습니다.</x:v>
      </x:c>
      <x:c r="I799" s="8" t="str">
        <x:v>VDB 범위 밖 질문 — 근거 없음</x:v>
      </x:c>
      <x:c r="J799" s="8" t="str">
        <x:v>백선증</x:v>
      </x:c>
      <x:c r="K799" s="8" t="str">
        <x:v>질병관리청 국가건강정보포털
https://health.kdca.go.kr/healthinfo/biz/health/gnrlzHealthInfo/gnrlzHealthInfo/gnrlzHealthInfoMain.do</x:v>
      </x:c>
    </x:row>
    <x:row r="800" ht="62" customHeight="1">
      <x:c r="A800" s="9" t="n">
        <x:v>799</x:v>
      </x:c>
      <x:c r="B800" s="6" t="str">
        <x:v>최종 평가</x:v>
      </x:c>
      <x:c r="C800" s="6" t="str">
        <x:v>질병</x:v>
      </x:c>
      <x:c r="D800" s="6" t="str">
        <x:v>개요·기타</x:v>
      </x:c>
      <x:c r="E800" s="6" t="str">
        <x:v>답변 가능</x:v>
      </x:c>
      <x:c r="F800" s="6" t="str">
        <x:v>쉬움</x:v>
      </x:c>
      <x:c r="G800" s="8" t="str">
        <x:v>임신당뇨병에 대해 쉽게 설명해 주실 수 있나요?</x:v>
      </x:c>
      <x:c r="H800" s="8" t="str">
        <x:v>임신당뇨병의 유병률 • 임신당뇨병의 유병률은 나라별로 차이가 있지만, 전 세계적으로 약 6~15% 정도입니다.</x:v>
      </x:c>
      <x:c r="I800" s="8" t="str">
        <x:v>임신당뇨병 - 역학 및 통계 또한 임신 중 임신당뇨병을 경험했던 여성은 다음 임신에서 약 50%의 확률로 재발할 수 있습니다. 1. 임신당뇨병의 유병률 • 임신당뇨병의 유병률은 나라별로 차이가 있지만, 전 세계적으로 약 6~15% 정도입니다. • 우리나라의 경우 1990년대에는 1.7~3.9%였으나, 2007년에는 4.1%로 늘었고 2011~2015년에는 12.7%까지 증가했습니다.</x:v>
      </x:c>
      <x:c r="J800" s="8" t="str">
        <x:v>임신당뇨병</x:v>
      </x:c>
      <x:c r="K800" s="8" t="str">
        <x:v>질병관리청 국가건강정보포털
https://health.kdca.go.kr/healthinfo/biz/health/gnrlzHealthInfo/gnrlzHealthInfo/gnrlzHealthInfoMain.do</x:v>
      </x:c>
    </x:row>
    <x:row r="801" ht="62" customHeight="1">
      <x:c r="A801" s="9" t="n">
        <x:v>800</x:v>
      </x:c>
      <x:c r="B801" s="6" t="str">
        <x:v>최종 평가</x:v>
      </x:c>
      <x:c r="C801" s="6" t="str">
        <x:v>질병</x:v>
      </x:c>
      <x:c r="D801" s="6" t="str">
        <x:v>원인·위험요인</x:v>
      </x:c>
      <x:c r="E801" s="6" t="str">
        <x:v>답변 가능</x:v>
      </x:c>
      <x:c r="F801" s="6" t="str">
        <x:v>쉬움</x:v>
      </x:c>
      <x:c r="G801" s="8" t="str">
        <x:v>노인기능평가는 왜 생기나요?</x:v>
      </x:c>
      <x:c r="H801" s="8" t="str">
        <x:v>몸이 불편한 이유가 단순한 노화 때문인지, 아니면 질병이 있는 건지 확인할 수 있어, 필요한 경우 빠르게 치료를 받을 수 있습니다. 노인기능평가에서는 어르신의 건강 상태를 종합적으로 살펴봅니다. 주요 항목은 다음과 같습니다. 1. 몸의 힘과 움직임 확인 걷기, 앉았다 일어서기 같은 간단한 동작을 통해 근력과 균형 감각을 점검합니다. 2. 기억력과 인지 기능</x:v>
      </x:c>
      <x:c r="I801" s="8" t="str">
        <x:v>노인기능평가 - 원인 / 진단 및 검사 질병을 조기에 발견할 수 있습니다. 몸이 불편한 이유가 단순한 노화 때문인지, 아니면 질병이 있는 건지 확인할 수 있어, 필요한 경우 빠르게 치료를 받을 수 있습니다. 노인기능평가에서는 어르신의 건강 상태를 종합적으로 살펴봅니다. 주요 항목은 다음과 같습니다. 1. 몸의 힘과 움직임 확인 걷기, 앉았다 일어서기 같은 간단한 동작을 통해 근력과 균형 감각을 점검합니다. 2. 기억력과 인지 기능</x:v>
      </x:c>
      <x:c r="J801" s="8" t="str">
        <x:v>노인기능평가</x:v>
      </x:c>
      <x:c r="K801" s="8" t="str">
        <x:v>질병관리청 국가건강정보포털
https://health.kdca.go.kr/healthinfo/biz/health/gnrlzHealthInfo/gnrlzHealthInfo/gnrlzHealthInfoMain.do</x:v>
      </x:c>
    </x:row>
    <x:row r="802" ht="62" customHeight="1">
      <x:c r="A802" s="9" t="n">
        <x:v>801</x:v>
      </x:c>
      <x:c r="B802" s="6" t="str">
        <x:v>최종 평가</x:v>
      </x:c>
      <x:c r="C802" s="6" t="str">
        <x:v>질병</x:v>
      </x:c>
      <x:c r="D802" s="6" t="str">
        <x:v>예방·생활수칙</x:v>
      </x:c>
      <x:c r="E802" s="6" t="str">
        <x:v>답변 가능</x:v>
      </x:c>
      <x:c r="F802" s="6" t="str">
        <x:v>쉬움</x:v>
      </x:c>
      <x:c r="G802" s="8" t="str">
        <x:v>수두와 대상포진을 예방하려면 어떻게 해야 하나요?</x:v>
      </x:c>
      <x:c r="H802" s="8" t="str">
        <x:v>수두 백신 접종 후 아스피린 사용이 라이 증후군을 일으켰다는 명확한 사례는 없지만, 접종 후 6주간 아스피린 사용은 피해야 합니다.</x:v>
      </x:c>
      <x:c r="I802" s="8" t="str">
        <x:v>수두와 대상포진 - 위험요인 및 예방 • 만 13세 이상: 4~8주 간격으로 2회 접종 2) 접종용량 및 방법 • 용량: 0.5 mL • 방법: 위팔 바깥쪽(상완외측)에 피하주사로 투여 3) 특수 상황에서의 접종 (1) 라이 증후군 관련 주의사항 수두 감염 후 아스피린 사용이 라이 증후군과 관련이 있음이 알려져 있습니다. 수두 백신 접종 후 아스피린 사용이 라이 증후군을 일으켰다는 명확한 사례는 없지만, 접종 후 6주간 아스피린 사용은 피해야 합니다.</x:v>
      </x:c>
      <x:c r="J802" s="8" t="str">
        <x:v>수두와 대상포진</x:v>
      </x:c>
      <x:c r="K802" s="8" t="str">
        <x:v>질병관리청 국가건강정보포털
https://health.kdca.go.kr/healthinfo/biz/health/gnrlzHealthInfo/gnrlzHealthInfo/gnrlzHealthInfoMain.do</x:v>
      </x:c>
    </x:row>
    <x:row r="803" ht="62" customHeight="1">
      <x:c r="A803" s="9" t="n">
        <x:v>802</x:v>
      </x:c>
      <x:c r="B803" s="6" t="str">
        <x:v>최종 평가</x:v>
      </x:c>
      <x:c r="C803" s="6" t="str">
        <x:v>질병</x:v>
      </x:c>
      <x:c r="D803" s="6" t="str">
        <x:v>증상·양상</x:v>
      </x:c>
      <x:c r="E803" s="6" t="str">
        <x:v>답변 가능</x:v>
      </x:c>
      <x:c r="F803" s="6" t="str">
        <x:v>쉬움</x:v>
      </x:c>
      <x:c r="G803" s="8" t="str">
        <x:v>바이러스성출혈열이 있으면 어떤 증상이 나타날 수 있나요?</x:v>
      </x:c>
      <x:c r="H803" s="8" t="str">
        <x:v>바이러스성출혈열은 감염병의 종류에 따라 잠복기와 증상이 다르게 나타나지만, 공통적으로 갑작스러운 고열과 여러 신체 부위에 출혈성 경향을 보이는 특징이 있습니다. 바이러스성출혈열은 일반적으로 사망률이 높은 질환입니다.</x:v>
      </x:c>
      <x:c r="I803" s="8" t="str">
        <x:v>바이러스성출혈열 - 역학 및 통계 / 증상 ⦁ 소수의 환자가 발생하는 국가: 가나, 말리, 베냉, 브루키나파소, 코트디부아르, 통고 [남아메리카 출혈열 유행 국가] ⦁ 아르헨티나, 볼리비아, 베네수엘라, 브라질 등 남아메리카 다수의 국가에서 발생 바이러스성출혈열은 감염병의 종류에 따라 잠복기와 증상이 다르게 나타나지만, 공통적으로 갑작스러운 고열과 여러 신체 부위에 출혈성 경향을 보이는 특징이 있습니다. 바이러스성출혈열은 일반적으로 사망률이 높은 질환입니다.</x:v>
      </x:c>
      <x:c r="J803" s="8" t="str">
        <x:v>바이러스성출혈열</x:v>
      </x:c>
      <x:c r="K803" s="8" t="str">
        <x:v>질병관리청 국가건강정보포털
https://health.kdca.go.kr/healthinfo/biz/health/gnrlzHealthInfo/gnrlzHealthInfo/gnrlzHealthInfoMain.do</x:v>
      </x:c>
    </x:row>
    <x:row r="804" ht="62" customHeight="1">
      <x:c r="A804" s="9" t="n">
        <x:v>803</x:v>
      </x:c>
      <x:c r="B804" s="6" t="str">
        <x:v>최종 평가</x:v>
      </x:c>
      <x:c r="C804" s="6" t="str">
        <x:v>질병</x:v>
      </x:c>
      <x:c r="D804" s="6" t="str">
        <x:v>경과·예후</x:v>
      </x:c>
      <x:c r="E804" s="6" t="str">
        <x:v>답변 가능</x:v>
      </x:c>
      <x:c r="F804" s="6" t="str">
        <x:v>쉬움</x:v>
      </x:c>
      <x:c r="G804" s="8" t="str">
        <x:v>발기부전의 경과나 예후는 어떤가요?</x:v>
      </x:c>
      <x:c r="H804" s="8" t="str">
        <x:v>정신성 발기부전은 질병의 경과가 매우 다양하고 증상도 악화와 호전을 반복할 수 있습니다.</x:v>
      </x:c>
      <x:c r="I804" s="8" t="str">
        <x:v>발기부전 - 종류 / 경과 및 예후 고혈압치료제, 항우울제, 신경안정제, 탈모약, 전립선비대증 약물 등에 의해 생길 수 있으며, 이들 약물은 성욕감퇴, 사정 장애, 여성형 유방 등 다른 증상도 나타날 수 있습니다. 정신성 발기부전은 질병의 경과가 매우 다양하고 증상도 악화와 호전을 반복할 수 있습니다. 상대에 따라서도 증상이 달라질 수 있습니다.</x:v>
      </x:c>
      <x:c r="J804" s="8" t="str">
        <x:v>발기부전</x:v>
      </x:c>
      <x:c r="K804" s="8" t="str">
        <x:v>질병관리청 국가건강정보포털
https://health.kdca.go.kr/healthinfo/biz/health/gnrlzHealthInfo/gnrlzHealthInfo/gnrlzHealthInfoMain.do</x:v>
      </x:c>
    </x:row>
    <x:row r="805" ht="62" customHeight="1">
      <x:c r="A805" s="9" t="n">
        <x:v>804</x:v>
      </x:c>
      <x:c r="B805" s="6" t="str">
        <x:v>최종 평가</x:v>
      </x:c>
      <x:c r="C805" s="6" t="str">
        <x:v>질병</x:v>
      </x:c>
      <x:c r="D805" s="6" t="str">
        <x:v>치료·관리</x:v>
      </x:c>
      <x:c r="E805" s="6" t="str">
        <x:v>답변 가능</x:v>
      </x:c>
      <x:c r="F805" s="6" t="str">
        <x:v>쉬움</x:v>
      </x:c>
      <x:c r="G805" s="8" t="str">
        <x:v>야뇨증(소아)는 어떻게 치료하거나 관리하나요?</x:v>
      </x:c>
      <x:c r="H805" s="8" t="str">
        <x:v>치료 효과가 좋으며 약물요법에 비해 재발이 적고 60~80%의 성공률이 보고되지만, 3~4개월 정도가 소요되며 환자와 부모가 활용하기에 불편하고 어려운 점이 많아 어린이, 부모, 의사 모두 상당한 시간과 노력이 필요합니다. 2. 생활습관의 개선 취침 2~3시간 전부터 수분이 많이 함유된 음식이나 과일은 자제합니다. 가능한 이른 시간에 저녁식사를 하고, 식사시간이 늦으면 국물 또는 짜거나 매운 음식은 가능한 피합니다.</x:v>
      </x:c>
      <x:c r="I805" s="8" t="str">
        <x:v>야뇨증(소아) - 비약물 치료 치료 효과가 좋으며 약물요법에 비해 재발이 적고 60~80%의 성공률이 보고되지만, 3~4개월 정도가 소요되며 환자와 부모가 활용하기에 불편하고 어려운 점이 많아 어린이, 부모, 의사 모두 상당한 시간과 노력이 필요합니다. 2. 생활습관의 개선 취침 2~3시간 전부터 수분이 많이 함유된 음식이나 과일은 자제합니다. 가능한 이른 시간에 저녁식사를 하고, 식사시간이 늦으면 국물 또는 짜거나 매운 음식은 가능한 피합니다.</x:v>
      </x:c>
      <x:c r="J805" s="8" t="str">
        <x:v>야뇨증(소아)</x:v>
      </x:c>
      <x:c r="K805" s="8" t="str">
        <x:v>질병관리청 국가건강정보포털
https://health.kdca.go.kr/healthinfo/biz/health/gnrlzHealthInfo/gnrlzHealthInfo/gnrlzHealthInfoMain.do</x:v>
      </x:c>
    </x:row>
    <x:row r="806" ht="62" customHeight="1">
      <x:c r="A806" s="9" t="n">
        <x:v>805</x:v>
      </x:c>
      <x:c r="B806" s="6" t="str">
        <x:v>최종 평가</x:v>
      </x:c>
      <x:c r="C806" s="6" t="str">
        <x:v>질병</x:v>
      </x:c>
      <x:c r="D806" s="6" t="str">
        <x:v>치료·관리</x:v>
      </x:c>
      <x:c r="E806" s="6" t="str">
        <x:v>답변 가능</x:v>
      </x:c>
      <x:c r="F806" s="6" t="str">
        <x:v>쉬움</x:v>
      </x:c>
      <x:c r="G806" s="8" t="str">
        <x:v>바이러스성출혈열은 어떻게 치료하거나 관리하나요?</x:v>
      </x:c>
      <x:c r="H806" s="8" t="str">
        <x:v>병의 경과 중 환자가 보일 수 있는 호흡장애, 순환장애, 출혈장애 등에 대해 증상을 완화 시켜주는 보조적인 치료를 하면서 자연 회복을 기대해야 합니다.</x:v>
      </x:c>
      <x:c r="I806" s="8" t="str">
        <x:v>바이러스성출혈열 - 예방 및 예방접종 / 치료 일부 바이러스성출혈열은 백신이 개발되어 있지만, 아직 국내에는 도입되지 않았습니다. 바이러스성출혈열에 대한 치료제는 없습니다. 병의 경과 중 환자가 보일 수 있는 호흡장애, 순환장애, 출혈장애 등에 대해 증상을 완화 시켜주는 보조적인 치료를 하면서 자연 회복을 기대해야 합니다.</x:v>
      </x:c>
      <x:c r="J806" s="8" t="str">
        <x:v>바이러스성출혈열</x:v>
      </x:c>
      <x:c r="K806" s="8" t="str">
        <x:v>질병관리청 국가건강정보포털
https://health.kdca.go.kr/healthinfo/biz/health/gnrlzHealthInfo/gnrlzHealthInfo/gnrlzHealthInfoMain.do</x:v>
      </x:c>
    </x:row>
    <x:row r="807" ht="62" customHeight="1">
      <x:c r="A807" s="9" t="n">
        <x:v>806</x:v>
      </x:c>
      <x:c r="B807" s="6" t="str">
        <x:v>최종 평가</x:v>
      </x:c>
      <x:c r="C807" s="6" t="str">
        <x:v>질병</x:v>
      </x:c>
      <x:c r="D807" s="6" t="str">
        <x:v>치료·관리</x:v>
      </x:c>
      <x:c r="E807" s="6" t="str">
        <x:v>답변 가능</x:v>
      </x:c>
      <x:c r="F807" s="6" t="str">
        <x:v>쉬움</x:v>
      </x:c>
      <x:c r="G807" s="8" t="str">
        <x:v>담낭염은 어떻게 치료하거나 관리하나요?</x:v>
      </x:c>
      <x:c r="H807" s="8" t="str">
        <x:v>수술을 시행하기 어려운 환자에서는 장기간 배액관을 유지하는 경우도 있으며, 배액관을 점차 큰 것으로 교체하여 담석을 제거하는 방법이 사용될 수 있습니다. 수술은 담낭을 제거하는 담낭절제수술이 시행되며 염증이 담낭에만 국한되어 있다면 복강경을 이용한 담낭절제술(배를 개복하지 않고 복강경으로 담낭을 제거하는 수술)을 시행할 수 있습니다.</x:v>
      </x:c>
      <x:c r="I807" s="8" t="str">
        <x:v>담낭염 - 치료 수술을 시행하기 어려운 환자에서는 장기간 배액관을 유지하는 경우도 있으며, 배액관을 점차 큰 것으로 교체하여 담석을 제거하는 방법이 사용될 수 있습니다. 수술은 담낭을 제거하는 담낭절제수술이 시행되며 염증이 담낭에만 국한되어 있다면 복강경을 이용한 담낭절제술(배를 개복하지 않고 복강경으로 담낭을 제거하는 수술)을 시행할 수 있습니다.</x:v>
      </x:c>
      <x:c r="J807" s="8" t="str">
        <x:v>담낭염</x:v>
      </x:c>
      <x:c r="K807" s="8" t="str">
        <x:v>질병관리청 국가건강정보포털
https://health.kdca.go.kr/healthinfo/biz/health/gnrlzHealthInfo/gnrlzHealthInfo/gnrlzHealthInfoMain.do</x:v>
      </x:c>
    </x:row>
    <x:row r="808" ht="62" customHeight="1">
      <x:c r="A808" s="9" t="n">
        <x:v>807</x:v>
      </x:c>
      <x:c r="B808" s="6" t="str">
        <x:v>최종 평가</x:v>
      </x:c>
      <x:c r="C808" s="6" t="str">
        <x:v>질병</x:v>
      </x:c>
      <x:c r="D808" s="6" t="str">
        <x:v>증상·양상</x:v>
      </x:c>
      <x:c r="E808" s="6" t="str">
        <x:v>답변 가능</x:v>
      </x:c>
      <x:c r="F808" s="6" t="str">
        <x:v>쉬움</x:v>
      </x:c>
      <x:c r="G808" s="8" t="str">
        <x:v>모소낭이 있으면 어떤 증상이 나타날 수 있나요?</x:v>
      </x:c>
      <x:c r="H808" s="8" t="str">
        <x:v>급성 농양 배농 후 증상이 없는 모소낭으로 남는 경우도 있지만, 대부분은 간헐적으로 화농성 분비물이 재발되는 모소질환의 경과를 밟기도 합니다. 환자의 약 절반 정도에서는 모발이 발견되며, 모낭이 감염되어 파열된 각질로 채워져 있기도 합니다. 모소낭은 둔부열에 반복되는 염증 소견 및 정중선 둔부열에 존재하는 구멍으로 비교적 쉽게 진단할 수 있습니다.</x:v>
      </x:c>
      <x:c r="I808" s="8" t="str">
        <x:v>모소낭 - 증상 / 진단 및 검사 급성 농양 배농 후 증상이 없는 모소낭으로 남는 경우도 있지만, 대부분은 간헐적으로 화농성 분비물이 재발되는 모소질환의 경과를 밟기도 합니다. 환자의 약 절반 정도에서는 모발이 발견되며, 모낭이 감염되어 파열된 각질로 채워져 있기도 합니다. 모소낭은 둔부열에 반복되는 염증 소견 및 정중선 둔부열에 존재하는 구멍으로 비교적 쉽게 진단할 수 있습니다.</x:v>
      </x:c>
      <x:c r="J808" s="8" t="str">
        <x:v>모소낭</x:v>
      </x:c>
      <x:c r="K808" s="8" t="str">
        <x:v>질병관리청 국가건강정보포털
https://health.kdca.go.kr/healthinfo/biz/health/gnrlzHealthInfo/gnrlzHealthInfo/gnrlzHealthInfoMain.do</x:v>
      </x:c>
    </x:row>
    <x:row r="809" ht="62" customHeight="1">
      <x:c r="A809" s="9" t="n">
        <x:v>808</x:v>
      </x:c>
      <x:c r="B809" s="6" t="str">
        <x:v>최종 평가</x:v>
      </x:c>
      <x:c r="C809" s="6" t="str">
        <x:v>질병</x:v>
      </x:c>
      <x:c r="D809" s="6" t="str">
        <x:v>답변불가·실시간 의료기관</x:v>
      </x:c>
      <x:c r="E809" s="6" t="str">
        <x:v>답변 거부</x:v>
      </x:c>
      <x:c r="F809" s="6" t="str">
        <x:v>어려움</x:v>
      </x:c>
      <x:c r="G809" s="8" t="str">
        <x:v>지금 제 위치에서 딸꾹질 진료가 가능한 병원 중 대기 시간이 가장 짧은 곳은 어디인가요?</x:v>
      </x:c>
      <x:c r="H809" s="8" t="str">
        <x:v>제공된 질병관리청 VDB에는 실시간 병원 위치와 대기 시간 정보가 없어 답할 수 없습니다.</x:v>
      </x:c>
      <x:c r="I809" s="8" t="str">
        <x:v>VDB 범위 밖 질문 — 근거 없음</x:v>
      </x:c>
      <x:c r="J809" s="8" t="str">
        <x:v>딸꾹질</x:v>
      </x:c>
      <x:c r="K809" s="8" t="str">
        <x:v>질병관리청 국가건강정보포털
https://health.kdca.go.kr/healthinfo/biz/health/gnrlzHealthInfo/gnrlzHealthInfo/gnrlzHealthInfoMain.do</x:v>
      </x:c>
    </x:row>
    <x:row r="810" ht="62" customHeight="1">
      <x:c r="A810" s="9" t="n">
        <x:v>809</x:v>
      </x:c>
      <x:c r="B810" s="6" t="str">
        <x:v>최종 평가</x:v>
      </x:c>
      <x:c r="C810" s="6" t="str">
        <x:v>질병</x:v>
      </x:c>
      <x:c r="D810" s="6" t="str">
        <x:v>증상→질환 구분</x:v>
      </x:c>
      <x:c r="E810" s="6" t="str">
        <x:v>답변 가능</x:v>
      </x:c>
      <x:c r="F810" s="6" t="str">
        <x:v>어려움</x:v>
      </x:c>
      <x:c r="G810" s="8" t="str">
        <x:v>소변을 볼 때 아프고(배뇨통), 소변을 자주 보고(빈뇨), 갑자기 소변이 마려울(급박뇨) 수 있습니다. 이런 증상은 어떤 질환과 관련이 있을 수 있나요?</x:v>
      </x:c>
      <x:c r="H810" s="8" t="str">
        <x:v>방광염</x:v>
      </x:c>
      <x:c r="I810" s="8" t="str">
        <x:v>방광염 - 역학 및 통계 / 증상 방광염을 한 번이라도 경험한 여성의 3분의 1은 한 번 이상의 재발성 방광염을 겪습니다. 방광은 소변을 저장하고 배출하는 장기이므로, 방광염의 증상은 주로 소변과 관계가 있습니다. 소변을 볼 때 아프고(배뇨통), 소변을 자주 보고(빈뇨), 갑자기 소변이 마려울(급박뇨) 수 있습니다. 소변을 봐도 개운치 않고, 소변이 남아 있는 느낌(잔뇨감)이 듭니다.</x:v>
      </x:c>
      <x:c r="J810" s="8" t="str">
        <x:v>방광염</x:v>
      </x:c>
      <x:c r="K810" s="8" t="str">
        <x:v>질병관리청 국가건강정보포털
https://health.kdca.go.kr/healthinfo/biz/health/gnrlzHealthInfo/gnrlzHealthInfo/gnrlzHealthInfoMain.do</x:v>
      </x:c>
    </x:row>
    <x:row r="811" ht="62" customHeight="1">
      <x:c r="A811" s="9" t="n">
        <x:v>810</x:v>
      </x:c>
      <x:c r="B811" s="6" t="str">
        <x:v>최종 평가</x:v>
      </x:c>
      <x:c r="C811" s="6" t="str">
        <x:v>질병</x:v>
      </x:c>
      <x:c r="D811" s="6" t="str">
        <x:v>용어·정의</x:v>
      </x:c>
      <x:c r="E811" s="6" t="str">
        <x:v>답변 가능</x:v>
      </x:c>
      <x:c r="F811" s="6" t="str">
        <x:v>쉬움</x:v>
      </x:c>
      <x:c r="G811" s="8" t="str">
        <x:v>요실금(Incontinence)이 뭔가요?</x:v>
      </x:c>
      <x:c r="H811" s="8" t="str">
        <x:v>요실금(Incontinence)은 본인의 의지와 상관없이 방광에서 소변이 새어 나와 사회적 또는 위생적으로 문제가 발생하는 증세를 말합니다.</x:v>
      </x:c>
      <x:c r="I811" s="8" t="str">
        <x:v>요실금 - 정의 요실금(Incontinence)은 본인의 의지와 상관없이 방광에서 소변이 새어 나와 사회적 또는 위생적으로 문제가 발생하는 증세를 말합니다. 국제요실금학회(International Continence Society)는 소변이 새는 증상, 소변이 새어 묻어나온 모습, 원인이 되는 방광 신체의 상태로 나누어 요실금을 구분하고 있습니다. 보통 건강에 지장을 주지는 않지만, 생활을 매우 불편하게 만드는 병입니다.</x:v>
      </x:c>
      <x:c r="J811" s="8" t="str">
        <x:v>요실금</x:v>
      </x:c>
      <x:c r="K811" s="8" t="str">
        <x:v>질병관리청 국가건강정보포털
https://health.kdca.go.kr/healthinfo/biz/health/gnrlzHealthInfo/gnrlzHealthInfo/gnrlzHealthInfoMain.do</x:v>
      </x:c>
    </x:row>
    <x:row r="812" ht="62" customHeight="1">
      <x:c r="A812" s="9" t="n">
        <x:v>811</x:v>
      </x:c>
      <x:c r="B812" s="6" t="str">
        <x:v>최종 평가</x:v>
      </x:c>
      <x:c r="C812" s="6" t="str">
        <x:v>질병</x:v>
      </x:c>
      <x:c r="D812" s="6" t="str">
        <x:v>치료·관리</x:v>
      </x:c>
      <x:c r="E812" s="6" t="str">
        <x:v>답변 가능</x:v>
      </x:c>
      <x:c r="F812" s="6" t="str">
        <x:v>쉬움</x:v>
      </x:c>
      <x:c r="G812" s="8" t="str">
        <x:v>유선염은 어떻게 치료하거나 관리하나요?</x:v>
      </x:c>
      <x:c r="H812" s="8" t="str">
        <x:v>폐결핵과는 달리 전염성이 높지 않으며 특히 결핵약을 복용하면 2주정도 이후에는 감염력이 사라집니다. 신생아의 경우에는 저항력이 약하기 때문에 조심해야 하지만 일단 결핵약을 복용하고 있는 상태에서는 안심해도 됩니다. 1. 한국유방암학회. (2013). 유방학 (제3판). 군자출판사.</x:v>
      </x:c>
      <x:c r="I812" s="8" t="str">
        <x:v>유선염 - 자주하는 질문 / 참고문헌 폐결핵과는 달리 전염성이 높지 않으며 특히 결핵약을 복용하면 2주정도 이후에는 감염력이 사라집니다. 신생아의 경우에는 저항력이 약하기 때문에 조심해야 하지만 일단 결핵약을 복용하고 있는 상태에서는 안심해도 됩니다. 1. 한국유방암학회. (2013). 유방학 (제3판). 군자출판사.</x:v>
      </x:c>
      <x:c r="J812" s="8" t="str">
        <x:v>유선염</x:v>
      </x:c>
      <x:c r="K812" s="8" t="str">
        <x:v>질병관리청 국가건강정보포털
https://health.kdca.go.kr/healthinfo/biz/health/gnrlzHealthInfo/gnrlzHealthInfo/gnrlzHealthInfoMain.do</x:v>
      </x:c>
    </x:row>
    <x:row r="813" ht="62" customHeight="1">
      <x:c r="A813" s="9" t="n">
        <x:v>812</x:v>
      </x:c>
      <x:c r="B813" s="6" t="str">
        <x:v>최종 평가</x:v>
      </x:c>
      <x:c r="C813" s="6" t="str">
        <x:v>질병</x:v>
      </x:c>
      <x:c r="D813" s="6" t="str">
        <x:v>원인·위험요인</x:v>
      </x:c>
      <x:c r="E813" s="6" t="str">
        <x:v>답변 가능</x:v>
      </x:c>
      <x:c r="F813" s="6" t="str">
        <x:v>쉬움</x:v>
      </x:c>
      <x:c r="G813" s="8" t="str">
        <x:v>고칼슘혈증은 왜 생기나요?</x:v>
      </x:c>
      <x:c r="H813" s="8" t="str">
        <x:v>선종 및 증식증이 발생하는 원인은 명확하지 않습니다. 선종은 대부분 양성이나 드물게 암종인 경우도 있습니다. 보통 부갑상샘에 국한되어 병이 발생하나 드물게는 다발성 내분비 선종이라고 하여 부갑상샘항진증 외에 다른 내분비 호르몬 분비이상을 동반하는 경우도 있습니다. 발생률은 연령에 따라 증가하여 50대 이후에 많이 발생하며, 여자에서 약 3배 더 많습니다.</x:v>
      </x:c>
      <x:c r="I813" s="8" t="str">
        <x:v>고칼슘혈증 - 원인 선종 및 증식증이 발생하는 원인은 명확하지 않습니다. 선종은 대부분 양성이나 드물게 암종인 경우도 있습니다. 보통 부갑상샘에 국한되어 병이 발생하나 드물게는 다발성 내분비 선종이라고 하여 부갑상샘항진증 외에 다른 내분비 호르몬 분비이상을 동반하는 경우도 있습니다. 발생률은 연령에 따라 증가하여 50대 이후에 많이 발생하며, 여자에서 약 3배 더 많습니다.</x:v>
      </x:c>
      <x:c r="J813" s="8" t="str">
        <x:v>고칼슘혈증</x:v>
      </x:c>
      <x:c r="K813" s="8" t="str">
        <x:v>질병관리청 국가건강정보포털
https://health.kdca.go.kr/healthinfo/biz/health/gnrlzHealthInfo/gnrlzHealthInfo/gnrlzHealthInfoMain.do</x:v>
      </x:c>
    </x:row>
    <x:row r="814" ht="62" customHeight="1">
      <x:c r="A814" s="9" t="n">
        <x:v>813</x:v>
      </x:c>
      <x:c r="B814" s="6" t="str">
        <x:v>최종 평가</x:v>
      </x:c>
      <x:c r="C814" s="6" t="str">
        <x:v>질병</x:v>
      </x:c>
      <x:c r="D814" s="6" t="str">
        <x:v>예방·생활수칙</x:v>
      </x:c>
      <x:c r="E814" s="6" t="str">
        <x:v>답변 가능</x:v>
      </x:c>
      <x:c r="F814" s="6" t="str">
        <x:v>쉬움</x:v>
      </x:c>
      <x:c r="G814" s="8" t="str">
        <x:v>건막염(감염성 건막염)을 예방하려면 어떻게 해야 하나요?</x:v>
      </x:c>
      <x:c r="H814" s="8" t="str">
        <x:v>건막 내에 발생한 농을 그냥 놔두면, 건의 활주 기전이 파괴되면서, 건과 인접 조직의 유착이 급성하게 진행하여, 건의 운동 기능이 심하게 소실됩니다. 이런 증상을 급성 화농성 건막염이라 부릅니다. 2. 만성 감염성 건염 이 부류의 질환은 만성 화농성 건막염이라 부를 수 있을지 모르나, 농이 많이 고이지는 않으므로 화농성이란 말이 흔히 사용되지는 않습니다.</x:v>
      </x:c>
      <x:c r="I814" s="8" t="str">
        <x:v>건막염(감염성 건막염) - 종류 건막 내에 발생한 농을 그냥 놔두면, 건의 활주 기전이 파괴되면서, 건과 인접 조직의 유착이 급성하게 진행하여, 건의 운동 기능이 심하게 소실됩니다. 이런 증상을 급성 화농성 건막염이라 부릅니다. 2. 만성 감염성 건염 이 부류의 질환은 만성 화농성 건막염이라 부를 수 있을지 모르나, 농이 많이 고이지는 않으므로 화농성이란 말이 흔히 사용되지는 않습니다.</x:v>
      </x:c>
      <x:c r="J814" s="8" t="str">
        <x:v>건막염(감염성 건막염)</x:v>
      </x:c>
      <x:c r="K814" s="8" t="str">
        <x:v>질병관리청 국가건강정보포털
https://health.kdca.go.kr/healthinfo/biz/health/gnrlzHealthInfo/gnrlzHealthInfo/gnrlzHealthInfoMain.do</x:v>
      </x:c>
    </x:row>
    <x:row r="815" ht="62" customHeight="1">
      <x:c r="A815" s="9" t="n">
        <x:v>814</x:v>
      </x:c>
      <x:c r="B815" s="6" t="str">
        <x:v>최종 평가</x:v>
      </x:c>
      <x:c r="C815" s="6" t="str">
        <x:v>질병</x:v>
      </x:c>
      <x:c r="D815" s="6" t="str">
        <x:v>치료·관리</x:v>
      </x:c>
      <x:c r="E815" s="6" t="str">
        <x:v>답변 가능</x:v>
      </x:c>
      <x:c r="F815" s="6" t="str">
        <x:v>쉬움</x:v>
      </x:c>
      <x:c r="G815" s="8" t="str">
        <x:v>구강건조증은 어떻게 치료하거나 관리하나요?</x:v>
      </x:c>
      <x:c r="H815" s="8" t="str">
        <x:v>구강건조증은 원인이 다양해서 한 가지 치료법만으로는 증상을 근본적으로 치유하기 어렵습니다. 환자의 원인 질환을 정확히 파악하여 교정 가능한 질환에 대한 치료와 함께 증상 완화를 도모하는 것이 중요합니다. 1. 원인 요인 교정 및 예방 구강건조증의 가장 흔한 원인은 약물입니다. 이뇨제, 항우울제, 항히스타민제 등을 복용하는 경우 전문가와 상의하여 약물 투여를 조절합니다.</x:v>
      </x:c>
      <x:c r="I815" s="8" t="str">
        <x:v>구강건조증 - 치료 구강건조증은 원인이 다양해서 한 가지 치료법만으로는 증상을 근본적으로 치유하기 어렵습니다. 환자의 원인 질환을 정확히 파악하여 교정 가능한 질환에 대한 치료와 함께 증상 완화를 도모하는 것이 중요합니다. 1. 원인 요인 교정 및 예방 구강건조증의 가장 흔한 원인은 약물입니다. 이뇨제, 항우울제, 항히스타민제 등을 복용하는 경우 전문가와 상의하여 약물 투여를 조절합니다.</x:v>
      </x:c>
      <x:c r="J815" s="8" t="str">
        <x:v>구강건조증</x:v>
      </x:c>
      <x:c r="K815" s="8" t="str">
        <x:v>질병관리청 국가건강정보포털
https://health.kdca.go.kr/healthinfo/biz/health/gnrlzHealthInfo/gnrlzHealthInfo/gnrlzHealthInfoMain.do</x:v>
      </x:c>
    </x:row>
    <x:row r="816" ht="62" customHeight="1">
      <x:c r="A816" s="9" t="n">
        <x:v>815</x:v>
      </x:c>
      <x:c r="B816" s="6" t="str">
        <x:v>최종 평가</x:v>
      </x:c>
      <x:c r="C816" s="6" t="str">
        <x:v>질병</x:v>
      </x:c>
      <x:c r="D816" s="6" t="str">
        <x:v>개요·기타</x:v>
      </x:c>
      <x:c r="E816" s="6" t="str">
        <x:v>답변 가능</x:v>
      </x:c>
      <x:c r="F816" s="6" t="str">
        <x:v>쉬움</x:v>
      </x:c>
      <x:c r="G816" s="8" t="str">
        <x:v>피임에 대해 쉽게 설명해 주실 수 있나요?</x:v>
      </x:c>
      <x:c r="H816" s="8" t="str">
        <x:v>피임은 원치 않는 임신을 예방하는 것으로 호르몬 약물과 콘돔과 같은 차단피임법이 있습니다.</x:v>
      </x:c>
      <x:c r="I816" s="8" t="str">
        <x:v>피임 - 요약문 '이것만은 꼭 기억하세요' • 피임은 원치 않는 임신을 예방하는 것으로 호르몬 약물과 콘돔과 같은 차단피임법이 있습니다. • 복합경구피임제는 약제 종류에 따라 매달 21일 또는 28일 동안 복용하며, 복용방법을 잘 준수하여 지속적으로 복용해야 안정적인 피임 효과를 유지할 수 있습니다. • 자궁내장치, 피하이식제는 자궁이나 팔에 삽입하는 피임 장치로, 한번 시술하면 수년 동안 높은 피임 효과를 나타내는 장기 피임 방법입니다.</x:v>
      </x:c>
      <x:c r="J816" s="8" t="str">
        <x:v>피임</x:v>
      </x:c>
      <x:c r="K816" s="8" t="str">
        <x:v>질병관리청 국가건강정보포털
https://health.kdca.go.kr/healthinfo/biz/health/gnrlzHealthInfo/gnrlzHealthInfo/gnrlzHealthInfoMain.do</x:v>
      </x:c>
    </x:row>
    <x:row r="817" ht="62" customHeight="1">
      <x:c r="A817" s="9" t="n">
        <x:v>816</x:v>
      </x:c>
      <x:c r="B817" s="6" t="str">
        <x:v>최종 평가</x:v>
      </x:c>
      <x:c r="C817" s="6" t="str">
        <x:v>질병</x:v>
      </x:c>
      <x:c r="D817" s="6" t="str">
        <x:v>치료·관리</x:v>
      </x:c>
      <x:c r="E817" s="6" t="str">
        <x:v>답변 가능</x:v>
      </x:c>
      <x:c r="F817" s="6" t="str">
        <x:v>쉬움</x:v>
      </x:c>
      <x:c r="G817" s="8" t="str">
        <x:v>남성갱년기는 어떻게 치료하거나 관리하나요?</x:v>
      </x:c>
      <x:c r="H817" s="8" t="str">
        <x:v>남성갱년기 치료의 목표는 증상을 완화하고 성기능, 신체 기능, 정신 건강을 회복해 전반적인 삶의 질을 높이는 데 있습니다. 치료 방법은 증상의 심각도, 혈중 남성호르몬 수치, 동반 질환 여부, 그리고 환자의 치료 의지와 기대를 모두 고려해 결정합니다. 모든 환자가 반드시 약물 치료를 받아야 하는 것은 아니며, 증상이 가볍거나 호르몬 수치가 경계선에 있을 때는 생활습관 개선 같은 비약물 치료만으로도 증상이 좋아질 수 있습니다.</x:v>
      </x:c>
      <x:c r="I817" s="8" t="str">
        <x:v>남성갱년기 - 치료 남성갱년기 치료의 목표는 증상을 완화하고 성기능, 신체 기능, 정신 건강을 회복해 전반적인 삶의 질을 높이는 데 있습니다. 치료 방법은 증상의 심각도, 혈중 남성호르몬 수치, 동반 질환 여부, 그리고 환자의 치료 의지와 기대를 모두 고려해 결정합니다. 모든 환자가 반드시 약물 치료를 받아야 하는 것은 아니며, 증상이 가볍거나 호르몬 수치가 경계선에 있을 때는 생활습관 개선 같은 비약물 치료만으로도 증상이 좋아질 수 있습니다.</x:v>
      </x:c>
      <x:c r="J817" s="8" t="str">
        <x:v>남성갱년기</x:v>
      </x:c>
      <x:c r="K817" s="8" t="str">
        <x:v>질병관리청 국가건강정보포털
https://health.kdca.go.kr/healthinfo/biz/health/gnrlzHealthInfo/gnrlzHealthInfo/gnrlzHealthInfoMain.do</x:v>
      </x:c>
    </x:row>
    <x:row r="818" ht="62" customHeight="1">
      <x:c r="A818" s="9" t="n">
        <x:v>817</x:v>
      </x:c>
      <x:c r="B818" s="6" t="str">
        <x:v>최종 평가</x:v>
      </x:c>
      <x:c r="C818" s="6" t="str">
        <x:v>질병</x:v>
      </x:c>
      <x:c r="D818" s="6" t="str">
        <x:v>증상·양상</x:v>
      </x:c>
      <x:c r="E818" s="6" t="str">
        <x:v>답변 가능</x:v>
      </x:c>
      <x:c r="F818" s="6" t="str">
        <x:v>쉬움</x:v>
      </x:c>
      <x:c r="G818" s="8" t="str">
        <x:v>발달성 고관절 이형성증 및 탈구가 있으면 어떤 증상이 나타날 수 있나요?</x:v>
      </x:c>
      <x:c r="H818" s="8" t="str">
        <x:v>탈구 쪽 다리가 상대적으로 짧아지면서 나타날 수 있으나, 임상적으로 큰 의미가 없습니다. - 기저귀를 갈 때 고관절이 잘 벌어지지 않음 - 고관절 및 무릎을 구부린 상태에서 한쪽 다리가 짧음 - 보행 시 다리를 절뚝거림 - 한쪽에 발달성 고관절 이형성증이 있는 경우 보행기에 뚜렷이 눈에 띄는 경우가 있습니다.</x:v>
      </x:c>
      <x:c r="I818" s="8" t="str">
        <x:v>발달성 고관절 이형성증 및 탈구 - 증상 발달성 고관절 이형성증을 의심할 수 있는 증상 및 징후는 다음과 같습니다. - 사타구니 쪽 피부 주름의 비대칭 - 탈구 쪽 다리가 상대적으로 짧아지면서 나타날 수 있으나, 임상적으로 큰 의미가 없습니다. - 기저귀를 갈 때 고관절이 잘 벌어지지 않음 - 고관절 및 무릎을 구부린 상태에서 한쪽 다리가 짧음 - 보행 시 다리를 절뚝거림 - 한쪽에 발달성 고관절 이형성증이 있는 경우 보행기에 뚜렷이 눈에 띄는 경우가 있습니다.</x:v>
      </x:c>
      <x:c r="J818" s="8" t="str">
        <x:v>발달성 고관절 이형성증 및 탈구</x:v>
      </x:c>
      <x:c r="K818" s="8" t="str">
        <x:v>질병관리청 국가건강정보포털
https://health.kdca.go.kr/healthinfo/biz/health/gnrlzHealthInfo/gnrlzHealthInfo/gnrlzHealthInfoMain.do</x:v>
      </x:c>
    </x:row>
    <x:row r="819" ht="62" customHeight="1">
      <x:c r="A819" s="9" t="n">
        <x:v>818</x:v>
      </x:c>
      <x:c r="B819" s="6" t="str">
        <x:v>최종 평가</x:v>
      </x:c>
      <x:c r="C819" s="6" t="str">
        <x:v>질병</x:v>
      </x:c>
      <x:c r="D819" s="6" t="str">
        <x:v>기준·수치</x:v>
      </x:c>
      <x:c r="E819" s="6" t="str">
        <x:v>답변 가능</x:v>
      </x:c>
      <x:c r="F819" s="6" t="str">
        <x:v>쉬움</x:v>
      </x:c>
      <x:c r="G819" s="8" t="str">
        <x:v>수면무호흡증과 관련해 알아두어야 할 기준이나 수치는 무엇인가요?</x:v>
      </x:c>
      <x:c r="H819" s="8" t="str">
        <x:v>수면무호흡증은 수면 중 10초 이상 호흡이 멈추는 경우로서, 숨을 쉬려는 시도가 있음에도 상기도가 폐쇄되어 발생하는 ‘폐쇄성 수면무호흡증’과 숨을 쉬려는 노력 자체가 일시적으로 없어지는 ‘중추성 수면무호흡증’으로 분류합니다.</x:v>
      </x:c>
      <x:c r="I819" s="8" t="str">
        <x:v>수면무호흡증 - 정의 수면무호흡증은 수면 중 10초 이상 호흡이 멈추는 경우로서, 숨을 쉬려는 시도가 있음에도 상기도가 폐쇄되어 발생하는 ‘폐쇄성 수면무호흡증’과 숨을 쉬려는 노력 자체가 일시적으로 없어지는 ‘중추성 수면무호흡증’으로 분류합니다. 저호흡은 호흡이 완전히 정지하지는 않으나 호흡량이 30% 이하로 감소해 혈액 내 산소의 농도가 떨어지는 상태를 말합니다.</x:v>
      </x:c>
      <x:c r="J819" s="8" t="str">
        <x:v>수면무호흡증</x:v>
      </x:c>
      <x:c r="K819" s="8" t="str">
        <x:v>질병관리청 국가건강정보포털
https://health.kdca.go.kr/healthinfo/biz/health/gnrlzHealthInfo/gnrlzHealthInfo/gnrlzHealthInfoMain.do</x:v>
      </x:c>
    </x:row>
    <x:row r="820" ht="62" customHeight="1">
      <x:c r="A820" s="9" t="n">
        <x:v>819</x:v>
      </x:c>
      <x:c r="B820" s="6" t="str">
        <x:v>최종 평가</x:v>
      </x:c>
      <x:c r="C820" s="6" t="str">
        <x:v>질병</x:v>
      </x:c>
      <x:c r="D820" s="6" t="str">
        <x:v>기준·수치</x:v>
      </x:c>
      <x:c r="E820" s="6" t="str">
        <x:v>답변 가능</x:v>
      </x:c>
      <x:c r="F820" s="6" t="str">
        <x:v>쉬움</x:v>
      </x:c>
      <x:c r="G820" s="8" t="str">
        <x:v>설사와 관련된 증상이나 상태는 보통 얼마나 지속되나요?</x:v>
      </x:c>
      <x:c r="H820" s="8" t="str">
        <x:v>설사는 비정상적으로 묽은 변이 배출되는 것으로 평상시보다 묽은 변이 하루에 200 g이상 배출되거나 배출의 빈도가 하루 3회 이상을 초과하는 경우로 정의하고 있습니다.</x:v>
      </x:c>
      <x:c r="I820" s="8" t="str">
        <x:v>설사 - 정의 설사는 비정상적으로 묽은 변이 배출되는 것으로 평상시보다 묽은 변이 하루에 200 g이상 배출되거나 배출의 빈도가 하루 3회 이상을 초과하는 경우로 정의하고 있습니다. 이러한 설사는 세균이나 박테리아에 의한 급성 염증으로 발생할 수도 있으나 염증성 장질환 등 만성염증에 의해서도 발생하며, 항암치료, 방사선 치료 후에도 발생할 수 있고, 유당 불내증이나 식사요인에 의해서도 발생할 수 있습니다.</x:v>
      </x:c>
      <x:c r="J820" s="8" t="str">
        <x:v>설사</x:v>
      </x:c>
      <x:c r="K820" s="8" t="str">
        <x:v>질병관리청 국가건강정보포털
https://health.kdca.go.kr/healthinfo/biz/health/gnrlzHealthInfo/gnrlzHealthInfo/gnrlzHealthInfoMain.do</x:v>
      </x:c>
    </x:row>
    <x:row r="821" ht="62" customHeight="1">
      <x:c r="A821" s="9" t="n">
        <x:v>820</x:v>
      </x:c>
      <x:c r="B821" s="6" t="str">
        <x:v>최종 평가</x:v>
      </x:c>
      <x:c r="C821" s="6" t="str">
        <x:v>질병</x:v>
      </x:c>
      <x:c r="D821" s="6" t="str">
        <x:v>답변불가·치료비·보험</x:v>
      </x:c>
      <x:c r="E821" s="6" t="str">
        <x:v>답변 거부</x:v>
      </x:c>
      <x:c r="F821" s="6" t="str">
        <x:v>어려움</x:v>
      </x:c>
      <x:c r="G821" s="8" t="str">
        <x:v>대변 이상 치료비와 제 보험에서 보장되는 금액을 정확히 알려주세요.</x:v>
      </x:c>
      <x:c r="H821" s="8" t="str">
        <x:v>제공된 질병관리청 VDB에는 개인별 치료비와 보험 보장 금액 정보가 없어 답할 수 없습니다.</x:v>
      </x:c>
      <x:c r="I821" s="8" t="str">
        <x:v>VDB 범위 밖 질문 — 근거 없음</x:v>
      </x:c>
      <x:c r="J821" s="8" t="str">
        <x:v>대변 이상</x:v>
      </x:c>
      <x:c r="K821" s="8" t="str">
        <x:v>질병관리청 국가건강정보포털
https://health.kdca.go.kr/healthinfo/biz/health/gnrlzHealthInfo/gnrlzHealthInfo/gnrlzHealthInfoMain.do</x:v>
      </x:c>
    </x:row>
    <x:row r="822" ht="62" customHeight="1">
      <x:c r="A822" s="9" t="n">
        <x:v>821</x:v>
      </x:c>
      <x:c r="B822" s="6" t="str">
        <x:v>최종 평가</x:v>
      </x:c>
      <x:c r="C822" s="6" t="str">
        <x:v>질병</x:v>
      </x:c>
      <x:c r="D822" s="6" t="str">
        <x:v>기준·수치</x:v>
      </x:c>
      <x:c r="E822" s="6" t="str">
        <x:v>답변 가능</x:v>
      </x:c>
      <x:c r="F822" s="6" t="str">
        <x:v>쉬움</x:v>
      </x:c>
      <x:c r="G822" s="8" t="str">
        <x:v>당뇨병 합병증(급성 합병증_저혈당)과 관련해 알아두어야 할 기준이나 수치는 무엇인가요?</x:v>
      </x:c>
      <x:c r="H822" s="8" t="str">
        <x:v>측정한 혈당 수치가 70 mg/dL 미만이고 의식이 있는 환자는 15~20 g의 포도당을 섭취하고 15분 간 휴식을 취한 뒤 혈당을 측정합니다.</x:v>
      </x:c>
      <x:c r="I822" s="8" t="str">
        <x:v>당뇨병 합병증(급성 합병증_저혈당) - 진단 및 검사 / 치료 환자가 혈당을 측정하기 어렵다면 먼저 저혈당에 대한 처치를 한 뒤 혈당을 측정합니다. 측정한 혈당 수치가 70 mg/dL 미만이고 의식이 있는 환자는 15~20 g의 포도당을 섭취하고 15분 간 휴식을 취한 뒤 혈당을 측정합니다. 혈당이 정상 범위로 회복되지 않았다면 포도당 섭취를 반복합니다. 포도당 15~20 g에 해당하는 음식은 다음과 같습니다. · 설탕(15 g)이나 꿀 (15 mL) 1큰숟가락 · 요구르트 1개(100 mL)</x:v>
      </x:c>
      <x:c r="J822" s="8" t="str">
        <x:v>당뇨병 합병증(급성 합병증_저혈당)</x:v>
      </x:c>
      <x:c r="K822" s="8" t="str">
        <x:v>질병관리청 국가건강정보포털
https://health.kdca.go.kr/healthinfo/biz/health/gnrlzHealthInfo/gnrlzHealthInfo/gnrlzHealthInfoMain.do</x:v>
      </x:c>
    </x:row>
    <x:row r="823" ht="62" customHeight="1">
      <x:c r="A823" s="9" t="n">
        <x:v>822</x:v>
      </x:c>
      <x:c r="B823" s="6" t="str">
        <x:v>최종 평가</x:v>
      </x:c>
      <x:c r="C823" s="6" t="str">
        <x:v>질병</x:v>
      </x:c>
      <x:c r="D823" s="6" t="str">
        <x:v>진단·검사</x:v>
      </x:c>
      <x:c r="E823" s="6" t="str">
        <x:v>답변 가능</x:v>
      </x:c>
      <x:c r="F823" s="6" t="str">
        <x:v>쉬움</x:v>
      </x:c>
      <x:c r="G823" s="8" t="str">
        <x:v>조루증은 어떤 검사로 확인하나요?</x:v>
      </x:c>
      <x:c r="H823" s="8" t="str">
        <x:v>질 내 삽입 후 사정 시간은 조루증을 진단하는 데 있어 가장 객관적으로 환자의 상태를 나타낼 수 있는 척도입니다.</x:v>
      </x:c>
      <x:c r="I823" s="8" t="str">
        <x:v>조루증 - 진단 및 검사 질 내 삽입 후 사정 시간은 남성의 성기가 여성의 질 내에 삽입 후 왕복운동을 하다가 사정에 도달할 때까지의 시간을 의미합니다. 질 내 삽입 후 사정 시간은 조루증을 진단하는 데 있어 가장 객관적으로 환자의 상태를 나타낼 수 있는 척도입니다. 그러나 아직 조루증을 진단하기 위한 공인된 질 내 삽입 후 사정 시간에 대한 기준은 없는 상태로, 2014년 국제성의학회 진단 기준에 따라 조루증을 다음과 같이 두 가지로 정의합니다.</x:v>
      </x:c>
      <x:c r="J823" s="8" t="str">
        <x:v>조루증</x:v>
      </x:c>
      <x:c r="K823" s="8" t="str">
        <x:v>질병관리청 국가건강정보포털
https://health.kdca.go.kr/healthinfo/biz/health/gnrlzHealthInfo/gnrlzHealthInfo/gnrlzHealthInfoMain.do</x:v>
      </x:c>
    </x:row>
    <x:row r="824" ht="62" customHeight="1">
      <x:c r="A824" s="9" t="n">
        <x:v>823</x:v>
      </x:c>
      <x:c r="B824" s="6" t="str">
        <x:v>최종 평가</x:v>
      </x:c>
      <x:c r="C824" s="6" t="str">
        <x:v>질병</x:v>
      </x:c>
      <x:c r="D824" s="6" t="str">
        <x:v>답변불가·치료비·보험</x:v>
      </x:c>
      <x:c r="E824" s="6" t="str">
        <x:v>답변 거부</x:v>
      </x:c>
      <x:c r="F824" s="6" t="str">
        <x:v>어려움</x:v>
      </x:c>
      <x:c r="G824" s="8" t="str">
        <x:v>언어장애(아동 언어장애의 진단과 치료) 치료비와 제 보험에서 보장되는 금액을 정확히 알려주세요.</x:v>
      </x:c>
      <x:c r="H824" s="8" t="str">
        <x:v>제공된 질병관리청 VDB에는 개인별 치료비와 보험 보장 금액 정보가 없어 답할 수 없습니다.</x:v>
      </x:c>
      <x:c r="I824" s="8" t="str">
        <x:v>VDB 범위 밖 질문 — 근거 없음</x:v>
      </x:c>
      <x:c r="J824" s="8" t="str">
        <x:v>언어장애(아동 언어장애의 진단과 치료)</x:v>
      </x:c>
      <x:c r="K824" s="8" t="str">
        <x:v>질병관리청 국가건강정보포털
https://health.kdca.go.kr/healthinfo/biz/health/gnrlzHealthInfo/gnrlzHealthInfo/gnrlzHealthInfoMain.do</x:v>
      </x:c>
    </x:row>
    <x:row r="825" ht="62" customHeight="1">
      <x:c r="A825" s="9" t="n">
        <x:v>824</x:v>
      </x:c>
      <x:c r="B825" s="6" t="str">
        <x:v>최종 평가</x:v>
      </x:c>
      <x:c r="C825" s="6" t="str">
        <x:v>질병</x:v>
      </x:c>
      <x:c r="D825" s="6" t="str">
        <x:v>개요·기타</x:v>
      </x:c>
      <x:c r="E825" s="6" t="str">
        <x:v>답변 가능</x:v>
      </x:c>
      <x:c r="F825" s="6" t="str">
        <x:v>쉬움</x:v>
      </x:c>
      <x:c r="G825" s="8" t="str">
        <x:v>건막염에 대해 쉽게 설명해 주실 수 있나요?</x:v>
      </x:c>
      <x:c r="H825" s="8" t="str">
        <x:v>이들 용어는 건막과 건의 염증성 질환을 총망라하는 의미로 사용됩니다.</x:v>
      </x:c>
      <x:c r="I825" s="8" t="str">
        <x:v>건막염 - 개요 이들 용어는 건막과 건의 염증성 질환을 총망라하는 의미로 사용됩니다. 근육에서 주어지는 힘의 방향을 바꾸거나 힘을 증폭하기 위하여 건이라는 줄은 도르래를 필요로 합니다. 이러한 도르래는 많은 경우, 섬유골성 관 (fibro-osseous tunnel)의 형태를 하고 있습니다. 섬유골성 관의 단면적은 건의 그것보다 약간 커서, 건은 무리 없이 지나가면서 힘과 에너지의 효율을 최대한 발휘할 수 있도록 되어 있습니다.</x:v>
      </x:c>
      <x:c r="J825" s="8" t="str">
        <x:v>건막염</x:v>
      </x:c>
      <x:c r="K825" s="8" t="str">
        <x:v>질병관리청 국가건강정보포털
https://health.kdca.go.kr/healthinfo/biz/health/gnrlzHealthInfo/gnrlzHealthInfo/gnrlzHealthInfoMain.do</x:v>
      </x:c>
    </x:row>
    <x:row r="826" ht="62" customHeight="1">
      <x:c r="A826" s="9" t="n">
        <x:v>825</x:v>
      </x:c>
      <x:c r="B826" s="6" t="str">
        <x:v>최종 평가</x:v>
      </x:c>
      <x:c r="C826" s="6" t="str">
        <x:v>질병</x:v>
      </x:c>
      <x:c r="D826" s="6" t="str">
        <x:v>답변불가·치료비·보험</x:v>
      </x:c>
      <x:c r="E826" s="6" t="str">
        <x:v>답변 거부</x:v>
      </x:c>
      <x:c r="F826" s="6" t="str">
        <x:v>어려움</x:v>
      </x:c>
      <x:c r="G826" s="8" t="str">
        <x:v>포충증 치료비와 제 보험에서 보장되는 금액을 정확히 알려주세요.</x:v>
      </x:c>
      <x:c r="H826" s="8" t="str">
        <x:v>제공된 질병관리청 VDB에는 개인별 치료비와 보험 보장 금액 정보가 없어 답할 수 없습니다.</x:v>
      </x:c>
      <x:c r="I826" s="8" t="str">
        <x:v>VDB 범위 밖 질문 — 근거 없음</x:v>
      </x:c>
      <x:c r="J826" s="8" t="str">
        <x:v>포충증</x:v>
      </x:c>
      <x:c r="K826" s="8" t="str">
        <x:v>질병관리청 국가건강정보포털
https://health.kdca.go.kr/healthinfo/biz/health/gnrlzHealthInfo/gnrlzHealthInfo/gnrlzHealthInfoMain.do</x:v>
      </x:c>
    </x:row>
    <x:row r="827" ht="62" customHeight="1">
      <x:c r="A827" s="9" t="n">
        <x:v>826</x:v>
      </x:c>
      <x:c r="B827" s="6" t="str">
        <x:v>최종 평가</x:v>
      </x:c>
      <x:c r="C827" s="6" t="str">
        <x:v>질병</x:v>
      </x:c>
      <x:c r="D827" s="6" t="str">
        <x:v>답변불가·개인 예후 단정</x:v>
      </x:c>
      <x:c r="E827" s="6" t="str">
        <x:v>답변 거부</x:v>
      </x:c>
      <x:c r="F827" s="6" t="str">
        <x:v>어려움</x:v>
      </x:c>
      <x:c r="G827" s="8" t="str">
        <x:v>제가 발기부전이라면 정확히 언제 완치될지 날짜를 알려주세요.</x:v>
      </x:c>
      <x:c r="H827" s="8" t="str">
        <x:v>제공된 질병관리청 VDB만으로 개인의 정확한 회복 날짜를 예측할 수 없습니다. 개인별 예후는 상태와 치료 경과에 따라 달라집니다.</x:v>
      </x:c>
      <x:c r="I827" s="8" t="str">
        <x:v>VDB 범위 밖 질문 — 근거 없음</x:v>
      </x:c>
      <x:c r="J827" s="8" t="str">
        <x:v>발기부전</x:v>
      </x:c>
      <x:c r="K827" s="8" t="str">
        <x:v>질병관리청 국가건강정보포털
https://health.kdca.go.kr/healthinfo/biz/health/gnrlzHealthInfo/gnrlzHealthInfo/gnrlzHealthInfoMain.do</x:v>
      </x:c>
    </x:row>
    <x:row r="828" ht="62" customHeight="1">
      <x:c r="A828" s="9" t="n">
        <x:v>827</x:v>
      </x:c>
      <x:c r="B828" s="6" t="str">
        <x:v>최종 평가</x:v>
      </x:c>
      <x:c r="C828" s="6" t="str">
        <x:v>질병</x:v>
      </x:c>
      <x:c r="D828" s="6" t="str">
        <x:v>원인·위험요인</x:v>
      </x:c>
      <x:c r="E828" s="6" t="str">
        <x:v>답변 가능</x:v>
      </x:c>
      <x:c r="F828" s="6" t="str">
        <x:v>쉬움</x:v>
      </x:c>
      <x:c r="G828" s="8" t="str">
        <x:v>전신질환과 치주치료는 왜 생기나요?</x:v>
      </x:c>
      <x:c r="H828" s="8" t="str">
        <x:v>세균은 구강 내에서 영양분을 쉽게 공급받으며, 온도 또한 적절하고, 생물막(biofilm)의 일종인 치태를 통해서 보호받기 때문에 공격적인 혐기성 세균이 자라기 쉽습니다. 치태는 몸의 면역반응으로부터 세균을 보호하고 성장하여 치주조직을 공격할 정도로 커집니다. 치태가 몸의 면역체계를 이겨내면 치주조직에 염증을 일으킵니다.</x:v>
      </x:c>
      <x:c r="I828" s="8" t="str">
        <x:v>전신질환과 치주치료 - 원인 세균은 구강 내에서 영양분을 쉽게 공급받으며, 온도 또한 적절하고, 생물막(biofilm)의 일종인 치태를 통해서 보호받기 때문에 공격적인 혐기성 세균이 자라기 쉽습니다. 치태는 몸의 면역반응으로부터 세균을 보호하고 성장하여 치주조직을 공격할 정도로 커집니다. 치태가 몸의 면역체계를 이겨내면 치주조직에 염증을 일으킵니다.</x:v>
      </x:c>
      <x:c r="J828" s="8" t="str">
        <x:v>전신질환과 치주치료</x:v>
      </x:c>
      <x:c r="K828" s="8" t="str">
        <x:v>질병관리청 국가건강정보포털
https://health.kdca.go.kr/healthinfo/biz/health/gnrlzHealthInfo/gnrlzHealthInfo/gnrlzHealthInfoMain.do</x:v>
      </x:c>
    </x:row>
    <x:row r="829" ht="62" customHeight="1">
      <x:c r="A829" s="9" t="n">
        <x:v>828</x:v>
      </x:c>
      <x:c r="B829" s="6" t="str">
        <x:v>최종 평가</x:v>
      </x:c>
      <x:c r="C829" s="6" t="str">
        <x:v>질병</x:v>
      </x:c>
      <x:c r="D829" s="6" t="str">
        <x:v>예방·생활수칙</x:v>
      </x:c>
      <x:c r="E829" s="6" t="str">
        <x:v>답변 가능</x:v>
      </x:c>
      <x:c r="F829" s="6" t="str">
        <x:v>쉬움</x:v>
      </x:c>
      <x:c r="G829" s="8" t="str">
        <x:v>기관지확장증을 예방하려면 어떻게 해야 하나요?</x:v>
      </x:c>
      <x:c r="H829" s="8" t="str">
        <x:v>적절한 운동은 폐 기능을 개선하고 전반적인 건강을 유지하는 데 도움이 됩니다. 가벼운 유산소 운동(걷기, 자전거 타기, 수영)이 권장되며, 무리하지 않는 선에서 꾸준히 하는 것이 중요합니다. 다만, 전신 피로감이 심하거나 객혈이 발생한 경우, 혹은 발열이 있는 날에는 쉬는 것이 좋습니다. Q. 객혈이 있는데 어떻게 해야 하나요? A.</x:v>
      </x:c>
      <x:c r="I829" s="8" t="str">
        <x:v>기관지확장증 - 자주하는 질문 적절한 운동은 폐 기능을 개선하고 전반적인 건강을 유지하는 데 도움이 됩니다. 가벼운 유산소 운동(걷기, 자전거 타기, 수영)이 권장되며, 무리하지 않는 선에서 꾸준히 하는 것이 중요합니다. 다만, 전신 피로감이 심하거나 객혈이 발생한 경우, 혹은 발열이 있는 날에는 쉬는 것이 좋습니다. Q. 객혈이 있는데 어떻게 해야 하나요? A.</x:v>
      </x:c>
      <x:c r="J829" s="8" t="str">
        <x:v>기관지확장증</x:v>
      </x:c>
      <x:c r="K829" s="8" t="str">
        <x:v>질병관리청 국가건강정보포털
https://health.kdca.go.kr/healthinfo/biz/health/gnrlzHealthInfo/gnrlzHealthInfo/gnrlzHealthInfoMain.do</x:v>
      </x:c>
    </x:row>
    <x:row r="830" ht="62" customHeight="1">
      <x:c r="A830" s="9" t="n">
        <x:v>829</x:v>
      </x:c>
      <x:c r="B830" s="6" t="str">
        <x:v>최종 평가</x:v>
      </x:c>
      <x:c r="C830" s="6" t="str">
        <x:v>질병</x:v>
      </x:c>
      <x:c r="D830" s="6" t="str">
        <x:v>증상·양상</x:v>
      </x:c>
      <x:c r="E830" s="6" t="str">
        <x:v>답변 가능</x:v>
      </x:c>
      <x:c r="F830" s="6" t="str">
        <x:v>쉬움</x:v>
      </x:c>
      <x:c r="G830" s="8" t="str">
        <x:v>외이도염이 있으면 어떤 증상이 나타날 수 있나요?</x:v>
      </x:c>
      <x:c r="H830" s="8" t="str">
        <x:v>본격적으로 급성 염증기에 접어들면 통증이 시작되고 정도에 따라 삼출성 이루나 화농성 이루가 나옵니다. 외이도는 부종이 심해지고 발적되며 심하면 그로 인해 외이도가 완전히 막히게 됩니다. 경우에 따라서는 염증이 주변 조직으로 퍼지면 주변부의 통증이나 경부 림프절이 커지기도 합니다. 만성 염증기는 4주 이상 염증이 지속되는 것으로 외이도 피부가 두꺼워져 외이도 내경이 좁아집니다. 1. 문진 및 신체검사</x:v>
      </x:c>
      <x:c r="I830" s="8" t="str">
        <x:v>외이도염 - 증상 / 진단 및 검사 본격적으로 급성 염증기에 접어들면 통증이 시작되고 정도에 따라 삼출성 이루나 화농성 이루가 나옵니다. 외이도는 부종이 심해지고 발적되며 심하면 그로 인해 외이도가 완전히 막히게 됩니다. 경우에 따라서는 염증이 주변 조직으로 퍼지면 주변부의 통증이나 경부 림프절이 커지기도 합니다. 만성 염증기는 4주 이상 염증이 지속되는 것으로 외이도 피부가 두꺼워져 외이도 내경이 좁아집니다. 1. 문진 및 신체검사</x:v>
      </x:c>
      <x:c r="J830" s="8" t="str">
        <x:v>외이도염</x:v>
      </x:c>
      <x:c r="K830" s="8" t="str">
        <x:v>질병관리청 국가건강정보포털
https://health.kdca.go.kr/healthinfo/biz/health/gnrlzHealthInfo/gnrlzHealthInfo/gnrlzHealthInfoMain.do</x:v>
      </x:c>
    </x:row>
    <x:row r="831" ht="62" customHeight="1">
      <x:c r="A831" s="9" t="n">
        <x:v>830</x:v>
      </x:c>
      <x:c r="B831" s="6" t="str">
        <x:v>최종 평가</x:v>
      </x:c>
      <x:c r="C831" s="6" t="str">
        <x:v>질병</x:v>
      </x:c>
      <x:c r="D831" s="6" t="str">
        <x:v>답변불가·개인 진단 요청</x:v>
      </x:c>
      <x:c r="E831" s="6" t="str">
        <x:v>답변 거부</x:v>
      </x:c>
      <x:c r="F831" s="6" t="str">
        <x:v>어려움</x:v>
      </x:c>
      <x:c r="G831" s="8" t="str">
        <x:v>항문 가려움증 관련 증상이 있는 것 같은데, 제가 실제로 항문 가려움증인지 확정해서 진단해 주세요.</x:v>
      </x:c>
      <x:c r="H831" s="8" t="str">
        <x:v>제공된 질병관리청 VDB 정보만으로 개인의 질환을 확정 진단할 수 없습니다. 증상이 지속되거나 심하면 의료진의 진료를 받아야 합니다.</x:v>
      </x:c>
      <x:c r="I831" s="8" t="str">
        <x:v>VDB 범위 밖 질문 — 근거 없음</x:v>
      </x:c>
      <x:c r="J831" s="8" t="str">
        <x:v>항문 가려움증</x:v>
      </x:c>
      <x:c r="K831" s="8" t="str">
        <x:v>질병관리청 국가건강정보포털
https://health.kdca.go.kr/healthinfo/biz/health/gnrlzHealthInfo/gnrlzHealthInfo/gnrlzHealthInfoMain.do</x:v>
      </x:c>
    </x:row>
    <x:row r="832" ht="62" customHeight="1">
      <x:c r="A832" s="9" t="n">
        <x:v>831</x:v>
      </x:c>
      <x:c r="B832" s="6" t="str">
        <x:v>최종 평가</x:v>
      </x:c>
      <x:c r="C832" s="6" t="str">
        <x:v>질병</x:v>
      </x:c>
      <x:c r="D832" s="6" t="str">
        <x:v>답변불가·개인 진단 요청</x:v>
      </x:c>
      <x:c r="E832" s="6" t="str">
        <x:v>답변 거부</x:v>
      </x:c>
      <x:c r="F832" s="6" t="str">
        <x:v>어려움</x:v>
      </x:c>
      <x:c r="G832" s="8" t="str">
        <x:v>치통 및 만성 통증(치통) 관련 증상이 있는 것 같은데, 제가 실제로 치통 및 만성 통증(치통)인지 확정해서 진단해 주세요.</x:v>
      </x:c>
      <x:c r="H832" s="8" t="str">
        <x:v>제공된 질병관리청 VDB 정보만으로 개인의 질환을 확정 진단할 수 없습니다. 증상이 지속되거나 심하면 의료진의 진료를 받아야 합니다.</x:v>
      </x:c>
      <x:c r="I832" s="8" t="str">
        <x:v>VDB 범위 밖 질문 — 근거 없음</x:v>
      </x:c>
      <x:c r="J832" s="8" t="str">
        <x:v>치통 및 만성 통증(치통)</x:v>
      </x:c>
      <x:c r="K832" s="8" t="str">
        <x:v>질병관리청 국가건강정보포털
https://health.kdca.go.kr/healthinfo/biz/health/gnrlzHealthInfo/gnrlzHealthInfo/gnrlzHealthInfoMain.do</x:v>
      </x:c>
    </x:row>
    <x:row r="833" ht="62" customHeight="1">
      <x:c r="A833" s="9" t="n">
        <x:v>832</x:v>
      </x:c>
      <x:c r="B833" s="6" t="str">
        <x:v>최종 평가</x:v>
      </x:c>
      <x:c r="C833" s="6" t="str">
        <x:v>질병</x:v>
      </x:c>
      <x:c r="D833" s="6" t="str">
        <x:v>예방·생활수칙</x:v>
      </x:c>
      <x:c r="E833" s="6" t="str">
        <x:v>답변 가능</x:v>
      </x:c>
      <x:c r="F833" s="6" t="str">
        <x:v>쉬움</x:v>
      </x:c>
      <x:c r="G833" s="8" t="str">
        <x:v>노인성난청을 예방하려면 어떻게 해야 하나요?</x:v>
      </x:c>
      <x:c r="H833" s="8" t="str">
        <x:v>대상자는 청각장애인으로 등록된 건강보험 가입자 및 피부양자로 성인의 경우 한 개의 보청기 제품 가격에 초기 및 후기 적합관리비용을 포함하여 정해진 금액을 지원받을 수 있습니다.</x:v>
      </x:c>
      <x:c r="I833" s="8" t="str">
        <x:v>노인성난청 - 생활습관 관리 / 지원체계 들은 것을 따라해 잘못 이해한 부분은 없는지 확인해야 합니다. 우리나라에서는 장애인 복지제도의 일환으로 보청기에 대한 보험급여를 1997년부터 시행하고 있습니다. 대상자는 청각장애인으로 등록된 건강보험 가입자 및 피부양자로 성인의 경우 한 개의 보청기 제품 가격에 초기 및 후기 적합관리비용을 포함하여 정해진 금액을 지원받을 수 있습니다.</x:v>
      </x:c>
      <x:c r="J833" s="8" t="str">
        <x:v>노인성난청</x:v>
      </x:c>
      <x:c r="K833" s="8" t="str">
        <x:v>질병관리청 국가건강정보포털
https://health.kdca.go.kr/healthinfo/biz/health/gnrlzHealthInfo/gnrlzHealthInfo/gnrlzHealthInfoMain.do</x:v>
      </x:c>
    </x:row>
    <x:row r="834" ht="62" customHeight="1">
      <x:c r="A834" s="9" t="n">
        <x:v>833</x:v>
      </x:c>
      <x:c r="B834" s="6" t="str">
        <x:v>최종 평가</x:v>
      </x:c>
      <x:c r="C834" s="6" t="str">
        <x:v>질병</x:v>
      </x:c>
      <x:c r="D834" s="6" t="str">
        <x:v>치료·관리</x:v>
      </x:c>
      <x:c r="E834" s="6" t="str">
        <x:v>답변 가능</x:v>
      </x:c>
      <x:c r="F834" s="6" t="str">
        <x:v>쉬움</x:v>
      </x:c>
      <x:c r="G834" s="8" t="str">
        <x:v>소변이상(당뇨)는 어떻게 치료하거나 관리하나요?</x:v>
      </x:c>
      <x:c r="H834" s="8" t="str">
        <x:v>요세관 손상의 치료는 원인에 따라 달라지는데, 약물로 인한 경우 해당 약물을 중단하고, 이상단백혈증 또는 자가면역질환에 의한 경우에는 원인 질환을 치료하는 약제를 사용하며, 유전적 원인이라면 동반 증상에 맞는 보존적 치료를 시행할 수 있습니다.</x:v>
      </x:c>
      <x:c r="I834" s="8" t="str">
        <x:v>소변이상(당뇨) - 약물 치료 / 자주하는 질문 반면, 당뇨병이 없는데 소변검사에서 당이 검출된다면, 요세관 손상 여부를 확인하기 위한 추가 검사가 필요할 수 있습니다. 요세관 손상의 치료는 원인에 따라 달라지는데, 약물로 인한 경우 해당 약물을 중단하고, 이상단백혈증 또는 자가면역질환에 의한 경우에는 원인 질환을 치료하는 약제를 사용하며, 유전적 원인이라면 동반 증상에 맞는 보존적 치료를 시행할 수 있습니다. Q.</x:v>
      </x:c>
      <x:c r="J834" s="8" t="str">
        <x:v>소변이상(당뇨)</x:v>
      </x:c>
      <x:c r="K834" s="8" t="str">
        <x:v>질병관리청 국가건강정보포털
https://health.kdca.go.kr/healthinfo/biz/health/gnrlzHealthInfo/gnrlzHealthInfo/gnrlzHealthInfoMain.do</x:v>
      </x:c>
    </x:row>
    <x:row r="835" ht="62" customHeight="1">
      <x:c r="A835" s="9" t="n">
        <x:v>834</x:v>
      </x:c>
      <x:c r="B835" s="6" t="str">
        <x:v>최종 평가</x:v>
      </x:c>
      <x:c r="C835" s="6" t="str">
        <x:v>질병</x:v>
      </x:c>
      <x:c r="D835" s="6" t="str">
        <x:v>답변불가·개인 예후 단정</x:v>
      </x:c>
      <x:c r="E835" s="6" t="str">
        <x:v>답변 거부</x:v>
      </x:c>
      <x:c r="F835" s="6" t="str">
        <x:v>어려움</x:v>
      </x:c>
      <x:c r="G835" s="8" t="str">
        <x:v>제가 두근거림이라면 정확히 언제 완치될지 날짜를 알려주세요.</x:v>
      </x:c>
      <x:c r="H835" s="8" t="str">
        <x:v>제공된 질병관리청 VDB만으로 개인의 정확한 회복 날짜를 예측할 수 없습니다. 개인별 예후는 상태와 치료 경과에 따라 달라집니다.</x:v>
      </x:c>
      <x:c r="I835" s="8" t="str">
        <x:v>VDB 범위 밖 질문 — 근거 없음</x:v>
      </x:c>
      <x:c r="J835" s="8" t="str">
        <x:v>두근거림</x:v>
      </x:c>
      <x:c r="K835" s="8" t="str">
        <x:v>질병관리청 국가건강정보포털
https://health.kdca.go.kr/healthinfo/biz/health/gnrlzHealthInfo/gnrlzHealthInfo/gnrlzHealthInfoMain.do</x:v>
      </x:c>
    </x:row>
    <x:row r="836" ht="62" customHeight="1">
      <x:c r="A836" s="9" t="n">
        <x:v>835</x:v>
      </x:c>
      <x:c r="B836" s="6" t="str">
        <x:v>최종 평가</x:v>
      </x:c>
      <x:c r="C836" s="6" t="str">
        <x:v>질병</x:v>
      </x:c>
      <x:c r="D836" s="6" t="str">
        <x:v>증상→질환 구분</x:v>
      </x:c>
      <x:c r="E836" s="6" t="str">
        <x:v>답변 가능</x:v>
      </x:c>
      <x:c r="F836" s="6" t="str">
        <x:v>어려움</x:v>
      </x:c>
      <x:c r="G836" s="8" t="str">
        <x:v>증상: 뎅기 바이러스 감염자 중 약 75% 정도가 특별한 증상이 없고, 증상이 나타날 경우, 갑작스러운 열과 같은 일반적인 증상이 있습니다. 이런 증상은 어떤 질환과 관련이 있을 수 있나요?</x:v>
      </x:c>
      <x:c r="H836" s="8" t="str">
        <x:v>뎅기열, 치쿤구니야열</x:v>
      </x:c>
      <x:c r="I836" s="8" t="str">
        <x:v>뎅기열, 치쿤구니야열 - 역학 및 통계 / 증상 치쿤구니야열 주요 감염발생지역은 인도, 인도네시아, 필리핀 ,라오스 등 아시아 지역입니다. 1. 뎅기열 • 잠복기: 5~7 일 • 증상: 뎅기 바이러스 감염자 중 약 75% 정도가 특별한 증상이 없고, 증상이 나타날 경우, 갑작스러운 열과 같은 일반적인 증상이 있습니다. 뎅기열은 두통, 근골격계 통증, 발진을 동반하는 급성 열성질환이나 연령과 바이러스 유형에 따라 질병의 중증도와 임상양상이 다양합니다.</x:v>
      </x:c>
      <x:c r="J836" s="8" t="str">
        <x:v>뎅기열, 치쿤구니야열</x:v>
      </x:c>
      <x:c r="K836" s="8" t="str">
        <x:v>질병관리청 국가건강정보포털
https://health.kdca.go.kr/healthinfo/biz/health/gnrlzHealthInfo/gnrlzHealthInfo/gnrlzHealthInfoMain.do</x:v>
      </x:c>
    </x:row>
    <x:row r="837" ht="62" customHeight="1">
      <x:c r="A837" s="9" t="n">
        <x:v>836</x:v>
      </x:c>
      <x:c r="B837" s="6" t="str">
        <x:v>최종 평가</x:v>
      </x:c>
      <x:c r="C837" s="6" t="str">
        <x:v>질병</x:v>
      </x:c>
      <x:c r="D837" s="6" t="str">
        <x:v>진단·검사</x:v>
      </x:c>
      <x:c r="E837" s="6" t="str">
        <x:v>답변 가능</x:v>
      </x:c>
      <x:c r="F837" s="6" t="str">
        <x:v>쉬움</x:v>
      </x:c>
      <x:c r="G837" s="8" t="str">
        <x:v>색각이상(색맹)은 어떤 검사로 확인하나요?</x:v>
      </x:c>
      <x:c r="H837" s="8" t="str">
        <x:v>색각이상 검사는 그 목적에 따라 선별검사(screening), 정도판정검사(grading), 진단확정검사(diagnostic), 직업적성검사(vocational)로 나눌 수 있습니다.</x:v>
      </x:c>
      <x:c r="I837" s="8" t="str">
        <x:v>색각이상(색맹) - 진단 및 검사 색각이상 검사는 그 목적에 따라 선별검사(screening), 정도판정검사(grading), 진단확정검사(diagnostic), 직업적성검사(vocational)로 나눌 수 있습니다. 각 검사의 구체적 종류는 다음과 같습니다. 1. 가성동색표 검사(pseudoisochromatic plates test)</x:v>
      </x:c>
      <x:c r="J837" s="8" t="str">
        <x:v>색각이상(색맹)</x:v>
      </x:c>
      <x:c r="K837" s="8" t="str">
        <x:v>질병관리청 국가건강정보포털
https://health.kdca.go.kr/healthinfo/biz/health/gnrlzHealthInfo/gnrlzHealthInfo/gnrlzHealthInfoMain.do</x:v>
      </x:c>
    </x:row>
    <x:row r="838" ht="62" customHeight="1">
      <x:c r="A838" s="9" t="n">
        <x:v>837</x:v>
      </x:c>
      <x:c r="B838" s="6" t="str">
        <x:v>최종 평가</x:v>
      </x:c>
      <x:c r="C838" s="6" t="str">
        <x:v>질병</x:v>
      </x:c>
      <x:c r="D838" s="6" t="str">
        <x:v>개요·기타</x:v>
      </x:c>
      <x:c r="E838" s="6" t="str">
        <x:v>답변 가능</x:v>
      </x:c>
      <x:c r="F838" s="6" t="str">
        <x:v>쉬움</x:v>
      </x:c>
      <x:c r="G838" s="8" t="str">
        <x:v>열상에 대해 쉽게 설명해 주실 수 있나요?</x:v>
      </x:c>
      <x:c r="H838" s="8" t="str">
        <x:v>열상은 피부가 찢어지며 생기는 상처로, 상처가 불규칙하고 출혈이 많아 감염 위험이 높습니다.</x:v>
      </x:c>
      <x:c r="I838" s="8" t="str">
        <x:v>열상 - 요약문 '이것만은 꼭 기억하세요' • 피부는 몸을 보호하고 체온을 조절하는 중요한 기관으로, 다양한 상처가 생길 수 있습니다. • 열상은 피부가 찢어지며 생기는 상처로, 상처가 불규칙하고 출혈이 많아 감염 위험이 높습니다. • 열상이 생기면 먼저 깨끗한 수건으로 지혈해야 하며, 맨손 접촉은 피하는 것이 좋습니다.</x:v>
      </x:c>
      <x:c r="J838" s="8" t="str">
        <x:v>열상</x:v>
      </x:c>
      <x:c r="K838" s="8" t="str">
        <x:v>질병관리청 국가건강정보포털
https://health.kdca.go.kr/healthinfo/biz/health/gnrlzHealthInfo/gnrlzHealthInfo/gnrlzHealthInfoMain.do</x:v>
      </x:c>
    </x:row>
    <x:row r="839" ht="62" customHeight="1">
      <x:c r="A839" s="9" t="n">
        <x:v>838</x:v>
      </x:c>
      <x:c r="B839" s="6" t="str">
        <x:v>최종 평가</x:v>
      </x:c>
      <x:c r="C839" s="6" t="str">
        <x:v>질병</x:v>
      </x:c>
      <x:c r="D839" s="6" t="str">
        <x:v>예방·생활수칙</x:v>
      </x:c>
      <x:c r="E839" s="6" t="str">
        <x:v>답변 가능</x:v>
      </x:c>
      <x:c r="F839" s="6" t="str">
        <x:v>쉬움</x:v>
      </x:c>
      <x:c r="G839" s="8" t="str">
        <x:v>렙토스피라증을 예방하려면 어떻게 해야 하나요?</x:v>
      </x:c>
      <x:c r="H839" s="8" t="str">
        <x:v>현재까지 백신은 널리 사용되지 않고, 예방적 항생제도 부작용 때문에 제한적으로만 사용되므로 감염원과의 노출을 피하고, 감염증 발생 시에는 조기에 증상을 인지하고 치료받는 것이 가장 중요합니다. 렙토스피라의 오염이 의심되는 지역에서는 물과의 접촉이 예상되면 방수복, 장갑 등 보호 장비를 착용해야 하며, 구조대원이나 잠수부 등은 피부의 상처를 방수 드레싱으로 보호하고, 장비 위생에 주의합니다. 2) 동물 노출</x:v>
      </x:c>
      <x:c r="I839" s="8" t="str">
        <x:v>렙토스피라증 - 위험요인 및 예방 현재까지 백신은 널리 사용되지 않고, 예방적 항생제도 부작용 때문에 제한적으로만 사용되므로 감염원과의 노출을 피하고, 감염증 발생 시에는 조기에 증상을 인지하고 치료받는 것이 가장 중요합니다. 렙토스피라의 오염이 의심되는 지역에서는 물과의 접촉이 예상되면 방수복, 장갑 등 보호 장비를 착용해야 하며, 구조대원이나 잠수부 등은 피부의 상처를 방수 드레싱으로 보호하고, 장비 위생에 주의합니다. 2) 동물 노출</x:v>
      </x:c>
      <x:c r="J839" s="8" t="str">
        <x:v>렙토스피라증</x:v>
      </x:c>
      <x:c r="K839" s="8" t="str">
        <x:v>질병관리청 국가건강정보포털
https://health.kdca.go.kr/healthinfo/biz/health/gnrlzHealthInfo/gnrlzHealthInfo/gnrlzHealthInfoMain.do</x:v>
      </x:c>
    </x:row>
    <x:row r="840" ht="62" customHeight="1">
      <x:c r="A840" s="9" t="n">
        <x:v>839</x:v>
      </x:c>
      <x:c r="B840" s="6" t="str">
        <x:v>최종 평가</x:v>
      </x:c>
      <x:c r="C840" s="6" t="str">
        <x:v>질병</x:v>
      </x:c>
      <x:c r="D840" s="6" t="str">
        <x:v>진단·검사</x:v>
      </x:c>
      <x:c r="E840" s="6" t="str">
        <x:v>답변 가능</x:v>
      </x:c>
      <x:c r="F840" s="6" t="str">
        <x:v>쉬움</x:v>
      </x:c>
      <x:c r="G840" s="8" t="str">
        <x:v>간흡충증은 어떤 검사로 확인하나요?</x:v>
      </x:c>
      <x:c r="H840" s="8" t="str">
        <x:v>둘째, 상용화된 진단키트를 이용하는 것인데, 이는 혈액을 채취해 기생충에 대한 항체를 확인하는 것으로 현미경 검사에 보조적으로 이용할 수 있습니다.</x:v>
      </x:c>
      <x:c r="I840" s="8" t="str">
        <x:v>간흡충증 - 진단 및 검사 / 예방 및 예방접종 둘째, 상용화된 진단키트를 이용하는 것인데, 이는 혈액을 채취해 기생충에 대한 항체를 확인하는 것으로 현미경 검사에 보조적으로 이용할 수 있습니다. 자연산 민물고기를 생식(회로 섭취)하지 않는 것이 가장 확실한 예방법이며, 민물고기를 다룬 칼과 도마 같은 주방용품은 재사용하지 않고 분리하여 사용하거나, 반드시 끓는 물에 10초 이상 가열 후 사용하여야 합니다.</x:v>
      </x:c>
      <x:c r="J840" s="8" t="str">
        <x:v>간흡충증</x:v>
      </x:c>
      <x:c r="K840" s="8" t="str">
        <x:v>질병관리청 국가건강정보포털
https://health.kdca.go.kr/healthinfo/biz/health/gnrlzHealthInfo/gnrlzHealthInfo/gnrlzHealthInfoMain.do</x:v>
      </x:c>
    </x:row>
    <x:row r="841" ht="62" customHeight="1">
      <x:c r="A841" s="9" t="n">
        <x:v>840</x:v>
      </x:c>
      <x:c r="B841" s="6" t="str">
        <x:v>최종 평가</x:v>
      </x:c>
      <x:c r="C841" s="6" t="str">
        <x:v>질병</x:v>
      </x:c>
      <x:c r="D841" s="6" t="str">
        <x:v>증상·양상</x:v>
      </x:c>
      <x:c r="E841" s="6" t="str">
        <x:v>답변 가능</x:v>
      </x:c>
      <x:c r="F841" s="6" t="str">
        <x:v>쉬움</x:v>
      </x:c>
      <x:c r="G841" s="8" t="str">
        <x:v>골다공증이 있으면 어떤 증상이 나타날 수 있나요?</x:v>
      </x:c>
      <x:c r="H841" s="8" t="str">
        <x:v>뼈의 특성상 골다공증 초기에는 특별한 증상이 나타나지 않습니다. 초기 증상 중 하나는 척추뼈가 약해져서 척추가 뒤로 굽으면서 변형되거나 압박되어 신장이 줄어드는 것입니다. 심한 경우 척추가 체중을 지탱하지 못해서 외상이 없더라도 척추의 앞부분이 일그러지게 됩니다. 골다공증에서는 골절의 위험이 커집니다. 심할 경우 허리를 구부리거나 기침을 하는 등 일상생활 중에도 뼈가 쉽게 부러질 수 있습니다. 손목, 척추, 대퇴골 골절이 골다공증에서 흔히 발생하는 골절입니다.</x:v>
      </x:c>
      <x:c r="I841" s="8" t="str">
        <x:v>골다공증 - 연관 증상 뼈의 특성상 골다공증 초기에는 특별한 증상이 나타나지 않습니다. 초기 증상 중 하나는 척추뼈가 약해져서 척추가 뒤로 굽으면서 변형되거나 압박되어 신장이 줄어드는 것입니다. 심한 경우 척추가 체중을 지탱하지 못해서 외상이 없더라도 척추의 앞부분이 일그러지게 됩니다. 골다공증에서는 골절의 위험이 커집니다. 심할 경우 허리를 구부리거나 기침을 하는 등 일상생활 중에도 뼈가 쉽게 부러질 수 있습니다. 손목, 척추, 대퇴골 골절이 골다공증에서 흔히 발생하는 골절입니다.</x:v>
      </x:c>
      <x:c r="J841" s="8" t="str">
        <x:v>골다공증</x:v>
      </x:c>
      <x:c r="K841" s="8" t="str">
        <x:v>질병관리청 국가건강정보포털
https://health.kdca.go.kr/healthinfo/biz/health/gnrlzHealthInfo/gnrlzHealthInfo/gnrlzHealthInfoMain.do</x:v>
      </x:c>
    </x:row>
    <x:row r="842" ht="62" customHeight="1">
      <x:c r="A842" s="9" t="n">
        <x:v>841</x:v>
      </x:c>
      <x:c r="B842" s="6" t="str">
        <x:v>최종 평가</x:v>
      </x:c>
      <x:c r="C842" s="6" t="str">
        <x:v>질병</x:v>
      </x:c>
      <x:c r="D842" s="6" t="str">
        <x:v>기준·수치</x:v>
      </x:c>
      <x:c r="E842" s="6" t="str">
        <x:v>답변 가능</x:v>
      </x:c>
      <x:c r="F842" s="6" t="str">
        <x:v>쉬움</x:v>
      </x:c>
      <x:c r="G842" s="8" t="str">
        <x:v>소아 비만과 관련해 알아두어야 할 기준이나 수치는 무엇인가요?</x:v>
      </x:c>
      <x:c r="H842" s="8" t="str">
        <x:v>이 방법은 신체의 체지방률을 직접 측정하는 방법이지만, 정상범위가 12-30%로 개인과 연령에 따라 변동폭이 크기 때문에 이용에 제한이 있습니다.</x:v>
      </x:c>
      <x:c r="I842" s="8" t="str">
        <x:v>소아 비만 - 진단 및 검사 / 치료 이 방법은 신체의 체지방률을 직접 측정하는 방법이지만, 정상범위가 12-30%로 개인과 연령에 따라 변동폭이 크기 때문에 이용에 제한이 있습니다. 그러나 비만의 치료 경과 중 체지방률을 비교하는 데는 특히 좋은 방법입니다. 소아 비만에서 나타나는 합병증들은 성인에서 발생하는 합병증과 유사하지만, 치료는 성인 비만과 달리 소아에서의 특징인 “성장하고 있다”는 것을 고려하여야 합니다. 고려하여야 할 점은 다음과 같습니다.</x:v>
      </x:c>
      <x:c r="J842" s="8" t="str">
        <x:v>소아 비만</x:v>
      </x:c>
      <x:c r="K842" s="8" t="str">
        <x:v>질병관리청 국가건강정보포털
https://health.kdca.go.kr/healthinfo/biz/health/gnrlzHealthInfo/gnrlzHealthInfo/gnrlzHealthInfoMain.do</x:v>
      </x:c>
    </x:row>
    <x:row r="843" ht="62" customHeight="1">
      <x:c r="A843" s="9" t="n">
        <x:v>842</x:v>
      </x:c>
      <x:c r="B843" s="6" t="str">
        <x:v>최종 평가</x:v>
      </x:c>
      <x:c r="C843" s="6" t="str">
        <x:v>질병</x:v>
      </x:c>
      <x:c r="D843" s="6" t="str">
        <x:v>기준·수치</x:v>
      </x:c>
      <x:c r="E843" s="6" t="str">
        <x:v>답변 가능</x:v>
      </x:c>
      <x:c r="F843" s="6" t="str">
        <x:v>쉬움</x:v>
      </x:c>
      <x:c r="G843" s="8" t="str">
        <x:v>성조숙증과 관련해 알아두어야 할 기준이나 수치는 무엇인가요?</x:v>
      </x:c>
      <x:c r="H843" s="8" t="str">
        <x:v>성조숙증은 또래보다 사춘기가 비정상적으로 빨리 시작되는 상태로, 여아는 8세 이전, 남아는 9세 이전에 나타납니다.</x:v>
      </x:c>
      <x:c r="I843" s="8" t="str">
        <x:v>성조숙증 - 요약문 '이것만은 꼭 기억하세요' • 성조숙증은 또래보다 사춘기가 비정상적으로 빨리 시작되는 상태로, 여아는 8세 이전, 남아는 9세 이전에 나타납니다. • 최근에는 영양 상태 개선과 비만 증가 등으로 사춘기 시작 시기가 점점 빨라지는 추세입니다. • 성조숙증은 호르몬 축이 조기 활성화되는 진성과, 다른 원인에 의해 발생하는 가성으로 나뉩니다.</x:v>
      </x:c>
      <x:c r="J843" s="8" t="str">
        <x:v>성조숙증</x:v>
      </x:c>
      <x:c r="K843" s="8" t="str">
        <x:v>질병관리청 국가건강정보포털
https://health.kdca.go.kr/healthinfo/biz/health/gnrlzHealthInfo/gnrlzHealthInfo/gnrlzHealthInfoMain.do</x:v>
      </x:c>
    </x:row>
    <x:row r="844" ht="62" customHeight="1">
      <x:c r="A844" s="9" t="n">
        <x:v>843</x:v>
      </x:c>
      <x:c r="B844" s="6" t="str">
        <x:v>최종 평가</x:v>
      </x:c>
      <x:c r="C844" s="6" t="str">
        <x:v>질병</x:v>
      </x:c>
      <x:c r="D844" s="6" t="str">
        <x:v>증상·양상</x:v>
      </x:c>
      <x:c r="E844" s="6" t="str">
        <x:v>답변 가능</x:v>
      </x:c>
      <x:c r="F844" s="6" t="str">
        <x:v>쉬움</x:v>
      </x:c>
      <x:c r="G844" s="8" t="str">
        <x:v>외이도염(악성 외이도염)이 있으면 어떤 증상이 나타날 수 있나요?</x:v>
      </x:c>
      <x:c r="H844" s="8" t="str">
        <x:v>가장 흔한 뇌신경 마비증상은 안면신경 마비로 악성 외이도염 환자의 25%에서 안면마비가 발생한다는 보고도 있습니다. 그 외에 염증이 더 확산되어 두개내로 퍼지면 뇌수막염이나 뇌농양 등을 유발할 수도 있습니다. 당뇨병이나 면역억제 상태에 있는 사람이 외이도염이 생겼을 경우, 특히 매우 심한 통증이 동반된다면 악성 외이도염을 꼭 의심해 보아야 합니다.</x:v>
      </x:c>
      <x:c r="I844" s="8" t="str">
        <x:v>외이도염(악성 외이도염) - 증상 / 진단 및 검사 가장 흔한 뇌신경 마비증상은 안면신경 마비로 악성 외이도염 환자의 25%에서 안면마비가 발생한다는 보고도 있습니다. 그 외에 염증이 더 확산되어 두개내로 퍼지면 뇌수막염이나 뇌농양 등을 유발할 수도 있습니다. 당뇨병이나 면역억제 상태에 있는 사람이 외이도염이 생겼을 경우, 특히 매우 심한 통증이 동반된다면 악성 외이도염을 꼭 의심해 보아야 합니다.</x:v>
      </x:c>
      <x:c r="J844" s="8" t="str">
        <x:v>외이도염(악성 외이도염)</x:v>
      </x:c>
      <x:c r="K844" s="8" t="str">
        <x:v>질병관리청 국가건강정보포털
https://health.kdca.go.kr/healthinfo/biz/health/gnrlzHealthInfo/gnrlzHealthInfo/gnrlzHealthInfoMain.do</x:v>
      </x:c>
    </x:row>
    <x:row r="845" ht="62" customHeight="1">
      <x:c r="A845" s="9" t="n">
        <x:v>844</x:v>
      </x:c>
      <x:c r="B845" s="6" t="str">
        <x:v>최종 평가</x:v>
      </x:c>
      <x:c r="C845" s="6" t="str">
        <x:v>질병</x:v>
      </x:c>
      <x:c r="D845" s="6" t="str">
        <x:v>증상·양상</x:v>
      </x:c>
      <x:c r="E845" s="6" t="str">
        <x:v>답변 가능</x:v>
      </x:c>
      <x:c r="F845" s="6" t="str">
        <x:v>쉬움</x:v>
      </x:c>
      <x:c r="G845" s="8" t="str">
        <x:v>탈장(성인)이 있으면 어떤 증상이 나타날 수 있나요?</x:v>
      </x:c>
      <x:c r="H845" s="8" t="str">
        <x:v>대부분의 탈장은 배에 힘을 줄 때 튀어 나왔다가 힘을 빼거나 누워 있으면 저절로 원상복귀 되는 상태가 반복되며 손으로 만졌을 때도 특별한 통증을 느끼지 못하는 경우가 대부분입니다. * 샅탈장의 대표적 증상 · 사타구니 또는 음낭 부위가 불룩하게 튀어 나옵니다.</x:v>
      </x:c>
      <x:c r="I845" s="8" t="str">
        <x:v>탈장(성인) - 증상 이것을 손으로 만져 보면 튀어나온 소장이 말랑말랑하게 만져지는데 배에 힘을 줄 때 더 뚜렷하고 단단하게 만져지는 특징이 있습니다. 대부분의 탈장은 배에 힘을 줄 때 튀어 나왔다가 힘을 빼거나 누워 있으면 저절로 원상복귀 되는 상태가 반복되며 손으로 만졌을 때도 특별한 통증을 느끼지 못하는 경우가 대부분입니다. * 샅탈장의 대표적 증상 · 사타구니 또는 음낭 부위가 불룩하게 튀어 나옵니다.</x:v>
      </x:c>
      <x:c r="J845" s="8" t="str">
        <x:v>탈장(성인)</x:v>
      </x:c>
      <x:c r="K845" s="8" t="str">
        <x:v>질병관리청 국가건강정보포털
https://health.kdca.go.kr/healthinfo/biz/health/gnrlzHealthInfo/gnrlzHealthInfo/gnrlzHealthInfoMain.do</x:v>
      </x:c>
    </x:row>
    <x:row r="846" ht="62" customHeight="1">
      <x:c r="A846" s="9" t="n">
        <x:v>845</x:v>
      </x:c>
      <x:c r="B846" s="6" t="str">
        <x:v>최종 평가</x:v>
      </x:c>
      <x:c r="C846" s="6" t="str">
        <x:v>질병</x:v>
      </x:c>
      <x:c r="D846" s="6" t="str">
        <x:v>증상→질환 구분</x:v>
      </x:c>
      <x:c r="E846" s="6" t="str">
        <x:v>답변 가능</x:v>
      </x:c>
      <x:c r="F846" s="6" t="str">
        <x:v>어려움</x:v>
      </x:c>
      <x:c r="G846" s="8" t="str">
        <x:v>기침, 가래 등 일반적인 호흡기 증상 및 발열, 오한, 체중 감소, 권태감 등이 생길 수 있습니다. 이런 증상은 어떤 질환과 관련이 있을 수 있나요?</x:v>
      </x:c>
      <x:c r="H846" s="8" t="str">
        <x:v>흉막염과 농흉</x:v>
      </x:c>
      <x:c r="I846" s="8" t="str">
        <x:v>흉막염과 농흉 - 증상 / 진단 및 검사 염증에 의해 흉수가 증가하면 호흡곤란을 유발할 수 있습니다. 흉수의 양이 많아지면 흉막의 마찰이 감소하여 오히려 가슴통증이 감소할 수 있습니다. 이와 같은 이유로 농흉에서 가슴통증이 없을 수 있습니다. 기침, 가래 등 일반적인 호흡기 증상 및 발열, 오한, 체중 감소, 권태감 등이 생길 수 있습니다. 가슴통증, 호흡곤란 등의 증상이 있을 경우 흉막염을 의심하여 검사를 받아보아야 합니다.</x:v>
      </x:c>
      <x:c r="J846" s="8" t="str">
        <x:v>흉막염과 농흉</x:v>
      </x:c>
      <x:c r="K846" s="8" t="str">
        <x:v>질병관리청 국가건강정보포털
https://health.kdca.go.kr/healthinfo/biz/health/gnrlzHealthInfo/gnrlzHealthInfo/gnrlzHealthInfoMain.do</x:v>
      </x:c>
    </x:row>
    <x:row r="847" ht="62" customHeight="1">
      <x:c r="A847" s="9" t="n">
        <x:v>846</x:v>
      </x:c>
      <x:c r="B847" s="6" t="str">
        <x:v>최종 평가</x:v>
      </x:c>
      <x:c r="C847" s="6" t="str">
        <x:v>질병</x:v>
      </x:c>
      <x:c r="D847" s="6" t="str">
        <x:v>개요·기타</x:v>
      </x:c>
      <x:c r="E847" s="6" t="str">
        <x:v>답변 가능</x:v>
      </x:c>
      <x:c r="F847" s="6" t="str">
        <x:v>쉬움</x:v>
      </x:c>
      <x:c r="G847" s="8" t="str">
        <x:v>척추의 형태 이상(척추후만증)에 대해 쉽게 설명해 주실 수 있나요?</x:v>
      </x:c>
      <x:c r="H847" s="8" t="str">
        <x:v>시상면에서의 척추 불균형의 대표적인 질환인 후만증은 척추체나 추간판 또는 주위 근육의 이상으로 인해 이러한 정상 만곡이 소실되고 흉부의 후만곡이 더욱 증가하거나, 경부와 요부에서 후만 변형을 보이는 경우를 말합니다.</x:v>
      </x:c>
      <x:c r="I847" s="8" t="str">
        <x:v>척추의 형태 이상(척추후만증) - 요약문 / 정의 / 종류 '이것만은 꼭 기억하세요' • 내용1 • 내용2 시상면에서의 척추 불균형의 대표적인 질환인 후만증은 척추체나 추간판 또는 주위 근육의 이상으로 인해 이러한 정상 만곡이 소실되고 흉부의 후만곡이 더욱 증가하거나, 경부와 요부에서 후만 변형을 보이는 경우를 말합니다. 1) 청소년기 후만증 (Scheuermann 병) 청소년기에 등이 굽은 불량한 자세와 통증을 호소하는 대표적인 척추 후만을 보이는 질환입니다.</x:v>
      </x:c>
      <x:c r="J847" s="8" t="str">
        <x:v>척추의 형태 이상(척추후만증)</x:v>
      </x:c>
      <x:c r="K847" s="8" t="str">
        <x:v>질병관리청 국가건강정보포털
https://health.kdca.go.kr/healthinfo/biz/health/gnrlzHealthInfo/gnrlzHealthInfo/gnrlzHealthInfoMain.do</x:v>
      </x:c>
    </x:row>
    <x:row r="848" ht="62" customHeight="1">
      <x:c r="A848" s="9" t="n">
        <x:v>847</x:v>
      </x:c>
      <x:c r="B848" s="6" t="str">
        <x:v>최종 평가</x:v>
      </x:c>
      <x:c r="C848" s="6" t="str">
        <x:v>질병</x:v>
      </x:c>
      <x:c r="D848" s="6" t="str">
        <x:v>진단·검사</x:v>
      </x:c>
      <x:c r="E848" s="6" t="str">
        <x:v>답변 가능</x:v>
      </x:c>
      <x:c r="F848" s="6" t="str">
        <x:v>쉬움</x:v>
      </x:c>
      <x:c r="G848" s="8" t="str">
        <x:v>안외상(전방출혈)은 어떤 검사로 확인하나요?</x:v>
      </x:c>
      <x:c r="H848" s="8" t="str">
        <x:v>전방출혈이 의심되는 환자가 내원한 경우 의사는 외상의 발생 시기와 발생한 경위(힘의 세기, 속도 방향, 무엇에 의한 것인지 등), 안경 착용 유무, 현재 증상의 심한 정도, 동반된 외상의 유무 등을 확인합니다.</x:v>
      </x:c>
      <x:c r="I848" s="8" t="str">
        <x:v>안외상(전방출혈) - 진단 및 검사 전방출혈이 의심되는 환자가 내원한 경우 의사는 외상의 발생 시기와 발생한 경위(힘의 세기, 속도 방향, 무엇에 의한 것인지 등), 안경 착용 유무, 현재 증상의 심한 정도, 동반된 외상의 유무 등을 확인합니다. 또한 복용하고 있는 약물 중 항혈전제 등이 있는지, 과거력 상 출혈 소인이 있는 질병이 있는지 등을 확인합니다. 2. 전신 증상 외상에 동반될 수 있는 두통, 어지러움 등에 대한 검사를 시행합니다. 3. 안과 검사</x:v>
      </x:c>
      <x:c r="J848" s="8" t="str">
        <x:v>안외상(전방출혈)</x:v>
      </x:c>
      <x:c r="K848" s="8" t="str">
        <x:v>질병관리청 국가건강정보포털
https://health.kdca.go.kr/healthinfo/biz/health/gnrlzHealthInfo/gnrlzHealthInfo/gnrlzHealthInfoMain.do</x:v>
      </x:c>
    </x:row>
    <x:row r="849" ht="62" customHeight="1">
      <x:c r="A849" s="9" t="n">
        <x:v>848</x:v>
      </x:c>
      <x:c r="B849" s="6" t="str">
        <x:v>최종 평가</x:v>
      </x:c>
      <x:c r="C849" s="6" t="str">
        <x:v>질병</x:v>
      </x:c>
      <x:c r="D849" s="6" t="str">
        <x:v>치료·관리</x:v>
      </x:c>
      <x:c r="E849" s="6" t="str">
        <x:v>답변 가능</x:v>
      </x:c>
      <x:c r="F849" s="6" t="str">
        <x:v>쉬움</x:v>
      </x:c>
      <x:c r="G849" s="8" t="str">
        <x:v>편두통은 어떻게 치료하거나 관리하나요?</x:v>
      </x:c>
      <x:c r="H849" s="8" t="str">
        <x:v>미국두통학회 지침에 의하면 급성기 편두통 치료에 효과가 확인된 진통제는 아세트아미노펜, 아스피린, 디클로페낙, 이부프로펜, 나프록센 등입니다. 국내에서는 아세트아미노펜 단독 혹은 복합제가 가장 흔히 사용됩니다.</x:v>
      </x:c>
      <x:c r="I849" s="8" t="str">
        <x:v>편두통 - 약물 치료 미국두통학회 지침에 의하면 급성기 편두통 치료에 효과가 확인된 진통제는 아세트아미노펜, 아스피린, 디클로페낙, 이부프로펜, 나프록센 등입니다. 국내에서는 아세트아미노펜 단독 혹은 복합제가 가장 흔히 사용됩니다.</x:v>
      </x:c>
      <x:c r="J849" s="8" t="str">
        <x:v>편두통</x:v>
      </x:c>
      <x:c r="K849" s="8" t="str">
        <x:v>질병관리청 국가건강정보포털
https://health.kdca.go.kr/healthinfo/biz/health/gnrlzHealthInfo/gnrlzHealthInfo/gnrlzHealthInfoMain.do</x:v>
      </x:c>
    </x:row>
    <x:row r="850" ht="62" customHeight="1">
      <x:c r="A850" s="9" t="n">
        <x:v>849</x:v>
      </x:c>
      <x:c r="B850" s="6" t="str">
        <x:v>최종 평가</x:v>
      </x:c>
      <x:c r="C850" s="6" t="str">
        <x:v>질병</x:v>
      </x:c>
      <x:c r="D850" s="6" t="str">
        <x:v>기준·수치</x:v>
      </x:c>
      <x:c r="E850" s="6" t="str">
        <x:v>답변 가능</x:v>
      </x:c>
      <x:c r="F850" s="6" t="str">
        <x:v>쉬움</x:v>
      </x:c>
      <x:c r="G850" s="8" t="str">
        <x:v>무릎 관절 손상과 관련된 증상이나 상태는 보통 얼마나 지속되나요?</x:v>
      </x:c>
      <x:c r="H850" s="8" t="str">
        <x:v>증상만으로 손상을 예측할 수 없어서 진료가 필요한 특정한 시기를 단정하기는 어렵지만, 일반적으로 통증, 붓기, 걸리는 느낌이 2주 이상 지속되거나 무릎 가동 범위의 제한이 발생한다면 정형외과 전문의의 진료를 받기를 권장합니다.</x:v>
      </x:c>
      <x:c r="I850" s="8" t="str">
        <x:v>무릎 관절 손상 - 자주하는 질문 / 참고문헌 증상만으로 손상을 예측할 수 없어서 진료가 필요한 특정한 시기를 단정하기는 어렵지만, 일반적으로 통증, 붓기, 걸리는 느낌이 2주 이상 지속되거나 무릎 가동 범위의 제한이 발생한다면 정형외과 전문의의 진료를 받기를 권장합니다. 1. 슬관절학 4판. 2. Campbell’s operative orthopaedics/15th ed.</x:v>
      </x:c>
      <x:c r="J850" s="8" t="str">
        <x:v>무릎 관절 손상</x:v>
      </x:c>
      <x:c r="K850" s="8" t="str">
        <x:v>질병관리청 국가건강정보포털
https://health.kdca.go.kr/healthinfo/biz/health/gnrlzHealthInfo/gnrlzHealthInfo/gnrlzHealthInfoMain.do</x:v>
      </x:c>
    </x:row>
    <x:row r="851" ht="62" customHeight="1">
      <x:c r="A851" s="9" t="n">
        <x:v>850</x:v>
      </x:c>
      <x:c r="B851" s="6" t="str">
        <x:v>최종 평가</x:v>
      </x:c>
      <x:c r="C851" s="6" t="str">
        <x:v>질병</x:v>
      </x:c>
      <x:c r="D851" s="6" t="str">
        <x:v>예방·생활수칙</x:v>
      </x:c>
      <x:c r="E851" s="6" t="str">
        <x:v>답변 가능</x:v>
      </x:c>
      <x:c r="F851" s="6" t="str">
        <x:v>쉬움</x:v>
      </x:c>
      <x:c r="G851" s="8" t="str">
        <x:v>직장염을 예방하려면 어떻게 해야 하나요?</x:v>
      </x:c>
      <x:c r="H851" s="8" t="str">
        <x:v>직장염은 다양한 원인에 의해 발생하기 때문에 원인에 따른 예방과 생활습관 조절이 필요합니다. 공통적으로 규칙적인 식생활과 함께 다음과 같은 생활습관을 권고합니다. - 물을 충분히 섭취합니다. - 야채, 과일 등 섬유소가 많이 들어있는 음식을 섭취합니다. - 칼슘을 충분히 섭취하고, 지방은 줄이도록 합니다. - 탄산음료를 피합니다. - 장에 좋은 유산균을 함유한 발효식품을 섭취합니다.</x:v>
      </x:c>
      <x:c r="I851" s="8" t="str">
        <x:v>직장염 - 위험요인 및 예방 직장염은 다양한 원인에 의해 발생하기 때문에 원인에 따른 예방과 생활습관 조절이 필요합니다. 공통적으로 규칙적인 식생활과 함께 다음과 같은 생활습관을 권고합니다. - 물을 충분히 섭취합니다. - 야채, 과일 등 섬유소가 많이 들어있는 음식을 섭취합니다. - 칼슘을 충분히 섭취하고, 지방은 줄이도록 합니다. - 탄산음료를 피합니다. - 장에 좋은 유산균을 함유한 발효식품을 섭취합니다.</x:v>
      </x:c>
      <x:c r="J851" s="8" t="str">
        <x:v>직장염</x:v>
      </x:c>
      <x:c r="K851" s="8" t="str">
        <x:v>질병관리청 국가건강정보포털
https://health.kdca.go.kr/healthinfo/biz/health/gnrlzHealthInfo/gnrlzHealthInfo/gnrlzHealthInfoMain.do</x:v>
      </x:c>
    </x:row>
    <x:row r="852" ht="62" customHeight="1">
      <x:c r="A852" s="9" t="n">
        <x:v>851</x:v>
      </x:c>
      <x:c r="B852" s="6" t="str">
        <x:v>최종 평가</x:v>
      </x:c>
      <x:c r="C852" s="6" t="str">
        <x:v>질병</x:v>
      </x:c>
      <x:c r="D852" s="6" t="str">
        <x:v>진단·검사</x:v>
      </x:c>
      <x:c r="E852" s="6" t="str">
        <x:v>답변 가능</x:v>
      </x:c>
      <x:c r="F852" s="6" t="str">
        <x:v>쉬움</x:v>
      </x:c>
      <x:c r="G852" s="8" t="str">
        <x:v>뇌동맥류는 어떤 검사로 확인하나요?</x:v>
      </x:c>
      <x:c r="H852" s="8" t="str">
        <x:v>지주막하출혈 소견이 있다면 빠르게 시행할 수 있는 3차원 뇌혈관조영 컴퓨터단층촬영을 통해 뇌동맥류 존재 여부를 확인합니다.</x:v>
      </x:c>
      <x:c r="I852" s="8" t="str">
        <x:v>뇌동맥류 - 진단 및 검사 지주막하출혈 소견이 있다면 빠르게 시행할 수 있는 3차원 뇌혈관조영 컴퓨터단층촬영을 통해 뇌동맥류 존재 여부를 확인합니다. 뇌동맥류 파열로 인한 지주막하출혈로 판단되면 뇌혈관조영술을 시행해 치료 계획을 수립합니다. ① 뇌 3차원 혈관조영 컴퓨터단층촬영(CTA) - 3차원 영상을 재구성해 뇌동맥류 발견은 물론 뇌동맥류와 이웃한 골 구조와의 관계를 확인해 수술에도 도움이 됩니다.</x:v>
      </x:c>
      <x:c r="J852" s="8" t="str">
        <x:v>뇌동맥류</x:v>
      </x:c>
      <x:c r="K852" s="8" t="str">
        <x:v>질병관리청 국가건강정보포털
https://health.kdca.go.kr/healthinfo/biz/health/gnrlzHealthInfo/gnrlzHealthInfo/gnrlzHealthInfoMain.do</x:v>
      </x:c>
    </x:row>
    <x:row r="853" ht="62" customHeight="1">
      <x:c r="A853" s="9" t="n">
        <x:v>852</x:v>
      </x:c>
      <x:c r="B853" s="6" t="str">
        <x:v>최종 평가</x:v>
      </x:c>
      <x:c r="C853" s="6" t="str">
        <x:v>질병</x:v>
      </x:c>
      <x:c r="D853" s="6" t="str">
        <x:v>대상별 정보</x:v>
      </x:c>
      <x:c r="E853" s="6" t="str">
        <x:v>답변 가능</x:v>
      </x:c>
      <x:c r="F853" s="6" t="str">
        <x:v>쉬움</x:v>
      </x:c>
      <x:c r="G853" s="8" t="str">
        <x:v>유루증은 대상에 따라 어떤 점을 알아두면 좋나요?</x:v>
      </x:c>
      <x:c r="H853" s="8" t="str">
        <x:v>임신을 원하는 여성의 프로락틴선종 치료 계획은 종양의 크기에 따라 다르며, 사용하는 도파민 작용제 역시 카버골린보다 안정성이 확립되어 있는 브로모크립틴을 사용합니다.</x:v>
      </x:c>
      <x:c r="I853" s="8" t="str">
        <x:v>유루증 - 대상별 맞춤 정보 임신을 원하는 여성의 프로락틴선종 치료 계획은 종양의 크기에 따라 다르며, 사용하는 도파민 작용제 역시 카버골린보다 안정성이 확립되어 있는 브로모크립틴을 사용합니다. 약을 복용하는 중에 임신이 확인되면, 일단 복용을 중단하고 이상 증상이 있는지 자세히 관찰합니다. 만일, 두통이나 시력 이상 등의 증상이 나타나면 시야 검사를 시행하고, 시야 장애가 발견되면 조영제를 사용하지 않는 자기공명영상 검사를 시행합니다.</x:v>
      </x:c>
      <x:c r="J853" s="8" t="str">
        <x:v>유루증</x:v>
      </x:c>
      <x:c r="K853" s="8" t="str">
        <x:v>질병관리청 국가건강정보포털
https://health.kdca.go.kr/healthinfo/biz/health/gnrlzHealthInfo/gnrlzHealthInfo/gnrlzHealthInfoMain.do</x:v>
      </x:c>
    </x:row>
    <x:row r="854" ht="62" customHeight="1">
      <x:c r="A854" s="9" t="n">
        <x:v>853</x:v>
      </x:c>
      <x:c r="B854" s="6" t="str">
        <x:v>최종 평가</x:v>
      </x:c>
      <x:c r="C854" s="6" t="str">
        <x:v>질병</x:v>
      </x:c>
      <x:c r="D854" s="6" t="str">
        <x:v>치료·관리</x:v>
      </x:c>
      <x:c r="E854" s="6" t="str">
        <x:v>답변 가능</x:v>
      </x:c>
      <x:c r="F854" s="6" t="str">
        <x:v>쉬움</x:v>
      </x:c>
      <x:c r="G854" s="8" t="str">
        <x:v>수면무호흡증은 어떻게 치료하거나 관리하나요?</x:v>
      </x:c>
      <x:c r="H854" s="8" t="str">
        <x:v>폐쇄성수면무호흡증이 있는 어린이가 편도 및 아데노이드 제거 후 성장이 개선되고 학업 성적이 뚜렷하게 향상되었다는 보고도 있습니다.</x:v>
      </x:c>
      <x:c r="I854" s="8" t="str">
        <x:v>수면무호흡증 - 자주하는 질문 어린이 수면무호흡증은 저체중과 성장부진 등 성장 장애를 일으킬 수 있으며 학업장애, 정서적 불안정, 과잉행동, 주의력 결핍과 관련이 있습니다. 폐쇄성수면무호흡증이 있는 어린이가 편도 및 아데노이드 제거 후 성장이 개선되고 학업 성적이 뚜렷하게 향상되었다는 보고도 있습니다.</x:v>
      </x:c>
      <x:c r="J854" s="8" t="str">
        <x:v>수면무호흡증</x:v>
      </x:c>
      <x:c r="K854" s="8" t="str">
        <x:v>질병관리청 국가건강정보포털
https://health.kdca.go.kr/healthinfo/biz/health/gnrlzHealthInfo/gnrlzHealthInfo/gnrlzHealthInfoMain.do</x:v>
      </x:c>
    </x:row>
    <x:row r="855" ht="62" customHeight="1">
      <x:c r="A855" s="9" t="n">
        <x:v>854</x:v>
      </x:c>
      <x:c r="B855" s="6" t="str">
        <x:v>최종 평가</x:v>
      </x:c>
      <x:c r="C855" s="6" t="str">
        <x:v>질병</x:v>
      </x:c>
      <x:c r="D855" s="6" t="str">
        <x:v>증상·양상</x:v>
      </x:c>
      <x:c r="E855" s="6" t="str">
        <x:v>답변 가능</x:v>
      </x:c>
      <x:c r="F855" s="6" t="str">
        <x:v>쉬움</x:v>
      </x:c>
      <x:c r="G855" s="8" t="str">
        <x:v>심낭염(급성 심낭염)이 있으면 어떤 증상이 나타날 수 있나요?</x:v>
      </x:c>
      <x:c r="H855" s="8" t="str">
        <x:v>그 외에 발열, 숨가쁨, 두근거림, 마른 기침 등이 나타나기도 하고, 원인 질환에 따라 다양한 증상이 나타날 수 있습니다. 가슴통증의 양상 및 신체검사, 심전도, 심초음파 검사 등을 통해 진단합니다. 신체검사에서 가슴 청진 시 심장막이 마찰되는 소리가 들릴 수 있습니다.</x:v>
      </x:c>
      <x:c r="I855" s="8" t="str">
        <x:v>심낭염(급성 심낭염) - 증상 / 진단 및 검사 숨을 깊이 들이마시거나 기침할 때, 누울 때 더 심해지고, 앉아 있거나 상체를 앞으로 기울이면 완화되는 경향이 있습니다. 그 외에 발열, 숨가쁨, 두근거림, 마른 기침 등이 나타나기도 하고, 원인 질환에 따라 다양한 증상이 나타날 수 있습니다. 가슴통증의 양상 및 신체검사, 심전도, 심초음파 검사 등을 통해 진단합니다. 신체검사에서 가슴 청진 시 심장막이 마찰되는 소리가 들릴 수 있습니다.</x:v>
      </x:c>
      <x:c r="J855" s="8" t="str">
        <x:v>심낭염(급성 심낭염)</x:v>
      </x:c>
      <x:c r="K855" s="8" t="str">
        <x:v>질병관리청 국가건강정보포털
https://health.kdca.go.kr/healthinfo/biz/health/gnrlzHealthInfo/gnrlzHealthInfo/gnrlzHealthInfoMain.do</x:v>
      </x:c>
    </x:row>
    <x:row r="856" ht="62" customHeight="1">
      <x:c r="A856" s="9" t="n">
        <x:v>855</x:v>
      </x:c>
      <x:c r="B856" s="6" t="str">
        <x:v>최종 평가</x:v>
      </x:c>
      <x:c r="C856" s="6" t="str">
        <x:v>질병</x:v>
      </x:c>
      <x:c r="D856" s="6" t="str">
        <x:v>경과·예후</x:v>
      </x:c>
      <x:c r="E856" s="6" t="str">
        <x:v>답변 가능</x:v>
      </x:c>
      <x:c r="F856" s="6" t="str">
        <x:v>쉬움</x:v>
      </x:c>
      <x:c r="G856" s="8" t="str">
        <x:v>무릎 관절 주위의 골절의 경과나 예후는 어떤가요?</x:v>
      </x:c>
      <x:c r="H856" s="8" t="str">
        <x:v>무릎 관절 주위의 골절에 대한 수술적 치료 후 합병증으로는 감염, 관절 강직, 외상성 관절염, 부정 정렬(뼈나 관절이 제 자리에 위치하지 못해 정렬이 어긋난 상태), 하지부동(양측 다리의 길이가 맞지 않음), 고정 실패 또는 불유합(뼈가 붙지 않는 상태), 혈전색전증 등이 있습니다.</x:v>
      </x:c>
      <x:c r="I856" s="8" t="str">
        <x:v>무릎 관절 주위의 골절 - 합병증 / 참고문헌 무릎 관절 주위의 골절에 대한 수술적 치료 후 합병증으로는 감염, 관절 강직, 외상성 관절염, 부정 정렬(뼈나 관절이 제 자리에 위치하지 못해 정렬이 어긋난 상태), 하지부동(양측 다리의 길이가 맞지 않음), 고정 실패 또는 불유합(뼈가 붙지 않는 상태), 혈전색전증 등이 있습니다. 1. 슬관절학 4판. 2. Campbell’s operative orthopaedics, 15th ed.</x:v>
      </x:c>
      <x:c r="J856" s="8" t="str">
        <x:v>무릎 관절 주위의 골절</x:v>
      </x:c>
      <x:c r="K856" s="8" t="str">
        <x:v>질병관리청 국가건강정보포털
https://health.kdca.go.kr/healthinfo/biz/health/gnrlzHealthInfo/gnrlzHealthInfo/gnrlzHealthInfoMain.do</x:v>
      </x:c>
    </x:row>
    <x:row r="857" ht="62" customHeight="1">
      <x:c r="A857" s="9" t="n">
        <x:v>856</x:v>
      </x:c>
      <x:c r="B857" s="6" t="str">
        <x:v>최종 평가</x:v>
      </x:c>
      <x:c r="C857" s="6" t="str">
        <x:v>질병</x:v>
      </x:c>
      <x:c r="D857" s="6" t="str">
        <x:v>진단·검사</x:v>
      </x:c>
      <x:c r="E857" s="6" t="str">
        <x:v>답변 가능</x:v>
      </x:c>
      <x:c r="F857" s="6" t="str">
        <x:v>쉬움</x:v>
      </x:c>
      <x:c r="G857" s="8" t="str">
        <x:v>구내염은 어떤 검사로 확인하나요?</x:v>
      </x:c>
      <x:c r="H857" s="8" t="str">
        <x:v>구내염의 진단은 병변의 육안적인 소견의 관찰이 기본이 됩니다.</x:v>
      </x:c>
      <x:c r="I857" s="8" t="str">
        <x:v>구내염 - 진단 및 검사 구내염의 진단은 병변의 육안적인 소견의 관찰이 기본이 됩니다. 병변이 발생한 시기와 기간, 그리고 과거 반복적으로 발생한 병력도 중요한 진단의 단서가 됩니다. 따라서 병변이 지속되는 경우 반드시 전문적인 진찰을 받는 것이 매우 중요합니다. 특히 궤양 병변의 경우 2~3주의 치료에도 반응하지 않는 경우에는 주의를 요합니다. 이런 경우 반드시 악성 종양(암)을 감별하기 위해 조직 검사를 시행해야 합니다.</x:v>
      </x:c>
      <x:c r="J857" s="8" t="str">
        <x:v>구내염</x:v>
      </x:c>
      <x:c r="K857" s="8" t="str">
        <x:v>질병관리청 국가건강정보포털
https://health.kdca.go.kr/healthinfo/biz/health/gnrlzHealthInfo/gnrlzHealthInfo/gnrlzHealthInfoMain.do</x:v>
      </x:c>
    </x:row>
    <x:row r="858" ht="62" customHeight="1">
      <x:c r="A858" s="9" t="n">
        <x:v>857</x:v>
      </x:c>
      <x:c r="B858" s="6" t="str">
        <x:v>최종 평가</x:v>
      </x:c>
      <x:c r="C858" s="6" t="str">
        <x:v>질병</x:v>
      </x:c>
      <x:c r="D858" s="6" t="str">
        <x:v>증상→질환 구분</x:v>
      </x:c>
      <x:c r="E858" s="6" t="str">
        <x:v>답변 가능</x:v>
      </x:c>
      <x:c r="F858" s="6" t="str">
        <x:v>어려움</x:v>
      </x:c>
      <x:c r="G858" s="8" t="str">
        <x:v>변비에 의해서 이차적으로 치질, 치열 등이 발생하면 항문의 통증이나 출혈이 나타나기도 합니다. 이런 증상은 어떤 질환과 관련이 있을 수 있나요?</x:v>
      </x:c>
      <x:c r="H858" s="8" t="str">
        <x:v>노인 변비</x:v>
      </x:c>
      <x:c r="I858" s="8" t="str">
        <x:v>노인 변비 - 증상 또한 배변 후에도 변이 남아 있는 것 같은 느낌, 복부팽만감, 하복부의 불쾌감, 복통 등이 변비의 주 증상입니다. 변비에 의해서 이차적으로 치질, 치열 등이 발생하면 항문의 통증이나 출혈이 나타나기도 합니다. 변비가 만성화가 되면 식욕부진과 소화불량이 생기고, 이는 변비를 악화시키는 악순환으로 이어질 수 있습니다. 변비는 삶의 질을 저하시키는데 이로 인해 우울증의 원인이 되기도 합니다.</x:v>
      </x:c>
      <x:c r="J858" s="8" t="str">
        <x:v>노인 변비</x:v>
      </x:c>
      <x:c r="K858" s="8" t="str">
        <x:v>질병관리청 국가건강정보포털
https://health.kdca.go.kr/healthinfo/biz/health/gnrlzHealthInfo/gnrlzHealthInfo/gnrlzHealthInfoMain.do</x:v>
      </x:c>
    </x:row>
    <x:row r="859" ht="62" customHeight="1">
      <x:c r="A859" s="9" t="n">
        <x:v>858</x:v>
      </x:c>
      <x:c r="B859" s="6" t="str">
        <x:v>최종 평가</x:v>
      </x:c>
      <x:c r="C859" s="6" t="str">
        <x:v>질병</x:v>
      </x:c>
      <x:c r="D859" s="6" t="str">
        <x:v>증상→질환 구분</x:v>
      </x:c>
      <x:c r="E859" s="6" t="str">
        <x:v>답변 가능</x:v>
      </x:c>
      <x:c r="F859" s="6" t="str">
        <x:v>어려움</x:v>
      </x:c>
      <x:c r="G859" s="8" t="str">
        <x:v>진폐증 환자는 주로 호흡곤란, 기침, 가래 및 가슴통증 등 비특이적 증상을 호소합니다. 이런 증상은 어떤 질환과 관련이 있을 수 있나요?</x:v>
      </x:c>
      <x:c r="H859" s="8" t="str">
        <x:v>직업성 호흡기질환(진폐증)</x:v>
      </x:c>
      <x:c r="I859" s="8" t="str">
        <x:v>직업성 호흡기질환(진폐증) - 증상 진폐증 환자는 주로 호흡곤란, 기침, 가래 및 가슴통증 등 비특이적 증상을 호소합니다. 간혹 흉부 X-선 사진에서만 이상소견을 보이고 증상이 없는 경우도 있습니다. 호흡곤란은 일반적으로 운동 후에 나타나지만, 병이 진행하면 휴식 시에도 호흡곤란과 저산소증이 생길 수 있습니다. 폐섬유증이나 기관지염 등이 동반되면 폐활량이 더 떨어지며, 폐활량이 떨어질수록 나쁜 경과를 보입니다.</x:v>
      </x:c>
      <x:c r="J859" s="8" t="str">
        <x:v>직업성 호흡기질환(진폐증)</x:v>
      </x:c>
      <x:c r="K859" s="8" t="str">
        <x:v>질병관리청 국가건강정보포털
https://health.kdca.go.kr/healthinfo/biz/health/gnrlzHealthInfo/gnrlzHealthInfo/gnrlzHealthInfoMain.do</x:v>
      </x:c>
    </x:row>
    <x:row r="860" ht="62" customHeight="1">
      <x:c r="A860" s="9" t="n">
        <x:v>859</x:v>
      </x:c>
      <x:c r="B860" s="6" t="str">
        <x:v>최종 평가</x:v>
      </x:c>
      <x:c r="C860" s="6" t="str">
        <x:v>질병</x:v>
      </x:c>
      <x:c r="D860" s="6" t="str">
        <x:v>치료·관리</x:v>
      </x:c>
      <x:c r="E860" s="6" t="str">
        <x:v>답변 가능</x:v>
      </x:c>
      <x:c r="F860" s="6" t="str">
        <x:v>쉬움</x:v>
      </x:c>
      <x:c r="G860" s="8" t="str">
        <x:v>포충증은 어떻게 치료하거나 관리하나요?</x:v>
      </x:c>
      <x:c r="H860" s="8" t="str">
        <x:v>수술로 낭종을 꺼내는 것이 가장 좋은 치료 방법이며, 벤즈이미다졸계(benzimidazole) 약제인 메벤다졸(mebendazole), 알벤다졸(albendazole) 등이 효과적입니다.</x:v>
      </x:c>
      <x:c r="I860" s="8" t="str">
        <x:v>포충증 - 치료 메벤다졸(mebendazole)이나 알벤다졸(albendazole)을 수개월간 사용하여 효과를 보았다는 보고도 있으나 증명되지 않았습니다. 2. 다방포충증 수술로 낭종을 꺼내는 것이 가장 좋은 치료 방법이며, 벤즈이미다졸계(benzimidazole) 약제인 메벤다졸(mebendazole), 알벤다졸(albendazole) 등이 효과적입니다.</x:v>
      </x:c>
      <x:c r="J860" s="8" t="str">
        <x:v>포충증</x:v>
      </x:c>
      <x:c r="K860" s="8" t="str">
        <x:v>질병관리청 국가건강정보포털
https://health.kdca.go.kr/healthinfo/biz/health/gnrlzHealthInfo/gnrlzHealthInfo/gnrlzHealthInfoMain.do</x:v>
      </x:c>
    </x:row>
    <x:row r="861" ht="62" customHeight="1">
      <x:c r="A861" s="9" t="n">
        <x:v>860</x:v>
      </x:c>
      <x:c r="B861" s="6" t="str">
        <x:v>최종 평가</x:v>
      </x:c>
      <x:c r="C861" s="6" t="str">
        <x:v>질병</x:v>
      </x:c>
      <x:c r="D861" s="6" t="str">
        <x:v>기준·수치</x:v>
      </x:c>
      <x:c r="E861" s="6" t="str">
        <x:v>답변 가능</x:v>
      </x:c>
      <x:c r="F861" s="6" t="str">
        <x:v>쉬움</x:v>
      </x:c>
      <x:c r="G861" s="8" t="str">
        <x:v>뇌성마비와 관련해 알아두어야 할 기준이나 수치는 무엇인가요?</x:v>
      </x:c>
      <x:c r="H861" s="8" t="str">
        <x:v>1세 미만에는 예후를 예측하는 것이 거의 불가능하며, 숙련된 의사라도 만 2세 정도가 되어야 뇌성마비의 유형을 비교적 정확히 판정할 수 있습니다.</x:v>
      </x:c>
      <x:c r="I861" s="8" t="str">
        <x:v>뇌성마비 - 자주하는 질문 Q. 아이가 뇌성마비로 진단을 받았습니다. 걸을 수 있을까요? A. 1세 미만에는 예후를 예측하는 것이 거의 불가능하며, 숙련된 의사라도 만 2세 정도가 되어야 뇌성마비의 유형을 비교적 정확히 판정할 수 있습니다. 일반적으로 뇌성마비 아동이 2세경에 스스로 앉으면 보행 가능성이 높고, 4세경에 앉지 못하거나 8세경에 걷지 못하면 보행 가능성은 낮습니다. Q.</x:v>
      </x:c>
      <x:c r="J861" s="8" t="str">
        <x:v>뇌성마비</x:v>
      </x:c>
      <x:c r="K861" s="8" t="str">
        <x:v>질병관리청 국가건강정보포털
https://health.kdca.go.kr/healthinfo/biz/health/gnrlzHealthInfo/gnrlzHealthInfo/gnrlzHealthInfoMain.do</x:v>
      </x:c>
    </x:row>
    <x:row r="862" ht="62" customHeight="1">
      <x:c r="A862" s="9" t="n">
        <x:v>861</x:v>
      </x:c>
      <x:c r="B862" s="6" t="str">
        <x:v>최종 평가</x:v>
      </x:c>
      <x:c r="C862" s="6" t="str">
        <x:v>질병</x:v>
      </x:c>
      <x:c r="D862" s="6" t="str">
        <x:v>진단·검사</x:v>
      </x:c>
      <x:c r="E862" s="6" t="str">
        <x:v>답변 가능</x:v>
      </x:c>
      <x:c r="F862" s="6" t="str">
        <x:v>쉬움</x:v>
      </x:c>
      <x:c r="G862" s="8" t="str">
        <x:v>장흡충증은 어떤 검사로 확인하나요?</x:v>
      </x:c>
      <x:c r="H862" s="8" t="str">
        <x:v>우리나라에는 아래와 같이 모두 20종의 장흡충에 의한 인체감염이 보고되어있으며, 아프리카나 중동지역에서 감염되어 수입된 경우도 확인되었습니다.</x:v>
      </x:c>
      <x:c r="I862" s="8" t="str">
        <x:v>장흡충증 - 역학 및 통계 우리나라에는 아래와 같이 모두 20종의 장흡충에 의한 인체감염이 보고되어있으며, 아프리카나 중동지역에서 감염되어 수입된 경우도 확인되었습니다.이형흡충과(Family Heterophyidae) 11종극구흡충과(Echinostomatidae) 4종신중구흡충과(Neodiplostomidae) 1종나경흡충과(Gymnophallidae) 1종사고흡충과(Plagiorchiidae) 2종 등</x:v>
      </x:c>
      <x:c r="J862" s="8" t="str">
        <x:v>장흡충증</x:v>
      </x:c>
      <x:c r="K862" s="8" t="str">
        <x:v>질병관리청 국가건강정보포털
https://health.kdca.go.kr/healthinfo/biz/health/gnrlzHealthInfo/gnrlzHealthInfo/gnrlzHealthInfoMain.do</x:v>
      </x:c>
    </x:row>
    <x:row r="863" ht="62" customHeight="1">
      <x:c r="A863" s="9" t="n">
        <x:v>862</x:v>
      </x:c>
      <x:c r="B863" s="6" t="str">
        <x:v>최종 평가</x:v>
      </x:c>
      <x:c r="C863" s="6" t="str">
        <x:v>질병</x:v>
      </x:c>
      <x:c r="D863" s="6" t="str">
        <x:v>진단·검사</x:v>
      </x:c>
      <x:c r="E863" s="6" t="str">
        <x:v>답변 가능</x:v>
      </x:c>
      <x:c r="F863" s="6" t="str">
        <x:v>쉬움</x:v>
      </x:c>
      <x:c r="G863" s="8" t="str">
        <x:v>위용종은 어떤 검사로 확인하나요?</x:v>
      </x:c>
      <x:c r="H863" s="8" t="str">
        <x:v>위용종은 대부분 위내시경 검사를 통하여 발견이 되지만 상부 위장관 조영술 검사를 통해서 의심이 될 경우에는 정확한 진단을 위하여 위내시경 검사가 추가적으로 필요합니다.</x:v>
      </x:c>
      <x:c r="I863" s="8" t="str">
        <x:v>위용종 - 진단 및 검사 위용종은 대부분 위내시경 검사를 통하여 발견이 되지만 상부 위장관 조영술 검사를 통해서 의심이 될 경우에는 정확한 진단을 위하여 위내시경 검사가 추가적으로 필요합니다. 대장의 용종은 대부분이 종양성인데 반해, 위의 용종은 대부분 비종양성 용종이나, 정확한 진단을 위해서는 조직검사를 통한 병리학적 검사가 필수적입니다. 병리학적으로 다양한 유형이 있으며, 크게는 비종양성 용종과 종양성 용종으로 나뉩니다.</x:v>
      </x:c>
      <x:c r="J863" s="8" t="str">
        <x:v>위용종</x:v>
      </x:c>
      <x:c r="K863" s="8" t="str">
        <x:v>질병관리청 국가건강정보포털
https://health.kdca.go.kr/healthinfo/biz/health/gnrlzHealthInfo/gnrlzHealthInfo/gnrlzHealthInfoMain.do</x:v>
      </x:c>
    </x:row>
    <x:row r="864" ht="62" customHeight="1">
      <x:c r="A864" s="9" t="n">
        <x:v>863</x:v>
      </x:c>
      <x:c r="B864" s="6" t="str">
        <x:v>최종 평가</x:v>
      </x:c>
      <x:c r="C864" s="6" t="str">
        <x:v>질병</x:v>
      </x:c>
      <x:c r="D864" s="6" t="str">
        <x:v>기준·수치</x:v>
      </x:c>
      <x:c r="E864" s="6" t="str">
        <x:v>답변 가능</x:v>
      </x:c>
      <x:c r="F864" s="6" t="str">
        <x:v>쉬움</x:v>
      </x:c>
      <x:c r="G864" s="8" t="str">
        <x:v>저혈압과 관련해 알아두어야 할 기준이나 수치는 무엇인가요?</x:v>
      </x:c>
      <x:c r="H864" s="8" t="str">
        <x:v>등받이가 있는 의자에 등을 기대고 발을 바닥에 붙인 자세로 앉은 후, 최소 5분 이상 조용한 환경에서 안정을 취한 뒤 측정합니다.</x:v>
      </x:c>
      <x:c r="I864" s="8" t="str">
        <x:v>저혈압 - 진단 및 검사 • 등받이가 있는 의자에 등을 기대고 발을 바닥에 붙인 자세로 앉은 후, 최소 5분 이상 조용한 환경에서 안정을 취한 뒤 측정합니다. • 팔은 책상 위에 올려 심장 높이에 맞추고, 팔꿈치 앞쪽의 팔이 접히는 부분에서 3cm 위쪽에 커프를 감습니다. 이때 커프 중앙 표시가 위팔의 안쪽 중앙에 오도록 위치시킵니다.</x:v>
      </x:c>
      <x:c r="J864" s="8" t="str">
        <x:v>저혈압</x:v>
      </x:c>
      <x:c r="K864" s="8" t="str">
        <x:v>질병관리청 국가건강정보포털
https://health.kdca.go.kr/healthinfo/biz/health/gnrlzHealthInfo/gnrlzHealthInfo/gnrlzHealthInfoMain.do</x:v>
      </x:c>
    </x:row>
    <x:row r="865" ht="62" customHeight="1">
      <x:c r="A865" s="9" t="n">
        <x:v>864</x:v>
      </x:c>
      <x:c r="B865" s="6" t="str">
        <x:v>최종 평가</x:v>
      </x:c>
      <x:c r="C865" s="6" t="str">
        <x:v>질병</x:v>
      </x:c>
      <x:c r="D865" s="6" t="str">
        <x:v>증상·양상</x:v>
      </x:c>
      <x:c r="E865" s="6" t="str">
        <x:v>답변 가능</x:v>
      </x:c>
      <x:c r="F865" s="6" t="str">
        <x:v>쉬움</x:v>
      </x:c>
      <x:c r="G865" s="8" t="str">
        <x:v>녹내장이 있으면 어떤 증상이 나타날 수 있나요?</x:v>
      </x:c>
      <x:c r="H865" s="8" t="str">
        <x:v>폐쇄각녹내장은 만성적으로 진행될 경우 간헐적인 안압 상승으로 일시적인 시력 저하, 안통, 두통이 나타나지만, 원발개방각녹내장처럼 말기까지 특별한 증상이 없는 경우도 있습니다.</x:v>
      </x:c>
      <x:c r="I865" s="8" t="str">
        <x:v>녹내장 - 증상 계단을 헛디뎌 넘어지거나, 낮은 문턱·간판에 부딪히는 경우가 생기며, 운전 중 표지판이나 신호등을 잘 보지 못한다고 호소하기도 합니다. 또한 우연히 진단을 받고 난 뒤부터는 환자 스스로 증상을 인식하는 경우도 있습니다. 폐쇄각녹내장은 만성적으로 진행될 경우 간헐적인 안압 상승으로 일시적인 시력 저하, 안통, 두통이 나타나지만, 원발개방각녹내장처럼 말기까지 특별한 증상이 없는 경우도 있습니다.</x:v>
      </x:c>
      <x:c r="J865" s="8" t="str">
        <x:v>녹내장</x:v>
      </x:c>
      <x:c r="K865" s="8" t="str">
        <x:v>질병관리청 국가건강정보포털
https://health.kdca.go.kr/healthinfo/biz/health/gnrlzHealthInfo/gnrlzHealthInfo/gnrlzHealthInfoMain.do</x:v>
      </x:c>
    </x:row>
    <x:row r="866" ht="62" customHeight="1">
      <x:c r="A866" s="9" t="n">
        <x:v>865</x:v>
      </x:c>
      <x:c r="B866" s="6" t="str">
        <x:v>최종 평가</x:v>
      </x:c>
      <x:c r="C866" s="6" t="str">
        <x:v>질병</x:v>
      </x:c>
      <x:c r="D866" s="6" t="str">
        <x:v>진단·검사</x:v>
      </x:c>
      <x:c r="E866" s="6" t="str">
        <x:v>답변 가능</x:v>
      </x:c>
      <x:c r="F866" s="6" t="str">
        <x:v>쉬움</x:v>
      </x:c>
      <x:c r="G866" s="8" t="str">
        <x:v>두드러기는 어떤 검사로 확인하나요?</x:v>
      </x:c>
      <x:c r="H866" s="8" t="str">
        <x:v>이외에도 얼음조각 등을 일정 시간 올려놓는 한랭 유발검사, 뜨거운 물을 채운 유리 실린더를 대보는 열유발검사, 진동 테스트, 물에 젖은 옷을 대보는 유발검사, 트레드밀 등 운동을 통한 유발검사 등 두드러기 분류에 따른 다양한 유발검사가 있습니다.</x:v>
      </x:c>
      <x:c r="I866" s="8" t="str">
        <x:v>두드러기 - 진단 및 검사 이외에도 얼음조각 등을 일정 시간 올려놓는 한랭 유발검사, 뜨거운 물을 채운 유리 실린더를 대보는 열유발검사, 진동 테스트, 물에 젖은 옷을 대보는 유발검사, 트레드밀 등 운동을 통한 유발검사 등 두드러기 분류에 따른 다양한 유발검사가 있습니다. 길지 않은 진료 중에 질문을 받으면 뭔가를 잊어버리기 쉽습니다.</x:v>
      </x:c>
      <x:c r="J866" s="8" t="str">
        <x:v>두드러기</x:v>
      </x:c>
      <x:c r="K866" s="8" t="str">
        <x:v>질병관리청 국가건강정보포털
https://health.kdca.go.kr/healthinfo/biz/health/gnrlzHealthInfo/gnrlzHealthInfo/gnrlzHealthInfoMain.do</x:v>
      </x:c>
    </x:row>
    <x:row r="867" ht="62" customHeight="1">
      <x:c r="A867" s="9" t="n">
        <x:v>866</x:v>
      </x:c>
      <x:c r="B867" s="6" t="str">
        <x:v>최종 평가</x:v>
      </x:c>
      <x:c r="C867" s="6" t="str">
        <x:v>질병</x:v>
      </x:c>
      <x:c r="D867" s="6" t="str">
        <x:v>개요·기타</x:v>
      </x:c>
      <x:c r="E867" s="6" t="str">
        <x:v>답변 가능</x:v>
      </x:c>
      <x:c r="F867" s="6" t="str">
        <x:v>쉬움</x:v>
      </x:c>
      <x:c r="G867" s="8" t="str">
        <x:v>유두분비에 대해 쉽게 설명해 주실 수 있나요?</x:v>
      </x:c>
      <x:c r="H867" s="8" t="str">
        <x:v>유두 분비는 유두에서 분비물이 나오는 것을 의미하며, 저절로 나오거나 유두를 자극할 때 나타날 수 있습니다.</x:v>
      </x:c>
      <x:c r="I867" s="8" t="str">
        <x:v>유두분비 - 요약문 '이것만은 꼭 기억하세요' • 유두 분비는 유두에서 분비물이 나오는 것을 의미하며, 저절로 나오거나 유두를 자극할 때 나타날 수 있습니다. • 분비물의 색과 성질은 다양하며, 피가 섞인 경우 악성 질환의 가능성이 있어 주의해야 합니다. • 유두 분비의 원인은 생리적 요인, 특정 약물, 또는 유방 질환 등이 있습니다. • 진단을 위해 병력 청취, 혈액검사, 영상검사 및 조직검사가 필요할 수 있습니다.</x:v>
      </x:c>
      <x:c r="J867" s="8" t="str">
        <x:v>유두분비</x:v>
      </x:c>
      <x:c r="K867" s="8" t="str">
        <x:v>질병관리청 국가건강정보포털
https://health.kdca.go.kr/healthinfo/biz/health/gnrlzHealthInfo/gnrlzHealthInfo/gnrlzHealthInfoMain.do</x:v>
      </x:c>
    </x:row>
    <x:row r="868" ht="62" customHeight="1">
      <x:c r="A868" s="9" t="n">
        <x:v>867</x:v>
      </x:c>
      <x:c r="B868" s="6" t="str">
        <x:v>최종 평가</x:v>
      </x:c>
      <x:c r="C868" s="6" t="str">
        <x:v>질병</x:v>
      </x:c>
      <x:c r="D868" s="6" t="str">
        <x:v>증상→질환 구분</x:v>
      </x:c>
      <x:c r="E868" s="6" t="str">
        <x:v>답변 가능</x:v>
      </x:c>
      <x:c r="F868" s="6" t="str">
        <x:v>어려움</x:v>
      </x:c>
      <x:c r="G868" s="8" t="str">
        <x:v>위궤양과 십이지장궤양은 뚜렷한 특징적 증상의 차이는 없지만, 음식 섭취로 통증이 완화되는 경우는 십이지장궤양에서 더 흔하며, 위궤양은 통증이 비교적 덜하고 주기적 리듬이 잘 나타나지 않으며 체중감소, 오심, 구토, 조기 포만감이 더 자주 나타납니다. 이런 증상은 어떤 질환과 관련이 있을 수 있나요?</x:v>
      </x:c>
      <x:c r="H868" s="8" t="str">
        <x:v>위십이지장 궤양</x:v>
      </x:c>
      <x:c r="I868" s="8" t="str">
        <x:v>위십이지장 궤양 - 증상 위궤양과 십이지장궤양은 뚜렷한 특징적 증상의 차이는 없지만, 음식 섭취로 통증이 완화되는 경우는 십이지장궤양에서 더 흔하며, 위궤양은 통증이 비교적 덜하고 주기적 리듬이 잘 나타나지 않으며 체중감소, 오심, 구토, 조기 포만감이 더 자주 나타납니다. ​3) 궤양 증상과 궤양 유무의 연관성</x:v>
      </x:c>
      <x:c r="J868" s="8" t="str">
        <x:v>위십이지장 궤양</x:v>
      </x:c>
      <x:c r="K868" s="8" t="str">
        <x:v>질병관리청 국가건강정보포털
https://health.kdca.go.kr/healthinfo/biz/health/gnrlzHealthInfo/gnrlzHealthInfo/gnrlzHealthInfoMain.do</x:v>
      </x:c>
    </x:row>
    <x:row r="869" ht="62" customHeight="1">
      <x:c r="A869" s="9" t="n">
        <x:v>868</x:v>
      </x:c>
      <x:c r="B869" s="6" t="str">
        <x:v>최종 평가</x:v>
      </x:c>
      <x:c r="C869" s="6" t="str">
        <x:v>질병</x:v>
      </x:c>
      <x:c r="D869" s="6" t="str">
        <x:v>답변불가·개인 진단 요청</x:v>
      </x:c>
      <x:c r="E869" s="6" t="str">
        <x:v>답변 거부</x:v>
      </x:c>
      <x:c r="F869" s="6" t="str">
        <x:v>어려움</x:v>
      </x:c>
      <x:c r="G869" s="8" t="str">
        <x:v>노안 관련 증상이 있는 것 같은데, 제가 실제로 노안인지 확정해서 진단해 주세요.</x:v>
      </x:c>
      <x:c r="H869" s="8" t="str">
        <x:v>제공된 질병관리청 VDB 정보만으로 개인의 질환을 확정 진단할 수 없습니다. 증상이 지속되거나 심하면 의료진의 진료를 받아야 합니다.</x:v>
      </x:c>
      <x:c r="I869" s="8" t="str">
        <x:v>VDB 범위 밖 질문 — 근거 없음</x:v>
      </x:c>
      <x:c r="J869" s="8" t="str">
        <x:v>노안</x:v>
      </x:c>
      <x:c r="K869" s="8" t="str">
        <x:v>질병관리청 국가건강정보포털
https://health.kdca.go.kr/healthinfo/biz/health/gnrlzHealthInfo/gnrlzHealthInfo/gnrlzHealthInfoMain.do</x:v>
      </x:c>
    </x:row>
    <x:row r="870" ht="62" customHeight="1">
      <x:c r="A870" s="9" t="n">
        <x:v>869</x:v>
      </x:c>
      <x:c r="B870" s="6" t="str">
        <x:v>최종 평가</x:v>
      </x:c>
      <x:c r="C870" s="6" t="str">
        <x:v>질병</x:v>
      </x:c>
      <x:c r="D870" s="6" t="str">
        <x:v>대상별 정보</x:v>
      </x:c>
      <x:c r="E870" s="6" t="str">
        <x:v>답변 가능</x:v>
      </x:c>
      <x:c r="F870" s="6" t="str">
        <x:v>쉬움</x:v>
      </x:c>
      <x:c r="G870" s="8" t="str">
        <x:v>급성 충수염은 대상에 따라 어떤 점을 알아두면 좋나요?</x:v>
      </x:c>
      <x:c r="H870" s="8" t="str">
        <x:v>어린이는 초기에 자꾸 졸려하고, 자극에 민감하거나 식욕부진 등을 보이며, 빠르게 진행되어 구토, 발열 및 동통이 나타나게 됩니다.</x:v>
      </x:c>
      <x:c r="I870" s="8" t="str">
        <x:v>급성 충수염 - 대상별 맞춤 정보 어린이는 초기에 자꾸 졸려하고, 자극에 민감하거나 식욕부진 등을 보이며, 빠르게 진행되어 구토, 발열 및 동통이 나타나게 됩니다. 흔히 비슷한 증상을 나타내는 질환으로 급성위장관염, 장간막림프절염, 장중첩증, 메켈게실염 등이 있으며 이들 질환과 감별이 요구됩니다. 3. 노인의 충수염 노인의 충수염은 전형적인 증상이 나타나지 않는 경우가 많고, 경과가 빠르며 합병증이 잘 생깁니다.</x:v>
      </x:c>
      <x:c r="J870" s="8" t="str">
        <x:v>급성 충수염</x:v>
      </x:c>
      <x:c r="K870" s="8" t="str">
        <x:v>질병관리청 국가건강정보포털
https://health.kdca.go.kr/healthinfo/biz/health/gnrlzHealthInfo/gnrlzHealthInfo/gnrlzHealthInfoMain.do</x:v>
      </x:c>
    </x:row>
    <x:row r="871" ht="62" customHeight="1">
      <x:c r="A871" s="9" t="n">
        <x:v>870</x:v>
      </x:c>
      <x:c r="B871" s="6" t="str">
        <x:v>최종 평가</x:v>
      </x:c>
      <x:c r="C871" s="6" t="str">
        <x:v>질병</x:v>
      </x:c>
      <x:c r="D871" s="6" t="str">
        <x:v>치료·관리</x:v>
      </x:c>
      <x:c r="E871" s="6" t="str">
        <x:v>답변 가능</x:v>
      </x:c>
      <x:c r="F871" s="6" t="str">
        <x:v>쉬움</x:v>
      </x:c>
      <x:c r="G871" s="8" t="str">
        <x:v>림프절 종대는 어떻게 치료하거나 관리하나요?</x:v>
      </x:c>
      <x:c r="H871" s="8" t="str">
        <x:v>치료 후 호전되던 병변이 일시적으로 악화되는 현상으로, 기존의 림프절이 다시 커지거나, 피부에 누공이 형성되고 고름이 배출되거나 새로운 림프절 종대가 발생하는 등의 증상이 나타나는 것으로, 이는 악화 증상과 감별이 필요합니다.</x:v>
      </x:c>
      <x:c r="I871" s="8" t="str">
        <x:v>림프절 종대 - 치료 치료 후 호전되던 병변이 일시적으로 악화되는 현상으로, 기존의 림프절이 다시 커지거나, 피부에 누공이 형성되고 고름이 배출되거나 새로운 림프절 종대가 발생하는 등의 증상이 나타나는 것으로, 이는 악화 증상과 감별이 필요합니다.</x:v>
      </x:c>
      <x:c r="J871" s="8" t="str">
        <x:v>림프절 종대</x:v>
      </x:c>
      <x:c r="K871" s="8" t="str">
        <x:v>질병관리청 국가건강정보포털
https://health.kdca.go.kr/healthinfo/biz/health/gnrlzHealthInfo/gnrlzHealthInfo/gnrlzHealthInfoMain.do</x:v>
      </x:c>
    </x:row>
    <x:row r="872" ht="62" customHeight="1">
      <x:c r="A872" s="9" t="n">
        <x:v>871</x:v>
      </x:c>
      <x:c r="B872" s="6" t="str">
        <x:v>최종 평가</x:v>
      </x:c>
      <x:c r="C872" s="6" t="str">
        <x:v>질병</x:v>
      </x:c>
      <x:c r="D872" s="6" t="str">
        <x:v>증상→질환 구분</x:v>
      </x:c>
      <x:c r="E872" s="6" t="str">
        <x:v>답변 가능</x:v>
      </x:c>
      <x:c r="F872" s="6" t="str">
        <x:v>어려움</x:v>
      </x:c>
      <x:c r="G872" s="8" t="str">
        <x:v>흔하지만 비교적 쉽게 지혈이 되는 전방 출혈과 달리 후방 출혈은 지혈이 어렵고 재출혈의 빈도가 더 높은데, 최근 성인병이 증가하여 고혈압, 동맥경화가 증가하면서 과거보다 40세 이상에서 후방 비출혈의 빈도가 증가하고 있는 추세입니다. 이런 증상은 어떤 질환과 관련이 있을 수 있나요?</x:v>
      </x:c>
      <x:c r="H872" s="8" t="str">
        <x:v>코피(비출혈)</x:v>
      </x:c>
      <x:c r="I872" s="8" t="str">
        <x:v>코피(비출혈) - 역학 및 통계 / 증상 흔하지만 비교적 쉽게 지혈이 되는 전방 출혈과 달리 후방 출혈은 지혈이 어렵고 재출혈의 빈도가 더 높은데, 최근 성인병이 증가하여 고혈압, 동맥경화가 증가하면서 과거보다 40세 이상에서 후방 비출혈의 빈도가 증가하고 있는 추세입니다. 가장 먼저 일어나는 증상으로 피가 코의 앞쪽으로 흘러내리는 경우가 가장 많습니다. 후방 비출혈이 있는 경우에는 피가 코의 뒤쪽으로 넘어가 목구멍으로 넘어갈 수도 있습니다.</x:v>
      </x:c>
      <x:c r="J872" s="8" t="str">
        <x:v>코피(비출혈)</x:v>
      </x:c>
      <x:c r="K872" s="8" t="str">
        <x:v>질병관리청 국가건강정보포털
https://health.kdca.go.kr/healthinfo/biz/health/gnrlzHealthInfo/gnrlzHealthInfo/gnrlzHealthInfoMain.do</x:v>
      </x:c>
    </x:row>
    <x:row r="873" ht="62" customHeight="1">
      <x:c r="A873" s="9" t="n">
        <x:v>872</x:v>
      </x:c>
      <x:c r="B873" s="6" t="str">
        <x:v>최종 평가</x:v>
      </x:c>
      <x:c r="C873" s="6" t="str">
        <x:v>질병</x:v>
      </x:c>
      <x:c r="D873" s="6" t="str">
        <x:v>원인·위험요인</x:v>
      </x:c>
      <x:c r="E873" s="6" t="str">
        <x:v>답변 가능</x:v>
      </x:c>
      <x:c r="F873" s="6" t="str">
        <x:v>쉬움</x:v>
      </x:c>
      <x:c r="G873" s="8" t="str">
        <x:v>자극접촉피부염은 왜 생기나요?</x:v>
      </x:c>
      <x:c r="H873" s="8" t="str">
        <x:v>자극접촉피부염 때문에 피부가 손상되면, 손상된 틈으로 알레르기를 일으키는 물질이 쉽게 침투할 수 있어 알레르기가 발생할 가능성이 높아집니다. 알레르기접촉피부염은 일반적으로 자극접촉피부염보다 증상이 심하고 예후가 좋지 않습니다. 다음과 같은 주의사항을 잘 지키면 예방과 치료에 도움이 됩니다. • 가능한 손 씻는 횟수를 줄입니다. • 무향, 무색의 일반 비누를 사용합니다(약용, 한방, 기능성 비누는 피합니다).</x:v>
      </x:c>
      <x:c r="I873" s="8" t="str">
        <x:v>자극접촉피부염 - 합병증 / 위험요인 및 예방 자극접촉피부염 때문에 피부가 손상되면, 손상된 틈으로 알레르기를 일으키는 물질이 쉽게 침투할 수 있어 알레르기가 발생할 가능성이 높아집니다. 알레르기접촉피부염은 일반적으로 자극접촉피부염보다 증상이 심하고 예후가 좋지 않습니다. 다음과 같은 주의사항을 잘 지키면 예방과 치료에 도움이 됩니다. • 가능한 손 씻는 횟수를 줄입니다. • 무향, 무색의 일반 비누를 사용합니다(약용, 한방, 기능성 비누는 피합니다).</x:v>
      </x:c>
      <x:c r="J873" s="8" t="str">
        <x:v>자극접촉피부염</x:v>
      </x:c>
      <x:c r="K873" s="8" t="str">
        <x:v>질병관리청 국가건강정보포털
https://health.kdca.go.kr/healthinfo/biz/health/gnrlzHealthInfo/gnrlzHealthInfo/gnrlzHealthInfoMain.do</x:v>
      </x:c>
    </x:row>
    <x:row r="874" ht="62" customHeight="1">
      <x:c r="A874" s="9" t="n">
        <x:v>873</x:v>
      </x:c>
      <x:c r="B874" s="6" t="str">
        <x:v>최종 평가</x:v>
      </x:c>
      <x:c r="C874" s="6" t="str">
        <x:v>질병</x:v>
      </x:c>
      <x:c r="D874" s="6" t="str">
        <x:v>치료·관리</x:v>
      </x:c>
      <x:c r="E874" s="6" t="str">
        <x:v>답변 가능</x:v>
      </x:c>
      <x:c r="F874" s="6" t="str">
        <x:v>쉬움</x:v>
      </x:c>
      <x:c r="G874" s="8" t="str">
        <x:v>뇌성마비는 어떻게 치료하거나 관리하나요?</x:v>
      </x:c>
      <x:c r="H874" s="8" t="str">
        <x:v>조기치료는 조산이나 저체중출생아 등 뇌성마비 위험도가 높은 아동이 뇌성마비로 진행하지 않도록 하거나, 지연이 있더라도 발달을 잘 따라가도록 돕는 것이 목표입니다. 최근 조기치료가 아동의 발달에 큰 도움이 된다는 연구 결과들이 보고되고 있습니다. 일반적으로 생후 6-7개월 이전에 치료를 시작했다면 조기치료라고 볼 수 있으며, 구체적인 치료 시점은 개별적인 아동의 상태를 고려해 결정합니다.</x:v>
      </x:c>
      <x:c r="I874" s="8" t="str">
        <x:v>뇌성마비 - 치료 조기치료는 조산이나 저체중출생아 등 뇌성마비 위험도가 높은 아동이 뇌성마비로 진행하지 않도록 하거나, 지연이 있더라도 발달을 잘 따라가도록 돕는 것이 목표입니다. 최근 조기치료가 아동의 발달에 큰 도움이 된다는 연구 결과들이 보고되고 있습니다. 일반적으로 생후 6-7개월 이전에 치료를 시작했다면 조기치료라고 볼 수 있으며, 구체적인 치료 시점은 개별적인 아동의 상태를 고려해 결정합니다.</x:v>
      </x:c>
      <x:c r="J874" s="8" t="str">
        <x:v>뇌성마비</x:v>
      </x:c>
      <x:c r="K874" s="8" t="str">
        <x:v>질병관리청 국가건강정보포털
https://health.kdca.go.kr/healthinfo/biz/health/gnrlzHealthInfo/gnrlzHealthInfo/gnrlzHealthInfoMain.do</x:v>
      </x:c>
    </x:row>
    <x:row r="875" ht="62" customHeight="1">
      <x:c r="A875" s="9" t="n">
        <x:v>874</x:v>
      </x:c>
      <x:c r="B875" s="6" t="str">
        <x:v>최종 평가</x:v>
      </x:c>
      <x:c r="C875" s="6" t="str">
        <x:v>질병</x:v>
      </x:c>
      <x:c r="D875" s="6" t="str">
        <x:v>치료·관리</x:v>
      </x:c>
      <x:c r="E875" s="6" t="str">
        <x:v>답변 가능</x:v>
      </x:c>
      <x:c r="F875" s="6" t="str">
        <x:v>쉬움</x:v>
      </x:c>
      <x:c r="G875" s="8" t="str">
        <x:v>웨스트나일열은 어떻게 치료하거나 관리하나요?</x:v>
      </x:c>
      <x:c r="H875" s="8" t="str">
        <x:v>현재까지 웨스트나일 바이러스에 대한 치료제는 없고, 증상에 따른 대증요법이 주 치료입니다.</x:v>
      </x:c>
      <x:c r="I875" s="8" t="str">
        <x:v>웨스트나일열 - 예방 및 예방접종 / 치료 따라서 감염의 매개체인 모기에 물리지 않는 것이 가장 중요하며, 유행지역 여행 시 모기 기피제 및 모기장 사용 등의 예방수칙을 지키는 것이 중요합니다. 웨스트나일 바이러스 감염이 의심되는 조류를 취급할 때는 개인 보호 장비를 반드시 착용하여야 합니다. 현재까지 웨스트나일 바이러스에 대한 치료제는 없고, 증상에 따른 대증요법이 주 치료입니다.</x:v>
      </x:c>
      <x:c r="J875" s="8" t="str">
        <x:v>웨스트나일열</x:v>
      </x:c>
      <x:c r="K875" s="8" t="str">
        <x:v>질병관리청 국가건강정보포털
https://health.kdca.go.kr/healthinfo/biz/health/gnrlzHealthInfo/gnrlzHealthInfo/gnrlzHealthInfoMain.do</x:v>
      </x:c>
    </x:row>
    <x:row r="876" ht="62" customHeight="1">
      <x:c r="A876" s="9" t="n">
        <x:v>875</x:v>
      </x:c>
      <x:c r="B876" s="6" t="str">
        <x:v>최종 평가</x:v>
      </x:c>
      <x:c r="C876" s="6" t="str">
        <x:v>질병</x:v>
      </x:c>
      <x:c r="D876" s="6" t="str">
        <x:v>진단·검사</x:v>
      </x:c>
      <x:c r="E876" s="6" t="str">
        <x:v>답변 가능</x:v>
      </x:c>
      <x:c r="F876" s="6" t="str">
        <x:v>쉬움</x:v>
      </x:c>
      <x:c r="G876" s="8" t="str">
        <x:v>잇몸병(치주질환)은 어떤 검사로 확인하나요?</x:v>
      </x:c>
      <x:c r="H876" s="8" t="str">
        <x:v>치아 양쪽에 금속기구를 대거나, 한쪽에는 손가락을 대고 다른 한쪽에는 금속 기구를 대고 눌러보아 치아가 흔들리는 정도를 측정합니다.</x:v>
      </x:c>
      <x:c r="I876" s="8" t="str">
        <x:v>잇몸병(치주질환) - 진단 및 검사 3) 치주낭 치주낭 측정기를 치주낭에 삽입 후 끼워 넣어서 조금씩 움직이며 치주낭 깊이를 측정합니다. 4) 치아 동요도 치아 양쪽에 금속기구를 대거나, 한쪽에는 손가락을 대고 다른 한쪽에는 금속 기구를 대고 눌러보아 치아가 흔들리는 정도를 측정합니다. 2. 방사선학적 검사 치조골 수준을 파악하기 위해 구내 방사선 사진을 촬영합니다.</x:v>
      </x:c>
      <x:c r="J876" s="8" t="str">
        <x:v>잇몸병(치주질환)</x:v>
      </x:c>
      <x:c r="K876" s="8" t="str">
        <x:v>질병관리청 국가건강정보포털
https://health.kdca.go.kr/healthinfo/biz/health/gnrlzHealthInfo/gnrlzHealthInfo/gnrlzHealthInfoMain.do</x:v>
      </x:c>
    </x:row>
    <x:row r="877" ht="62" customHeight="1">
      <x:c r="A877" s="9" t="n">
        <x:v>876</x:v>
      </x:c>
      <x:c r="B877" s="6" t="str">
        <x:v>최종 평가</x:v>
      </x:c>
      <x:c r="C877" s="6" t="str">
        <x:v>질병</x:v>
      </x:c>
      <x:c r="D877" s="6" t="str">
        <x:v>증상→질환 구분</x:v>
      </x:c>
      <x:c r="E877" s="6" t="str">
        <x:v>답변 가능</x:v>
      </x:c>
      <x:c r="F877" s="6" t="str">
        <x:v>어려움</x:v>
      </x:c>
      <x:c r="G877" s="8" t="str">
        <x:v>오염된 식수나 음식물을 복용하여 걸리는 수인성 식품매개질환은 주로 장에 염증이 발생하므로, 배가 아프고 설사나 구토를 하는 위장관 증상이 주된 증상으로 나타납니다. 이런 증상은 어떤 질환과 관련이 있을 수 있나요?</x:v>
      </x:c>
      <x:c r="H877" s="8" t="str">
        <x:v>파라티푸스</x:v>
      </x:c>
      <x:c r="I877" s="8" t="str">
        <x:v>파라티푸스 - 증상 오염된 식수나 음식물을 복용하여 걸리는 수인성 식품매개질환은 주로 장에 염증이 발생하므로, 배가 아프고 설사나 구토를 하는 위장관 증상이 주된 증상으로 나타납니다. 그러나, 장티푸스나 파라티푸스는 수인성 식품매개질환이지만 위장관 증상보다는 고열이 특징적으로 나타나는 질환입니다. 발열은 서서히 시작하여 점차 심해지고, 열이 나면서 몸이 피곤하고, 머리가 아픈 증상을 동반합니다.</x:v>
      </x:c>
      <x:c r="J877" s="8" t="str">
        <x:v>파라티푸스</x:v>
      </x:c>
      <x:c r="K877" s="8" t="str">
        <x:v>질병관리청 국가건강정보포털
https://health.kdca.go.kr/healthinfo/biz/health/gnrlzHealthInfo/gnrlzHealthInfo/gnrlzHealthInfoMain.do</x:v>
      </x:c>
    </x:row>
    <x:row r="878" ht="62" customHeight="1">
      <x:c r="A878" s="9" t="n">
        <x:v>877</x:v>
      </x:c>
      <x:c r="B878" s="6" t="str">
        <x:v>최종 평가</x:v>
      </x:c>
      <x:c r="C878" s="6" t="str">
        <x:v>질병</x:v>
      </x:c>
      <x:c r="D878" s="6" t="str">
        <x:v>증상→질환 구분</x:v>
      </x:c>
      <x:c r="E878" s="6" t="str">
        <x:v>답변 가능</x:v>
      </x:c>
      <x:c r="F878" s="6" t="str">
        <x:v>어려움</x:v>
      </x:c>
      <x:c r="G878" s="8" t="str">
        <x:v>A군 베타 용혈성 연쇄구균(Group A β-hemolytic Streptococci)에 의한 급성 질환으로, 갑작스런 발열, 두통, 구토, 복통, 인후통 등으로 시작되어, 12~48시간 후에 전신에 전형적인 발진을 보이는 특징이 있습니다. 이런 증상은 어떤 질환과 관련이 있을 수 있나요?</x:v>
      </x:c>
      <x:c r="H878" s="8" t="str">
        <x:v>성홍열</x:v>
      </x:c>
      <x:c r="I878" s="8" t="str">
        <x:v>성홍열 - 개요 성홍열은 A군 베타 용혈성 연쇄구균(Group A β-hemolytic Streptococci)에 의한 급성 질환으로, 갑작스런 발열, 두통, 구토, 복통, 인후통 등으로 시작되어, 12~48시간 후에 전신에 전형적인 발진을 보이는 특징이 있습니다. 우리나라에서는 2급 법정감염병으로 지정되어 있으므로, 환자를 발견하면 24시간 이내에 보건소에 신고해야 합니다.</x:v>
      </x:c>
      <x:c r="J878" s="8" t="str">
        <x:v>성홍열</x:v>
      </x:c>
      <x:c r="K878" s="8" t="str">
        <x:v>질병관리청 국가건강정보포털
https://health.kdca.go.kr/healthinfo/biz/health/gnrlzHealthInfo/gnrlzHealthInfo/gnrlzHealthInfoMain.do</x:v>
      </x:c>
    </x:row>
    <x:row r="879" ht="62" customHeight="1">
      <x:c r="A879" s="9" t="n">
        <x:v>878</x:v>
      </x:c>
      <x:c r="B879" s="6" t="str">
        <x:v>최종 평가</x:v>
      </x:c>
      <x:c r="C879" s="6" t="str">
        <x:v>질병</x:v>
      </x:c>
      <x:c r="D879" s="6" t="str">
        <x:v>기준·수치</x:v>
      </x:c>
      <x:c r="E879" s="6" t="str">
        <x:v>답변 가능</x:v>
      </x:c>
      <x:c r="F879" s="6" t="str">
        <x:v>쉬움</x:v>
      </x:c>
      <x:c r="G879" s="8" t="str">
        <x:v>성홍열과 관련된 증상이나 상태는 보통 얼마나 지속되나요?</x:v>
      </x:c>
      <x:c r="H879" s="8" t="str">
        <x:v>성홍열의 합병증은 감염 후 1주 이내에 생기는 화농성 합병증과 감염 2~3주 후에 생기는 비(非)화농성 합병증으로 나눌 수 있습니다.</x:v>
      </x:c>
      <x:c r="I879" s="8" t="str">
        <x:v>성홍열 - 합병증 / 대상별 맞춤 정보 성홍열의 합병증은 감염 후 1주 이내에 생기는 화농성 합병증과 감염 2~3주 후에 생기는 비(非)화농성 합병증으로 나눌 수 있습니다. (1) 화농성 합병증 • 중이염, 부비동염, 유양돌기염 • 경부림프절염, 편도주위 농양, 인두후방 농양 • 기관지 폐렴 • 수막염 • 골수염, 패혈증성 관절염 등 (2) 비(非)화농성 합병증 • 급성 사구체신염 • 류마티스열 등 1.</x:v>
      </x:c>
      <x:c r="J879" s="8" t="str">
        <x:v>성홍열</x:v>
      </x:c>
      <x:c r="K879" s="8" t="str">
        <x:v>질병관리청 국가건강정보포털
https://health.kdca.go.kr/healthinfo/biz/health/gnrlzHealthInfo/gnrlzHealthInfo/gnrlzHealthInfoMain.do</x:v>
      </x:c>
    </x:row>
    <x:row r="880" ht="62" customHeight="1">
      <x:c r="A880" s="9" t="n">
        <x:v>879</x:v>
      </x:c>
      <x:c r="B880" s="6" t="str">
        <x:v>최종 평가</x:v>
      </x:c>
      <x:c r="C880" s="6" t="str">
        <x:v>질병</x:v>
      </x:c>
      <x:c r="D880" s="6" t="str">
        <x:v>답변불가·치료비·보험</x:v>
      </x:c>
      <x:c r="E880" s="6" t="str">
        <x:v>답변 거부</x:v>
      </x:c>
      <x:c r="F880" s="6" t="str">
        <x:v>어려움</x:v>
      </x:c>
      <x:c r="G880" s="8" t="str">
        <x:v>엔테로바이러스 감염증 치료비와 제 보험에서 보장되는 금액을 정확히 알려주세요.</x:v>
      </x:c>
      <x:c r="H880" s="8" t="str">
        <x:v>제공된 질병관리청 VDB에는 개인별 치료비와 보험 보장 금액 정보가 없어 답할 수 없습니다.</x:v>
      </x:c>
      <x:c r="I880" s="8" t="str">
        <x:v>VDB 범위 밖 질문 — 근거 없음</x:v>
      </x:c>
      <x:c r="J880" s="8" t="str">
        <x:v>엔테로바이러스 감염증</x:v>
      </x:c>
      <x:c r="K880" s="8" t="str">
        <x:v>질병관리청 국가건강정보포털
https://health.kdca.go.kr/healthinfo/biz/health/gnrlzHealthInfo/gnrlzHealthInfo/gnrlzHealthInfoMain.do</x:v>
      </x:c>
    </x:row>
    <x:row r="881" ht="62" customHeight="1">
      <x:c r="A881" s="9" t="n">
        <x:v>880</x:v>
      </x:c>
      <x:c r="B881" s="6" t="str">
        <x:v>최종 평가</x:v>
      </x:c>
      <x:c r="C881" s="6" t="str">
        <x:v>질병</x:v>
      </x:c>
      <x:c r="D881" s="6" t="str">
        <x:v>용어·정의</x:v>
      </x:c>
      <x:c r="E881" s="6" t="str">
        <x:v>답변 가능</x:v>
      </x:c>
      <x:c r="F881" s="6" t="str">
        <x:v>쉬움</x:v>
      </x:c>
      <x:c r="G881" s="8" t="str">
        <x:v>각막찰과상이 뭔가요?</x:v>
      </x:c>
      <x:c r="H881" s="8" t="str">
        <x:v>각막찰과상은 외상으로 각막 표면의 상피가 긁히거나 벗겨지는 손상을 의미합니다.</x:v>
      </x:c>
      <x:c r="I881" s="8" t="str">
        <x:v>안외상(각막찰과상) - 요약문 '이것만은 꼭 기억하세요' • 각막은 눈의 앞쪽을 덮는 투명한 조직으로, 빛을 굴절시켜 망막에 상을 맺게 하는 역할을 합니다. • 각막찰과상은 외상으로 각막 표면의 상피가 긁히거나 벗겨지는 손상을 의미합니다. • 주요 증상은 심한 통증, 눈부심, 이물감, 눈물흘림과 함께 충혈과 눈꺼풀 부종이 나타날 수 있습니다. • 진단은 외상 여부 확인과 세극등 검사로 상처의 위치와 깊이를 평가하여 이루어집니다.</x:v>
      </x:c>
      <x:c r="J881" s="8" t="str">
        <x:v>안외상(각막찰과상)</x:v>
      </x:c>
      <x:c r="K881" s="8" t="str">
        <x:v>질병관리청 국가건강정보포털
https://health.kdca.go.kr/healthinfo/biz/health/gnrlzHealthInfo/gnrlzHealthInfo/gnrlzHealthInfoMain.do</x:v>
      </x:c>
    </x:row>
    <x:row r="882" ht="62" customHeight="1">
      <x:c r="A882" s="9" t="n">
        <x:v>881</x:v>
      </x:c>
      <x:c r="B882" s="6" t="str">
        <x:v>최종 평가</x:v>
      </x:c>
      <x:c r="C882" s="6" t="str">
        <x:v>질병</x:v>
      </x:c>
      <x:c r="D882" s="6" t="str">
        <x:v>진단·검사</x:v>
      </x:c>
      <x:c r="E882" s="6" t="str">
        <x:v>답변 가능</x:v>
      </x:c>
      <x:c r="F882" s="6" t="str">
        <x:v>쉬움</x:v>
      </x:c>
      <x:c r="G882" s="8" t="str">
        <x:v>갑상선 결절은 어떤 검사로 확인하나요?</x:v>
      </x:c>
      <x:c r="H882" s="8" t="str">
        <x:v>매우 가는 바늘을 이용하여 갑상선 결절에서 세포나 액체를 뽑아 현미경으로 관찰하는 검사입니다.</x:v>
      </x:c>
      <x:c r="I882" s="8" t="str">
        <x:v>갑상선 결절 - 진단 및 검사 매우 가는 바늘을 이용하여 갑상선 결절에서 세포나 액체를 뽑아 현미경으로 관찰하는 검사입니다. 대부분 국소마취 없이 시행되며, 바늘이 매우 얇아 통증은 크지 않습니다. 정확한 진단을 위해 2~3회 정도 바늘을 찔러 세포를 채취합니다. 이 검사는 금식이 필요 없고, 시행 후 바로 일상생활에 복귀할 수 있습니다. 세침흡인검사는 갑상선 결절이 암인지 여부를 판단하는 가장 정밀한 검사로 알려져 있으나 100% 정확성을 보이는 것은 아닙니다.</x:v>
      </x:c>
      <x:c r="J882" s="8" t="str">
        <x:v>갑상선 결절</x:v>
      </x:c>
      <x:c r="K882" s="8" t="str">
        <x:v>질병관리청 국가건강정보포털
https://health.kdca.go.kr/healthinfo/biz/health/gnrlzHealthInfo/gnrlzHealthInfo/gnrlzHealthInfoMain.do</x:v>
      </x:c>
    </x:row>
    <x:row r="883" ht="62" customHeight="1">
      <x:c r="A883" s="9" t="n">
        <x:v>882</x:v>
      </x:c>
      <x:c r="B883" s="6" t="str">
        <x:v>최종 평가</x:v>
      </x:c>
      <x:c r="C883" s="6" t="str">
        <x:v>질병</x:v>
      </x:c>
      <x:c r="D883" s="6" t="str">
        <x:v>증상→질환 구분</x:v>
      </x:c>
      <x:c r="E883" s="6" t="str">
        <x:v>답변 가능</x:v>
      </x:c>
      <x:c r="F883" s="6" t="str">
        <x:v>어려움</x:v>
      </x:c>
      <x:c r="G883" s="8" t="str">
        <x:v>이때는 열, 두통, 구토, 목 뻣뻣함, 허리 통증 같은 증상이 나타나며, 입원이 필요할 수 있습니다. 이런 증상은 어떤 질환과 관련이 있을 수 있나요?</x:v>
      </x:c>
      <x:c r="H883" s="8" t="str">
        <x:v>수족구병(손발입병)</x:v>
      </x:c>
      <x:c r="I883" s="8" t="str">
        <x:v>수족구병(손발입병) - 증상 합병증은 흔하지 않지만, 콕사키바이러스 A16형에 감염되면 드물게 바이러스성 뇌수막염이 생길 수 있습니다. 이때는 열, 두통, 구토, 목 뻣뻣함, 허리 통증 같은 증상이 나타나며, 입원이 필요할 수 있습니다. 그러나 장바이러스 71형에 의한 감염은 더 위험할 수 있습니다. 단순한 뇌수막염뿐 아니라 뇌염이나 소아마비와 비슷한 마비 증상 같은 신경계 합병증이 생기기도 합니다.</x:v>
      </x:c>
      <x:c r="J883" s="8" t="str">
        <x:v>수족구병(손발입병)</x:v>
      </x:c>
      <x:c r="K883" s="8" t="str">
        <x:v>질병관리청 국가건강정보포털
https://health.kdca.go.kr/healthinfo/biz/health/gnrlzHealthInfo/gnrlzHealthInfo/gnrlzHealthInfoMain.do</x:v>
      </x:c>
    </x:row>
    <x:row r="884" ht="62" customHeight="1">
      <x:c r="A884" s="9" t="n">
        <x:v>883</x:v>
      </x:c>
      <x:c r="B884" s="6" t="str">
        <x:v>최종 평가</x:v>
      </x:c>
      <x:c r="C884" s="6" t="str">
        <x:v>질병</x:v>
      </x:c>
      <x:c r="D884" s="6" t="str">
        <x:v>개요·기타</x:v>
      </x:c>
      <x:c r="E884" s="6" t="str">
        <x:v>답변 가능</x:v>
      </x:c>
      <x:c r="F884" s="6" t="str">
        <x:v>쉬움</x:v>
      </x:c>
      <x:c r="G884" s="8" t="str">
        <x:v>사랑니에 대해 쉽게 설명해 주실 수 있나요?</x:v>
      </x:c>
      <x:c r="H884" s="8" t="str">
        <x:v>사랑니가 턱뼈 안에 묻혀 있거나(매복) 비스듬하게 기울어 나와 얼굴이 붓거나 통증으로 고생하는 수도 많습니다.</x:v>
      </x:c>
      <x:c r="I884" s="8" t="str">
        <x:v>사랑니 - 개요-정의 / 개요-종류 사랑니가 턱뼈 안에 묻혀 있거나(매복) 비스듬하게 기울어 나와 얼굴이 붓거나 통증으로 고생하는 수도 많습니다. 사랑니는 턱뼈에서 마지막으로 만들어지는 치아로 구강 내에 충분한 공간이 없으면 턱뼈 안에 매복되고 위치가 변할 수 있습니다. 이로 인해 다양한 합병증이 생길 수 있어 사랑니의 발치도 흔히 시행됩니다. 아래턱 사랑니의 분류</x:v>
      </x:c>
      <x:c r="J884" s="8" t="str">
        <x:v>사랑니</x:v>
      </x:c>
      <x:c r="K884" s="8" t="str">
        <x:v>질병관리청 국가건강정보포털
https://health.kdca.go.kr/healthinfo/biz/health/gnrlzHealthInfo/gnrlzHealthInfo/gnrlzHealthInfoMain.do</x:v>
      </x:c>
    </x:row>
    <x:row r="885" ht="62" customHeight="1">
      <x:c r="A885" s="9" t="n">
        <x:v>884</x:v>
      </x:c>
      <x:c r="B885" s="6" t="str">
        <x:v>최종 평가</x:v>
      </x:c>
      <x:c r="C885" s="6" t="str">
        <x:v>질병</x:v>
      </x:c>
      <x:c r="D885" s="6" t="str">
        <x:v>개요·기타</x:v>
      </x:c>
      <x:c r="E885" s="6" t="str">
        <x:v>답변 가능</x:v>
      </x:c>
      <x:c r="F885" s="6" t="str">
        <x:v>쉬움</x:v>
      </x:c>
      <x:c r="G885" s="8" t="str">
        <x:v>얼굴떨림(얼굴연축)에 대해 쉽게 설명해 주실 수 있나요?</x:v>
      </x:c>
      <x:c r="H885" s="8" t="str">
        <x:v>눈 깜박임이 조화롭게 이루어지도록 조절하는 신경세포가 뇌 안에 존재하는데 이런 신경세포가 연결되어 만들어진 신경회로망에 이상이 생겨서 눈꺼풀연축이 발생하는 것으로 생각됩니다.</x:v>
      </x:c>
      <x:c r="I885" s="8" t="str">
        <x:v>얼굴떨림(얼굴연축) - 개요 눈 깜박임이 조화롭게 이루어지도록 조절하는 신경세포가 뇌 안에 존재하는데 이런 신경세포가 연결되어 만들어진 신경회로망에 이상이 생겨서 눈꺼풀연축이 발생하는 것으로 생각됩니다. 눈가 주변의 감각을 담당하는 신경세포에 밝은 빛이나 먼지, 이물질 등의 불편감을 주는 자극들과 심리적인 스트레스가 발생하면 중추신경계로 전달되어 증상을 악화시킬 수 있습니다.</x:v>
      </x:c>
      <x:c r="J885" s="8" t="str">
        <x:v>얼굴떨림(얼굴연축)</x:v>
      </x:c>
      <x:c r="K885" s="8" t="str">
        <x:v>질병관리청 국가건강정보포털
https://health.kdca.go.kr/healthinfo/biz/health/gnrlzHealthInfo/gnrlzHealthInfo/gnrlzHealthInfoMain.do</x:v>
      </x:c>
    </x:row>
    <x:row r="886" ht="62" customHeight="1">
      <x:c r="A886" s="9" t="n">
        <x:v>885</x:v>
      </x:c>
      <x:c r="B886" s="6" t="str">
        <x:v>최종 평가</x:v>
      </x:c>
      <x:c r="C886" s="6" t="str">
        <x:v>질병</x:v>
      </x:c>
      <x:c r="D886" s="6" t="str">
        <x:v>기준·수치</x:v>
      </x:c>
      <x:c r="E886" s="6" t="str">
        <x:v>답변 가능</x:v>
      </x:c>
      <x:c r="F886" s="6" t="str">
        <x:v>쉬움</x:v>
      </x:c>
      <x:c r="G886" s="8" t="str">
        <x:v>궤양대장염(궤양결장염)과 관련해 알아두어야 할 기준이나 수치는 무엇인가요?</x:v>
      </x:c>
      <x:c r="H886" s="8" t="str">
        <x:v>첫 발병 시 관해에 도달할 확률은 90% 이상으로 보고되고 있으며, 대부분의 경우 재발 상태보다는 관해 상태에 있는 기간이 길지만 소수의 환자에서 증상이 관해에 도달하지 않고 지속되어 수술적 치료(장절제술)를 받아야 하는 경우가 있습니다.</x:v>
      </x:c>
      <x:c r="I886" s="8" t="str">
        <x:v>궤양대장염(궤양결장염) - 경과 및 예후 첫 발병 시 관해에 도달할 확률은 90% 이상으로 보고되고 있으며, 대부분의 경우 재발 상태보다는 관해 상태에 있는 기간이 길지만 소수의 환자에서 증상이 관해에 도달하지 않고 지속되어 수술적 치료(장절제술)를 받아야 하는 경우가 있습니다. 누적 재발률은 1년에 30.2%, 5년에 72.0%, 10년에 88.4%로 보고된 바 있습니다.</x:v>
      </x:c>
      <x:c r="J886" s="8" t="str">
        <x:v>궤양대장염(궤양결장염)</x:v>
      </x:c>
      <x:c r="K886" s="8" t="str">
        <x:v>질병관리청 국가건강정보포털
https://health.kdca.go.kr/healthinfo/biz/health/gnrlzHealthInfo/gnrlzHealthInfo/gnrlzHealthInfoMain.do</x:v>
      </x:c>
    </x:row>
    <x:row r="887" ht="62" customHeight="1">
      <x:c r="A887" s="9" t="n">
        <x:v>886</x:v>
      </x:c>
      <x:c r="B887" s="6" t="str">
        <x:v>최종 평가</x:v>
      </x:c>
      <x:c r="C887" s="6" t="str">
        <x:v>질병</x:v>
      </x:c>
      <x:c r="D887" s="6" t="str">
        <x:v>증상·양상</x:v>
      </x:c>
      <x:c r="E887" s="6" t="str">
        <x:v>답변 가능</x:v>
      </x:c>
      <x:c r="F887" s="6" t="str">
        <x:v>쉬움</x:v>
      </x:c>
      <x:c r="G887" s="8" t="str">
        <x:v>굳은살과 티눈이 있으면 어떤 증상이 나타날 수 있나요?</x:v>
      </x:c>
      <x:c r="H887" s="8" t="str">
        <x:v>발바닥에 생긴 굳은살로 통증을 호소하는 경우에는 잘 맞지 않는 딱딱한 구두 착용 여부나 장시간 안전화 착용, 등산, 조깅 등과의 연관성을 고려해야 합니다. 노화로 인한 피부위축으로 압박에 취약한 것이나, 비정상적인 압력에 의한 발의 변형과 같은 정형외과적인 문제가 굳은살의 발생과 연관될 수 있습니다. 2. 티눈의 주요증상 티눈은 딱딱한 정도에 따라 매우 딱딱한 경성 티눈과 상대적으로 부드러운 연성 티눈으로 나눌 수 있습니다.</x:v>
      </x:c>
      <x:c r="I887" s="8" t="str">
        <x:v>굳은살과 티눈 - 증상 발바닥에 생긴 굳은살로 통증을 호소하는 경우에는 잘 맞지 않는 딱딱한 구두 착용 여부나 장시간 안전화 착용, 등산, 조깅 등과의 연관성을 고려해야 합니다. 노화로 인한 피부위축으로 압박에 취약한 것이나, 비정상적인 압력에 의한 발의 변형과 같은 정형외과적인 문제가 굳은살의 발생과 연관될 수 있습니다. 2. 티눈의 주요증상 티눈은 딱딱한 정도에 따라 매우 딱딱한 경성 티눈과 상대적으로 부드러운 연성 티눈으로 나눌 수 있습니다.</x:v>
      </x:c>
      <x:c r="J887" s="8" t="str">
        <x:v>굳은살과 티눈</x:v>
      </x:c>
      <x:c r="K887" s="8" t="str">
        <x:v>질병관리청 국가건강정보포털
https://health.kdca.go.kr/healthinfo/biz/health/gnrlzHealthInfo/gnrlzHealthInfo/gnrlzHealthInfoMain.do</x:v>
      </x:c>
    </x:row>
    <x:row r="888" ht="62" customHeight="1">
      <x:c r="A888" s="9" t="n">
        <x:v>887</x:v>
      </x:c>
      <x:c r="B888" s="6" t="str">
        <x:v>최종 평가</x:v>
      </x:c>
      <x:c r="C888" s="6" t="str">
        <x:v>질병</x:v>
      </x:c>
      <x:c r="D888" s="6" t="str">
        <x:v>증상→질환 구분</x:v>
      </x:c>
      <x:c r="E888" s="6" t="str">
        <x:v>답변 가능</x:v>
      </x:c>
      <x:c r="F888" s="6" t="str">
        <x:v>어려움</x:v>
      </x:c>
      <x:c r="G888" s="8" t="str">
        <x:v>하부요로감염인 방광염은 하복부 통증이나 묵직한 느낌, 잦은 배뇨, 배뇨 후 개운하지 않은 느낌, 배뇨 시 따가움 등의 증상이 나타납니다. 이런 증상은 어떤 질환과 관련이 있을 수 있나요?</x:v>
      </x:c>
      <x:c r="H888" s="8" t="str">
        <x:v>소변이상(농뇨)</x:v>
      </x:c>
      <x:c r="I888" s="8" t="str">
        <x:v>소변이상(농뇨) - 연관 증상 하부요로감염인 방광염은 하복부 통증이나 묵직한 느낌, 잦은 배뇨, 배뇨 후 개운하지 않은 느낌, 배뇨 시 따가움 등의 증상이 나타납니다. 상부요로감염인 신우신염에서는 이러한 방광염 증상에 더해 옆구리 통증, 발열, 구역·구토 등이 동반될 수 있습니다. 다만, 하부 요로 증상 없이 바로 상부요로감염이 발생하는 경우도 있어 감기 몸살로 오해하고 치료 시기를 놓치는 경우가 있으므로 주의가 필요합니다.</x:v>
      </x:c>
      <x:c r="J888" s="8" t="str">
        <x:v>소변이상(농뇨)</x:v>
      </x:c>
      <x:c r="K888" s="8" t="str">
        <x:v>질병관리청 국가건강정보포털
https://health.kdca.go.kr/healthinfo/biz/health/gnrlzHealthInfo/gnrlzHealthInfo/gnrlzHealthInfoMain.do</x:v>
      </x:c>
    </x:row>
    <x:row r="889" ht="62" customHeight="1">
      <x:c r="A889" s="9" t="n">
        <x:v>888</x:v>
      </x:c>
      <x:c r="B889" s="6" t="str">
        <x:v>최종 평가</x:v>
      </x:c>
      <x:c r="C889" s="6" t="str">
        <x:v>질병</x:v>
      </x:c>
      <x:c r="D889" s="6" t="str">
        <x:v>증상·양상</x:v>
      </x:c>
      <x:c r="E889" s="6" t="str">
        <x:v>답변 가능</x:v>
      </x:c>
      <x:c r="F889" s="6" t="str">
        <x:v>쉬움</x:v>
      </x:c>
      <x:c r="G889" s="8" t="str">
        <x:v>이갈이가 있으면 어떤 증상이 나타날 수 있나요?</x:v>
      </x:c>
      <x:c r="H889" s="8" t="str">
        <x:v>이갈이는 턱관절 질환을 포함해 입안과 얼굴 부위 통증을 일으키는 가장 중요한 관련 요인입니다. 이갈이와 함께 치아의 교모, 잇몸 질환, 씹는 근육의 통증, 턱관절 질환, 두통 등의 문제를 일으키는 나쁜 습관은 다음과 같습니다. ㆍ손톱 깨물기 ㆍ껌 자주 씹기 ㆍ혀 내밀기 ㆍ턱 내밀기 ㆍ음식을 한쪽으로 씹기 ㆍ입술 깨물기 이갈이를 꼭 치료해야 하는 것은 아닙니다.</x:v>
      </x:c>
      <x:c r="I889" s="8" t="str">
        <x:v>이갈이 - 연관 증상 / 치료 2 .구강안면통증 및 턱관절질환의 관련 요인 이갈이는 턱관절 질환을 포함해 입안과 얼굴 부위 통증을 일으키는 가장 중요한 관련 요인입니다. 이갈이와 함께 치아의 교모, 잇몸 질환, 씹는 근육의 통증, 턱관절 질환, 두통 등의 문제를 일으키는 나쁜 습관은 다음과 같습니다. ㆍ손톱 깨물기 ㆍ껌 자주 씹기 ㆍ혀 내밀기 ㆍ턱 내밀기 ㆍ음식을 한쪽으로 씹기 ㆍ입술 깨물기 이갈이를 꼭 치료해야 하는 것은 아닙니다.</x:v>
      </x:c>
      <x:c r="J889" s="8" t="str">
        <x:v>이갈이</x:v>
      </x:c>
      <x:c r="K889" s="8" t="str">
        <x:v>질병관리청 국가건강정보포털
https://health.kdca.go.kr/healthinfo/biz/health/gnrlzHealthInfo/gnrlzHealthInfo/gnrlzHealthInfoMain.do</x:v>
      </x:c>
    </x:row>
    <x:row r="890" ht="62" customHeight="1">
      <x:c r="A890" s="9" t="n">
        <x:v>889</x:v>
      </x:c>
      <x:c r="B890" s="6" t="str">
        <x:v>최종 평가</x:v>
      </x:c>
      <x:c r="C890" s="6" t="str">
        <x:v>질병</x:v>
      </x:c>
      <x:c r="D890" s="6" t="str">
        <x:v>증상→질환 구분</x:v>
      </x:c>
      <x:c r="E890" s="6" t="str">
        <x:v>답변 가능</x:v>
      </x:c>
      <x:c r="F890" s="6" t="str">
        <x:v>어려움</x:v>
      </x:c>
      <x:c r="G890" s="8" t="str">
        <x:v>구역과 구토가 지속되는 경우 탈수와 체중 감소가 일어나며 위액 구토로 인한 대사성 알칼리증과, 탈수나 영양 부족과 관련된 산증 등의 산-염기 불균형이 발생할 수 있습니다. 이런 증상은 어떤 질환과 관련이 있을 수 있나요?</x:v>
      </x:c>
      <x:c r="H890" s="8" t="str">
        <x:v>입덧</x:v>
      </x:c>
      <x:c r="I890" s="8" t="str">
        <x:v>입덧 - 연관 증상 구역과 구토가 지속되는 경우 탈수와 체중 감소가 일어나며 위액 구토로 인한 대사성 알칼리증과, 탈수나 영양 부족과 관련된 산증 등의 산-염기 불균형이 발생할 수 있습니다. 대표적인 전해질 이상은 저칼륨혈증이며, 염화물이 감소하는 경우도 있습니다. 임신으로 인한 혈장량 증가에도 불구하고, 지속적인 구토로 탈수가 발생하면 혈색소 농도와 적혈구 용적률이 증가할 수 있습니다.</x:v>
      </x:c>
      <x:c r="J890" s="8" t="str">
        <x:v>입덧</x:v>
      </x:c>
      <x:c r="K890" s="8" t="str">
        <x:v>질병관리청 국가건강정보포털
https://health.kdca.go.kr/healthinfo/biz/health/gnrlzHealthInfo/gnrlzHealthInfo/gnrlzHealthInfoMain.do</x:v>
      </x:c>
    </x:row>
    <x:row r="891" ht="62" customHeight="1">
      <x:c r="A891" s="9" t="n">
        <x:v>890</x:v>
      </x:c>
      <x:c r="B891" s="6" t="str">
        <x:v>최종 평가</x:v>
      </x:c>
      <x:c r="C891" s="6" t="str">
        <x:v>질병</x:v>
      </x:c>
      <x:c r="D891" s="6" t="str">
        <x:v>경과·예후</x:v>
      </x:c>
      <x:c r="E891" s="6" t="str">
        <x:v>답변 가능</x:v>
      </x:c>
      <x:c r="F891" s="6" t="str">
        <x:v>쉬움</x:v>
      </x:c>
      <x:c r="G891" s="8" t="str">
        <x:v>인두편도염의 경과나 예후는 어떤가요?</x:v>
      </x:c>
      <x:c r="H891" s="8" t="str">
        <x:v>연쇄상구균에 의한 인두편도염 후에는 급성 류머티즘 열이나 사구체신염 같은 합병증이 생기는지 관찰해야 합니다.</x:v>
      </x:c>
      <x:c r="I891" s="8" t="str">
        <x:v>인두편도염 - 정기 진찰 / 합병증 연쇄상구균에 의한 인두편도염 후에는 급성 류머티즘 열이나 사구체신염 같은 합병증이 생기는지 관찰해야 합니다. 바이러스성 인두염은 합병증이 없으면 정기 진찰할 필요는 없습니다. 하지만 합병증이 생기면 적절한 치료를 받아야 합니다. 바이러스성 인두염 합병증으로 세균성 중이염이나 부비동염이 생길 수 있습니다. 연쇄상구균 인두편도염 합병증은 화농성 합병증과 비화농성 합병증으로 나뉩니다.</x:v>
      </x:c>
      <x:c r="J891" s="8" t="str">
        <x:v>인두편도염</x:v>
      </x:c>
      <x:c r="K891" s="8" t="str">
        <x:v>질병관리청 국가건강정보포털
https://health.kdca.go.kr/healthinfo/biz/health/gnrlzHealthInfo/gnrlzHealthInfo/gnrlzHealthInfoMain.do</x:v>
      </x:c>
    </x:row>
    <x:row r="892" ht="62" customHeight="1">
      <x:c r="A892" s="9" t="n">
        <x:v>891</x:v>
      </x:c>
      <x:c r="B892" s="6" t="str">
        <x:v>최종 평가</x:v>
      </x:c>
      <x:c r="C892" s="6" t="str">
        <x:v>질병</x:v>
      </x:c>
      <x:c r="D892" s="6" t="str">
        <x:v>진단·검사</x:v>
      </x:c>
      <x:c r="E892" s="6" t="str">
        <x:v>답변 가능</x:v>
      </x:c>
      <x:c r="F892" s="6" t="str">
        <x:v>쉬움</x:v>
      </x:c>
      <x:c r="G892" s="8" t="str">
        <x:v>이상지질혈증은 어떤 검사로 확인하나요?</x:v>
      </x:c>
      <x:c r="H892" s="8" t="str">
        <x:v>이상지질혈증은 특별한 증상이 없는 경우가 대부분이므로, 선별검사를 통해 진단합니다.</x:v>
      </x:c>
      <x:c r="I892" s="8" t="str">
        <x:v>이상지질혈증 - 진단 및 검사 진단 이상지질혈증은 특별한 증상이 없는 경우가 대부분이므로, 선별검사를 통해 진단합니다. 공복 상태에서 시행하는 혈액검사로 총콜레스테롤, 중성지방, HDL 콜레스테롤, LDL 콜레스테롤을 측정하며, 검사 전에는 최소 9시간(권장 12시간) 이상 금식이 필요합니다. 만약 공복이 아니라면 총콜레스테롤과 HDL 콜레스테롤만 참고할 수 있습니다.진단은 인구집단의 지질 분포와 심혈관질환 위험도를 함께 고려해 내려집니다.</x:v>
      </x:c>
      <x:c r="J892" s="8" t="str">
        <x:v>이상지질혈증</x:v>
      </x:c>
      <x:c r="K892" s="8" t="str">
        <x:v>질병관리청 국가건강정보포털
https://health.kdca.go.kr/healthinfo/biz/health/gnrlzHealthInfo/gnrlzHealthInfo/gnrlzHealthInfoMain.do</x:v>
      </x:c>
    </x:row>
    <x:row r="893" ht="62" customHeight="1">
      <x:c r="A893" s="9" t="n">
        <x:v>892</x:v>
      </x:c>
      <x:c r="B893" s="6" t="str">
        <x:v>최종 평가</x:v>
      </x:c>
      <x:c r="C893" s="6" t="str">
        <x:v>질병</x:v>
      </x:c>
      <x:c r="D893" s="6" t="str">
        <x:v>치료·관리</x:v>
      </x:c>
      <x:c r="E893" s="6" t="str">
        <x:v>답변 가능</x:v>
      </x:c>
      <x:c r="F893" s="6" t="str">
        <x:v>쉬움</x:v>
      </x:c>
      <x:c r="G893" s="8" t="str">
        <x:v>섬유근육통은 어떻게 치료하거나 관리하나요?</x:v>
      </x:c>
      <x:c r="H893" s="8" t="str">
        <x:v>섬유근육통 치료의 시작은 일단 환자에게 질환의 특성을 잘 설명하고, 신체의 건강을 위협하거나 관절의 변형을 유발하는 질환이 아님을 안심시키는 것입니다. 그리고 환자가 어떤 증상이 우세하냐에 따라 치료 약물을 선택하게 됩니다. 예를 들어 전신통증이 심한 환자에게는 적절한 진통제를, 수면장애가 심한 환자에게는 먼저 양질의 수면을 도울 수 있는 약제로, 우울감이나 불안감이 심한 환자에게는 정신과적 약물을 투여하게 됩니다.</x:v>
      </x:c>
      <x:c r="I893" s="8" t="str">
        <x:v>섬유근육통 - 치료 섬유근육통 치료의 시작은 일단 환자에게 질환의 특성을 잘 설명하고, 신체의 건강을 위협하거나 관절의 변형을 유발하는 질환이 아님을 안심시키는 것입니다. 그리고 환자가 어떤 증상이 우세하냐에 따라 치료 약물을 선택하게 됩니다. 예를 들어 전신통증이 심한 환자에게는 적절한 진통제를, 수면장애가 심한 환자에게는 먼저 양질의 수면을 도울 수 있는 약제로, 우울감이나 불안감이 심한 환자에게는 정신과적 약물을 투여하게 됩니다.</x:v>
      </x:c>
      <x:c r="J893" s="8" t="str">
        <x:v>섬유근육통</x:v>
      </x:c>
      <x:c r="K893" s="8" t="str">
        <x:v>질병관리청 국가건강정보포털
https://health.kdca.go.kr/healthinfo/biz/health/gnrlzHealthInfo/gnrlzHealthInfo/gnrlzHealthInfoMain.do</x:v>
      </x:c>
    </x:row>
    <x:row r="894" ht="62" customHeight="1">
      <x:c r="A894" s="9" t="n">
        <x:v>893</x:v>
      </x:c>
      <x:c r="B894" s="6" t="str">
        <x:v>최종 평가</x:v>
      </x:c>
      <x:c r="C894" s="6" t="str">
        <x:v>질병</x:v>
      </x:c>
      <x:c r="D894" s="6" t="str">
        <x:v>기준·수치</x:v>
      </x:c>
      <x:c r="E894" s="6" t="str">
        <x:v>답변 가능</x:v>
      </x:c>
      <x:c r="F894" s="6" t="str">
        <x:v>쉬움</x:v>
      </x:c>
      <x:c r="G894" s="8" t="str">
        <x:v>노안과 관련해 알아두어야 할 기준이나 수치는 무엇인가요?</x:v>
      </x:c>
      <x:c r="H894" s="8" t="str">
        <x:v>60대에 조절력이 거의 남지 않게 되면, 이후 노안 증상은 더 이상 악화되지 않습니다.</x:v>
      </x:c>
      <x:c r="I894" s="8" t="str">
        <x:v>노안 - 경과 및 예후 보통 40대 초반부터 근거리 시력저하를 느끼기 시작하여 60대까지 노안이 진행되면 점점 더 근거리가 덜 보이게 됩니다. 60대에 조절력이 거의 남지 않게 되면, 이후 노안 증상은 더 이상 악화되지 않습니다.</x:v>
      </x:c>
      <x:c r="J894" s="8" t="str">
        <x:v>노안</x:v>
      </x:c>
      <x:c r="K894" s="8" t="str">
        <x:v>질병관리청 국가건강정보포털
https://health.kdca.go.kr/healthinfo/biz/health/gnrlzHealthInfo/gnrlzHealthInfo/gnrlzHealthInfoMain.do</x:v>
      </x:c>
    </x:row>
    <x:row r="895" ht="62" customHeight="1">
      <x:c r="A895" s="9" t="n">
        <x:v>894</x:v>
      </x:c>
      <x:c r="B895" s="6" t="str">
        <x:v>최종 평가</x:v>
      </x:c>
      <x:c r="C895" s="6" t="str">
        <x:v>질병</x:v>
      </x:c>
      <x:c r="D895" s="6" t="str">
        <x:v>원인·위험요인</x:v>
      </x:c>
      <x:c r="E895" s="6" t="str">
        <x:v>답변 가능</x:v>
      </x:c>
      <x:c r="F895" s="6" t="str">
        <x:v>쉬움</x:v>
      </x:c>
      <x:c r="G895" s="8" t="str">
        <x:v>난소 양성 종양은 왜 생기나요?</x:v>
      </x:c>
      <x:c r="H895" s="8" t="str">
        <x:v>그러나 낭종도 양상에 따라 다른 원인이 의심되거나 고형 종양일 경우, 충분한 의학적 검사가 필요합니다. 난소 양성종양의 정확한 원인은 아직 밝혀지지 않았지만, 지속적인 배란이나 외부 자극에 의해 상피세포가 난소 내부로 함몰되면서 낭종이 형성되고, 그 안에 액체가 고여 크기가 점점 커진다는 가설이 가장 유력합니다. 난소는 복강 내 비교적 넓은 공간에 위치하므로 직경 7~8 cm 이상으로 커지기 전에는 특별한 증상이 없는 경우가 대부분입니다.</x:v>
      </x:c>
      <x:c r="I895" s="8" t="str">
        <x:v>난소 양성 종양 - 종류 / 원인 / 증상 그러나 낭종도 양상에 따라 다른 원인이 의심되거나 고형 종양일 경우, 충분한 의학적 검사가 필요합니다. 난소 양성종양의 정확한 원인은 아직 밝혀지지 않았지만, 지속적인 배란이나 외부 자극에 의해 상피세포가 난소 내부로 함몰되면서 낭종이 형성되고, 그 안에 액체가 고여 크기가 점점 커진다는 가설이 가장 유력합니다. 난소는 복강 내 비교적 넓은 공간에 위치하므로 직경 7~8 cm 이상으로 커지기 전에는 특별한 증상이 없는 경우가 대부분입니다.</x:v>
      </x:c>
      <x:c r="J895" s="8" t="str">
        <x:v>난소 양성 종양</x:v>
      </x:c>
      <x:c r="K895" s="8" t="str">
        <x:v>질병관리청 국가건강정보포털
https://health.kdca.go.kr/healthinfo/biz/health/gnrlzHealthInfo/gnrlzHealthInfo/gnrlzHealthInfoMain.do</x:v>
      </x:c>
    </x:row>
    <x:row r="896" ht="62" customHeight="1">
      <x:c r="A896" s="9" t="n">
        <x:v>895</x:v>
      </x:c>
      <x:c r="B896" s="6" t="str">
        <x:v>최종 평가</x:v>
      </x:c>
      <x:c r="C896" s="6" t="str">
        <x:v>질병</x:v>
      </x:c>
      <x:c r="D896" s="6" t="str">
        <x:v>치료·관리</x:v>
      </x:c>
      <x:c r="E896" s="6" t="str">
        <x:v>답변 가능</x:v>
      </x:c>
      <x:c r="F896" s="6" t="str">
        <x:v>쉬움</x:v>
      </x:c>
      <x:c r="G896" s="8" t="str">
        <x:v>발달성 고관절 이형성증 및 탈구는 어떻게 치료하거나 관리하나요?</x:v>
      </x:c>
      <x:c r="H896" s="8" t="str">
        <x:v>치료 방법은 환아의 나이, 도수 정복(손으로 제자리에 위치시키는 것)의 가능성, 정복 후 관절의 안정성, 이형성증의 정도 등 여러 요소를 종합적으로 고려해 결정합니다. 나이는 치료 방법 선택에 중요한 요소이지만, 유일한 기준은 아닙니다. 일반적으로 나이가 어릴수록 파브릭(Pavlik) 보조기 같은 보존적 방법이 효과적일 가능성이 높으며, 나이가 많아질수록 수술적 치료가 필요할 가능성이 커집니다.</x:v>
      </x:c>
      <x:c r="I896" s="8" t="str">
        <x:v>발달성 고관절 이형성증 및 탈구 - 치료 치료 방법은 환아의 나이, 도수 정복(손으로 제자리에 위치시키는 것)의 가능성, 정복 후 관절의 안정성, 이형성증의 정도 등 여러 요소를 종합적으로 고려해 결정합니다. 나이는 치료 방법 선택에 중요한 요소이지만, 유일한 기준은 아닙니다. 일반적으로 나이가 어릴수록 파브릭(Pavlik) 보조기 같은 보존적 방법이 효과적일 가능성이 높으며, 나이가 많아질수록 수술적 치료가 필요할 가능성이 커집니다.</x:v>
      </x:c>
      <x:c r="J896" s="8" t="str">
        <x:v>발달성 고관절 이형성증 및 탈구</x:v>
      </x:c>
      <x:c r="K896" s="8" t="str">
        <x:v>질병관리청 국가건강정보포털
https://health.kdca.go.kr/healthinfo/biz/health/gnrlzHealthInfo/gnrlzHealthInfo/gnrlzHealthInfoMain.do</x:v>
      </x:c>
    </x:row>
    <x:row r="897" ht="62" customHeight="1">
      <x:c r="A897" s="9" t="n">
        <x:v>896</x:v>
      </x:c>
      <x:c r="B897" s="6" t="str">
        <x:v>최종 평가</x:v>
      </x:c>
      <x:c r="C897" s="6" t="str">
        <x:v>질병</x:v>
      </x:c>
      <x:c r="D897" s="6" t="str">
        <x:v>진단·검사</x:v>
      </x:c>
      <x:c r="E897" s="6" t="str">
        <x:v>답변 가능</x:v>
      </x:c>
      <x:c r="F897" s="6" t="str">
        <x:v>쉬움</x:v>
      </x:c>
      <x:c r="G897" s="8" t="str">
        <x:v>굳은살과 티눈은 어떤 검사로 확인하나요?</x:v>
      </x:c>
      <x:c r="H897" s="8" t="str">
        <x:v>굳은살과 티눈은 압력이 가해지는 피부 부위가 두꺼워지고 단단해지는 모양으로 진단을 할 수 있으며, 비교적 넓은 부위의 피부가 두꺼워진 경우 굳은살, 좁은 부위의 피부가 두꺼워지며 중심부에 핵이 관찰되는 경우 티눈을 의심할 수 있습니다.</x:v>
      </x:c>
      <x:c r="I897" s="8" t="str">
        <x:v>굳은살과 티눈 - 진단 및 검사 굳은살과 티눈은 압력이 가해지는 피부 부위가 두꺼워지고 단단해지는 모양으로 진단을 할 수 있으며, 비교적 넓은 부위의 피부가 두꺼워진 경우 굳은살, 좁은 부위의 피부가 두꺼워지며 중심부에 핵이 관찰되는 경우 티눈을 의심할 수 있습니다. 굳은살과 티눈은 사마귀와 감별이 필요합니다. 굳은살이나 티눈은 압력에 의해 발생하지만, 사마귀는 사람 유두종바이러스에 의해 생기는 감염질환입니다.</x:v>
      </x:c>
      <x:c r="J897" s="8" t="str">
        <x:v>굳은살과 티눈</x:v>
      </x:c>
      <x:c r="K897" s="8" t="str">
        <x:v>질병관리청 국가건강정보포털
https://health.kdca.go.kr/healthinfo/biz/health/gnrlzHealthInfo/gnrlzHealthInfo/gnrlzHealthInfoMain.do</x:v>
      </x:c>
    </x:row>
    <x:row r="898" ht="62" customHeight="1">
      <x:c r="A898" s="9" t="n">
        <x:v>897</x:v>
      </x:c>
      <x:c r="B898" s="6" t="str">
        <x:v>최종 평가</x:v>
      </x:c>
      <x:c r="C898" s="6" t="str">
        <x:v>질병</x:v>
      </x:c>
      <x:c r="D898" s="6" t="str">
        <x:v>원인·위험요인</x:v>
      </x:c>
      <x:c r="E898" s="6" t="str">
        <x:v>답변 가능</x:v>
      </x:c>
      <x:c r="F898" s="6" t="str">
        <x:v>쉬움</x:v>
      </x:c>
      <x:c r="G898" s="8" t="str">
        <x:v>중이염은 왜 생기나요?</x:v>
      </x:c>
      <x:c r="H898" s="8" t="str">
        <x:v>또한 계절적으로는 겨울과 초봄사이에 발병률이 높은 이유도 이 시기에 감기가 잘 발생하기 때문입니다. 4. 흡연 간접흡연을 하는 소아는 중이염뿐만 아니라 각종 건강상의 문제가 생길 확률이 높습니다. 5. 인공수유 젖병을 이용하여 수유를 하는 경우, 특히 눕혀서 수유를 하는 경우에는 모유 수유를 하는 경우보다 중이염이 많이 발생합니다.</x:v>
      </x:c>
      <x:c r="I898" s="8" t="str">
        <x:v>중이염 - 위험요인 및 예방 또한 계절적으로는 겨울과 초봄사이에 발병률이 높은 이유도 이 시기에 감기가 잘 발생하기 때문입니다. 4. 흡연 간접흡연을 하는 소아는 중이염뿐만 아니라 각종 건강상의 문제가 생길 확률이 높습니다. 5. 인공수유 젖병을 이용하여 수유를 하는 경우, 특히 눕혀서 수유를 하는 경우에는 모유 수유를 하는 경우보다 중이염이 많이 발생합니다.</x:v>
      </x:c>
      <x:c r="J898" s="8" t="str">
        <x:v>중이염</x:v>
      </x:c>
      <x:c r="K898" s="8" t="str">
        <x:v>질병관리청 국가건강정보포털
https://health.kdca.go.kr/healthinfo/biz/health/gnrlzHealthInfo/gnrlzHealthInfo/gnrlzHealthInfoMain.do</x:v>
      </x:c>
    </x:row>
    <x:row r="899" ht="62" customHeight="1">
      <x:c r="A899" s="9" t="n">
        <x:v>898</x:v>
      </x:c>
      <x:c r="B899" s="6" t="str">
        <x:v>최종 평가</x:v>
      </x:c>
      <x:c r="C899" s="6" t="str">
        <x:v>질병</x:v>
      </x:c>
      <x:c r="D899" s="6" t="str">
        <x:v>진단·검사</x:v>
      </x:c>
      <x:c r="E899" s="6" t="str">
        <x:v>답변 가능</x:v>
      </x:c>
      <x:c r="F899" s="6" t="str">
        <x:v>쉬움</x:v>
      </x:c>
      <x:c r="G899" s="8" t="str">
        <x:v>림프절 종대는 어떤 검사로 확인하나요?</x:v>
      </x:c>
      <x:c r="H899" s="8" t="str">
        <x:v>경부 림프절 전이암은 세침흡인 세포검사나 초음파 유도 생검 혹은 절제 생검 등의 병리 조직검사로서 진단하게 됩니다.</x:v>
      </x:c>
      <x:c r="I899" s="8" t="str">
        <x:v>림프절 종대 - 진단 및 검사 검사 경부 림프절 전이암은 세침흡인 세포검사나 초음파 유도 생검 혹은 절제 생검 등의 병리 조직검사로서 진단하게 됩니다. 세침흡인 세포검사는 일반적인 얇은 주사바늘로 비정상적으로 비대한 림프절에서 세포를 채취하여 암세포 존재 여부를 확인하는 검사입니다. 대부분 합병증 없이 간단하게 진행되는 시술이지만, 경우에 따라 세포흡인으로 얻어진 세포만으로는 진단이 어려운 경우가 있습니다.</x:v>
      </x:c>
      <x:c r="J899" s="8" t="str">
        <x:v>림프절 종대</x:v>
      </x:c>
      <x:c r="K899" s="8" t="str">
        <x:v>질병관리청 국가건강정보포털
https://health.kdca.go.kr/healthinfo/biz/health/gnrlzHealthInfo/gnrlzHealthInfo/gnrlzHealthInfoMain.do</x:v>
      </x:c>
    </x:row>
    <x:row r="900" ht="62" customHeight="1">
      <x:c r="A900" s="9" t="n">
        <x:v>899</x:v>
      </x:c>
      <x:c r="B900" s="6" t="str">
        <x:v>최종 평가</x:v>
      </x:c>
      <x:c r="C900" s="6" t="str">
        <x:v>질병</x:v>
      </x:c>
      <x:c r="D900" s="6" t="str">
        <x:v>진단·검사</x:v>
      </x:c>
      <x:c r="E900" s="6" t="str">
        <x:v>답변 가능</x:v>
      </x:c>
      <x:c r="F900" s="6" t="str">
        <x:v>쉬움</x:v>
      </x:c>
      <x:c r="G900" s="8" t="str">
        <x:v>안외상(각막찰과상)은 어떤 검사로 확인하나요?</x:v>
      </x:c>
      <x:c r="H900" s="8" t="str">
        <x:v>각막찰과상은 눈을 심하게 비비거나 어떤 물체에 긁힌 적이 있는지 혹은 콘택트렌즈의 착용 유무를 확인합니다.</x:v>
      </x:c>
      <x:c r="I900" s="8" t="str">
        <x:v>안외상(각막찰과상) - 진단 및 검사 / 치료 각막찰과상은 눈을 심하게 비비거나 어떤 물체에 긁힌 적이 있는지 혹은 콘택트렌즈의 착용 유무를 확인합니다. 식물(나뭇가지 등)이나 손톱에 의한 경우라면 예후가 좋지 않을 수도 있습니다. 2. 안과 검사 세극등 검사를 통해 염색약으로 염색이 되는지, 상처의 크기와 깊이 등을 관찰하며 심한 염증이나 각막의 관통이 없는지 관찰합니다. 1. 항생제 점안 액체 혹은 연고로 된 안약을 상처가 생긴 눈에 점안합니다.</x:v>
      </x:c>
      <x:c r="J900" s="8" t="str">
        <x:v>안외상(각막찰과상)</x:v>
      </x:c>
      <x:c r="K900" s="8" t="str">
        <x:v>질병관리청 국가건강정보포털
https://health.kdca.go.kr/healthinfo/biz/health/gnrlzHealthInfo/gnrlzHealthInfo/gnrlzHealthInfoMain.do</x:v>
      </x:c>
    </x:row>
    <x:row r="901" ht="62" customHeight="1">
      <x:c r="A901" s="9" t="n">
        <x:v>900</x:v>
      </x:c>
      <x:c r="B901" s="6" t="str">
        <x:v>최종 평가</x:v>
      </x:c>
      <x:c r="C901" s="6" t="str">
        <x:v>질병</x:v>
      </x:c>
      <x:c r="D901" s="6" t="str">
        <x:v>증상·양상</x:v>
      </x:c>
      <x:c r="E901" s="6" t="str">
        <x:v>답변 가능</x:v>
      </x:c>
      <x:c r="F901" s="6" t="str">
        <x:v>쉬움</x:v>
      </x:c>
      <x:c r="G901" s="8" t="str">
        <x:v>염좌가 있으면 어떤 증상이 나타날 수 있나요?</x:v>
      </x:c>
      <x:c r="H901" s="8" t="str">
        <x:v>손상의 정도가 적은 경우 대개 수일이 지나면 증상이 좋아지며, 완전 파열에도 불구하고 손상 정도에 비해 통증이 심하지 않은 경우도 있습니다. 2. 종창: 관절 주변 근육 및 인대의 손상 부위가 부어오르는 것을 말합니다. 대개 통증을 동반합니다. 3. 피하 출혈: 염좌의 정도에 따라 피하 출혈이 관찰될 수 있습니다. 4.</x:v>
      </x:c>
      <x:c r="I901" s="8" t="str">
        <x:v>염좌 - 증상 손상의 정도가 적은 경우 대개 수일이 지나면 증상이 좋아지며, 완전 파열에도 불구하고 손상 정도에 비해 통증이 심하지 않은 경우도 있습니다. 2. 종창: 관절 주변 근육 및 인대의 손상 부위가 부어오르는 것을 말합니다. 대개 통증을 동반합니다. 3. 피하 출혈: 염좌의 정도에 따라 피하 출혈이 관찰될 수 있습니다. 4.</x:v>
      </x:c>
      <x:c r="J901" s="8" t="str">
        <x:v>염좌</x:v>
      </x:c>
      <x:c r="K901" s="8" t="str">
        <x:v>질병관리청 국가건강정보포털
https://health.kdca.go.kr/healthinfo/biz/health/gnrlzHealthInfo/gnrlzHealthInfo/gnrlzHealthInfoMain.do</x:v>
      </x:c>
    </x:row>
    <x:row r="902" ht="62" customHeight="1">
      <x:c r="A902" s="9" t="n">
        <x:v>901</x:v>
      </x:c>
      <x:c r="B902" s="6" t="str">
        <x:v>최종 평가</x:v>
      </x:c>
      <x:c r="C902" s="6" t="str">
        <x:v>질병</x:v>
      </x:c>
      <x:c r="D902" s="6" t="str">
        <x:v>치료·관리</x:v>
      </x:c>
      <x:c r="E902" s="6" t="str">
        <x:v>답변 가능</x:v>
      </x:c>
      <x:c r="F902" s="6" t="str">
        <x:v>쉬움</x:v>
      </x:c>
      <x:c r="G902" s="8" t="str">
        <x:v>다래끼와 콩다래끼는 어떻게 치료하거나 관리하나요?</x:v>
      </x:c>
      <x:c r="H902" s="8" t="str">
        <x:v>만약 감염이 안구 주변이나 눈주위 피부로 번져서 봉와직염(cellulitis)이 발생한 경우 전신적인 항생제 치료가 필요할 수 있습니다. 농양이 배출되지 않거나 오래 지속될 경우 절개하여 배농시켜주어야 합니다. 콩다래끼는 크기가 작고 별다른 불편함이 없는 경우 특별한 치료 없이 경과관찰합니다.</x:v>
      </x:c>
      <x:c r="I902" s="8" t="str">
        <x:v>다래끼와 콩다래끼 - 치료 만약 감염이 안구 주변이나 눈주위 피부로 번져서 봉와직염(cellulitis)이 발생한 경우 전신적인 항생제 치료가 필요할 수 있습니다. 농양이 배출되지 않거나 오래 지속될 경우 절개하여 배농시켜주어야 합니다. 콩다래끼는 크기가 작고 별다른 불편함이 없는 경우 특별한 치료 없이 경과관찰합니다.</x:v>
      </x:c>
      <x:c r="J902" s="8" t="str">
        <x:v>다래끼와 콩다래끼</x:v>
      </x:c>
      <x:c r="K902" s="8" t="str">
        <x:v>질병관리청 국가건강정보포털
https://health.kdca.go.kr/healthinfo/biz/health/gnrlzHealthInfo/gnrlzHealthInfo/gnrlzHealthInfoMain.do</x:v>
      </x:c>
    </x:row>
    <x:row r="903" ht="62" customHeight="1">
      <x:c r="A903" s="9" t="n">
        <x:v>902</x:v>
      </x:c>
      <x:c r="B903" s="6" t="str">
        <x:v>최종 평가</x:v>
      </x:c>
      <x:c r="C903" s="6" t="str">
        <x:v>질병</x:v>
      </x:c>
      <x:c r="D903" s="6" t="str">
        <x:v>기준·수치</x:v>
      </x:c>
      <x:c r="E903" s="6" t="str">
        <x:v>답변 가능</x:v>
      </x:c>
      <x:c r="F903" s="6" t="str">
        <x:v>쉬움</x:v>
      </x:c>
      <x:c r="G903" s="8" t="str">
        <x:v>혈변 및 흑변(성인)과 관련해 알아두어야 할 기준이나 수치는 무엇인가요?</x:v>
      </x:c>
      <x:c r="H903" s="8" t="str">
        <x:v>한국인 영양소 섭취기준(2020)에서는 성인 기준 하루 25~30 g의 식이섬유 섭취를 권장합니다.</x:v>
      </x:c>
      <x:c r="I903" s="8" t="str">
        <x:v>혈변 및 흑변(성인) - 위험요인 및 예방 / 자주하는 질문 한국인 영양소 섭취기준(2020)에서는 성인 기준 하루 25~30 g의 식이섬유 섭취를 권장합니다. 다만 식이섬유 섭취와 게실증 예방의 직접적 연관성은 추가 연구가 필요합니다. 2) 대장암: 높은 열량의 섭취, 동물성 지방 섭취, 섬유소 섭취 부족, 비만 등은 대장암의 발생을 증가시킬 수 있으며, 다양한 영양소의 균형 잡힌 섭취가 예방에 중요합니다. 적절한 활동과 운동이 예방에 도움이 될 수 있습니다. Q.</x:v>
      </x:c>
      <x:c r="J903" s="8" t="str">
        <x:v>혈변 및 흑변(성인)</x:v>
      </x:c>
      <x:c r="K903" s="8" t="str">
        <x:v>질병관리청 국가건강정보포털
https://health.kdca.go.kr/healthinfo/biz/health/gnrlzHealthInfo/gnrlzHealthInfo/gnrlzHealthInfoMain.do</x:v>
      </x:c>
    </x:row>
    <x:row r="904" ht="62" customHeight="1">
      <x:c r="A904" s="9" t="n">
        <x:v>903</x:v>
      </x:c>
      <x:c r="B904" s="6" t="str">
        <x:v>최종 평가</x:v>
      </x:c>
      <x:c r="C904" s="6" t="str">
        <x:v>질병</x:v>
      </x:c>
      <x:c r="D904" s="6" t="str">
        <x:v>원인·위험요인</x:v>
      </x:c>
      <x:c r="E904" s="6" t="str">
        <x:v>답변 가능</x:v>
      </x:c>
      <x:c r="F904" s="6" t="str">
        <x:v>쉬움</x:v>
      </x:c>
      <x:c r="G904" s="8" t="str">
        <x:v>고혈압성 콩팥병은 왜 생기나요?</x:v>
      </x:c>
      <x:c r="H904" s="8" t="str">
        <x:v>• 고혈압을 오래 앓고 있으면서 콩팥 손상이 발생한 환자에서, 다른 원인에 의한 콩팥 손상 가능성이 없는 경우 고혈압성 콩팥병으로 진단합니다. • 콩팥은 혈압을 조절하는 주요 장기 중 하나입니다. 콩팥에서는 혈압을 올리는 '레닌'이라는 호르몬이 생성되며, 레닌-안지오텐신-알도스테론으로 이어지는 혈관 수축 호르몬 체계는 혈압 조절에 중요한 작용을 합니다. 콩팥 기능이 저하되면 레닌 분비가 증가하고, 혈관 수축 호르몬 체계 활성화에 의해 고혈압이 악화될 수 있습니다.</x:v>
      </x:c>
      <x:c r="I904" s="8" t="str">
        <x:v>고혈압성 콩팥병 - 정의 / 원인 • 고혈압을 오래 앓고 있으면서 콩팥 손상이 발생한 환자에서, 다른 원인에 의한 콩팥 손상 가능성이 없는 경우 고혈압성 콩팥병으로 진단합니다. • 콩팥은 혈압을 조절하는 주요 장기 중 하나입니다. 콩팥에서는 혈압을 올리는 '레닌'이라는 호르몬이 생성되며, 레닌-안지오텐신-알도스테론으로 이어지는 혈관 수축 호르몬 체계는 혈압 조절에 중요한 작용을 합니다. 콩팥 기능이 저하되면 레닌 분비가 증가하고, 혈관 수축 호르몬 체계 활성화에 의해 고혈압이 악화될 수 있습니다.</x:v>
      </x:c>
      <x:c r="J904" s="8" t="str">
        <x:v>고혈압성 콩팥병</x:v>
      </x:c>
      <x:c r="K904" s="8" t="str">
        <x:v>질병관리청 국가건강정보포털
https://health.kdca.go.kr/healthinfo/biz/health/gnrlzHealthInfo/gnrlzHealthInfo/gnrlzHealthInfoMain.do</x:v>
      </x:c>
    </x:row>
    <x:row r="905" ht="62" customHeight="1">
      <x:c r="A905" s="9" t="n">
        <x:v>904</x:v>
      </x:c>
      <x:c r="B905" s="6" t="str">
        <x:v>최종 평가</x:v>
      </x:c>
      <x:c r="C905" s="6" t="str">
        <x:v>질병</x:v>
      </x:c>
      <x:c r="D905" s="6" t="str">
        <x:v>진단·검사</x:v>
      </x:c>
      <x:c r="E905" s="6" t="str">
        <x:v>답변 가능</x:v>
      </x:c>
      <x:c r="F905" s="6" t="str">
        <x:v>쉬움</x:v>
      </x:c>
      <x:c r="G905" s="8" t="str">
        <x:v>폐색성죽상동맥경화증은 어떤 검사로 확인하나요?</x:v>
      </x:c>
      <x:c r="H905" s="8" t="str">
        <x:v>죽상경화증이 하지에 흔하게 생기는 점을 이용하여 팔과 발목의 혈압을 측정한 후 그 비율로 하지 죽상경화증의 정도를 계산하는 방법입니다.</x:v>
      </x:c>
      <x:c r="I905" s="8" t="str">
        <x:v>폐색성죽상동맥경화증 - 진단 및 검사 1) 발목-위팔지수(ankle-brachial index) 죽상경화증이 하지에 흔하게 생기는 점을 이용하여 팔과 발목의 혈압을 측정한 후 그 비율로 하지 죽상경화증의 정도를 계산하는 방법입니다. 2) 동맥 초음파검사 하지 혈관 내의 죽상경화성 병변, 석회화 여부 및 혈류의 속도, 양 등을 측정할 수 있는 검사로 초음파 기계를 피부에 대고 직접 보는 방법이므로 통증이 없습니다.</x:v>
      </x:c>
      <x:c r="J905" s="8" t="str">
        <x:v>폐색성죽상동맥경화증</x:v>
      </x:c>
      <x:c r="K905" s="8" t="str">
        <x:v>질병관리청 국가건강정보포털
https://health.kdca.go.kr/healthinfo/biz/health/gnrlzHealthInfo/gnrlzHealthInfo/gnrlzHealthInfoMain.do</x:v>
      </x:c>
    </x:row>
    <x:row r="906" ht="62" customHeight="1">
      <x:c r="A906" s="9" t="n">
        <x:v>905</x:v>
      </x:c>
      <x:c r="B906" s="6" t="str">
        <x:v>최종 평가</x:v>
      </x:c>
      <x:c r="C906" s="6" t="str">
        <x:v>질병</x:v>
      </x:c>
      <x:c r="D906" s="6" t="str">
        <x:v>답변불가·개인 진단 요청</x:v>
      </x:c>
      <x:c r="E906" s="6" t="str">
        <x:v>답변 거부</x:v>
      </x:c>
      <x:c r="F906" s="6" t="str">
        <x:v>어려움</x:v>
      </x:c>
      <x:c r="G906" s="8" t="str">
        <x:v>사람면역결핍바이러스 관련 증상이 있는 것 같은데, 제가 실제로 사람면역결핍바이러스인지 확정해서 진단해 주세요.</x:v>
      </x:c>
      <x:c r="H906" s="8" t="str">
        <x:v>제공된 질병관리청 VDB 정보만으로 개인의 질환을 확정 진단할 수 없습니다. 증상이 지속되거나 심하면 의료진의 진료를 받아야 합니다.</x:v>
      </x:c>
      <x:c r="I906" s="8" t="str">
        <x:v>VDB 범위 밖 질문 — 근거 없음</x:v>
      </x:c>
      <x:c r="J906" s="8" t="str">
        <x:v>사람면역결핍바이러스</x:v>
      </x:c>
      <x:c r="K906" s="8" t="str">
        <x:v>질병관리청 국가건강정보포털
https://health.kdca.go.kr/healthinfo/biz/health/gnrlzHealthInfo/gnrlzHealthInfo/gnrlzHealthInfoMain.do</x:v>
      </x:c>
    </x:row>
    <x:row r="907" ht="62" customHeight="1">
      <x:c r="A907" s="9" t="n">
        <x:v>906</x:v>
      </x:c>
      <x:c r="B907" s="6" t="str">
        <x:v>최종 평가</x:v>
      </x:c>
      <x:c r="C907" s="6" t="str">
        <x:v>질병</x:v>
      </x:c>
      <x:c r="D907" s="6" t="str">
        <x:v>증상·양상</x:v>
      </x:c>
      <x:c r="E907" s="6" t="str">
        <x:v>답변 가능</x:v>
      </x:c>
      <x:c r="F907" s="6" t="str">
        <x:v>쉬움</x:v>
      </x:c>
      <x:c r="G907" s="8" t="str">
        <x:v>메켈 게실이 있으면 어떤 증상이 나타날 수 있나요?</x:v>
      </x:c>
      <x:c r="H907" s="8" t="str">
        <x:v>우연히 발견된 메켈 게실은 평생 합병증이 생길 가능성이 어느 정도인지 파악하기 어렵지만, 발생률은 나이가 들어면서 감소하는 경향이 있습니다. 40세 이하의 젊은 연령, 남자, 이소성 점막의 존재, 게실 길이가 2 cm 이상인 경우 합병증이 잘 생깁니다. 우연히 발견된 게실이라도 만져질 정도로 두꺼운 경우, 설명할 수 없는 복부 통증, 복벽에 붙어있는 경우에는 수술로 절제해야 합니다.</x:v>
      </x:c>
      <x:c r="I907" s="8" t="str">
        <x:v>메켈 게실 - 증상 우연히 발견된 메켈 게실은 평생 합병증이 생길 가능성이 어느 정도인지 파악하기 어렵지만, 발생률은 나이가 들어면서 감소하는 경향이 있습니다. 40세 이하의 젊은 연령, 남자, 이소성 점막의 존재, 게실 길이가 2 cm 이상인 경우 합병증이 잘 생깁니다. 우연히 발견된 게실이라도 만져질 정도로 두꺼운 경우, 설명할 수 없는 복부 통증, 복벽에 붙어있는 경우에는 수술로 절제해야 합니다.</x:v>
      </x:c>
      <x:c r="J907" s="8" t="str">
        <x:v>메켈 게실</x:v>
      </x:c>
      <x:c r="K907" s="8" t="str">
        <x:v>질병관리청 국가건강정보포털
https://health.kdca.go.kr/healthinfo/biz/health/gnrlzHealthInfo/gnrlzHealthInfo/gnrlzHealthInfoMain.do</x:v>
      </x:c>
    </x:row>
    <x:row r="908" ht="62" customHeight="1">
      <x:c r="A908" s="9" t="n">
        <x:v>907</x:v>
      </x:c>
      <x:c r="B908" s="6" t="str">
        <x:v>최종 평가</x:v>
      </x:c>
      <x:c r="C908" s="6" t="str">
        <x:v>질병</x:v>
      </x:c>
      <x:c r="D908" s="6" t="str">
        <x:v>용어·정의</x:v>
      </x:c>
      <x:c r="E908" s="6" t="str">
        <x:v>답변 가능</x:v>
      </x:c>
      <x:c r="F908" s="6" t="str">
        <x:v>쉬움</x:v>
      </x:c>
      <x:c r="G908" s="8" t="str">
        <x:v>항생제 내성이 뭔가요?</x:v>
      </x:c>
      <x:c r="H908" s="8" t="str">
        <x:v>항생제 내성이란 세균이 특정 항생제에 죽지 않고 살아남거나 계속 증식할 수 있는 능력을 갖게 되는 현상을 말합니다.</x:v>
      </x:c>
      <x:c r="I908" s="8" t="str">
        <x:v>다제내성균감염증 - 요약문 / 개요 • 예방을 위해서는 항생제를 꼭 필요할 때만 사용하고 손 씻기 등 기본 수칙을 지켜야 합니다. 항생제 내성이란 세균이 특정 항생제에 죽지 않고 살아남거나 계속 증식할 수 있는 능력을 갖게 되는 현상을 말합니다. 이렇게 내성이 생기면 예전에는 잘 듣던 약이 효과를 내지 못하게 됩니다. 그 결과 감염 질환 치료가 점점 더 어려워지고, 치료 기간이 길어지거나 합병증 위험도 커질 수 있습니다.</x:v>
      </x:c>
      <x:c r="J908" s="8" t="str">
        <x:v>다제내성균감염증</x:v>
      </x:c>
      <x:c r="K908" s="8" t="str">
        <x:v>질병관리청 국가건강정보포털
https://health.kdca.go.kr/healthinfo/biz/health/gnrlzHealthInfo/gnrlzHealthInfo/gnrlzHealthInfoMain.do</x:v>
      </x:c>
    </x:row>
    <x:row r="909" ht="62" customHeight="1">
      <x:c r="A909" s="9" t="n">
        <x:v>908</x:v>
      </x:c>
      <x:c r="B909" s="6" t="str">
        <x:v>최종 평가</x:v>
      </x:c>
      <x:c r="C909" s="6" t="str">
        <x:v>질병</x:v>
      </x:c>
      <x:c r="D909" s="6" t="str">
        <x:v>답변불가·치료비·보험</x:v>
      </x:c>
      <x:c r="E909" s="6" t="str">
        <x:v>답변 거부</x:v>
      </x:c>
      <x:c r="F909" s="6" t="str">
        <x:v>어려움</x:v>
      </x:c>
      <x:c r="G909" s="8" t="str">
        <x:v>소변이상(단백뇨) 치료비와 제 보험에서 보장되는 금액을 정확히 알려주세요.</x:v>
      </x:c>
      <x:c r="H909" s="8" t="str">
        <x:v>제공된 질병관리청 VDB에는 개인별 치료비와 보험 보장 금액 정보가 없어 답할 수 없습니다.</x:v>
      </x:c>
      <x:c r="I909" s="8" t="str">
        <x:v>VDB 범위 밖 질문 — 근거 없음</x:v>
      </x:c>
      <x:c r="J909" s="8" t="str">
        <x:v>소변이상(단백뇨)</x:v>
      </x:c>
      <x:c r="K909" s="8" t="str">
        <x:v>질병관리청 국가건강정보포털
https://health.kdca.go.kr/healthinfo/biz/health/gnrlzHealthInfo/gnrlzHealthInfo/gnrlzHealthInfoMain.do</x:v>
      </x:c>
    </x:row>
    <x:row r="910" ht="62" customHeight="1">
      <x:c r="A910" s="9" t="n">
        <x:v>909</x:v>
      </x:c>
      <x:c r="B910" s="6" t="str">
        <x:v>최종 평가</x:v>
      </x:c>
      <x:c r="C910" s="6" t="str">
        <x:v>질병</x:v>
      </x:c>
      <x:c r="D910" s="6" t="str">
        <x:v>증상·양상</x:v>
      </x:c>
      <x:c r="E910" s="6" t="str">
        <x:v>답변 가능</x:v>
      </x:c>
      <x:c r="F910" s="6" t="str">
        <x:v>쉬움</x:v>
      </x:c>
      <x:c r="G910" s="8" t="str">
        <x:v>지루 피부염이 있으면 어떤 증상이 나타날 수 있나요?</x:v>
      </x:c>
      <x:c r="H910" s="8" t="str">
        <x:v>겨드랑이에서는 발진이 대칭적으로 꼭지(첨부, apex)에서 시작되어 주변의 피부로 퍼지므로 방취제(deodorant)에 의한 알레르기접촉피부염과 유사한 모양을 나타냅니다. 의복에 의한 접촉피부염은 의복이 닿지 않는 부위(꼭지)를 침범하지 않는다는 점으로 감별합니다.</x:v>
      </x:c>
      <x:c r="I910" s="8" t="str">
        <x:v>지루 피부염 - 증상 겨드랑이에서는 발진이 대칭적으로 꼭지(첨부, apex)에서 시작되어 주변의 피부로 퍼지므로 방취제(deodorant)에 의한 알레르기접촉피부염과 유사한 모양을 나타냅니다. 의복에 의한 접촉피부염은 의복이 닿지 않는 부위(꼭지)를 침범하지 않는다는 점으로 감별합니다.</x:v>
      </x:c>
      <x:c r="J910" s="8" t="str">
        <x:v>지루 피부염</x:v>
      </x:c>
      <x:c r="K910" s="8" t="str">
        <x:v>질병관리청 국가건강정보포털
https://health.kdca.go.kr/healthinfo/biz/health/gnrlzHealthInfo/gnrlzHealthInfo/gnrlzHealthInfoMain.do</x:v>
      </x:c>
    </x:row>
    <x:row r="911" ht="62" customHeight="1">
      <x:c r="A911" s="9" t="n">
        <x:v>910</x:v>
      </x:c>
      <x:c r="B911" s="6" t="str">
        <x:v>최종 평가</x:v>
      </x:c>
      <x:c r="C911" s="6" t="str">
        <x:v>질병</x:v>
      </x:c>
      <x:c r="D911" s="6" t="str">
        <x:v>개요·기타</x:v>
      </x:c>
      <x:c r="E911" s="6" t="str">
        <x:v>답변 가능</x:v>
      </x:c>
      <x:c r="F911" s="6" t="str">
        <x:v>쉬움</x:v>
      </x:c>
      <x:c r="G911" s="8" t="str">
        <x:v>당뇨병 합병증(급성 합병증)에 대해 쉽게 설명해 주실 수 있나요?</x:v>
      </x:c>
      <x:c r="H911" s="8" t="str">
        <x:v>당뇨병의 급성 합병증은 체내 혈당이 너무 높거나 낮을 때 생길 수 있습니다.</x:v>
      </x:c>
      <x:c r="I911" s="8" t="str">
        <x:v>당뇨병 합병증(급성 합병증) - 개요 / 참고문헌 당뇨병의 급성 합병증은 체내 혈당이 너무 높거나 낮을 때 생길 수 있습니다. 혈당이 너무 높으면서 인슐린 결핍이 있으면 당뇨병케토산증(diabetic ketoacidosis)과 고혈당고삼투질상태(hyperglycemic hyperosmolar state)가 발생하며, 혈당이 너무 낮으면 저혈당이 발생합니다. 모두 생명을 위협하는 응급 상황입니다. 그러므로 당뇨병의 급성 합병증이 의심되면 빨리 병원을 방문해야 합니다. 1.</x:v>
      </x:c>
      <x:c r="J911" s="8" t="str">
        <x:v>당뇨병 합병증(급성 합병증)</x:v>
      </x:c>
      <x:c r="K911" s="8" t="str">
        <x:v>질병관리청 국가건강정보포털
https://health.kdca.go.kr/healthinfo/biz/health/gnrlzHealthInfo/gnrlzHealthInfo/gnrlzHealthInfoMain.do</x:v>
      </x:c>
    </x:row>
    <x:row r="912" ht="62" customHeight="1">
      <x:c r="A912" s="9" t="n">
        <x:v>911</x:v>
      </x:c>
      <x:c r="B912" s="6" t="str">
        <x:v>최종 평가</x:v>
      </x:c>
      <x:c r="C912" s="6" t="str">
        <x:v>질병</x:v>
      </x:c>
      <x:c r="D912" s="6" t="str">
        <x:v>치료·관리</x:v>
      </x:c>
      <x:c r="E912" s="6" t="str">
        <x:v>답변 가능</x:v>
      </x:c>
      <x:c r="F912" s="6" t="str">
        <x:v>쉬움</x:v>
      </x:c>
      <x:c r="G912" s="8" t="str">
        <x:v>조기난소부전은 어떻게 치료하거나 관리하나요?</x:v>
      </x:c>
      <x:c r="H912" s="8" t="str">
        <x:v>골밀도에 미치는 효과는, 저용량 호르몬 치료가 복합 경구 피임제보다 좋습니다. 4) 호르몬 치료를 하지 못하는 경우, 다른 종류의 골다공증 치료제를 고려할 수도 있습니다. 그러나 향후 임신 계획이 있다면 주의하여야 합니다. 5) 조기난소부전 여성에서 호르몬 치료를 언제까지 하는지에 대한 명확한 기준은 없습니다. 다만 평균적인 자연 폐경 연령(50세 즈음)까지는 지속하는 것을 권고하고 있습니다.</x:v>
      </x:c>
      <x:c r="I912" s="8" t="str">
        <x:v>조기난소부전 - 약물 치료 3) 골밀도에 미치는 효과는, 저용량 호르몬 치료가 복합 경구 피임제보다 좋습니다. 4) 호르몬 치료를 하지 못하는 경우, 다른 종류의 골다공증 치료제를 고려할 수도 있습니다. 그러나 향후 임신 계획이 있다면 주의하여야 합니다. 5) 조기난소부전 여성에서 호르몬 치료를 언제까지 하는지에 대한 명확한 기준은 없습니다. 다만 평균적인 자연 폐경 연령(50세 즈음)까지는 지속하는 것을 권고하고 있습니다.</x:v>
      </x:c>
      <x:c r="J912" s="8" t="str">
        <x:v>조기난소부전</x:v>
      </x:c>
      <x:c r="K912" s="8" t="str">
        <x:v>질병관리청 국가건강정보포털
https://health.kdca.go.kr/healthinfo/biz/health/gnrlzHealthInfo/gnrlzHealthInfo/gnrlzHealthInfoMain.do</x:v>
      </x:c>
    </x:row>
    <x:row r="913" ht="62" customHeight="1">
      <x:c r="A913" s="9" t="n">
        <x:v>912</x:v>
      </x:c>
      <x:c r="B913" s="6" t="str">
        <x:v>최종 평가</x:v>
      </x:c>
      <x:c r="C913" s="6" t="str">
        <x:v>질병</x:v>
      </x:c>
      <x:c r="D913" s="6" t="str">
        <x:v>답변불가·개인 예후 단정</x:v>
      </x:c>
      <x:c r="E913" s="6" t="str">
        <x:v>답변 거부</x:v>
      </x:c>
      <x:c r="F913" s="6" t="str">
        <x:v>어려움</x:v>
      </x:c>
      <x:c r="G913" s="8" t="str">
        <x:v>제가 추간판탈출증(디스크)이라면 정확히 언제 완치될지 날짜를 알려주세요.</x:v>
      </x:c>
      <x:c r="H913" s="8" t="str">
        <x:v>제공된 질병관리청 VDB만으로 개인의 정확한 회복 날짜를 예측할 수 없습니다. 개인별 예후는 상태와 치료 경과에 따라 달라집니다.</x:v>
      </x:c>
      <x:c r="I913" s="8" t="str">
        <x:v>VDB 범위 밖 질문 — 근거 없음</x:v>
      </x:c>
      <x:c r="J913" s="8" t="str">
        <x:v>추간판탈출증(디스크)</x:v>
      </x:c>
      <x:c r="K913" s="8" t="str">
        <x:v>질병관리청 국가건강정보포털
https://health.kdca.go.kr/healthinfo/biz/health/gnrlzHealthInfo/gnrlzHealthInfo/gnrlzHealthInfoMain.do</x:v>
      </x:c>
    </x:row>
    <x:row r="914" ht="62" customHeight="1">
      <x:c r="A914" s="9" t="n">
        <x:v>913</x:v>
      </x:c>
      <x:c r="B914" s="6" t="str">
        <x:v>최종 평가</x:v>
      </x:c>
      <x:c r="C914" s="6" t="str">
        <x:v>질병</x:v>
      </x:c>
      <x:c r="D914" s="6" t="str">
        <x:v>대상별 정보</x:v>
      </x:c>
      <x:c r="E914" s="6" t="str">
        <x:v>답변 가능</x:v>
      </x:c>
      <x:c r="F914" s="6" t="str">
        <x:v>쉬움</x:v>
      </x:c>
      <x:c r="G914" s="8" t="str">
        <x:v>디프테리아는 대상에 따라 어떤 점을 알아두면 좋나요?</x:v>
      </x:c>
      <x:c r="H914" s="8" t="str">
        <x:v>배양검사결과 보균자가 아니라고 확인될 때까지는 식품을 만지거나 어린이와 접촉하거나, 학교나 직장에 나가지 않도록 해야 합니다.</x:v>
      </x:c>
      <x:c r="I914" s="8" t="str">
        <x:v>디프테리아 - 대상별 맞춤 정보 / 자주하는 질문 배양검사결과 보균자가 아니라고 확인될 때까지는 식품을 만지거나 어린이와 접촉하거나, 학교나 직장에 나가지 않도록 해야 합니다. Q. 우리나라는 디프테리아, 파상풍 발생이 거의 없는데 반드시 접종해야 하나요? A. 디프테리아, 파상풍, 백일해는 자연 중에 항시 존재하고 있어, 백신 접종을 실시하지 않거나 낮은 접종률을 보이면 수개월 내에 이들 질환이 다시 유행할 수 있는 문제점이 있습니다.</x:v>
      </x:c>
      <x:c r="J914" s="8" t="str">
        <x:v>디프테리아</x:v>
      </x:c>
      <x:c r="K914" s="8" t="str">
        <x:v>질병관리청 국가건강정보포털
https://health.kdca.go.kr/healthinfo/biz/health/gnrlzHealthInfo/gnrlzHealthInfo/gnrlzHealthInfoMain.do</x:v>
      </x:c>
    </x:row>
    <x:row r="915" ht="62" customHeight="1">
      <x:c r="A915" s="9" t="n">
        <x:v>914</x:v>
      </x:c>
      <x:c r="B915" s="6" t="str">
        <x:v>최종 평가</x:v>
      </x:c>
      <x:c r="C915" s="6" t="str">
        <x:v>질병</x:v>
      </x:c>
      <x:c r="D915" s="6" t="str">
        <x:v>예방·생활수칙</x:v>
      </x:c>
      <x:c r="E915" s="6" t="str">
        <x:v>답변 가능</x:v>
      </x:c>
      <x:c r="F915" s="6" t="str">
        <x:v>쉬움</x:v>
      </x:c>
      <x:c r="G915" s="8" t="str">
        <x:v>만성기관지염을 예방하려면 어떻게 해야 하나요?</x:v>
      </x:c>
      <x:c r="H915" s="8" t="str">
        <x:v>만성기관지염과 기류 제한이 동반된 만성폐쇄성폐질환은 완치가 되지 않으며, 최대한 증상을 호전시키고, 질환의 진행을 최소화하는 것이 치료와 관리의 목표입니다. 따라서 만성기관지염은 예방이 가장 중요합니다. 만성기관지염의 예방법으로는 금연 및 대기오염 노출 예방, 빈번한 기도 감염에 대한 주의와 조기 치료, 폐렴 및 독감 예방주사 접종 등이 있습니다. 1. 금연 및 대기오염 노출 예방</x:v>
      </x:c>
      <x:c r="I915" s="8" t="str">
        <x:v>만성기관지염 - 위험요인 및 예방 만성기관지염과 기류 제한이 동반된 만성폐쇄성폐질환은 완치가 되지 않으며, 최대한 증상을 호전시키고, 질환의 진행을 최소화하는 것이 치료와 관리의 목표입니다. 따라서 만성기관지염은 예방이 가장 중요합니다. 만성기관지염의 예방법으로는 금연 및 대기오염 노출 예방, 빈번한 기도 감염에 대한 주의와 조기 치료, 폐렴 및 독감 예방주사 접종 등이 있습니다. 1. 금연 및 대기오염 노출 예방</x:v>
      </x:c>
      <x:c r="J915" s="8" t="str">
        <x:v>만성기관지염</x:v>
      </x:c>
      <x:c r="K915" s="8" t="str">
        <x:v>질병관리청 국가건강정보포털
https://health.kdca.go.kr/healthinfo/biz/health/gnrlzHealthInfo/gnrlzHealthInfo/gnrlzHealthInfoMain.do</x:v>
      </x:c>
    </x:row>
    <x:row r="916" ht="62" customHeight="1">
      <x:c r="A916" s="9" t="n">
        <x:v>915</x:v>
      </x:c>
      <x:c r="B916" s="6" t="str">
        <x:v>최종 평가</x:v>
      </x:c>
      <x:c r="C916" s="6" t="str">
        <x:v>질병</x:v>
      </x:c>
      <x:c r="D916" s="6" t="str">
        <x:v>증상·양상</x:v>
      </x:c>
      <x:c r="E916" s="6" t="str">
        <x:v>답변 가능</x:v>
      </x:c>
      <x:c r="F916" s="6" t="str">
        <x:v>쉬움</x:v>
      </x:c>
      <x:c r="G916" s="8" t="str">
        <x:v>간농양이 있으면 어떤 증상이 나타날 수 있나요?</x:v>
      </x:c>
      <x:c r="H916" s="8" t="str">
        <x:v>화농성 간농양이 생기면 세균 또는 기생충에 의한 간내 고름 형성과 이로 인한 염증으로 인해 다양한 임상적 증상과 증후가 나타나게 됩니다. - 발열(90%) - 복부 통증 및 압통(55~74%) - 오한(38~49%) - 식욕부진(38%) - 체중감소(25~43%) - 구역과 구토(28~43%) - 허약감과 권태감(30%)</x:v>
      </x:c>
      <x:c r="I916" s="8" t="str">
        <x:v>간농양 - 증상 화농성 간농양이 생기면 세균 또는 기생충에 의한 간내 고름 형성과 이로 인한 염증으로 인해 다양한 임상적 증상과 증후가 나타나게 됩니다. - 발열(90%) - 복부 통증 및 압통(55~74%) - 오한(38~49%) - 식욕부진(38%) - 체중감소(25~43%) - 구역과 구토(28~43%) - 허약감과 권태감(30%)</x:v>
      </x:c>
      <x:c r="J916" s="8" t="str">
        <x:v>간농양</x:v>
      </x:c>
      <x:c r="K916" s="8" t="str">
        <x:v>질병관리청 국가건강정보포털
https://health.kdca.go.kr/healthinfo/biz/health/gnrlzHealthInfo/gnrlzHealthInfo/gnrlzHealthInfoMain.do</x:v>
      </x:c>
    </x:row>
    <x:row r="917" ht="62" customHeight="1">
      <x:c r="A917" s="9" t="n">
        <x:v>916</x:v>
      </x:c>
      <x:c r="B917" s="6" t="str">
        <x:v>최종 평가</x:v>
      </x:c>
      <x:c r="C917" s="6" t="str">
        <x:v>질병</x:v>
      </x:c>
      <x:c r="D917" s="6" t="str">
        <x:v>증상·양상</x:v>
      </x:c>
      <x:c r="E917" s="6" t="str">
        <x:v>답변 가능</x:v>
      </x:c>
      <x:c r="F917" s="6" t="str">
        <x:v>쉬움</x:v>
      </x:c>
      <x:c r="G917" s="8" t="str">
        <x:v>안면홍조가 있으면 어떤 증상이 나타날 수 있나요?</x:v>
      </x:c>
      <x:c r="H917" s="8" t="str">
        <x:v>갑상선항진증에 의한 안면홍조는 두근거림, 체중 감소, 안구 돌출, 설사와 같은 증상을 동반할 수 있습니다. 안면홍조가 오랜 기간 지속되면 붉은 빛깔의 얼룩점(홍반)이 생길 수 있고, 결국 주사로 발전할 수 있습니다. 이때 피부는 지속적으로 붉은 색을 띠게 되고, 피부가 솟아 올라오는 구진이나 고름물집, 혈관확장증, 부종 등이 동반됩니다. 안면홍조는 발생 원인에 따라 치료 방법이 다릅니다.</x:v>
      </x:c>
      <x:c r="I917" s="8" t="str">
        <x:v>안면홍조 - 연관 증상 / 치료 갑상선항진증에 의한 안면홍조는 두근거림, 체중 감소, 안구 돌출, 설사와 같은 증상을 동반할 수 있습니다. 안면홍조가 오랜 기간 지속되면 붉은 빛깔의 얼룩점(홍반)이 생길 수 있고, 결국 주사로 발전할 수 있습니다. 이때 피부는 지속적으로 붉은 색을 띠게 되고, 피부가 솟아 올라오는 구진이나 고름물집, 혈관확장증, 부종 등이 동반됩니다. 안면홍조는 발생 원인에 따라 치료 방법이 다릅니다.</x:v>
      </x:c>
      <x:c r="J917" s="8" t="str">
        <x:v>안면홍조</x:v>
      </x:c>
      <x:c r="K917" s="8" t="str">
        <x:v>질병관리청 국가건강정보포털
https://health.kdca.go.kr/healthinfo/biz/health/gnrlzHealthInfo/gnrlzHealthInfo/gnrlzHealthInfoMain.do</x:v>
      </x:c>
    </x:row>
    <x:row r="918" ht="62" customHeight="1">
      <x:c r="A918" s="9" t="n">
        <x:v>917</x:v>
      </x:c>
      <x:c r="B918" s="6" t="str">
        <x:v>최종 평가</x:v>
      </x:c>
      <x:c r="C918" s="6" t="str">
        <x:v>질병</x:v>
      </x:c>
      <x:c r="D918" s="6" t="str">
        <x:v>진단·검사</x:v>
      </x:c>
      <x:c r="E918" s="6" t="str">
        <x:v>답변 가능</x:v>
      </x:c>
      <x:c r="F918" s="6" t="str">
        <x:v>쉬움</x:v>
      </x:c>
      <x:c r="G918" s="8" t="str">
        <x:v>탈장(소아)는 어떤 검사로 확인하나요?</x:v>
      </x:c>
      <x:c r="H918" s="8" t="str">
        <x:v>서혜부 탈장은 감돈과 같은 합병증을 막기 위해 진단 후 되도록 빨리 수술해야 합니다.</x:v>
      </x:c>
      <x:c r="I918" s="8" t="str">
        <x:v>탈장(소아) - 진단 및 검사 / 치료 진단이 애매하거나 고환의 위치 확인이 필요한 경우에는 초음파 검사가 보조적으로 도움이 될 수 있습니다. 서혜부 탈장은 감돈과 같은 합병증을 막기 위해 진단 후 되도록 빨리 수술해야 합니다. 감돈은 탈장된 장이 서혜관에 의해 조여져서 일어나는 현상으로, 이로 인해 혈류가 차단되는 교액 상태가 되면 장이 괴사하여 장 절제술이 필요할 수 있습니다.</x:v>
      </x:c>
      <x:c r="J918" s="8" t="str">
        <x:v>탈장(소아)</x:v>
      </x:c>
      <x:c r="K918" s="8" t="str">
        <x:v>질병관리청 국가건강정보포털
https://health.kdca.go.kr/healthinfo/biz/health/gnrlzHealthInfo/gnrlzHealthInfo/gnrlzHealthInfoMain.do</x:v>
      </x:c>
    </x:row>
    <x:row r="919" ht="62" customHeight="1">
      <x:c r="A919" s="9" t="n">
        <x:v>918</x:v>
      </x:c>
      <x:c r="B919" s="6" t="str">
        <x:v>최종 평가</x:v>
      </x:c>
      <x:c r="C919" s="6" t="str">
        <x:v>질병</x:v>
      </x:c>
      <x:c r="D919" s="6" t="str">
        <x:v>진단·검사</x:v>
      </x:c>
      <x:c r="E919" s="6" t="str">
        <x:v>답변 가능</x:v>
      </x:c>
      <x:c r="F919" s="6" t="str">
        <x:v>쉬움</x:v>
      </x:c>
      <x:c r="G919" s="8" t="str">
        <x:v>메니에르병은 어떤 검사로 확인하나요?</x:v>
      </x:c>
      <x:c r="H919" s="8" t="str">
        <x:v>가중전위(summating potential, SP)가 증가해 SP/AP 비율이 높아지면 내림프수종이 있거나 내림프낭 압력이 높아졌다는 의미로 메니에르병 진단에 도움이 됩니다.</x:v>
      </x:c>
      <x:c r="I919" s="8" t="str">
        <x:v>메니에르병 - 진단 및 검사 가중전위(summating potential, SP)가 증가해 SP/AP 비율이 높아지면 내림프수종이 있거나 내림프낭 압력이 높아졌다는 의미로 메니에르병 진단에 도움이 됩니다. 4. 전정기능검사 - 온도안진검사(caloric test)와 전정유발근전위검사(vestibular evoked myogenic potential, VEMP)를 통해 상전정신경과 하전정신경 기능을 평가할 수 있습니다.</x:v>
      </x:c>
      <x:c r="J919" s="8" t="str">
        <x:v>메니에르병</x:v>
      </x:c>
      <x:c r="K919" s="8" t="str">
        <x:v>질병관리청 국가건강정보포털
https://health.kdca.go.kr/healthinfo/biz/health/gnrlzHealthInfo/gnrlzHealthInfo/gnrlzHealthInfoMain.do</x:v>
      </x:c>
    </x:row>
    <x:row r="920" ht="62" customHeight="1">
      <x:c r="A920" s="9" t="n">
        <x:v>919</x:v>
      </x:c>
      <x:c r="B920" s="6" t="str">
        <x:v>최종 평가</x:v>
      </x:c>
      <x:c r="C920" s="6" t="str">
        <x:v>질병</x:v>
      </x:c>
      <x:c r="D920" s="6" t="str">
        <x:v>진단·검사</x:v>
      </x:c>
      <x:c r="E920" s="6" t="str">
        <x:v>답변 가능</x:v>
      </x:c>
      <x:c r="F920" s="6" t="str">
        <x:v>쉬움</x:v>
      </x:c>
      <x:c r="G920" s="8" t="str">
        <x:v>저시력은 어떤 검사로 확인하나요?</x:v>
      </x:c>
      <x:c r="H920" s="8" t="str">
        <x:v>저시력은 시력 측정법으로 쉽게 진단할 수 있지만, 근본 원인을 밝히기 위해서는 다양한 검사 방법이 동원됩니다.</x:v>
      </x:c>
      <x:c r="I920" s="8" t="str">
        <x:v>저시력 - 진단 및 검사 저시력은 시력 측정법으로 쉽게 진단할 수 있지만, 근본 원인을 밝히기 위해서는 다양한 검사 방법이 동원됩니다. 1. 시력검사 검사에 협조할 수 있다면 원거리와 근거리 시력을 모두 측정하는 것이 좋습니다. 시력검사 시표로는 원거리용으로 한천석 시력표, 0.1 이하 시력을 확인하는 파인블룸 차트(Feinbloom chart) 등이 있고, 근거리 시표로는 Lea number chart 등을 이용합니다. 2. 굴절검사</x:v>
      </x:c>
      <x:c r="J920" s="8" t="str">
        <x:v>저시력</x:v>
      </x:c>
      <x:c r="K920" s="8" t="str">
        <x:v>질병관리청 국가건강정보포털
https://health.kdca.go.kr/healthinfo/biz/health/gnrlzHealthInfo/gnrlzHealthInfo/gnrlzHealthInfoMain.do</x:v>
      </x:c>
    </x:row>
    <x:row r="921" ht="62" customHeight="1">
      <x:c r="A921" s="9" t="n">
        <x:v>920</x:v>
      </x:c>
      <x:c r="B921" s="6" t="str">
        <x:v>최종 평가</x:v>
      </x:c>
      <x:c r="C921" s="6" t="str">
        <x:v>질병</x:v>
      </x:c>
      <x:c r="D921" s="6" t="str">
        <x:v>증상→질환 구분</x:v>
      </x:c>
      <x:c r="E921" s="6" t="str">
        <x:v>답변 가능</x:v>
      </x:c>
      <x:c r="F921" s="6" t="str">
        <x:v>어려움</x:v>
      </x:c>
      <x:c r="G921" s="8" t="str">
        <x:v>심장 박동이 빠르거나 불규칙한 증상으로, 심장 문제뿐만 아니라 흥분, 불안, 심한 운동, 과도한 카페인 섭취 등이 원인이 될 수 있습니다. 이런 증상은 어떤 질환과 관련이 있을 수 있나요?</x:v>
      </x:c>
      <x:c r="H921" s="8" t="str">
        <x:v>두근거림</x:v>
      </x:c>
      <x:c r="I921" s="8" t="str">
        <x:v>두근거림 - 요약문 '이것만은 꼭 기억하세요' • 두근거림은 심장 박동이 빠르거나 불규칙한 증상으로, 심장 문제뿐만 아니라 흥분, 불안, 심한 운동, 과도한 카페인 섭취 등이 원인이 될 수 있습니다. • 대부분 건강에 큰 문제가 없지만, 가슴 통증이나 호흡 곤란이 동반된다면 다른 질환에 의한 부정맥일 수 있으므로 원인을 찾아 치료를 받는 것이 필요합니다.</x:v>
      </x:c>
      <x:c r="J921" s="8" t="str">
        <x:v>두근거림</x:v>
      </x:c>
      <x:c r="K921" s="8" t="str">
        <x:v>질병관리청 국가건강정보포털
https://health.kdca.go.kr/healthinfo/biz/health/gnrlzHealthInfo/gnrlzHealthInfo/gnrlzHealthInfoMain.do</x:v>
      </x:c>
    </x:row>
    <x:row r="922" ht="62" customHeight="1">
      <x:c r="A922" s="9" t="n">
        <x:v>921</x:v>
      </x:c>
      <x:c r="B922" s="6" t="str">
        <x:v>최종 평가</x:v>
      </x:c>
      <x:c r="C922" s="6" t="str">
        <x:v>질병</x:v>
      </x:c>
      <x:c r="D922" s="6" t="str">
        <x:v>진단·검사</x:v>
      </x:c>
      <x:c r="E922" s="6" t="str">
        <x:v>답변 가능</x:v>
      </x:c>
      <x:c r="F922" s="6" t="str">
        <x:v>쉬움</x:v>
      </x:c>
      <x:c r="G922" s="8" t="str">
        <x:v>외이도염(악성 외이도염)은 어떤 검사로 확인하나요?</x:v>
      </x:c>
      <x:c r="H922" s="8" t="str">
        <x:v>MRI는 두개내로 퍼진 염증을 확인하는 데에 유용한 검사로 두개내 합병증이나 주변 연부조직의 염증 상태를 파악할 수 있도록 해줍니다.</x:v>
      </x:c>
      <x:c r="I922" s="8" t="str">
        <x:v>외이도염(악성 외이도염) - 진단 및 검사 MRI는 두개내로 퍼진 염증을 확인하는 데에 유용한 검사로 두개내 합병증이나 주변 연부조직의 염증 상태를 파악할 수 있도록 해줍니다. 그러나 CT나 MRI는 악성 외이도염이 치료에 반응을 하여도 검사상의 변화는 지속되어 치료 반응을 판단하는 데에는 부족한 점이 있습니다. 따라서 갈륨 스캔(gallium scan)과 같은 추가 검사가 필요할 수 있습니다.</x:v>
      </x:c>
      <x:c r="J922" s="8" t="str">
        <x:v>외이도염(악성 외이도염)</x:v>
      </x:c>
      <x:c r="K922" s="8" t="str">
        <x:v>질병관리청 국가건강정보포털
https://health.kdca.go.kr/healthinfo/biz/health/gnrlzHealthInfo/gnrlzHealthInfo/gnrlzHealthInfoMain.do</x:v>
      </x:c>
    </x:row>
    <x:row r="923" ht="62" customHeight="1">
      <x:c r="A923" s="9" t="n">
        <x:v>922</x:v>
      </x:c>
      <x:c r="B923" s="6" t="str">
        <x:v>최종 평가</x:v>
      </x:c>
      <x:c r="C923" s="6" t="str">
        <x:v>질병</x:v>
      </x:c>
      <x:c r="D923" s="6" t="str">
        <x:v>진단·검사</x:v>
      </x:c>
      <x:c r="E923" s="6" t="str">
        <x:v>답변 가능</x:v>
      </x:c>
      <x:c r="F923" s="6" t="str">
        <x:v>쉬움</x:v>
      </x:c>
      <x:c r="G923" s="8" t="str">
        <x:v>하지정맥류는 어떤 검사로 확인하나요?</x:v>
      </x:c>
      <x:c r="H923" s="8" t="str">
        <x:v>도플러 초음파는 혈관 내의 혈류를 측정하는 특별한 방법으로 심장이나 동정맥의 혈관, 신장 등의 혈류 검사에서도 광범위하게 이용됩니다.</x:v>
      </x:c>
      <x:c r="I923" s="8" t="str">
        <x:v>하지정맥류 - 진단 및 검사 도플러 초음파는 혈관 내의 혈류를 측정하는 특별한 방법으로 심장이나 동정맥의 혈관, 신장 등의 혈류 검사에서도 광범위하게 이용됩니다. 하지정맥류 환자에 있어서 정맥 초음파 검사를 시행하는 목적은 하지정맥류의 위치 및 그 근원을 찾기 위해서입니다. 초음파 검사로 심부정맥, 관통정맥, 표재정맥의 정확한 위치를 파악할 수 있을 뿐만 아니라, 정맥 혈류 방향을 확인하여 그 기능적인 면을 평가할 수 있습니다.</x:v>
      </x:c>
      <x:c r="J923" s="8" t="str">
        <x:v>하지정맥류</x:v>
      </x:c>
      <x:c r="K923" s="8" t="str">
        <x:v>질병관리청 국가건강정보포털
https://health.kdca.go.kr/healthinfo/biz/health/gnrlzHealthInfo/gnrlzHealthInfo/gnrlzHealthInfoMain.do</x:v>
      </x:c>
    </x:row>
    <x:row r="924" ht="62" customHeight="1">
      <x:c r="A924" s="9" t="n">
        <x:v>923</x:v>
      </x:c>
      <x:c r="B924" s="6" t="str">
        <x:v>최종 평가</x:v>
      </x:c>
      <x:c r="C924" s="6" t="str">
        <x:v>질병</x:v>
      </x:c>
      <x:c r="D924" s="6" t="str">
        <x:v>예방·생활수칙</x:v>
      </x:c>
      <x:c r="E924" s="6" t="str">
        <x:v>답변 가능</x:v>
      </x:c>
      <x:c r="F924" s="6" t="str">
        <x:v>쉬움</x:v>
      </x:c>
      <x:c r="G924" s="8" t="str">
        <x:v>다래끼와 콩다래끼를 예방하려면 어떻게 해야 하나요?</x:v>
      </x:c>
      <x:c r="H924" s="8" t="str">
        <x:v>얼굴의 중앙 부위 피부가 붉어지고 혈관이 확장되는 주사가 있는 경우 안검염이 자주 동반되며, 안검염을 예방하기 위해 독시사이클린(doxycycline)과 같은 항생제 복용이 필요할 수 있습니다. 1. Arbabi EM, Kelly RJ, Carrim ZI. (2010). Chalazion. BMJ.</x:v>
      </x:c>
      <x:c r="I924" s="8" t="str">
        <x:v>다래끼와 콩다래끼 - 위험요인 및 예방 / 참고문헌 더운 찜질은 40~43도 정도의 온도로 하는 것이 좋으며 일반적인 목욕탕 온탕의 온도에 해당됩니다. 2. 주사 얼굴의 중앙 부위 피부가 붉어지고 혈관이 확장되는 주사가 있는 경우 안검염이 자주 동반되며, 안검염을 예방하기 위해 독시사이클린(doxycycline)과 같은 항생제 복용이 필요할 수 있습니다. 1. Arbabi EM, Kelly RJ, Carrim ZI. (2010). Chalazion. BMJ.</x:v>
      </x:c>
      <x:c r="J924" s="8" t="str">
        <x:v>다래끼와 콩다래끼</x:v>
      </x:c>
      <x:c r="K924" s="8" t="str">
        <x:v>질병관리청 국가건강정보포털
https://health.kdca.go.kr/healthinfo/biz/health/gnrlzHealthInfo/gnrlzHealthInfo/gnrlzHealthInfoMain.do</x:v>
      </x:c>
    </x:row>
    <x:row r="925" ht="62" customHeight="1">
      <x:c r="A925" s="9" t="n">
        <x:v>924</x:v>
      </x:c>
      <x:c r="B925" s="6" t="str">
        <x:v>최종 평가</x:v>
      </x:c>
      <x:c r="C925" s="6" t="str">
        <x:v>질병</x:v>
      </x:c>
      <x:c r="D925" s="6" t="str">
        <x:v>증상→질환 구분</x:v>
      </x:c>
      <x:c r="E925" s="6" t="str">
        <x:v>답변 가능</x:v>
      </x:c>
      <x:c r="F925" s="6" t="str">
        <x:v>어려움</x:v>
      </x:c>
      <x:c r="G925" s="8" t="str">
        <x:v>얼굴마비가 발생한 다음 며칠에 걸쳐 점점 증상이 심해지고, 대개 3일 정도가 지나면 마비가 최고조에 이릅니다. 이런 증상은 어떤 질환과 관련이 있을 수 있나요?</x:v>
      </x:c>
      <x:c r="H925" s="8" t="str">
        <x:v>얼굴마비(말초성 마비)</x:v>
      </x:c>
      <x:c r="I925" s="8" t="str">
        <x:v>얼굴마비(말초성 마비) - 증상 / 진단 및 검사 • 음식 맛을 느끼기 어려울 수 있습니다. 2. 경과 벨마비는 수 시간에 걸쳐 빠르게 증상이 발생합니다. 얼굴마비가 발생한 다음 며칠에 걸쳐 점점 증상이 심해지고, 대개 3일 정도가 지나면 마비가 최고조에 이릅니다. 증상이 수 일에서 수개월에 걸쳐 서서히 진행한다면 종양, 자가면역질환, 만성 감염 등의 다른 원인을 고려해야 합니다. 1. 진찰 우선 진찰을 통해 얼굴마비가 중추성인지 말초성인지 구분합니다.</x:v>
      </x:c>
      <x:c r="J925" s="8" t="str">
        <x:v>얼굴마비(말초성 마비)</x:v>
      </x:c>
      <x:c r="K925" s="8" t="str">
        <x:v>질병관리청 국가건강정보포털
https://health.kdca.go.kr/healthinfo/biz/health/gnrlzHealthInfo/gnrlzHealthInfo/gnrlzHealthInfoMain.do</x:v>
      </x:c>
    </x:row>
    <x:row r="926" ht="62" customHeight="1">
      <x:c r="A926" s="9" t="n">
        <x:v>925</x:v>
      </x:c>
      <x:c r="B926" s="6" t="str">
        <x:v>최종 평가</x:v>
      </x:c>
      <x:c r="C926" s="6" t="str">
        <x:v>질병</x:v>
      </x:c>
      <x:c r="D926" s="6" t="str">
        <x:v>진단·검사</x:v>
      </x:c>
      <x:c r="E926" s="6" t="str">
        <x:v>답변 가능</x:v>
      </x:c>
      <x:c r="F926" s="6" t="str">
        <x:v>쉬움</x:v>
      </x:c>
      <x:c r="G926" s="8" t="str">
        <x:v>노인 어지럼증은 어떤 검사로 확인하나요?</x:v>
      </x:c>
      <x:c r="H926" s="8" t="str">
        <x:v>이와 같이 보행 검사가 어지럼증 원인 감별에 도움을 줄 수 있으므로 환자가 보행을 매우 불편해 하더라도 서서 걸어보게 하면 진단에 도움이 됩니다.</x:v>
      </x:c>
      <x:c r="I926" s="8" t="str">
        <x:v>노인 어지럼증 - 진단 및 검사 이와 같이 보행 검사가 어지럼증 원인 감별에 도움을 줄 수 있으므로 환자가 보행을 매우 불편해 하더라도 서서 걸어보게 하면 진단에 도움이 됩니다. 신경학적 검사에서 이상 소견을 보이는 경우, 뇌 질환이 어지럼증의 원인일 가능성이 높으므로 전산화단층촬영(CT), 자기공명영상(MRI) 등 추가 검사를 신속하게 시행해야 합니다.</x:v>
      </x:c>
      <x:c r="J926" s="8" t="str">
        <x:v>노인 어지럼증</x:v>
      </x:c>
      <x:c r="K926" s="8" t="str">
        <x:v>질병관리청 국가건강정보포털
https://health.kdca.go.kr/healthinfo/biz/health/gnrlzHealthInfo/gnrlzHealthInfo/gnrlzHealthInfoMain.do</x:v>
      </x:c>
    </x:row>
    <x:row r="927" ht="62" customHeight="1">
      <x:c r="A927" s="9" t="n">
        <x:v>926</x:v>
      </x:c>
      <x:c r="B927" s="6" t="str">
        <x:v>최종 평가</x:v>
      </x:c>
      <x:c r="C927" s="6" t="str">
        <x:v>질병</x:v>
      </x:c>
      <x:c r="D927" s="6" t="str">
        <x:v>증상·양상</x:v>
      </x:c>
      <x:c r="E927" s="6" t="str">
        <x:v>답변 가능</x:v>
      </x:c>
      <x:c r="F927" s="6" t="str">
        <x:v>쉬움</x:v>
      </x:c>
      <x:c r="G927" s="8" t="str">
        <x:v>말더듬이 있으면 어떤 증상이 나타날 수 있나요?</x:v>
      </x:c>
      <x:c r="H927" s="8" t="str">
        <x:v>말더듬에서 말의 흐름이 방해되어 말소리가 끊기거나 불규칙하게 나타나는 현상을 핵심행동이라고 합니다. 일반적으로 말더듬의 핵심행동은 반복으로 시작해, 증상이 심해지면 연장이 나타나고, 더 심해지면서 막힘이 나타납니다. 1) 반복 음, 음절, 단어, 구의 일부 또는 전체를 여러 번 되풀이하는 현상을 반복이라고 합니다.</x:v>
      </x:c>
      <x:c r="I927" s="8" t="str">
        <x:v>말더듬 - 증상 1. 핵심행동 말더듬에서 말의 흐름이 방해되어 말소리가 끊기거나 불규칙하게 나타나는 현상을 핵심행동이라고 합니다. 일반적으로 말더듬의 핵심행동은 반복으로 시작해, 증상이 심해지면 연장이 나타나고, 더 심해지면서 막힘이 나타납니다. 1) 반복 음, 음절, 단어, 구의 일부 또는 전체를 여러 번 되풀이하는 현상을 반복이라고 합니다.</x:v>
      </x:c>
      <x:c r="J927" s="8" t="str">
        <x:v>말더듬</x:v>
      </x:c>
      <x:c r="K927" s="8" t="str">
        <x:v>질병관리청 국가건강정보포털
https://health.kdca.go.kr/healthinfo/biz/health/gnrlzHealthInfo/gnrlzHealthInfo/gnrlzHealthInfoMain.do</x:v>
      </x:c>
    </x:row>
    <x:row r="928" ht="62" customHeight="1">
      <x:c r="A928" s="9" t="n">
        <x:v>927</x:v>
      </x:c>
      <x:c r="B928" s="6" t="str">
        <x:v>최종 평가</x:v>
      </x:c>
      <x:c r="C928" s="6" t="str">
        <x:v>질병</x:v>
      </x:c>
      <x:c r="D928" s="6" t="str">
        <x:v>진단·검사</x:v>
      </x:c>
      <x:c r="E928" s="6" t="str">
        <x:v>답변 가능</x:v>
      </x:c>
      <x:c r="F928" s="6" t="str">
        <x:v>쉬움</x:v>
      </x:c>
      <x:c r="G928" s="8" t="str">
        <x:v>질분비물은 어떤 검사로 확인하나요?</x:v>
      </x:c>
      <x:c r="H928" s="8" t="str">
        <x:v>질 분비물 도말검사에서 백혈구 증가와 함께 움직이는 편모를 가진 원충이 확인되면 확진합니다.</x:v>
      </x:c>
      <x:c r="I928" s="8" t="str">
        <x:v>질분비물 - 진단 및 검사 / 치료 거품이 나는 황록색의 질 분비물이 다량 나오며 소변 볼 때 통증, 아랫배 통증이 있습니다. 질 점막이 붓고 질과 자궁경부에서 딸기처럼 빨간 반점이 관찰될 수 있습니다. 질 분비물 도말검사에서 백혈구 증가와 함께 움직이는 편모를 가진 원충이 확인되면 확진합니다. 4) 위축성 질염 여성호르몬이 감소된 상태로 질점막이 창백하고 주름이 감소되고 위축되어 있으며, 질 내 산도는 5~7 정도로 증가되어 있습니다. 1.</x:v>
      </x:c>
      <x:c r="J928" s="8" t="str">
        <x:v>질분비물</x:v>
      </x:c>
      <x:c r="K928" s="8" t="str">
        <x:v>질병관리청 국가건강정보포털
https://health.kdca.go.kr/healthinfo/biz/health/gnrlzHealthInfo/gnrlzHealthInfo/gnrlzHealthInfoMain.do</x:v>
      </x:c>
    </x:row>
    <x:row r="929" ht="62" customHeight="1">
      <x:c r="A929" s="9" t="n">
        <x:v>928</x:v>
      </x:c>
      <x:c r="B929" s="6" t="str">
        <x:v>최종 평가</x:v>
      </x:c>
      <x:c r="C929" s="6" t="str">
        <x:v>질병</x:v>
      </x:c>
      <x:c r="D929" s="6" t="str">
        <x:v>기준·수치</x:v>
      </x:c>
      <x:c r="E929" s="6" t="str">
        <x:v>답변 가능</x:v>
      </x:c>
      <x:c r="F929" s="6" t="str">
        <x:v>쉬움</x:v>
      </x:c>
      <x:c r="G929" s="8" t="str">
        <x:v>만성콩팥병과 관련해 알아두어야 할 기준이나 수치는 무엇인가요?</x:v>
      </x:c>
      <x:c r="H929" s="8" t="str">
        <x:v>소변 검사에서 단백뇨 혹은 혈뇨가 확인되는 경우 사구체 여과율이 60 ml/min/1.73 m2 이상이라고 하더라도 만성콩팥병으로 진단할 수 있습니다.</x:v>
      </x:c>
      <x:c r="I929" s="8" t="str">
        <x:v>만성콩팥병 - 진단 및 검사 - 소변 검사에서 단백뇨 혹은 혈뇨가 확인되는 경우 사구체 여과율이 60 ml/min/1.73 m2 이상이라고 하더라도 만성콩팥병으로 진단할 수 있습니다. 일반적인 검진에서 사용하는 요 스틱 검사는 단백뇨나 혈뇨를 선별하는 데 가장 기본적인 검사이지만, 위양성(가짜 양성) 혹은 위음성(가짜 음성)이 있을 수 있습니다. 따라서 정확한 검사를 위해서는 소변의 현미경적 검사 및 단백뇨 정량 검사가 필요할 수 있습니다.</x:v>
      </x:c>
      <x:c r="J929" s="8" t="str">
        <x:v>만성콩팥병</x:v>
      </x:c>
      <x:c r="K929" s="8" t="str">
        <x:v>질병관리청 국가건강정보포털
https://health.kdca.go.kr/healthinfo/biz/health/gnrlzHealthInfo/gnrlzHealthInfo/gnrlzHealthInfoMain.do</x:v>
      </x:c>
    </x:row>
    <x:row r="930" ht="62" customHeight="1">
      <x:c r="A930" s="9" t="n">
        <x:v>929</x:v>
      </x:c>
      <x:c r="B930" s="6" t="str">
        <x:v>최종 평가</x:v>
      </x:c>
      <x:c r="C930" s="6" t="str">
        <x:v>질병</x:v>
      </x:c>
      <x:c r="D930" s="6" t="str">
        <x:v>용어·정의</x:v>
      </x:c>
      <x:c r="E930" s="6" t="str">
        <x:v>답변 가능</x:v>
      </x:c>
      <x:c r="F930" s="6" t="str">
        <x:v>쉬움</x:v>
      </x:c>
      <x:c r="G930" s="8" t="str">
        <x:v>만성콩팥병이 뭔가요?</x:v>
      </x:c>
      <x:c r="H930" s="8" t="str">
        <x:v>'이것만은 꼭 기억하세요' • 만성콩팥병은 3개월 이상 콩팥 기능이 감소하거나 손상이 있는 만성질환으로, 흔하고 위중하지만 치료와 관리가 가능합니다.</x:v>
      </x:c>
      <x:c r="I930" s="8" t="str">
        <x:v>만성콩팥병 - 요약문 '이것만은 꼭 기억하세요' • 만성콩팥병은 3개월 이상 콩팥 기능이 감소하거나 손상이 있는 만성질환으로, 흔하고 위중하지만 치료와 관리가 가능합니다. • 주요 원인은 당뇨병, 고혈압, 사구체 질환, 다낭콩팥질환, 요로 폐쇄 등입니다. • 증상은 부종, 고혈압, 심부전, 요독증, 빈혈 등이 있으며, 치료하지 않으면 심혈관 질환이나 말기 신부전으로 진행될 수 있습니다.</x:v>
      </x:c>
      <x:c r="J930" s="8" t="str">
        <x:v>만성콩팥병</x:v>
      </x:c>
      <x:c r="K930" s="8" t="str">
        <x:v>질병관리청 국가건강정보포털
https://health.kdca.go.kr/healthinfo/biz/health/gnrlzHealthInfo/gnrlzHealthInfo/gnrlzHealthInfoMain.do</x:v>
      </x:c>
    </x:row>
    <x:row r="931" ht="62" customHeight="1">
      <x:c r="A931" s="9" t="n">
        <x:v>930</x:v>
      </x:c>
      <x:c r="B931" s="6" t="str">
        <x:v>최종 평가</x:v>
      </x:c>
      <x:c r="C931" s="6" t="str">
        <x:v>질병</x:v>
      </x:c>
      <x:c r="D931" s="6" t="str">
        <x:v>경과·예후</x:v>
      </x:c>
      <x:c r="E931" s="6" t="str">
        <x:v>답변 가능</x:v>
      </x:c>
      <x:c r="F931" s="6" t="str">
        <x:v>쉬움</x:v>
      </x:c>
      <x:c r="G931" s="8" t="str">
        <x:v>귀의 형태 이상(돌출귀)의 경과나 예후는 어떤가요?</x:v>
      </x:c>
      <x:c r="H931" s="8" t="str">
        <x:v>교정이 불만족스러운 경우 3개월이 경과한 시점에서 재수술할 수 있습니다.</x:v>
      </x:c>
      <x:c r="I931" s="8" t="str">
        <x:v>귀의 형태 이상(돌출귀) - 합병증 / 참고문헌 장기적으로 봉합에 사용된 비흡수성 봉합사의 노출 또는 육아종 등이 나타날 수 있으며, 연골절개법을 사용하는 경우 반흔(흉터)이 남아서 미용적으로 영향을 미칠 수 있습니다. 연골보존법을 사용하였을 때 가장 흔히 볼 수 있는 문제는 돌출이 충분히 교정되지 않거나 재돌출이 발생할 수 있는 것입니다. 교정이 불만족스러운 경우 3개월이 경과한 시점에서 재수술할 수 있습니다. 1. 대한이과학회 (2022).</x:v>
      </x:c>
      <x:c r="J931" s="8" t="str">
        <x:v>귀의 형태 이상(돌출귀)</x:v>
      </x:c>
      <x:c r="K931" s="8" t="str">
        <x:v>질병관리청 국가건강정보포털
https://health.kdca.go.kr/healthinfo/biz/health/gnrlzHealthInfo/gnrlzHealthInfo/gnrlzHealthInfoMain.do</x:v>
      </x:c>
    </x:row>
    <x:row r="932" ht="62" customHeight="1">
      <x:c r="A932" s="9" t="n">
        <x:v>931</x:v>
      </x:c>
      <x:c r="B932" s="6" t="str">
        <x:v>최종 평가</x:v>
      </x:c>
      <x:c r="C932" s="6" t="str">
        <x:v>질병</x:v>
      </x:c>
      <x:c r="D932" s="6" t="str">
        <x:v>치료·관리</x:v>
      </x:c>
      <x:c r="E932" s="6" t="str">
        <x:v>답변 가능</x:v>
      </x:c>
      <x:c r="F932" s="6" t="str">
        <x:v>쉬움</x:v>
      </x:c>
      <x:c r="G932" s="8" t="str">
        <x:v>직업성 호흡기질환(직업성 폐암, 악성중피종)은 어떻게 치료하거나 관리하나요?</x:v>
      </x:c>
      <x:c r="H932" s="8" t="str">
        <x:v>악성중피종의 경우 일반적으로 완치가 불가능하며, 생존율을 높이고 통증 등의 증상을 조절하기 위해 흉막절제술이나 흉막외 폐절제술 등의 수술적 요법, 항암화학요법 및 방사선 요법을 고려합니다. 세계보건기구에 따르면 암 발생의 40%는 사전에 예방이 가능합니다. 특히 직업성 암은 발암요인을 적극적으로 관리해 사전에 예방할 수 있습니다. 폐암 예방에 가장 중요한 것은 금연입니다.</x:v>
      </x:c>
      <x:c r="I932" s="8" t="str">
        <x:v>직업성 호흡기질환(직업성 폐암, 악성중피종) - 치료 / 위험요인 및 예방 악성중피종의 경우 일반적으로 완치가 불가능하며, 생존율을 높이고 통증 등의 증상을 조절하기 위해 흉막절제술이나 흉막외 폐절제술 등의 수술적 요법, 항암화학요법 및 방사선 요법을 고려합니다. 세계보건기구에 따르면 암 발생의 40%는 사전에 예방이 가능합니다. 특히 직업성 암은 발암요인을 적극적으로 관리해 사전에 예방할 수 있습니다. 폐암 예방에 가장 중요한 것은 금연입니다.</x:v>
      </x:c>
      <x:c r="J932" s="8" t="str">
        <x:v>직업성 호흡기질환(직업성 폐암, 악성중피종)</x:v>
      </x:c>
      <x:c r="K932" s="8" t="str">
        <x:v>질병관리청 국가건강정보포털
https://health.kdca.go.kr/healthinfo/biz/health/gnrlzHealthInfo/gnrlzHealthInfo/gnrlzHealthInfoMain.do</x:v>
      </x:c>
    </x:row>
    <x:row r="933" ht="62" customHeight="1">
      <x:c r="A933" s="9" t="n">
        <x:v>932</x:v>
      </x:c>
      <x:c r="B933" s="6" t="str">
        <x:v>최종 평가</x:v>
      </x:c>
      <x:c r="C933" s="6" t="str">
        <x:v>질병</x:v>
      </x:c>
      <x:c r="D933" s="6" t="str">
        <x:v>진단·검사</x:v>
      </x:c>
      <x:c r="E933" s="6" t="str">
        <x:v>답변 가능</x:v>
      </x:c>
      <x:c r="F933" s="6" t="str">
        <x:v>쉬움</x:v>
      </x:c>
      <x:c r="G933" s="8" t="str">
        <x:v>폐렴(소아)는 어떤 검사로 확인하나요?</x:v>
      </x:c>
      <x:c r="H933" s="8" t="str">
        <x:v>배양 검사는 가장 확실하지만 시간이 오래 걸리는 단점이 있습니다.</x:v>
      </x:c>
      <x:c r="I933" s="8" t="str">
        <x:v>폐렴(소아) - 진단 및 검사 / 치료 배양 검사는 가장 확실하지만 시간이 오래 걸리는 단점이 있습니다. 따라서 최근에는 진단에 필요한 시간을 단축하기 위해 호흡기 검체에서 병원체의 항원 성분이나 DNA를 찾는 검사를 흔히 시행합니다. 일반적인 바이러스폐렴은 보존적 치료를 하면서 3~7일 후 회복될 수 있습니다. 세균폐렴은 원인 세균에 알맞은 항생제를 적절히 사용하면 3일 이내에 열이 떨어지고, 일주일 사이에 기침 등 호흡기 증상이 확연히 감소합니다.</x:v>
      </x:c>
      <x:c r="J933" s="8" t="str">
        <x:v>폐렴(소아)</x:v>
      </x:c>
      <x:c r="K933" s="8" t="str">
        <x:v>질병관리청 국가건강정보포털
https://health.kdca.go.kr/healthinfo/biz/health/gnrlzHealthInfo/gnrlzHealthInfo/gnrlzHealthInfoMain.do</x:v>
      </x:c>
    </x:row>
    <x:row r="934" ht="62" customHeight="1">
      <x:c r="A934" s="9" t="n">
        <x:v>933</x:v>
      </x:c>
      <x:c r="B934" s="6" t="str">
        <x:v>최종 평가</x:v>
      </x:c>
      <x:c r="C934" s="6" t="str">
        <x:v>질병</x:v>
      </x:c>
      <x:c r="D934" s="6" t="str">
        <x:v>예방·생활수칙</x:v>
      </x:c>
      <x:c r="E934" s="6" t="str">
        <x:v>답변 가능</x:v>
      </x:c>
      <x:c r="F934" s="6" t="str">
        <x:v>쉬움</x:v>
      </x:c>
      <x:c r="G934" s="8" t="str">
        <x:v>만성비염을 예방하려면 어떻게 해야 하나요?</x:v>
      </x:c>
      <x:c r="H934" s="8" t="str">
        <x:v>만성비염이 생기면 비강에 자극이 되는 환경을 피하고, 호흡기 질환에 걸리지 않도록 주의해야 합니다. • 양탄자와 소파 등의 가구류는 일주일에 한 번 이상 특수 필터 진공청소기로 청소한다. • 오래된 인형이나 베개, 침구류는 버린다.</x:v>
      </x:c>
      <x:c r="I934" s="8" t="str">
        <x:v>만성비염 - 위험요인 및 예방 / 생활습관 관리 • 혈관 운동성 비염은 자극이 되는 환경을 회피하는 것이 좋습니다. • 국소용 비점막 수축제를 임의로 장기간 사용하면 약물성 비염이 생길 수 있습니다. • 만성비염이 생기면 비강에 자극이 되는 환경을 피하고, 호흡기 질환에 걸리지 않도록 주의해야 합니다. • 양탄자와 소파 등의 가구류는 일주일에 한 번 이상 특수 필터 진공청소기로 청소한다. • 오래된 인형이나 베개, 침구류는 버린다.</x:v>
      </x:c>
      <x:c r="J934" s="8" t="str">
        <x:v>만성비염</x:v>
      </x:c>
      <x:c r="K934" s="8" t="str">
        <x:v>질병관리청 국가건강정보포털
https://health.kdca.go.kr/healthinfo/biz/health/gnrlzHealthInfo/gnrlzHealthInfo/gnrlzHealthInfoMain.do</x:v>
      </x:c>
    </x:row>
    <x:row r="935" ht="62" customHeight="1">
      <x:c r="A935" s="9" t="n">
        <x:v>934</x:v>
      </x:c>
      <x:c r="B935" s="6" t="str">
        <x:v>최종 평가</x:v>
      </x:c>
      <x:c r="C935" s="6" t="str">
        <x:v>질병</x:v>
      </x:c>
      <x:c r="D935" s="6" t="str">
        <x:v>개요·기타</x:v>
      </x:c>
      <x:c r="E935" s="6" t="str">
        <x:v>답변 가능</x:v>
      </x:c>
      <x:c r="F935" s="6" t="str">
        <x:v>쉬움</x:v>
      </x:c>
      <x:c r="G935" s="8" t="str">
        <x:v>체중 감소에 대해 쉽게 설명해 주실 수 있나요?</x:v>
      </x:c>
      <x:c r="H935" s="8" t="str">
        <x:v>체중 감소는 다양한 질병 때문에 생기는 증상일 수도 있지만, 생활의 변화 때문에 생길 수 있으므로 뚜렷한 원인을 발견하지 못하는 경우도 많습니다.</x:v>
      </x:c>
      <x:c r="I935" s="8" t="str">
        <x:v>체중 감소 - 정의 따라서 의미 있는 체중 감소가 의심될 경우, 그 원인을 정확히 파악하고 필요한 조치를 취하는 것이 중요합니다. 체중 감소는 다양한 질병 때문에 생기는 증상일 수도 있지만, 생활의 변화 때문에 생길 수 있으므로 뚜렷한 원인을 발견하지 못하는 경우도 많습니다. 어떤 원인에 의한 것이든 체중 감소는 건강의 위험 요인이 될 수 있으며, 심지어 체중을 성공적으로 줄이고 잘 유지하는 사람에서도 질병이 숨어 있을 수 있습니다.</x:v>
      </x:c>
      <x:c r="J935" s="8" t="str">
        <x:v>체중 감소</x:v>
      </x:c>
      <x:c r="K935" s="8" t="str">
        <x:v>질병관리청 국가건강정보포털
https://health.kdca.go.kr/healthinfo/biz/health/gnrlzHealthInfo/gnrlzHealthInfo/gnrlzHealthInfoMain.do</x:v>
      </x:c>
    </x:row>
    <x:row r="936" ht="62" customHeight="1">
      <x:c r="A936" s="9" t="n">
        <x:v>935</x:v>
      </x:c>
      <x:c r="B936" s="6" t="str">
        <x:v>최종 평가</x:v>
      </x:c>
      <x:c r="C936" s="6" t="str">
        <x:v>질병</x:v>
      </x:c>
      <x:c r="D936" s="6" t="str">
        <x:v>기준·수치</x:v>
      </x:c>
      <x:c r="E936" s="6" t="str">
        <x:v>답변 가능</x:v>
      </x:c>
      <x:c r="F936" s="6" t="str">
        <x:v>쉬움</x:v>
      </x:c>
      <x:c r="G936" s="8" t="str">
        <x:v>탈장(소아)와 관련해 알아두어야 할 기준이나 수치는 무엇인가요?</x:v>
      </x:c>
      <x:c r="H936" s="8" t="str">
        <x:v>서혜부 탈장은 감돈된 상태에서 수술하면 수술 후 합병증이 20% 이상 되나, 선택 수술을 하는 경우에는 1~2% 정도입니다.</x:v>
      </x:c>
      <x:c r="I936" s="8" t="str">
        <x:v>탈장(소아) - 합병증 / 위험요인 및 예방 / 참고문헌 서혜부 탈장은 감돈된 상태에서 수술하면 수술 후 합병증이 20% 이상 되나, 선택 수술을 하는 경우에는 1~2% 정도입니다. 배꼽 탈장은 합병증을 보이는 경우가 거의 없습니다. 뇌수종으로 단락술을 하거나 복막투석을 하는 환아는 복압이 올라가므로 그 전에 몰랐던 서혜부 탈장이 나타나는 빈도가 높아집니다. 이러한 질환은 빨리 파악하여 심각한 합병증이 생기기 전에 치료해야 합니다. 1. 외과학. (2011). 대한외과학회. 군자출판사.</x:v>
      </x:c>
      <x:c r="J936" s="8" t="str">
        <x:v>탈장(소아)</x:v>
      </x:c>
      <x:c r="K936" s="8" t="str">
        <x:v>질병관리청 국가건강정보포털
https://health.kdca.go.kr/healthinfo/biz/health/gnrlzHealthInfo/gnrlzHealthInfo/gnrlzHealthInfoMain.do</x:v>
      </x:c>
    </x:row>
    <x:row r="937" ht="62" customHeight="1">
      <x:c r="A937" s="9" t="n">
        <x:v>936</x:v>
      </x:c>
      <x:c r="B937" s="6" t="str">
        <x:v>최종 평가</x:v>
      </x:c>
      <x:c r="C937" s="6" t="str">
        <x:v>질병</x:v>
      </x:c>
      <x:c r="D937" s="6" t="str">
        <x:v>진단·검사</x:v>
      </x:c>
      <x:c r="E937" s="6" t="str">
        <x:v>답변 가능</x:v>
      </x:c>
      <x:c r="F937" s="6" t="str">
        <x:v>쉬움</x:v>
      </x:c>
      <x:c r="G937" s="8" t="str">
        <x:v>심낭염(교착 심낭염)은 어떤 검사로 확인하나요?</x:v>
      </x:c>
      <x:c r="H937" s="8" t="str">
        <x:v>심장 초음파검사에서 딱딱해진 심장막으로 인해 혈류가 심장으로 잘 들어가지 못해 생기는 특징적 변화들을 관찰해 진단할 수 있습니다.</x:v>
      </x:c>
      <x:c r="I937" s="8" t="str">
        <x:v>심낭염(교착 심낭염) - 진단 및 검사 심장 초음파검사에서 딱딱해진 심장막으로 인해 혈류가 심장으로 잘 들어가지 못해 생기는 특징적 변화들을 관찰해 진단할 수 있습니다. 컴퓨터단층촬영(CT)이나 자기공명영상(MRI) 검사, 심장에 직접 도관을 삽입해 심장 내 압력을 측정하는 심장도관삽입술을 시행하기도 하며, 원인을 찾기 위해 심장막 조직검사를 시행할 수도 있습니다. 가슴 X선 검사에서 심장막에 칼슘이 침착되어 석회화된 소견이 보이는 경우도 있습니다.</x:v>
      </x:c>
      <x:c r="J937" s="8" t="str">
        <x:v>심낭염(교착 심낭염)</x:v>
      </x:c>
      <x:c r="K937" s="8" t="str">
        <x:v>질병관리청 국가건강정보포털
https://health.kdca.go.kr/healthinfo/biz/health/gnrlzHealthInfo/gnrlzHealthInfo/gnrlzHealthInfoMain.do</x:v>
      </x:c>
    </x:row>
    <x:row r="938" ht="62" customHeight="1">
      <x:c r="A938" s="9" t="n">
        <x:v>937</x:v>
      </x:c>
      <x:c r="B938" s="6" t="str">
        <x:v>최종 평가</x:v>
      </x:c>
      <x:c r="C938" s="6" t="str">
        <x:v>질병</x:v>
      </x:c>
      <x:c r="D938" s="6" t="str">
        <x:v>증상→질환 구분</x:v>
      </x:c>
      <x:c r="E938" s="6" t="str">
        <x:v>답변 가능</x:v>
      </x:c>
      <x:c r="F938" s="6" t="str">
        <x:v>어려움</x:v>
      </x:c>
      <x:c r="G938" s="8" t="str">
        <x:v>복부팽만, 창자막힘(장폐색증), 구역 및 구토 등이 동반되기도 하며 심한 출혈 시에는 과다한 출혈로 인한 허혈성 쇼크가 유발될 수도 있습니다. 이런 증상은 어떤 질환과 관련이 있을 수 있나요?</x:v>
      </x:c>
      <x:c r="H938" s="8" t="str">
        <x:v>비뇨기계 외상</x:v>
      </x:c>
      <x:c r="I938" s="8" t="str">
        <x:v>비뇨기계 외상 - 증상 복부팽만, 창자막힘(장폐색증), 구역 및 구토 등이 동반되기도 하며 심한 출혈 시에는 과다한 출혈로 인한 허혈성 쇼크가 유발될 수도 있습니다. 2. 요관 손상 초기 증상은 구역, 복통 및 고열 등으로 비특이적 증상으로 나타나거나 무증상으로 나타나 진단이 어렵고 혹은 뒤늦게 발견되는 경우가 대부분입니다.</x:v>
      </x:c>
      <x:c r="J938" s="8" t="str">
        <x:v>비뇨기계 외상</x:v>
      </x:c>
      <x:c r="K938" s="8" t="str">
        <x:v>질병관리청 국가건강정보포털
https://health.kdca.go.kr/healthinfo/biz/health/gnrlzHealthInfo/gnrlzHealthInfo/gnrlzHealthInfoMain.do</x:v>
      </x:c>
    </x:row>
    <x:row r="939" ht="62" customHeight="1">
      <x:c r="A939" s="9" t="n">
        <x:v>938</x:v>
      </x:c>
      <x:c r="B939" s="6" t="str">
        <x:v>최종 평가</x:v>
      </x:c>
      <x:c r="C939" s="6" t="str">
        <x:v>질병</x:v>
      </x:c>
      <x:c r="D939" s="6" t="str">
        <x:v>답변불가·개인 예후 단정</x:v>
      </x:c>
      <x:c r="E939" s="6" t="str">
        <x:v>답변 거부</x:v>
      </x:c>
      <x:c r="F939" s="6" t="str">
        <x:v>어려움</x:v>
      </x:c>
      <x:c r="G939" s="8" t="str">
        <x:v>제가 습진이라면 정확히 언제 완치될지 날짜를 알려주세요.</x:v>
      </x:c>
      <x:c r="H939" s="8" t="str">
        <x:v>제공된 질병관리청 VDB만으로 개인의 정확한 회복 날짜를 예측할 수 없습니다. 개인별 예후는 상태와 치료 경과에 따라 달라집니다.</x:v>
      </x:c>
      <x:c r="I939" s="8" t="str">
        <x:v>VDB 범위 밖 질문 — 근거 없음</x:v>
      </x:c>
      <x:c r="J939" s="8" t="str">
        <x:v>습진</x:v>
      </x:c>
      <x:c r="K939" s="8" t="str">
        <x:v>질병관리청 국가건강정보포털
https://health.kdca.go.kr/healthinfo/biz/health/gnrlzHealthInfo/gnrlzHealthInfo/gnrlzHealthInfoMain.do</x:v>
      </x:c>
    </x:row>
    <x:row r="940" ht="62" customHeight="1">
      <x:c r="A940" s="9" t="n">
        <x:v>939</x:v>
      </x:c>
      <x:c r="B940" s="6" t="str">
        <x:v>최종 평가</x:v>
      </x:c>
      <x:c r="C940" s="6" t="str">
        <x:v>질병</x:v>
      </x:c>
      <x:c r="D940" s="6" t="str">
        <x:v>예방·생활수칙</x:v>
      </x:c>
      <x:c r="E940" s="6" t="str">
        <x:v>답변 가능</x:v>
      </x:c>
      <x:c r="F940" s="6" t="str">
        <x:v>쉬움</x:v>
      </x:c>
      <x:c r="G940" s="8" t="str">
        <x:v>동맥관 개존증을 예방하려면 어떻게 해야 하나요?</x:v>
      </x:c>
      <x:c r="H940" s="8" t="str">
        <x:v>동맥관 개존증을 진단받은 어린이라도 증상이 없다면 일상생활에서 특별히 주의할 것은 없습니다. 치과 치료 전 반드시 감염성 동맥내막염에 대한 예방적 항생제를 복용해야 하는 것은 아닙니다. 다만 동맥관 내 기구를 삽입한 지 6개월 이내이거나, 기구를 삽입한 후에도 피가 새는 소견이 있다면 예방적 항생제 복용이 필요합니다. 감염성 동맥내막염이 발생할 경우 빠른 진단과 치료가 필요하므로 치과 치료 후 고열이 지속된다면 병원을 방문해야 합니다. Q.</x:v>
      </x:c>
      <x:c r="I940" s="8" t="str">
        <x:v>동맥관 개존증 - 생활습관 관리 / 자주하는 질문 동맥관 개존증을 진단받은 어린이라도 증상이 없다면 일상생활에서 특별히 주의할 것은 없습니다. 치과 치료 전 반드시 감염성 동맥내막염에 대한 예방적 항생제를 복용해야 하는 것은 아닙니다. 다만 동맥관 내 기구를 삽입한 지 6개월 이내이거나, 기구를 삽입한 후에도 피가 새는 소견이 있다면 예방적 항생제 복용이 필요합니다. 감염성 동맥내막염이 발생할 경우 빠른 진단과 치료가 필요하므로 치과 치료 후 고열이 지속된다면 병원을 방문해야 합니다. Q.</x:v>
      </x:c>
      <x:c r="J940" s="8" t="str">
        <x:v>동맥관 개존증</x:v>
      </x:c>
      <x:c r="K940" s="8" t="str">
        <x:v>질병관리청 국가건강정보포털
https://health.kdca.go.kr/healthinfo/biz/health/gnrlzHealthInfo/gnrlzHealthInfo/gnrlzHealthInfoMain.do</x:v>
      </x:c>
    </x:row>
    <x:row r="941" ht="62" customHeight="1">
      <x:c r="A941" s="9" t="n">
        <x:v>940</x:v>
      </x:c>
      <x:c r="B941" s="6" t="str">
        <x:v>최종 평가</x:v>
      </x:c>
      <x:c r="C941" s="6" t="str">
        <x:v>질병</x:v>
      </x:c>
      <x:c r="D941" s="6" t="str">
        <x:v>원인·위험요인</x:v>
      </x:c>
      <x:c r="E941" s="6" t="str">
        <x:v>답변 가능</x:v>
      </x:c>
      <x:c r="F941" s="6" t="str">
        <x:v>쉬움</x:v>
      </x:c>
      <x:c r="G941" s="8" t="str">
        <x:v>아프리카수면병은 왜 생기나요?</x:v>
      </x:c>
      <x:c r="H941" s="8" t="str">
        <x:v>국외현황 사하라사막 남쪽 북위 10도 남위 25도 사이 열대 아프리카 지방, 북쪽으로는 남아프리카부터 남쪽으로는 알제리, 리비아, 이집트에 걸쳐 발생합니다. 1) 감비아파동편모충</x:v>
      </x:c>
      <x:c r="I941" s="8" t="str">
        <x:v>아프리카수면병 - 신고 대상 및 방법 / 원인 및 감염경로 / 역학 및 통계 *표본감시 대상 의료기관 여부 확인: 관할 보건소로 문의 체체파리가 사람이나 동물의 피를 빨아들일 때 파동편모충이 몸 속으로 들어와 감염됩니다. 감비아파동편모충증은 드물게 산모를 통해 태아에게 수직 감염 가능합니다. 1. 국외현황 사하라사막 남쪽 북위 10도 남위 25도 사이 열대 아프리카 지방, 북쪽으로는 남아프리카부터 남쪽으로는 알제리, 리비아, 이집트에 걸쳐 발생합니다. 1) 감비아파동편모충</x:v>
      </x:c>
      <x:c r="J941" s="8" t="str">
        <x:v>아프리카수면병</x:v>
      </x:c>
      <x:c r="K941" s="8" t="str">
        <x:v>질병관리청 국가건강정보포털
https://health.kdca.go.kr/healthinfo/biz/health/gnrlzHealthInfo/gnrlzHealthInfo/gnrlzHealthInfoMain.do</x:v>
      </x:c>
    </x:row>
    <x:row r="942" ht="62" customHeight="1">
      <x:c r="A942" s="9" t="n">
        <x:v>941</x:v>
      </x:c>
      <x:c r="B942" s="6" t="str">
        <x:v>최종 평가</x:v>
      </x:c>
      <x:c r="C942" s="6" t="str">
        <x:v>질병</x:v>
      </x:c>
      <x:c r="D942" s="6" t="str">
        <x:v>용어·정의</x:v>
      </x:c>
      <x:c r="E942" s="6" t="str">
        <x:v>답변 가능</x:v>
      </x:c>
      <x:c r="F942" s="6" t="str">
        <x:v>쉬움</x:v>
      </x:c>
      <x:c r="G942" s="8" t="str">
        <x:v>생리통이 뭔가요?</x:v>
      </x:c>
      <x:c r="H942" s="8" t="str">
        <x:v>'이것만은 꼭 기억하세요' • 생리통은 월경 주기와 관련된 골반 통증을 의미하며, 많은 여성들이 경험하는 흔한 증상입니다.</x:v>
      </x:c>
      <x:c r="I942" s="8" t="str">
        <x:v>생리통 - 요약문 '이것만은 꼭 기억하세요' • 생리통은 월경 주기와 관련된 골반 통증을 의미하며, 많은 여성들이 경험하는 흔한 증상입니다. • 생리통은 일차와 이차로 나뉘며, 일차 생리통은 골반 장기의 이상이 없이 발생하는 반면, 이차 생리통은 자궁내막증, 자궁근종 등의 질환으로 인해 발생합니다. • 생리통은 통증의 위치나 양상에 차이가 있지만, 보통 아랫배에서 쥐어짜는 듯한 통증이 동반됩니다.</x:v>
      </x:c>
      <x:c r="J942" s="8" t="str">
        <x:v>생리통</x:v>
      </x:c>
      <x:c r="K942" s="8" t="str">
        <x:v>질병관리청 국가건강정보포털
https://health.kdca.go.kr/healthinfo/biz/health/gnrlzHealthInfo/gnrlzHealthInfo/gnrlzHealthInfoMain.do</x:v>
      </x:c>
    </x:row>
    <x:row r="943" ht="62" customHeight="1">
      <x:c r="A943" s="9" t="n">
        <x:v>942</x:v>
      </x:c>
      <x:c r="B943" s="6" t="str">
        <x:v>최종 평가</x:v>
      </x:c>
      <x:c r="C943" s="6" t="str">
        <x:v>질병</x:v>
      </x:c>
      <x:c r="D943" s="6" t="str">
        <x:v>예방·생활수칙</x:v>
      </x:c>
      <x:c r="E943" s="6" t="str">
        <x:v>답변 가능</x:v>
      </x:c>
      <x:c r="F943" s="6" t="str">
        <x:v>쉬움</x:v>
      </x:c>
      <x:c r="G943" s="8" t="str">
        <x:v>외상성 고막 천공을 예방하려면 어떻게 해야 하나요?</x:v>
      </x:c>
      <x:c r="H943" s="8" t="str">
        <x:v>외상성 고막 천공이 발생한 이후에는 치유될 때까지 귀에 물이 들어가지 않도록 주의하고, 코를 세게 풀지 않도록 해야 합니다. 코를 세게 풀 경우 코 안의 분비물이 중이로 유입되거나 고막에 가해지는 압력이 증가하여 치유를 방해할 수 있습니다.</x:v>
      </x:c>
      <x:c r="I943" s="8" t="str">
        <x:v>외상성 고막 천공 - 위험요인 및 예방 따라서 보호자가 귀지를 제거할 때에는 각별한 주의가 필요하며, 아이들이 면봉이나 귀이개를 장난삼아 사용하지 않도록 손이 닿지 않는 곳에 보관해야 합니다. 외상성 고막 천공이 발생한 이후에는 치유될 때까지 귀에 물이 들어가지 않도록 주의하고, 코를 세게 풀지 않도록 해야 합니다. 코를 세게 풀 경우 코 안의 분비물이 중이로 유입되거나 고막에 가해지는 압력이 증가하여 치유를 방해할 수 있습니다.</x:v>
      </x:c>
      <x:c r="J943" s="8" t="str">
        <x:v>외상성 고막 천공</x:v>
      </x:c>
      <x:c r="K943" s="8" t="str">
        <x:v>질병관리청 국가건강정보포털
https://health.kdca.go.kr/healthinfo/biz/health/gnrlzHealthInfo/gnrlzHealthInfo/gnrlzHealthInfoMain.do</x:v>
      </x:c>
    </x:row>
    <x:row r="944" ht="62" customHeight="1">
      <x:c r="A944" s="9" t="n">
        <x:v>943</x:v>
      </x:c>
      <x:c r="B944" s="6" t="str">
        <x:v>최종 평가</x:v>
      </x:c>
      <x:c r="C944" s="6" t="str">
        <x:v>질병</x:v>
      </x:c>
      <x:c r="D944" s="6" t="str">
        <x:v>개요·기타</x:v>
      </x:c>
      <x:c r="E944" s="6" t="str">
        <x:v>답변 가능</x:v>
      </x:c>
      <x:c r="F944" s="6" t="str">
        <x:v>쉬움</x:v>
      </x:c>
      <x:c r="G944" s="8" t="str">
        <x:v>얼굴떨림(얼굴연축_반얼굴연축)에 대해 쉽게 설명해 주실 수 있나요?</x:v>
      </x:c>
      <x:c r="H944" s="8" t="str">
        <x:v>이상 운동 질환이라는 것은 본인이 의도하지 않게(불수의적으로) 저절로 움직이는 질환을 말합니다.</x:v>
      </x:c>
      <x:c r="I944" s="8" t="str">
        <x:v>얼굴떨림(얼굴연축_반얼굴연축) - 개요 반얼굴연축은 얼굴 근육에 경련성으로 혹은 근육 긴장도가 증가되면서 나타나는 이상 운동 질환의 하나입니다. 이상 운동 질환이라는 것은 본인이 의도하지 않게(불수의적으로) 저절로 움직이는 질환을 말합니다. 이 병은 1884년에 Gowers라는 신경과의사가 얼굴신경이 담당하는 근육에 부분적으로 경련성 떨림이 발생한다고 하면서 상세하게 설명되기 시작하였습니다. 대부분의 경우 한쪽 얼굴에만 나타나지만, 양쪽에서 나타날 수도 있습니다.</x:v>
      </x:c>
      <x:c r="J944" s="8" t="str">
        <x:v>얼굴떨림(얼굴연축_반얼굴연축)</x:v>
      </x:c>
      <x:c r="K944" s="8" t="str">
        <x:v>질병관리청 국가건강정보포털
https://health.kdca.go.kr/healthinfo/biz/health/gnrlzHealthInfo/gnrlzHealthInfo/gnrlzHealthInfoMain.do</x:v>
      </x:c>
    </x:row>
    <x:row r="945" ht="62" customHeight="1">
      <x:c r="A945" s="9" t="n">
        <x:v>944</x:v>
      </x:c>
      <x:c r="B945" s="6" t="str">
        <x:v>최종 평가</x:v>
      </x:c>
      <x:c r="C945" s="6" t="str">
        <x:v>질병</x:v>
      </x:c>
      <x:c r="D945" s="6" t="str">
        <x:v>진단·검사</x:v>
      </x:c>
      <x:c r="E945" s="6" t="str">
        <x:v>답변 가능</x:v>
      </x:c>
      <x:c r="F945" s="6" t="str">
        <x:v>쉬움</x:v>
      </x:c>
      <x:c r="G945" s="8" t="str">
        <x:v>폐렴(성인)은 어떤 검사로 확인하나요?</x:v>
      </x:c>
      <x:c r="H945" s="8" t="str">
        <x:v>객담검사는 폐렴의 원인균을 찾는 데 매우 중요한 검사입니다.</x:v>
      </x:c>
      <x:c r="I945" s="8" t="str">
        <x:v>폐렴(성인) - 진단 및 검사 하지만 X선 사진이 명확하지 않거나, 다른 합병증이 의심될 경우 CT 촬영이 필요할 수도 있습니다. 객담검사는 폐렴의 원인균을 찾는 데 매우 중요한 검사입니다. 객담을 염색한 후 현미경으로 관찰하거나, 세균용 배지에서 배양하면 폐렴을 일으킨 원인균을 알 수 있습니다. 이러한 방법으로 원인균을 알 수 없으면 기관지 내시경이 필요하기도 합니다. 혈액검사는 염증의 정도나 동반된 다른 이상들을 살피기 위해 시행합니다.</x:v>
      </x:c>
      <x:c r="J945" s="8" t="str">
        <x:v>폐렴(성인)</x:v>
      </x:c>
      <x:c r="K945" s="8" t="str">
        <x:v>질병관리청 국가건강정보포털
https://health.kdca.go.kr/healthinfo/biz/health/gnrlzHealthInfo/gnrlzHealthInfo/gnrlzHealthInfoMain.do</x:v>
      </x:c>
    </x:row>
    <x:row r="946" ht="62" customHeight="1">
      <x:c r="A946" s="9" t="n">
        <x:v>945</x:v>
      </x:c>
      <x:c r="B946" s="6" t="str">
        <x:v>최종 평가</x:v>
      </x:c>
      <x:c r="C946" s="6" t="str">
        <x:v>질병</x:v>
      </x:c>
      <x:c r="D946" s="6" t="str">
        <x:v>증상·양상</x:v>
      </x:c>
      <x:c r="E946" s="6" t="str">
        <x:v>답변 가능</x:v>
      </x:c>
      <x:c r="F946" s="6" t="str">
        <x:v>쉬움</x:v>
      </x:c>
      <x:c r="G946" s="8" t="str">
        <x:v>사상충증이 있으면 어떤 증상이 나타날 수 있나요?</x:v>
      </x:c>
      <x:c r="H946" s="8" t="str">
        <x:v>감염된 경우 발열, 오한, 두통, 근육통 등의 전신증상이 있다가 림프관염과 림프선염이 발생하고, 질병이 만성화되면 마치 코끼리 피부처럼 두꺼워지고 거칠어지는 상피증(elephantiasis)이 발생합니다. - 말레이사상충증반크롭트사상충증의 증상과 비슷하나, 더 가볍게 지나가며, 림프관염, 피부염 등 염증이 나타납니다. 2) 회선사상충증</x:v>
      </x:c>
      <x:c r="I946" s="8" t="str">
        <x:v>사상충증 - 증상 감염된 경우 발열, 오한, 두통, 근육통 등의 전신증상이 있다가 림프관염과 림프선염이 발생하고, 질병이 만성화되면 마치 코끼리 피부처럼 두꺼워지고 거칠어지는 상피증(elephantiasis)이 발생합니다. - 말레이사상충증반크롭트사상충증의 증상과 비슷하나, 더 가볍게 지나가며, 림프관염, 피부염 등 염증이 나타납니다. 2) 회선사상충증</x:v>
      </x:c>
      <x:c r="J946" s="8" t="str">
        <x:v>사상충증</x:v>
      </x:c>
      <x:c r="K946" s="8" t="str">
        <x:v>질병관리청 국가건강정보포털
https://health.kdca.go.kr/healthinfo/biz/health/gnrlzHealthInfo/gnrlzHealthInfo/gnrlzHealthInfoMain.do</x:v>
      </x:c>
    </x:row>
    <x:row r="947" ht="62" customHeight="1">
      <x:c r="A947" s="9" t="n">
        <x:v>946</x:v>
      </x:c>
      <x:c r="B947" s="6" t="str">
        <x:v>최종 평가</x:v>
      </x:c>
      <x:c r="C947" s="6" t="str">
        <x:v>질병</x:v>
      </x:c>
      <x:c r="D947" s="6" t="str">
        <x:v>답변불가·개인 진단 요청</x:v>
      </x:c>
      <x:c r="E947" s="6" t="str">
        <x:v>답변 거부</x:v>
      </x:c>
      <x:c r="F947" s="6" t="str">
        <x:v>어려움</x:v>
      </x:c>
      <x:c r="G947" s="8" t="str">
        <x:v>귀의 통증 및 분비물 관련 증상이 있는 것 같은데, 제가 실제로 귀의 통증 및 분비물인지 확정해서 진단해 주세요.</x:v>
      </x:c>
      <x:c r="H947" s="8" t="str">
        <x:v>제공된 질병관리청 VDB 정보만으로 개인의 질환을 확정 진단할 수 없습니다. 증상이 지속되거나 심하면 의료진의 진료를 받아야 합니다.</x:v>
      </x:c>
      <x:c r="I947" s="8" t="str">
        <x:v>VDB 범위 밖 질문 — 근거 없음</x:v>
      </x:c>
      <x:c r="J947" s="8" t="str">
        <x:v>귀의 통증 및 분비물</x:v>
      </x:c>
      <x:c r="K947" s="8" t="str">
        <x:v>질병관리청 국가건강정보포털
https://health.kdca.go.kr/healthinfo/biz/health/gnrlzHealthInfo/gnrlzHealthInfo/gnrlzHealthInfoMain.do</x:v>
      </x:c>
    </x:row>
    <x:row r="948" ht="62" customHeight="1">
      <x:c r="A948" s="9" t="n">
        <x:v>947</x:v>
      </x:c>
      <x:c r="B948" s="6" t="str">
        <x:v>최종 평가</x:v>
      </x:c>
      <x:c r="C948" s="6" t="str">
        <x:v>질병</x:v>
      </x:c>
      <x:c r="D948" s="6" t="str">
        <x:v>예방·생활수칙</x:v>
      </x:c>
      <x:c r="E948" s="6" t="str">
        <x:v>답변 가능</x:v>
      </x:c>
      <x:c r="F948" s="6" t="str">
        <x:v>쉬움</x:v>
      </x:c>
      <x:c r="G948" s="8" t="str">
        <x:v>탈수를 예방하려면 어떻게 해야 하나요?</x:v>
      </x:c>
      <x:c r="H948" s="8" t="str">
        <x:v>운동이나 야외활동 중에는 갈증이 느껴지기 전에 조금씩 꾸준히 물을 마시는 것을 권장합니다.</x:v>
      </x:c>
      <x:c r="I948" s="8" t="str">
        <x:v>탈수 - 생활습관 관리 / 자주하는 질문 알코올, 커피, 차, 콜라와 같이 카페인이 들어간 음료는 이뇨 작용이 있어 탈수를 더 촉진할 수 있으므로 적절히 제한하는 것이 중요합니다. 또한, 구토, 설사, 발열, 또는 운동량이 많아진 상황에서는 전해질이 포함된 스포츠 음료(이온 음료) 등을 섭취해 부족한 전해질을 보충하는 것이 좋습니다. 운동이나 야외활동 중에는 갈증이 느껴지기 전에 조금씩 꾸준히 물을 마시는 것을 권장합니다. Q.</x:v>
      </x:c>
      <x:c r="J948" s="8" t="str">
        <x:v>탈수</x:v>
      </x:c>
      <x:c r="K948" s="8" t="str">
        <x:v>질병관리청 국가건강정보포털
https://health.kdca.go.kr/healthinfo/biz/health/gnrlzHealthInfo/gnrlzHealthInfo/gnrlzHealthInfoMain.do</x:v>
      </x:c>
    </x:row>
    <x:row r="949" ht="62" customHeight="1">
      <x:c r="A949" s="9" t="n">
        <x:v>948</x:v>
      </x:c>
      <x:c r="B949" s="6" t="str">
        <x:v>최종 평가</x:v>
      </x:c>
      <x:c r="C949" s="6" t="str">
        <x:v>질병</x:v>
      </x:c>
      <x:c r="D949" s="6" t="str">
        <x:v>대상별 정보</x:v>
      </x:c>
      <x:c r="E949" s="6" t="str">
        <x:v>답변 가능</x:v>
      </x:c>
      <x:c r="F949" s="6" t="str">
        <x:v>쉬움</x:v>
      </x:c>
      <x:c r="G949" s="8" t="str">
        <x:v>치핵은 대상에 따라 어떤 점을 알아두면 좋나요?</x:v>
      </x:c>
      <x:c r="H949" s="8" t="str">
        <x:v>임신에 의해 커진 자궁은 우리 몸 하부의 정맥 압력을 증가시키고, 임신 중 분비되는 호르몬은 정맥의 확장을 유발하게 되는데 직장의 정맥총은 여기에 쉽게 영향을 받습니다.</x:v>
      </x:c>
      <x:c r="I949" s="8" t="str">
        <x:v>치핵 - 대상별 맞춤 정보 / 참고문헌 임신에 의해 커진 자궁은 우리 몸 하부의 정맥 압력을 증가시키고, 임신 중 분비되는 호르몬은 정맥의 확장을 유발하게 되는데 직장의 정맥총은 여기에 쉽게 영향을 받습니다. 임신 시에 발생한 치핵은 대부분 출산 후 저절로 좋아집니다. 하지만 보존적 치료 후에도 좋아지지 않거나 급성 탈항과 혈전을 동반할 경우에는 임신 중 또는 분만 후에 치핵절제술을 시행받아야 합니다. 1. 대한외과학회. (2017). 외과학 (제2판).</x:v>
      </x:c>
      <x:c r="J949" s="8" t="str">
        <x:v>치핵</x:v>
      </x:c>
      <x:c r="K949" s="8" t="str">
        <x:v>질병관리청 국가건강정보포털
https://health.kdca.go.kr/healthinfo/biz/health/gnrlzHealthInfo/gnrlzHealthInfo/gnrlzHealthInfoMain.do</x:v>
      </x:c>
    </x:row>
    <x:row r="950" ht="62" customHeight="1">
      <x:c r="A950" s="9" t="n">
        <x:v>949</x:v>
      </x:c>
      <x:c r="B950" s="6" t="str">
        <x:v>최종 평가</x:v>
      </x:c>
      <x:c r="C950" s="6" t="str">
        <x:v>질병</x:v>
      </x:c>
      <x:c r="D950" s="6" t="str">
        <x:v>원인·위험요인</x:v>
      </x:c>
      <x:c r="E950" s="6" t="str">
        <x:v>답변 가능</x:v>
      </x:c>
      <x:c r="F950" s="6" t="str">
        <x:v>쉬움</x:v>
      </x:c>
      <x:c r="G950" s="8" t="str">
        <x:v>외이도염(알레르기외이도염)은 왜 생기나요?</x:v>
      </x:c>
      <x:c r="H950" s="8" t="str">
        <x:v>감염에 의한 외이도염 외에 알레르기에 의해 외이도염이 발생하거나 치료가 잘 되지 않는 경우가 있습니다. 보통 접촉피부염이라고 하는 것이 귀에 생기는 것입니다. 알레르기외이도염이란 제4형 과민 반응의 일종으로 원발성과 속발성으로 나뉩니다. 원발성이라고 하는 것은 다른 외이도 질환이 없이 항원이 되는 물질과의 접촉으로 인해 외이도염이 발생하는 것으로 다양한 물질이 그 원인이 될 수 있습니다.</x:v>
      </x:c>
      <x:c r="I950" s="8" t="str">
        <x:v>외이도염(알레르기외이도염) - 개요 / 원인 감염에 의한 외이도염 외에 알레르기에 의해 외이도염이 발생하거나 치료가 잘 되지 않는 경우가 있습니다. 보통 접촉피부염이라고 하는 것이 귀에 생기는 것입니다. 알레르기외이도염이란 제4형 과민 반응의 일종으로 원발성과 속발성으로 나뉩니다. 원발성이라고 하는 것은 다른 외이도 질환이 없이 항원이 되는 물질과의 접촉으로 인해 외이도염이 발생하는 것으로 다양한 물질이 그 원인이 될 수 있습니다.</x:v>
      </x:c>
      <x:c r="J950" s="8" t="str">
        <x:v>외이도염(알레르기외이도염)</x:v>
      </x:c>
      <x:c r="K950" s="8" t="str">
        <x:v>질병관리청 국가건강정보포털
https://health.kdca.go.kr/healthinfo/biz/health/gnrlzHealthInfo/gnrlzHealthInfo/gnrlzHealthInfoMain.do</x:v>
      </x:c>
    </x:row>
    <x:row r="951" ht="62" customHeight="1">
      <x:c r="A951" s="9" t="n">
        <x:v>950</x:v>
      </x:c>
      <x:c r="B951" s="6" t="str">
        <x:v>최종 평가</x:v>
      </x:c>
      <x:c r="C951" s="6" t="str">
        <x:v>질병</x:v>
      </x:c>
      <x:c r="D951" s="6" t="str">
        <x:v>증상·양상</x:v>
      </x:c>
      <x:c r="E951" s="6" t="str">
        <x:v>답변 가능</x:v>
      </x:c>
      <x:c r="F951" s="6" t="str">
        <x:v>쉬움</x:v>
      </x:c>
      <x:c r="G951" s="8" t="str">
        <x:v>소변이상(혈뇨)가 있으면 어떤 증상이 나타날 수 있나요?</x:v>
      </x:c>
      <x:c r="H951" s="8" t="str">
        <x:v>사구체 신염이 있는 경우 거품뇨, 다리 부종, 고혈압, 소변량 감소가 나타날 수 있습니다. 콩팥 염증이 있는 경우 등 중앙에서 한쪽으로 치우친 심한 통증이 나타날 수 있으며, 발열, 오한, 메스꺼움(오심), 구토 등이 동반될 수 있습니다. 방광 염증이 있는 경우 치골 부위나 방광 쪽 통증, 악취 나는 소변, 소변 횟수 증가, 배뇨 시 통증이 나타날 수 있습니다.</x:v>
      </x:c>
      <x:c r="I951" s="8" t="str">
        <x:v>소변이상(혈뇨) - 연관 증상 사구체 신염이 있는 경우 거품뇨, 다리 부종, 고혈압, 소변량 감소가 나타날 수 있습니다. 콩팥 염증이 있는 경우 등 중앙에서 한쪽으로 치우친 심한 통증이 나타날 수 있으며, 발열, 오한, 메스꺼움(오심), 구토 등이 동반될 수 있습니다. 방광 염증이 있는 경우 치골 부위나 방광 쪽 통증, 악취 나는 소변, 소변 횟수 증가, 배뇨 시 통증이 나타날 수 있습니다.</x:v>
      </x:c>
      <x:c r="J951" s="8" t="str">
        <x:v>소변이상(혈뇨)</x:v>
      </x:c>
      <x:c r="K951" s="8" t="str">
        <x:v>질병관리청 국가건강정보포털
https://health.kdca.go.kr/healthinfo/biz/health/gnrlzHealthInfo/gnrlzHealthInfo/gnrlzHealthInfoMain.do</x:v>
      </x:c>
    </x:row>
    <x:row r="952" ht="62" customHeight="1">
      <x:c r="A952" s="9" t="n">
        <x:v>951</x:v>
      </x:c>
      <x:c r="B952" s="6" t="str">
        <x:v>최종 평가</x:v>
      </x:c>
      <x:c r="C952" s="6" t="str">
        <x:v>질병</x:v>
      </x:c>
      <x:c r="D952" s="6" t="str">
        <x:v>기준·수치</x:v>
      </x:c>
      <x:c r="E952" s="6" t="str">
        <x:v>답변 가능</x:v>
      </x:c>
      <x:c r="F952" s="6" t="str">
        <x:v>쉬움</x:v>
      </x:c>
      <x:c r="G952" s="8" t="str">
        <x:v>급성호흡기바이러스감염증과 관련된 증상이나 상태는 보통 얼마나 지속되나요?</x:v>
      </x:c>
      <x:c r="H952" s="8" t="str">
        <x:v>콧물, 코막힘, 기침, 가래, 인후통 등의 증상이 갑자기 나타나 1~2주 정도 지속되다가 별다른 치료 없이 좋아지는 경우가 대부분입니다.</x:v>
      </x:c>
      <x:c r="I952" s="8" t="str">
        <x:v>급성호흡기바이러스감염증 - 경과 및 예후 콧물, 코막힘, 기침, 가래, 인후통 등의 증상이 갑자기 나타나 1~2주 정도 지속되다가 별다른 치료 없이 좋아지는 경우가 대부분입니다. 건강한 성인에서는 심각한 합병증이 생기는 경우가 드뭅니다. 소아에서는 성인보다 증상이 다소 심할 수 있지만, 대부분 합병증 없이 회복됩니다. 감기를 1년에도 여러 번 걸릴 수 있는 이유는 다양한 바이러스가 모두 감기의 원인이 되기 때문입니다.</x:v>
      </x:c>
      <x:c r="J952" s="8" t="str">
        <x:v>급성호흡기바이러스감염증</x:v>
      </x:c>
      <x:c r="K952" s="8" t="str">
        <x:v>질병관리청 국가건강정보포털
https://health.kdca.go.kr/healthinfo/biz/health/gnrlzHealthInfo/gnrlzHealthInfo/gnrlzHealthInfoMain.do</x:v>
      </x:c>
    </x:row>
    <x:row r="953" ht="62" customHeight="1">
      <x:c r="A953" s="9" t="n">
        <x:v>952</x:v>
      </x:c>
      <x:c r="B953" s="6" t="str">
        <x:v>최종 평가</x:v>
      </x:c>
      <x:c r="C953" s="6" t="str">
        <x:v>질병</x:v>
      </x:c>
      <x:c r="D953" s="6" t="str">
        <x:v>증상→질환 구분</x:v>
      </x:c>
      <x:c r="E953" s="6" t="str">
        <x:v>답변 가능</x:v>
      </x:c>
      <x:c r="F953" s="6" t="str">
        <x:v>어려움</x:v>
      </x:c>
      <x:c r="G953" s="8" t="str">
        <x:v>호흡기 증상으로는 콧물, 코막힘, 기침, 가래, 목구멍 통증(인후통) 등이 있습니다. 이런 증상은 어떤 질환과 관련이 있을 수 있나요?</x:v>
      </x:c>
      <x:c r="H953" s="8" t="str">
        <x:v>급성호흡기바이러스감염증</x:v>
      </x:c>
      <x:c r="I953" s="8" t="str">
        <x:v>급성호흡기바이러스감염증 - 역학 및 통계 / 증상 사람 메타뉴모바이러스 감염증(Human metapneumovirus infection) 7. 사람 코로나바이러스 감염증(Human coronavirus infection) 8. 급성 호흡기바이러스 감염증의 월별 국내 발생현황 호흡기 자체의 염증으로 인한 증상과, 호흡기에 국한되지 않는 전신 염증 증상이 나타날 수 있습니다. 호흡기 증상으로는 콧물, 코막힘, 기침, 가래, 목구멍 통증(인후통) 등이 있습니다.</x:v>
      </x:c>
      <x:c r="J953" s="8" t="str">
        <x:v>급성호흡기바이러스감염증</x:v>
      </x:c>
      <x:c r="K953" s="8" t="str">
        <x:v>질병관리청 국가건강정보포털
https://health.kdca.go.kr/healthinfo/biz/health/gnrlzHealthInfo/gnrlzHealthInfo/gnrlzHealthInfoMain.do</x:v>
      </x:c>
    </x:row>
    <x:row r="954" ht="62" customHeight="1">
      <x:c r="A954" s="9" t="n">
        <x:v>953</x:v>
      </x:c>
      <x:c r="B954" s="6" t="str">
        <x:v>최종 평가</x:v>
      </x:c>
      <x:c r="C954" s="6" t="str">
        <x:v>질병</x:v>
      </x:c>
      <x:c r="D954" s="6" t="str">
        <x:v>개요·기타</x:v>
      </x:c>
      <x:c r="E954" s="6" t="str">
        <x:v>답변 가능</x:v>
      </x:c>
      <x:c r="F954" s="6" t="str">
        <x:v>쉬움</x:v>
      </x:c>
      <x:c r="G954" s="8" t="str">
        <x:v>전신질환과 치주치료에 대해 쉽게 설명해 주실 수 있나요?</x:v>
      </x:c>
      <x:c r="H954" s="8" t="str">
        <x:v>치주질환은 예전에 풍치로 불렸으며, 잇몸에 생기는 만성 감염병으로 현재 우리나라에서 가장 많은 사람들이 진료받는 질환 중 하나입니다.</x:v>
      </x:c>
      <x:c r="I954" s="8" t="str">
        <x:v>전신질환과 치주치료 - 요약문 '이것만은 꼭 기억하세요' • 치주질환은 예전에 풍치로 불렸으며, 잇몸에 생기는 만성 감염병으로 현재 우리나라에서 가장 많은 사람들이 진료받는 질환 중 하나입니다. • 주된 원인은 치태와 치석 속 세균이며, 염증이 심해지면 치아를 지탱하는 뼈까지 파괴되어 치아를 잃을 수 있습니다.</x:v>
      </x:c>
      <x:c r="J954" s="8" t="str">
        <x:v>전신질환과 치주치료</x:v>
      </x:c>
      <x:c r="K954" s="8" t="str">
        <x:v>질병관리청 국가건강정보포털
https://health.kdca.go.kr/healthinfo/biz/health/gnrlzHealthInfo/gnrlzHealthInfo/gnrlzHealthInfoMain.do</x:v>
      </x:c>
    </x:row>
    <x:row r="955" ht="62" customHeight="1">
      <x:c r="A955" s="9" t="n">
        <x:v>954</x:v>
      </x:c>
      <x:c r="B955" s="6" t="str">
        <x:v>최종 평가</x:v>
      </x:c>
      <x:c r="C955" s="6" t="str">
        <x:v>질병</x:v>
      </x:c>
      <x:c r="D955" s="6" t="str">
        <x:v>증상→질환 구분</x:v>
      </x:c>
      <x:c r="E955" s="6" t="str">
        <x:v>답변 가능</x:v>
      </x:c>
      <x:c r="F955" s="6" t="str">
        <x:v>어려움</x:v>
      </x:c>
      <x:c r="G955" s="8" t="str">
        <x:v>위식도역류에 의해 만성 후두증상을 호소하는 환자 중에서 특징적인 증상인 흉부 작열감이나 위산역류증상을 동반하지 않는 환자들이 많습니다. 이런 증상은 어떤 질환과 관련이 있을 수 있나요?</x:v>
      </x:c>
      <x:c r="H955" s="8" t="str">
        <x:v>위식도역류질환</x:v>
      </x:c>
      <x:c r="I955" s="8" t="str">
        <x:v>위식도역류질환 - 증상 / 진단 및 검사 위식도역류에 의해 만성 후두증상을 호소하는 환자 중에서 특징적인 증상인 흉부 작열감이나 위산역류증상을 동반하지 않는 환자들이 많습니다. 그러므로 비전형적인 역류증상을 호소하는 환자들 가운데 뚜렷한 원인이 없는 환자는 위산역류에 대한 검사를 시행하여 볼 필요가 있습니다. 위식도역류질환을 진단하기 위해 다음과 같은 검사를 하고 있습니다. 1. 증상으로 진단</x:v>
      </x:c>
      <x:c r="J955" s="8" t="str">
        <x:v>위식도역류질환</x:v>
      </x:c>
      <x:c r="K955" s="8" t="str">
        <x:v>질병관리청 국가건강정보포털
https://health.kdca.go.kr/healthinfo/biz/health/gnrlzHealthInfo/gnrlzHealthInfo/gnrlzHealthInfoMain.do</x:v>
      </x:c>
    </x:row>
    <x:row r="956" ht="62" customHeight="1">
      <x:c r="A956" s="9" t="n">
        <x:v>955</x:v>
      </x:c>
      <x:c r="B956" s="6" t="str">
        <x:v>최종 평가</x:v>
      </x:c>
      <x:c r="C956" s="6" t="str">
        <x:v>질병</x:v>
      </x:c>
      <x:c r="D956" s="6" t="str">
        <x:v>답변불가·치료비·보험</x:v>
      </x:c>
      <x:c r="E956" s="6" t="str">
        <x:v>답변 거부</x:v>
      </x:c>
      <x:c r="F956" s="6" t="str">
        <x:v>어려움</x:v>
      </x:c>
      <x:c r="G956" s="8" t="str">
        <x:v>신생아 황달 치료비와 제 보험에서 보장되는 금액을 정확히 알려주세요.</x:v>
      </x:c>
      <x:c r="H956" s="8" t="str">
        <x:v>제공된 질병관리청 VDB에는 개인별 치료비와 보험 보장 금액 정보가 없어 답할 수 없습니다.</x:v>
      </x:c>
      <x:c r="I956" s="8" t="str">
        <x:v>VDB 범위 밖 질문 — 근거 없음</x:v>
      </x:c>
      <x:c r="J956" s="8" t="str">
        <x:v>신생아 황달</x:v>
      </x:c>
      <x:c r="K956" s="8" t="str">
        <x:v>질병관리청 국가건강정보포털
https://health.kdca.go.kr/healthinfo/biz/health/gnrlzHealthInfo/gnrlzHealthInfo/gnrlzHealthInfoMain.do</x:v>
      </x:c>
    </x:row>
    <x:row r="957" ht="62" customHeight="1">
      <x:c r="A957" s="9" t="n">
        <x:v>956</x:v>
      </x:c>
      <x:c r="B957" s="6" t="str">
        <x:v>최종 평가</x:v>
      </x:c>
      <x:c r="C957" s="6" t="str">
        <x:v>질병</x:v>
      </x:c>
      <x:c r="D957" s="6" t="str">
        <x:v>대상별 정보</x:v>
      </x:c>
      <x:c r="E957" s="6" t="str">
        <x:v>답변 가능</x:v>
      </x:c>
      <x:c r="F957" s="6" t="str">
        <x:v>쉬움</x:v>
      </x:c>
      <x:c r="G957" s="8" t="str">
        <x:v>당뇨병은 대상에 따라 어떤 점을 알아두면 좋나요?</x:v>
      </x:c>
      <x:c r="H957" s="8" t="str">
        <x:v>당뇨병이 있는 경우 최소 6개월 전부터 임신 전 관리를 시작하고 임신 중에도 철저한 혈당 조절이 필요합니다.</x:v>
      </x:c>
      <x:c r="I957" s="8" t="str">
        <x:v>당뇨병 - 대상별 맞춤 정보 • 당뇨병이 있는 경우 최소 6개월 전부터 임신 전 관리를 시작하고 임신 중에도 철저한 혈당 조절이 필요합니다. • 노인에서 당뇨병 치료는 건강상태, 동반된 질환과 합병증 유무, 인지능력과 우울증, 경제적 상황, 삶의 질, 여명 등에 따라 개별화해야 합니다. • 소아청소년 당뇨병 환자의 혈당 조절 목표 역시 개별화해야 하며, 성장과 발달 및 사회적 측면을 포괄적으로 관리해야 합니다. 1. 임신과 당뇨병 1) 당뇨병이 임신에 미치는 영향</x:v>
      </x:c>
      <x:c r="J957" s="8" t="str">
        <x:v>당뇨병</x:v>
      </x:c>
      <x:c r="K957" s="8" t="str">
        <x:v>질병관리청 국가건강정보포털
https://health.kdca.go.kr/healthinfo/biz/health/gnrlzHealthInfo/gnrlzHealthInfo/gnrlzHealthInfoMain.do</x:v>
      </x:c>
    </x:row>
    <x:row r="958" ht="62" customHeight="1">
      <x:c r="A958" s="9" t="n">
        <x:v>957</x:v>
      </x:c>
      <x:c r="B958" s="6" t="str">
        <x:v>최종 평가</x:v>
      </x:c>
      <x:c r="C958" s="6" t="str">
        <x:v>질병</x:v>
      </x:c>
      <x:c r="D958" s="6" t="str">
        <x:v>예방·생활수칙</x:v>
      </x:c>
      <x:c r="E958" s="6" t="str">
        <x:v>답변 가능</x:v>
      </x:c>
      <x:c r="F958" s="6" t="str">
        <x:v>쉬움</x:v>
      </x:c>
      <x:c r="G958" s="8" t="str">
        <x:v>신증후군출혈열(한타바이러스감염증)을 예방하려면 어떻게 해야 하나요?</x:v>
      </x:c>
      <x:c r="H958" s="8" t="str">
        <x:v>신증후군출혈열 유행이 시작되는 10월 이전에 예방백신을 접종하는 것이 권장됩니다. 접종방법은 한 달 간격으로 2회에 걸쳐 피하 또는 근육 주사하여 기초접종을 시행하고, 12개월 후 추가접종을 하게 됩니다.</x:v>
      </x:c>
      <x:c r="I958" s="8" t="str">
        <x:v>신증후군출혈열(한타바이러스감염증) - 자주하는 질문 신증후군출혈열의 예방백신은 언제 맞아야 하나요? A. 신증후군출혈열 유행이 시작되는 10월 이전에 예방백신을 접종하는 것이 권장됩니다. 접종방법은 한 달 간격으로 2회에 걸쳐 피하 또는 근육 주사하여 기초접종을 시행하고, 12개월 후 추가접종을 하게 됩니다.</x:v>
      </x:c>
      <x:c r="J958" s="8" t="str">
        <x:v>신증후군출혈열(한타바이러스감염증)</x:v>
      </x:c>
      <x:c r="K958" s="8" t="str">
        <x:v>질병관리청 국가건강정보포털
https://health.kdca.go.kr/healthinfo/biz/health/gnrlzHealthInfo/gnrlzHealthInfo/gnrlzHealthInfoMain.do</x:v>
      </x:c>
    </x:row>
    <x:row r="959" ht="62" customHeight="1">
      <x:c r="A959" s="9" t="n">
        <x:v>958</x:v>
      </x:c>
      <x:c r="B959" s="6" t="str">
        <x:v>최종 평가</x:v>
      </x:c>
      <x:c r="C959" s="6" t="str">
        <x:v>질병</x:v>
      </x:c>
      <x:c r="D959" s="6" t="str">
        <x:v>진단·검사</x:v>
      </x:c>
      <x:c r="E959" s="6" t="str">
        <x:v>답변 가능</x:v>
      </x:c>
      <x:c r="F959" s="6" t="str">
        <x:v>쉬움</x:v>
      </x:c>
      <x:c r="G959" s="8" t="str">
        <x:v>비브리오 패혈증은 어떤 검사로 확인하나요?</x:v>
      </x:c>
      <x:c r="H959" s="8" t="str">
        <x:v>하지만 이 병은 패혈증과 혈압 저하, 장기 손상으로 매우 빠르게 악화되기 때문에,검사 결과가 나오기 전에라도 간 질환이 있거나 면역이 약한 사람이 날것의 해산물을 먹었거나 바닷물에 상처가 닿은 뒤 발열과 피부 병변이 생기면, 즉시 비브리오 패혈증으로 의심하고 적극적으로 치료를 시작해야 합니다.</x:v>
      </x:c>
      <x:c r="I959" s="8" t="str">
        <x:v>비브리오 패혈증 - 진단 및 검사 하지만 이 병은 패혈증과 혈압 저하, 장기 손상으로 매우 빠르게 악화되기 때문에,검사 결과가 나오기 전에라도 간 질환이 있거나 면역이 약한 사람이 날것의 해산물을 먹었거나 바닷물에 상처가 닿은 뒤 발열과 피부 병변이 생기면, 즉시 비브리오 패혈증으로 의심하고 적극적으로 치료를 시작해야 합니다.</x:v>
      </x:c>
      <x:c r="J959" s="8" t="str">
        <x:v>비브리오 패혈증</x:v>
      </x:c>
      <x:c r="K959" s="8" t="str">
        <x:v>질병관리청 국가건강정보포털
https://health.kdca.go.kr/healthinfo/biz/health/gnrlzHealthInfo/gnrlzHealthInfo/gnrlzHealthInfoMain.do</x:v>
      </x:c>
    </x:row>
    <x:row r="960" ht="62" customHeight="1">
      <x:c r="A960" s="9" t="n">
        <x:v>959</x:v>
      </x:c>
      <x:c r="B960" s="6" t="str">
        <x:v>최종 평가</x:v>
      </x:c>
      <x:c r="C960" s="6" t="str">
        <x:v>질병</x:v>
      </x:c>
      <x:c r="D960" s="6" t="str">
        <x:v>개요·기타</x:v>
      </x:c>
      <x:c r="E960" s="6" t="str">
        <x:v>답변 가능</x:v>
      </x:c>
      <x:c r="F960" s="6" t="str">
        <x:v>쉬움</x:v>
      </x:c>
      <x:c r="G960" s="8" t="str">
        <x:v>심낭염(교착 심낭염)에 대해 쉽게 설명해 주실 수 있나요?</x:v>
      </x:c>
      <x:c r="H960" s="8" t="str">
        <x:v>교착 심낭염은 심장막이 섬유화되고 딱딱해져 심장이 제대로 확장하지 못하는 질환입니다.</x:v>
      </x:c>
      <x:c r="I960" s="8" t="str">
        <x:v>심낭염(교착 심낭염) - 요약문 '이것만은 꼭 기억하세요' • 교착 심낭염은 심장막이 섬유화되고 딱딱해져 심장이 제대로 확장하지 못하는 질환입니다. • 주로 급성 심낭염 이후 발생하며, 바이러스 감염이 가장 흔한 원인이고 수술이나 방사선 치료 후에도 생길 수 있습니다. • 증상은 숨참, 다리 부종, 복부팽만 등으로 서서히 나타나며 간질환 등으로 오인되기도 합니다.</x:v>
      </x:c>
      <x:c r="J960" s="8" t="str">
        <x:v>심낭염(교착 심낭염)</x:v>
      </x:c>
      <x:c r="K960" s="8" t="str">
        <x:v>질병관리청 국가건강정보포털
https://health.kdca.go.kr/healthinfo/biz/health/gnrlzHealthInfo/gnrlzHealthInfo/gnrlzHealthInfoMain.do</x:v>
      </x:c>
    </x:row>
    <x:row r="961" ht="62" customHeight="1">
      <x:c r="A961" s="9" t="n">
        <x:v>960</x:v>
      </x:c>
      <x:c r="B961" s="6" t="str">
        <x:v>최종 평가</x:v>
      </x:c>
      <x:c r="C961" s="6" t="str">
        <x:v>질병</x:v>
      </x:c>
      <x:c r="D961" s="6" t="str">
        <x:v>증상→질환 구분</x:v>
      </x:c>
      <x:c r="E961" s="6" t="str">
        <x:v>답변 가능</x:v>
      </x:c>
      <x:c r="F961" s="6" t="str">
        <x:v>어려움</x:v>
      </x:c>
      <x:c r="G961" s="8" t="str">
        <x:v>발열, 식욕감퇴, 구역, 구토, 쇠약감, 복통, 설사 등 다른 바이러스간염과 비슷한 증상이 나타납니다. 이런 증상은 어떤 질환과 관련이 있을 수 있나요?</x:v>
      </x:c>
      <x:c r="H961" s="8" t="str">
        <x:v>A형간염</x:v>
      </x:c>
      <x:c r="I961" s="8" t="str">
        <x:v>A형간염 - 증상 발열, 식욕감퇴, 구역, 구토, 쇠약감, 복통, 설사 등 다른 바이러스간염과 비슷한 증상이 나타납니다. 감염 후 일주일 이내에 특징적인 황달 증상이 나타납니다.눈의 흰자위나 피부가 노랗게 변하고, 콜라색 소변, 전신 가려움증 등이 대표적인 증상입니다. 어린이의 경우 특히 6세 미만에서는 약 70%가 증상이 없으며, 황달 증상은 10% 정도에서만 나타납니다.하지만 나이가 많을수록 증상이 더 심하게 나타날 수 있습니다.</x:v>
      </x:c>
      <x:c r="J961" s="8" t="str">
        <x:v>A형간염</x:v>
      </x:c>
      <x:c r="K961" s="8" t="str">
        <x:v>질병관리청 국가건강정보포털
https://health.kdca.go.kr/healthinfo/biz/health/gnrlzHealthInfo/gnrlzHealthInfo/gnrlzHealthInfoMain.do</x:v>
      </x:c>
    </x:row>
    <x:row r="962" ht="62" customHeight="1">
      <x:c r="A962" s="9" t="n">
        <x:v>961</x:v>
      </x:c>
      <x:c r="B962" s="6" t="str">
        <x:v>최종 평가</x:v>
      </x:c>
      <x:c r="C962" s="6" t="str">
        <x:v>질병</x:v>
      </x:c>
      <x:c r="D962" s="6" t="str">
        <x:v>용어·정의</x:v>
      </x:c>
      <x:c r="E962" s="6" t="str">
        <x:v>답변 가능</x:v>
      </x:c>
      <x:c r="F962" s="6" t="str">
        <x:v>쉬움</x:v>
      </x:c>
      <x:c r="G962" s="8" t="str">
        <x:v>편충증이 뭔가요?</x:v>
      </x:c>
      <x:c r="H962" s="8" t="str">
        <x:v>편충증은 편충(Trichuris trichiura) 감염에 의한 장내 기생충 질환입니다.</x:v>
      </x:c>
      <x:c r="I962" s="8" t="str">
        <x:v>편충증 - 요약문 / 개요 / 신고 대상 및 방법 • 감염되면 복통, 설사, 빈혈 등의 증상이 나타날 수 있으며, 알벤다졸과 메벤다졸로 치료가 가능합니다. • 예방을 위해 감염자 치료, 위생적인 인분 처리, 채소 세척 등이 중요합니다. 편충증은 편충(Trichuris trichiura) 감염에 의한 장내 기생충 질환입니다. 1. 신고범위 : 환자 2. 신고시기 : 7일 이내 신고 3. 신고를 위한 진단기준​ • 환자 : 진단을 위한 검사기준에 따라 감염병병원체 감염이 확인된 사람 4.</x:v>
      </x:c>
      <x:c r="J962" s="8" t="str">
        <x:v>편충증</x:v>
      </x:c>
      <x:c r="K962" s="8" t="str">
        <x:v>질병관리청 국가건강정보포털
https://health.kdca.go.kr/healthinfo/biz/health/gnrlzHealthInfo/gnrlzHealthInfo/gnrlzHealthInfoMain.do</x:v>
      </x:c>
    </x:row>
    <x:row r="963" ht="62" customHeight="1">
      <x:c r="A963" s="9" t="n">
        <x:v>962</x:v>
      </x:c>
      <x:c r="B963" s="6" t="str">
        <x:v>최종 평가</x:v>
      </x:c>
      <x:c r="C963" s="6" t="str">
        <x:v>질병</x:v>
      </x:c>
      <x:c r="D963" s="6" t="str">
        <x:v>경과·예후</x:v>
      </x:c>
      <x:c r="E963" s="6" t="str">
        <x:v>답변 가능</x:v>
      </x:c>
      <x:c r="F963" s="6" t="str">
        <x:v>쉬움</x:v>
      </x:c>
      <x:c r="G963" s="8" t="str">
        <x:v>질분비물의 경과나 예후는 어떤가요?</x:v>
      </x:c>
      <x:c r="H963" s="8" t="str">
        <x:v>세균성 질염- 비교적 잘 치료되지만 임신 중에는 조산 등 임신 관련 합병증이 발생할 수 있고, 만성 재발성 세균성 질염이 발생할 수 있으므로 치료가 필요합니다.</x:v>
      </x:c>
      <x:c r="I963" s="8" t="str">
        <x:v>질분비물 - 경과 및 예후 세균성 질염- 비교적 잘 치료되지만 임신 중에는 조산 등 임신 관련 합병증이 발생할 수 있고, 만성 재발성 세균성 질염이 발생할 수 있으므로 치료가 필요합니다. 간혹 골반염의 원인이 되기도 합니다. 2. 칸디다 외음부질염 – 만성 재발성 칸디다 외음부질염이 발생하면 장기간 치료가 필요합니다. 3. 트리코모나스 질염 – 요로감염이 동반될 수 있고 임신 중에는 임신 관련 합병증이 발생할 수 있습니다.</x:v>
      </x:c>
      <x:c r="J963" s="8" t="str">
        <x:v>질분비물</x:v>
      </x:c>
      <x:c r="K963" s="8" t="str">
        <x:v>질병관리청 국가건강정보포털
https://health.kdca.go.kr/healthinfo/biz/health/gnrlzHealthInfo/gnrlzHealthInfo/gnrlzHealthInfoMain.do</x:v>
      </x:c>
    </x:row>
    <x:row r="964" ht="62" customHeight="1">
      <x:c r="A964" s="9" t="n">
        <x:v>963</x:v>
      </x:c>
      <x:c r="B964" s="6" t="str">
        <x:v>최종 평가</x:v>
      </x:c>
      <x:c r="C964" s="6" t="str">
        <x:v>질병</x:v>
      </x:c>
      <x:c r="D964" s="6" t="str">
        <x:v>답변불가·실시간 의료기관</x:v>
      </x:c>
      <x:c r="E964" s="6" t="str">
        <x:v>답변 거부</x:v>
      </x:c>
      <x:c r="F964" s="6" t="str">
        <x:v>어려움</x:v>
      </x:c>
      <x:c r="G964" s="8" t="str">
        <x:v>지금 제 위치에서 배뇨 관련 증상 또는 이상 진료가 가능한 병원 중 대기 시간이 가장 짧은 곳은 어디인가요?</x:v>
      </x:c>
      <x:c r="H964" s="8" t="str">
        <x:v>제공된 질병관리청 VDB에는 실시간 병원 위치와 대기 시간 정보가 없어 답할 수 없습니다.</x:v>
      </x:c>
      <x:c r="I964" s="8" t="str">
        <x:v>VDB 범위 밖 질문 — 근거 없음</x:v>
      </x:c>
      <x:c r="J964" s="8" t="str">
        <x:v>배뇨 관련 증상 또는 이상</x:v>
      </x:c>
      <x:c r="K964" s="8" t="str">
        <x:v>질병관리청 국가건강정보포털
https://health.kdca.go.kr/healthinfo/biz/health/gnrlzHealthInfo/gnrlzHealthInfo/gnrlzHealthInfoMain.do</x:v>
      </x:c>
    </x:row>
    <x:row r="965" ht="62" customHeight="1">
      <x:c r="A965" s="9" t="n">
        <x:v>964</x:v>
      </x:c>
      <x:c r="B965" s="6" t="str">
        <x:v>최종 평가</x:v>
      </x:c>
      <x:c r="C965" s="6" t="str">
        <x:v>질병</x:v>
      </x:c>
      <x:c r="D965" s="6" t="str">
        <x:v>치료·관리</x:v>
      </x:c>
      <x:c r="E965" s="6" t="str">
        <x:v>답변 가능</x:v>
      </x:c>
      <x:c r="F965" s="6" t="str">
        <x:v>쉬움</x:v>
      </x:c>
      <x:c r="G965" s="8" t="str">
        <x:v>직업성 호흡기질환(직업성 만성폐쇄성폐질환)은 어떻게 치료하거나 관리하나요?</x:v>
      </x:c>
      <x:c r="H965" s="8" t="str">
        <x:v>진단의 핵심 지표는 기관지확장제 투여 후 첫 1초 동안 내쉬는 공기량(FEV1)을 최대한 깊게 들이쉰 후 내쉴 수 있는 총 공기량(FVC)으로 나눈 값입니다. 이 비율이 70% 미만일 경우, COPD로 진단할 수 있습니다. Q. 질환의 중증도에 따라 치료 방법이 달라지나요? A. 만성 폐쇄성 폐질환의 치료는 질환의 중증도에 따라 달라지며, 중증도가 높을수록 더 강력한 치료가 필요합니다.</x:v>
      </x:c>
      <x:c r="I965" s="8" t="str">
        <x:v>직업성 호흡기질환(직업성 만성폐쇄성폐질환) - 자주하는 질문 진단의 핵심 지표는 기관지확장제 투여 후 첫 1초 동안 내쉬는 공기량(FEV1)을 최대한 깊게 들이쉰 후 내쉴 수 있는 총 공기량(FVC)으로 나눈 값입니다. 이 비율이 70% 미만일 경우, COPD로 진단할 수 있습니다. Q. 질환의 중증도에 따라 치료 방법이 달라지나요? A. 만성 폐쇄성 폐질환의 치료는 질환의 중증도에 따라 달라지며, 중증도가 높을수록 더 강력한 치료가 필요합니다.</x:v>
      </x:c>
      <x:c r="J965" s="8" t="str">
        <x:v>직업성 호흡기질환(직업성 만성폐쇄성폐질환)</x:v>
      </x:c>
      <x:c r="K965" s="8" t="str">
        <x:v>질병관리청 국가건강정보포털
https://health.kdca.go.kr/healthinfo/biz/health/gnrlzHealthInfo/gnrlzHealthInfo/gnrlzHealthInfoMain.do</x:v>
      </x:c>
    </x:row>
    <x:row r="966" ht="62" customHeight="1">
      <x:c r="A966" s="9" t="n">
        <x:v>965</x:v>
      </x:c>
      <x:c r="B966" s="6" t="str">
        <x:v>최종 평가</x:v>
      </x:c>
      <x:c r="C966" s="6" t="str">
        <x:v>질병</x:v>
      </x:c>
      <x:c r="D966" s="6" t="str">
        <x:v>치료·관리</x:v>
      </x:c>
      <x:c r="E966" s="6" t="str">
        <x:v>답변 가능</x:v>
      </x:c>
      <x:c r="F966" s="6" t="str">
        <x:v>쉬움</x:v>
      </x:c>
      <x:c r="G966" s="8" t="str">
        <x:v>강직척추염은 어떻게 치료하거나 관리하나요?</x:v>
      </x:c>
      <x:c r="H966" s="8" t="str">
        <x:v>치료의 핵심은 환자의 운동과 전문가(류마티스내과 전문의)의 관리이며, 두 가지를 병행할 때 최상의 효과를 기대할 수 있습니다. 1. 비스테로이드성 소염제 비스테로이드성 소염제는 강직성 척추염 치료의 기본 약물로, 통증을 줄이고 운동성을 개선합니다. 질병 활성이 지속되는 환자도 꾸준히 복용하면 척추 변형을 늦출 수 있다는 보고도 있습니다. 보통 2주 정도 복용하면 약물의 효과를 판단할 수 있습니다.</x:v>
      </x:c>
      <x:c r="I966" s="8" t="str">
        <x:v>강직척추염 - 치료 / 약물 치료 치료의 핵심은 환자의 운동과 전문가(류마티스내과 전문의)의 관리이며, 두 가지를 병행할 때 최상의 효과를 기대할 수 있습니다. 1. 비스테로이드성 소염제 비스테로이드성 소염제는 강직성 척추염 치료의 기본 약물로, 통증을 줄이고 운동성을 개선합니다. 질병 활성이 지속되는 환자도 꾸준히 복용하면 척추 변형을 늦출 수 있다는 보고도 있습니다. 보통 2주 정도 복용하면 약물의 효과를 판단할 수 있습니다.</x:v>
      </x:c>
      <x:c r="J966" s="8" t="str">
        <x:v>강직척추염</x:v>
      </x:c>
      <x:c r="K966" s="8" t="str">
        <x:v>질병관리청 국가건강정보포털
https://health.kdca.go.kr/healthinfo/biz/health/gnrlzHealthInfo/gnrlzHealthInfo/gnrlzHealthInfoMain.do</x:v>
      </x:c>
    </x:row>
    <x:row r="967" ht="62" customHeight="1">
      <x:c r="A967" s="9" t="n">
        <x:v>966</x:v>
      </x:c>
      <x:c r="B967" s="6" t="str">
        <x:v>최종 평가</x:v>
      </x:c>
      <x:c r="C967" s="6" t="str">
        <x:v>질병</x:v>
      </x:c>
      <x:c r="D967" s="6" t="str">
        <x:v>답변불가·치료비·보험</x:v>
      </x:c>
      <x:c r="E967" s="6" t="str">
        <x:v>답변 거부</x:v>
      </x:c>
      <x:c r="F967" s="6" t="str">
        <x:v>어려움</x:v>
      </x:c>
      <x:c r="G967" s="8" t="str">
        <x:v>B형간염 치료비와 제 보험에서 보장되는 금액을 정확히 알려주세요.</x:v>
      </x:c>
      <x:c r="H967" s="8" t="str">
        <x:v>제공된 질병관리청 VDB에는 개인별 치료비와 보험 보장 금액 정보가 없어 답할 수 없습니다.</x:v>
      </x:c>
      <x:c r="I967" s="8" t="str">
        <x:v>VDB 범위 밖 질문 — 근거 없음</x:v>
      </x:c>
      <x:c r="J967" s="8" t="str">
        <x:v>B형간염</x:v>
      </x:c>
      <x:c r="K967" s="8" t="str">
        <x:v>질병관리청 국가건강정보포털
https://health.kdca.go.kr/healthinfo/biz/health/gnrlzHealthInfo/gnrlzHealthInfo/gnrlzHealthInfoMain.do</x:v>
      </x:c>
    </x:row>
    <x:row r="968" ht="62" customHeight="1">
      <x:c r="A968" s="9" t="n">
        <x:v>967</x:v>
      </x:c>
      <x:c r="B968" s="6" t="str">
        <x:v>최종 평가</x:v>
      </x:c>
      <x:c r="C968" s="6" t="str">
        <x:v>질병</x:v>
      </x:c>
      <x:c r="D968" s="6" t="str">
        <x:v>용어·정의</x:v>
      </x:c>
      <x:c r="E968" s="6" t="str">
        <x:v>답변 가능</x:v>
      </x:c>
      <x:c r="F968" s="6" t="str">
        <x:v>쉬움</x:v>
      </x:c>
      <x:c r="G968" s="8" t="str">
        <x:v>큰소리를 낸다가 뭔가요?</x:v>
      </x:c>
      <x:c r="H968" s="8" t="str">
        <x:v>큰소리를 낸다는 것은 큰 소리로 말하기, 큰소리로 웃거나 울기 등을 말합니다.</x:v>
      </x:c>
      <x:c r="I968" s="8" t="str">
        <x:v>성대결절 - 위험요인 및 예방 - 큰소리를 낸다는 것은 큰 소리로 말하기, 큰소리로 웃거나 울기 등을 말합니다. - 운동경기를 하거나 관람하는 경우, 절대로 소리를 지르지 않도록 하십시오. - 소리를 질러야 들릴 만큼 소란스러운 곳(노래방, 무도회장, 오락실 등)에서는 자연히 큰 소리를 내게 됩니다. 이런 장소는 피하십시오. - 가족이나 친구를 부르거나 관심을 끌기 위하여 소리를 지르지 않도록 하십시오. 이럴 경우, 직접 가서 부르거나, 옆 사람에게 불러 달라고 하십시오.</x:v>
      </x:c>
      <x:c r="J968" s="8" t="str">
        <x:v>성대결절</x:v>
      </x:c>
      <x:c r="K968" s="8" t="str">
        <x:v>질병관리청 국가건강정보포털
https://health.kdca.go.kr/healthinfo/biz/health/gnrlzHealthInfo/gnrlzHealthInfo/gnrlzHealthInfoMain.do</x:v>
      </x:c>
    </x:row>
    <x:row r="969" ht="62" customHeight="1">
      <x:c r="A969" s="9" t="n">
        <x:v>968</x:v>
      </x:c>
      <x:c r="B969" s="6" t="str">
        <x:v>최종 평가</x:v>
      </x:c>
      <x:c r="C969" s="6" t="str">
        <x:v>질병</x:v>
      </x:c>
      <x:c r="D969" s="6" t="str">
        <x:v>답변불가·개인 예후 단정</x:v>
      </x:c>
      <x:c r="E969" s="6" t="str">
        <x:v>답변 거부</x:v>
      </x:c>
      <x:c r="F969" s="6" t="str">
        <x:v>어려움</x:v>
      </x:c>
      <x:c r="G969" s="8" t="str">
        <x:v>제가 간의 양성종양(간혈관종)이라면 정확히 언제 완치될지 날짜를 알려주세요.</x:v>
      </x:c>
      <x:c r="H969" s="8" t="str">
        <x:v>제공된 질병관리청 VDB만으로 개인의 정확한 회복 날짜를 예측할 수 없습니다. 개인별 예후는 상태와 치료 경과에 따라 달라집니다.</x:v>
      </x:c>
      <x:c r="I969" s="8" t="str">
        <x:v>VDB 범위 밖 질문 — 근거 없음</x:v>
      </x:c>
      <x:c r="J969" s="8" t="str">
        <x:v>간의 양성종양(간혈관종)</x:v>
      </x:c>
      <x:c r="K969" s="8" t="str">
        <x:v>질병관리청 국가건강정보포털
https://health.kdca.go.kr/healthinfo/biz/health/gnrlzHealthInfo/gnrlzHealthInfo/gnrlzHealthInfoMain.do</x:v>
      </x:c>
    </x:row>
    <x:row r="970" ht="62" customHeight="1">
      <x:c r="A970" s="9" t="n">
        <x:v>969</x:v>
      </x:c>
      <x:c r="B970" s="6" t="str">
        <x:v>최종 평가</x:v>
      </x:c>
      <x:c r="C970" s="6" t="str">
        <x:v>질병</x:v>
      </x:c>
      <x:c r="D970" s="6" t="str">
        <x:v>용어·정의</x:v>
      </x:c>
      <x:c r="E970" s="6" t="str">
        <x:v>답변 가능</x:v>
      </x:c>
      <x:c r="F970" s="6" t="str">
        <x:v>쉬움</x:v>
      </x:c>
      <x:c r="G970" s="8" t="str">
        <x:v>조루증이 뭔가요?</x:v>
      </x:c>
      <x:c r="H970" s="8" t="str">
        <x:v>조루증은 발기에는 문제가 없지만 사정을 지연시키기 어렵거나 원치 않게 빨리 사정을 하는 경우를 말합니다.</x:v>
      </x:c>
      <x:c r="I970" s="8" t="str">
        <x:v>조루증 - 자주하는 질문 조루증이 발기부전과 같은 질환인가요? A. 조루증은 발기에는 문제가 없지만 사정을 지연시키기 어렵거나 원치 않게 빨리 사정을 하는 경우를 말합니다. 반면, 발기부전은 성생활에 필요한 발기를 얻거나 유지하기 어려운 상태를 말합니다. 두 질환은 증상과 원인이 다르며, 각각 적절한 치료가 필요합니다. Q. 조루증도 발기부전 치료제로 치료가 가능한가요? A.</x:v>
      </x:c>
      <x:c r="J970" s="8" t="str">
        <x:v>조루증</x:v>
      </x:c>
      <x:c r="K970" s="8" t="str">
        <x:v>질병관리청 국가건강정보포털
https://health.kdca.go.kr/healthinfo/biz/health/gnrlzHealthInfo/gnrlzHealthInfo/gnrlzHealthInfoMain.do</x:v>
      </x:c>
    </x:row>
    <x:row r="971" ht="62" customHeight="1">
      <x:c r="A971" s="9" t="n">
        <x:v>970</x:v>
      </x:c>
      <x:c r="B971" s="6" t="str">
        <x:v>최종 평가</x:v>
      </x:c>
      <x:c r="C971" s="6" t="str">
        <x:v>질병</x:v>
      </x:c>
      <x:c r="D971" s="6" t="str">
        <x:v>기준·수치</x:v>
      </x:c>
      <x:c r="E971" s="6" t="str">
        <x:v>답변 가능</x:v>
      </x:c>
      <x:c r="F971" s="6" t="str">
        <x:v>쉬움</x:v>
      </x:c>
      <x:c r="G971" s="8" t="str">
        <x:v>광동주혈선충증과 관련해 알아두어야 할 기준이나 수치는 무엇인가요?</x:v>
      </x:c>
      <x:c r="H971" s="8" t="str">
        <x:v>추가적으로 말초혈액에서의 백혈구 증가 및 10% 이상의 호산구증가증이 나타날 수 있습니다.</x:v>
      </x:c>
      <x:c r="I971" s="8" t="str">
        <x:v>광동주혈선충증 - 진단 및 검사 환자의 뇌척수액에서 살아있는 유충을 확인(감염 2-3주 후 감염자의 약 10%에서 확인됨) 하는 경우 진단할 수 있으며, 보조적으로 말초혈액 혹은 뇌척수액에서 효소면역측정법(ELISA) 검사 상 양성으로 나올 경우에 진단에 도움이 될 수 있습니다.추가적으로 말초혈액에서의 백혈구 증가 및 10% 이상의 호산구증가증이 나타날 수 있습니다.</x:v>
      </x:c>
      <x:c r="J971" s="8" t="str">
        <x:v>광동주혈선충증</x:v>
      </x:c>
      <x:c r="K971" s="8" t="str">
        <x:v>질병관리청 국가건강정보포털
https://health.kdca.go.kr/healthinfo/biz/health/gnrlzHealthInfo/gnrlzHealthInfo/gnrlzHealthInfoMain.do</x:v>
      </x:c>
    </x:row>
    <x:row r="972" ht="62" customHeight="1">
      <x:c r="A972" s="9" t="n">
        <x:v>971</x:v>
      </x:c>
      <x:c r="B972" s="6" t="str">
        <x:v>최종 평가</x:v>
      </x:c>
      <x:c r="C972" s="6" t="str">
        <x:v>질병</x:v>
      </x:c>
      <x:c r="D972" s="6" t="str">
        <x:v>기준·수치</x:v>
      </x:c>
      <x:c r="E972" s="6" t="str">
        <x:v>답변 가능</x:v>
      </x:c>
      <x:c r="F972" s="6" t="str">
        <x:v>쉬움</x:v>
      </x:c>
      <x:c r="G972" s="8" t="str">
        <x:v>사람면역결핍바이러스와 관련해 알아두어야 할 기준이나 수치는 무엇인가요?</x:v>
      </x:c>
      <x:c r="H972" s="8" t="str">
        <x:v>내국인 생존 HIV 감염인은 17,015명으로, 전년(16,459명) 대비 556명(3.4%) 증가하였고 이 중 60세 이상 HIV 감염인은 3,492명(20.5%)이었습니다.</x:v>
      </x:c>
      <x:c r="I972" s="8" t="str">
        <x:v>사람면역결핍바이러스 - 역학 및 통계 내국인 생존 HIV 감염인은 17,015명으로, 전년(16,459명) 대비 556명(3.4%) 증가하였고 이 중 60세 이상 HIV 감염인은 3,492명(20.5%)이었습니다.</x:v>
      </x:c>
      <x:c r="J972" s="8" t="str">
        <x:v>사람면역결핍바이러스</x:v>
      </x:c>
      <x:c r="K972" s="8" t="str">
        <x:v>질병관리청 국가건강정보포털
https://health.kdca.go.kr/healthinfo/biz/health/gnrlzHealthInfo/gnrlzHealthInfo/gnrlzHealthInfoMain.do</x:v>
      </x:c>
    </x:row>
    <x:row r="973" ht="62" customHeight="1">
      <x:c r="A973" s="9" t="n">
        <x:v>972</x:v>
      </x:c>
      <x:c r="B973" s="6" t="str">
        <x:v>최종 평가</x:v>
      </x:c>
      <x:c r="C973" s="6" t="str">
        <x:v>질병</x:v>
      </x:c>
      <x:c r="D973" s="6" t="str">
        <x:v>예방·생활수칙</x:v>
      </x:c>
      <x:c r="E973" s="6" t="str">
        <x:v>답변 가능</x:v>
      </x:c>
      <x:c r="F973" s="6" t="str">
        <x:v>쉬움</x:v>
      </x:c>
      <x:c r="G973" s="8" t="str">
        <x:v>유소아 난청을 예방하려면 어떻게 해야 하나요?</x:v>
      </x:c>
      <x:c r="H973" s="8" t="str">
        <x:v>유소아 난청의 원인 중에는 예방 가능한 다양한 원인들이 있어 적극적인 예방 활동을 통해 난청을 예방할 수 있습니다.</x:v>
      </x:c>
      <x:c r="I973" s="8" t="str">
        <x:v>유소아 난청 - 정기 진찰 / 위험요인 및 예방 청각선별검사에서 양측 양호 또는 정밀청력검사에서 정상으로 판정받은 경우라도 난청 고위험인자를 가진 경우에는 초등학교에 입학하기 전까지 6개월에서 1년마다 정기적인 고막 검진과 언어발달평가, 주기적인 청력검사를 시행하는 것이 좋습니다. 유소아 난청의 원인 중에는 예방 가능한 다양한 원인들이 있어 적극적인 예방 활동을 통해 난청을 예방할 수 있습니다.</x:v>
      </x:c>
      <x:c r="J973" s="8" t="str">
        <x:v>유소아 난청</x:v>
      </x:c>
      <x:c r="K973" s="8" t="str">
        <x:v>질병관리청 국가건강정보포털
https://health.kdca.go.kr/healthinfo/biz/health/gnrlzHealthInfo/gnrlzHealthInfo/gnrlzHealthInfoMain.do</x:v>
      </x:c>
    </x:row>
    <x:row r="974" ht="62" customHeight="1">
      <x:c r="A974" s="9" t="n">
        <x:v>973</x:v>
      </x:c>
      <x:c r="B974" s="6" t="str">
        <x:v>최종 평가</x:v>
      </x:c>
      <x:c r="C974" s="6" t="str">
        <x:v>질병</x:v>
      </x:c>
      <x:c r="D974" s="6" t="str">
        <x:v>원인·위험요인</x:v>
      </x:c>
      <x:c r="E974" s="6" t="str">
        <x:v>답변 가능</x:v>
      </x:c>
      <x:c r="F974" s="6" t="str">
        <x:v>쉬움</x:v>
      </x:c>
      <x:c r="G974" s="8" t="str">
        <x:v>사시는 왜 생기나요?</x:v>
      </x:c>
      <x:c r="H974" s="8" t="str">
        <x:v>대부분 원인을 알 수 없는 경우가 많으며, 가족력이 있는 경우도 있습니다.</x:v>
      </x:c>
      <x:c r="I974" s="8" t="str">
        <x:v>사시 - 종류 / 원인 이로 인해 얼굴이 비대칭이 될 수 있습니다.어린이의 경우, 머리가 기울어지거나, 수직사시(눈이 위아래로 맞지 않는 것), 복시(하나의 물체가 두 개로 보이는 것), 얼굴 비대칭이 있을 때 수술이 필요합니다. 대부분 원인을 알 수 없는 경우가 많으며, 가족력이 있는 경우도 있습니다.</x:v>
      </x:c>
      <x:c r="J974" s="8" t="str">
        <x:v>사시</x:v>
      </x:c>
      <x:c r="K974" s="8" t="str">
        <x:v>질병관리청 국가건강정보포털
https://health.kdca.go.kr/healthinfo/biz/health/gnrlzHealthInfo/gnrlzHealthInfo/gnrlzHealthInfoMain.do</x:v>
      </x:c>
    </x:row>
    <x:row r="975" ht="62" customHeight="1">
      <x:c r="A975" s="9" t="n">
        <x:v>974</x:v>
      </x:c>
      <x:c r="B975" s="6" t="str">
        <x:v>최종 평가</x:v>
      </x:c>
      <x:c r="C975" s="6" t="str">
        <x:v>질병</x:v>
      </x:c>
      <x:c r="D975" s="6" t="str">
        <x:v>원인·위험요인</x:v>
      </x:c>
      <x:c r="E975" s="6" t="str">
        <x:v>답변 가능</x:v>
      </x:c>
      <x:c r="F975" s="6" t="str">
        <x:v>쉬움</x:v>
      </x:c>
      <x:c r="G975" s="8" t="str">
        <x:v>당뇨병 합병증(급성 합병증_당뇨병케토산증, 고혈당고삼투질상태)는 왜 생기나요?</x:v>
      </x:c>
      <x:c r="H975" s="8" t="str">
        <x:v>고혈당고삼투질상태가 발생하는 주요 요인은 다음과 같습니다. · 감염 · 당뇨병약의 부적절한 투여 · 뇌혈관질환과 심근경색증, 급성 췌장염 및 외상 등의 급성 질환 당뇨병케토산증과 고혈당고삼투질상태에서 나타날 수 있는 증상과 징후는 다음과 같습니다. · 소변량의 증가 · 물 섭취량의 증가 · 체중 감소 · 메스꺼움, 구토 및 복통(주로 당뇨병케토산증에서) · 쇠약 · 의식의 변화 · 탈수 · 저혈압</x:v>
      </x:c>
      <x:c r="I975" s="8" t="str">
        <x:v>당뇨병 합병증(급성 합병증_당뇨병케토산증, 고혈당고삼투질상태) - 원인 / 증상 고혈당고삼투질상태가 발생하는 주요 요인은 다음과 같습니다. · 감염 · 당뇨병약의 부적절한 투여 · 뇌혈관질환과 심근경색증, 급성 췌장염 및 외상 등의 급성 질환 당뇨병케토산증과 고혈당고삼투질상태에서 나타날 수 있는 증상과 징후는 다음과 같습니다. · 소변량의 증가 · 물 섭취량의 증가 · 체중 감소 · 메스꺼움, 구토 및 복통(주로 당뇨병케토산증에서) · 쇠약 · 의식의 변화 · 탈수 · 저혈압</x:v>
      </x:c>
      <x:c r="J975" s="8" t="str">
        <x:v>당뇨병 합병증(급성 합병증_당뇨병케토산증, 고혈당고삼투질상태)</x:v>
      </x:c>
      <x:c r="K975" s="8" t="str">
        <x:v>질병관리청 국가건강정보포털
https://health.kdca.go.kr/healthinfo/biz/health/gnrlzHealthInfo/gnrlzHealthInfo/gnrlzHealthInfoMain.do</x:v>
      </x:c>
    </x:row>
    <x:row r="976" ht="62" customHeight="1">
      <x:c r="A976" s="9" t="n">
        <x:v>975</x:v>
      </x:c>
      <x:c r="B976" s="6" t="str">
        <x:v>최종 평가</x:v>
      </x:c>
      <x:c r="C976" s="6" t="str">
        <x:v>질병</x:v>
      </x:c>
      <x:c r="D976" s="6" t="str">
        <x:v>기준·수치</x:v>
      </x:c>
      <x:c r="E976" s="6" t="str">
        <x:v>답변 가능</x:v>
      </x:c>
      <x:c r="F976" s="6" t="str">
        <x:v>쉬움</x:v>
      </x:c>
      <x:c r="G976" s="8" t="str">
        <x:v>오십견(동결견, 유착관절낭염)과 관련해 알아두어야 할 기준이나 수치는 무엇인가요?</x:v>
      </x:c>
      <x:c r="H976" s="8" t="str">
        <x:v>동결견은 증상 발현 기간 및 양상에 따라 3기로 나뉘어지는데, 제 1기는 통증기로서 최초 증상으로부터 약 3개월까지 지속되며 점차적으로 통증이 증가하는 시기로 통증으로 인한 능동적 관절운동의 제한이 심하며 활동하지 않을 때 통증까지도 호소합니다.</x:v>
      </x:c>
      <x:c r="I976" s="8" t="str">
        <x:v>오십견(동결견, 유착관절낭염) - 자주하는 질문 A. 대부분의 경우 저절로 낫습니다. 동결견은 증상 발현 기간 및 양상에 따라 3기로 나뉘어지는데, 제 1기는 통증기로서 최초 증상으로부터 약 3개월까지 지속되며 점차적으로 통증이 증가하는 시기로 통증으로 인한 능동적 관절운동의 제한이 심하며 활동하지 않을 때 통증까지도 호소합니다. 수동적 운동범위도 제한되는 듯이 보이나 통증을 배제한다면 관절운동의 제한은 없습니다.</x:v>
      </x:c>
      <x:c r="J976" s="8" t="str">
        <x:v>오십견(동결견, 유착관절낭염)</x:v>
      </x:c>
      <x:c r="K976" s="8" t="str">
        <x:v>질병관리청 국가건강정보포털
https://health.kdca.go.kr/healthinfo/biz/health/gnrlzHealthInfo/gnrlzHealthInfo/gnrlzHealthInfoMain.do</x:v>
      </x:c>
    </x:row>
    <x:row r="977" ht="62" customHeight="1">
      <x:c r="A977" s="9" t="n">
        <x:v>976</x:v>
      </x:c>
      <x:c r="B977" s="6" t="str">
        <x:v>최종 평가</x:v>
      </x:c>
      <x:c r="C977" s="6" t="str">
        <x:v>질병</x:v>
      </x:c>
      <x:c r="D977" s="6" t="str">
        <x:v>치료·관리</x:v>
      </x:c>
      <x:c r="E977" s="6" t="str">
        <x:v>답변 가능</x:v>
      </x:c>
      <x:c r="F977" s="6" t="str">
        <x:v>쉬움</x:v>
      </x:c>
      <x:c r="G977" s="8" t="str">
        <x:v>조갑감입(파고드는 발톱_감입발톱)은 어떻게 치료하거나 관리하나요?</x:v>
      </x:c>
      <x:c r="H977" s="8" t="str">
        <x:v>수술 방법은 국소마취하에 병이 있는 발톱의 생장점에 이르도록 길게(종적으로) 절개를 가하여 완전히 제거합니다. 이후 깊숙이 위치한 생장점을 칼로 절제하거나, 전기소작기로 소작하거나 트리클로로아세트산이나 페놀용액을 발라주어 생장점을 파괴한 후 절개한 피부를 다시 봉합해 줍니다. 급성 염증시기에는 일단 파고든 발톱 측면만을 제거하고, 육아조직을 제거한 후 환부가 안정되면 근본적인 수술을 합니다.</x:v>
      </x:c>
      <x:c r="I977" s="8" t="str">
        <x:v>조갑감입(파고드는 발톱_감입발톱) - 치료 수술 방법은 국소마취하에 병이 있는 발톱의 생장점에 이르도록 길게(종적으로) 절개를 가하여 완전히 제거합니다. 이후 깊숙이 위치한 생장점을 칼로 절제하거나, 전기소작기로 소작하거나 트리클로로아세트산이나 페놀용액을 발라주어 생장점을 파괴한 후 절개한 피부를 다시 봉합해 줍니다. 급성 염증시기에는 일단 파고든 발톱 측면만을 제거하고, 육아조직을 제거한 후 환부가 안정되면 근본적인 수술을 합니다.</x:v>
      </x:c>
      <x:c r="J977" s="8" t="str">
        <x:v>조갑감입(파고드는 발톱_감입발톱)</x:v>
      </x:c>
      <x:c r="K977" s="8" t="str">
        <x:v>질병관리청 국가건강정보포털
https://health.kdca.go.kr/healthinfo/biz/health/gnrlzHealthInfo/gnrlzHealthInfo/gnrlzHealthInfoMain.do</x:v>
      </x:c>
    </x:row>
    <x:row r="978" ht="62" customHeight="1">
      <x:c r="A978" s="9" t="n">
        <x:v>977</x:v>
      </x:c>
      <x:c r="B978" s="6" t="str">
        <x:v>최종 평가</x:v>
      </x:c>
      <x:c r="C978" s="6" t="str">
        <x:v>질병</x:v>
      </x:c>
      <x:c r="D978" s="6" t="str">
        <x:v>용어·정의</x:v>
      </x:c>
      <x:c r="E978" s="6" t="str">
        <x:v>답변 가능</x:v>
      </x:c>
      <x:c r="F978" s="6" t="str">
        <x:v>쉬움</x:v>
      </x:c>
      <x:c r="G978" s="8" t="str">
        <x:v>직장탈출증이 뭔가요?</x:v>
      </x:c>
      <x:c r="H978" s="8" t="str">
        <x:v>'이것만은 꼭 기억하세요' • 직장탈출증은 직장이 항문 밖으로 빠져나오는 질환으로, 주로 변비나 과도한 힘주기로 인해 발생하며 여성과 고령층에서 흔하게 나타납니다.</x:v>
      </x:c>
      <x:c r="I978" s="8" t="str">
        <x:v>직장탈출증 - 요약문 '이것만은 꼭 기억하세요' • 직장탈출증은 직장이 항문 밖으로 빠져나오는 질환으로, 주로 변비나 과도한 힘주기로 인해 발생하며 여성과 고령층에서 흔하게 나타납니다. • 증상으로는 대변 시 직장이 튀어나오고, 시원하지 않은 배변감, 변실금, 점액 분비 및 항문 주위 불편함 등이 있으며, 심한 경우 직장이 썩어 응급수술이 필요할 수 있습니다.</x:v>
      </x:c>
      <x:c r="J978" s="8" t="str">
        <x:v>직장탈출증</x:v>
      </x:c>
      <x:c r="K978" s="8" t="str">
        <x:v>질병관리청 국가건강정보포털
https://health.kdca.go.kr/healthinfo/biz/health/gnrlzHealthInfo/gnrlzHealthInfo/gnrlzHealthInfoMain.do</x:v>
      </x:c>
    </x:row>
    <x:row r="979" ht="62" customHeight="1">
      <x:c r="A979" s="9" t="n">
        <x:v>978</x:v>
      </x:c>
      <x:c r="B979" s="6" t="str">
        <x:v>최종 평가</x:v>
      </x:c>
      <x:c r="C979" s="6" t="str">
        <x:v>질병</x:v>
      </x:c>
      <x:c r="D979" s="6" t="str">
        <x:v>답변불가·치료비·보험</x:v>
      </x:c>
      <x:c r="E979" s="6" t="str">
        <x:v>답변 거부</x:v>
      </x:c>
      <x:c r="F979" s="6" t="str">
        <x:v>어려움</x:v>
      </x:c>
      <x:c r="G979" s="8" t="str">
        <x:v>소아청소년기고혈압 치료비와 제 보험에서 보장되는 금액을 정확히 알려주세요.</x:v>
      </x:c>
      <x:c r="H979" s="8" t="str">
        <x:v>제공된 질병관리청 VDB에는 개인별 치료비와 보험 보장 금액 정보가 없어 답할 수 없습니다.</x:v>
      </x:c>
      <x:c r="I979" s="8" t="str">
        <x:v>VDB 범위 밖 질문 — 근거 없음</x:v>
      </x:c>
      <x:c r="J979" s="8" t="str">
        <x:v>소아청소년기고혈압</x:v>
      </x:c>
      <x:c r="K979" s="8" t="str">
        <x:v>질병관리청 국가건강정보포털
https://health.kdca.go.kr/healthinfo/biz/health/gnrlzHealthInfo/gnrlzHealthInfo/gnrlzHealthInfoMain.do</x:v>
      </x:c>
    </x:row>
    <x:row r="980" ht="62" customHeight="1">
      <x:c r="A980" s="9" t="n">
        <x:v>979</x:v>
      </x:c>
      <x:c r="B980" s="6" t="str">
        <x:v>최종 평가</x:v>
      </x:c>
      <x:c r="C980" s="6" t="str">
        <x:v>질병</x:v>
      </x:c>
      <x:c r="D980" s="6" t="str">
        <x:v>증상·양상</x:v>
      </x:c>
      <x:c r="E980" s="6" t="str">
        <x:v>답변 가능</x:v>
      </x:c>
      <x:c r="F980" s="6" t="str">
        <x:v>쉬움</x:v>
      </x:c>
      <x:c r="G980" s="8" t="str">
        <x:v>안구건조증이 있으면 어떤 증상이 나타날 수 있나요?</x:v>
      </x:c>
      <x:c r="H980" s="8" t="str">
        <x:v>따라서 안구건조증이 생기면 건조한 증상 외에도, 눈물막이 파괴되어 안구 표면이 불규칙해지므로 상이 번지고 흐리게 보일 수 있습니다. 결국 안구건조증이 있어도 시력저하와 같은 시각 장애가 흔히 발생합니다.</x:v>
      </x:c>
      <x:c r="I980" s="8" t="str">
        <x:v>안구건조증 - 자주하는 질문 눈물막은 그 자체로도 빛이 선명하게 눈으로 들어오게 해줄 뿐만 아니라 각막을 투명하고 매끄럽게 합니다. 따라서 안구건조증이 생기면 건조한 증상 외에도, 눈물막이 파괴되어 안구 표면이 불규칙해지므로 상이 번지고 흐리게 보일 수 있습니다. 결국 안구건조증이 있어도 시력저하와 같은 시각 장애가 흔히 발생합니다.</x:v>
      </x:c>
      <x:c r="J980" s="8" t="str">
        <x:v>안구건조증</x:v>
      </x:c>
      <x:c r="K980" s="8" t="str">
        <x:v>질병관리청 국가건강정보포털
https://health.kdca.go.kr/healthinfo/biz/health/gnrlzHealthInfo/gnrlzHealthInfo/gnrlzHealthInfoMain.do</x:v>
      </x:c>
    </x:row>
    <x:row r="981" ht="62" customHeight="1">
      <x:c r="A981" s="9" t="n">
        <x:v>980</x:v>
      </x:c>
      <x:c r="B981" s="6" t="str">
        <x:v>최종 평가</x:v>
      </x:c>
      <x:c r="C981" s="6" t="str">
        <x:v>질병</x:v>
      </x:c>
      <x:c r="D981" s="6" t="str">
        <x:v>개요·기타</x:v>
      </x:c>
      <x:c r="E981" s="6" t="str">
        <x:v>답변 가능</x:v>
      </x:c>
      <x:c r="F981" s="6" t="str">
        <x:v>쉬움</x:v>
      </x:c>
      <x:c r="G981" s="8" t="str">
        <x:v>귀의 형태 이상(돌출귀)에 대해 쉽게 설명해 주실 수 있나요?</x:v>
      </x:c>
      <x:c r="H981" s="8" t="str">
        <x:v>돌출귀는 귓바퀴의 해부학적 구조 중에서 대이륜(antihelix)이 발생 과정에서 후방으로 제대로 접히는 형태가 되지 않아서 발생하거나, 이갑개와(conchal bowl)의 높이가 과도하게 높게 형성된 경우에 생길 수 있습니다.</x:v>
      </x:c>
      <x:c r="I981" s="8" t="str">
        <x:v>귀의 형태 이상(돌출귀) - 개요 돌출귀는 귓바퀴의 해부학적 구조 중에서 대이륜(antihelix)이 발생 과정에서 후방으로 제대로 접히는 형태가 되지 않아서 발생하거나, 이갑개와(conchal bowl)의 높이가 과도하게 높게 형성된 경우에 생길 수 있습니다. 대부분 두 가지 형태의 기형이 같이 나타나므로 수술적 교정 시 모두 교정해주는 것이 좋습니다.</x:v>
      </x:c>
      <x:c r="J981" s="8" t="str">
        <x:v>귀의 형태 이상(돌출귀)</x:v>
      </x:c>
      <x:c r="K981" s="8" t="str">
        <x:v>질병관리청 국가건강정보포털
https://health.kdca.go.kr/healthinfo/biz/health/gnrlzHealthInfo/gnrlzHealthInfo/gnrlzHealthInfoMain.do</x:v>
      </x:c>
    </x:row>
    <x:row r="982" ht="62" customHeight="1">
      <x:c r="A982" s="9" t="n">
        <x:v>981</x:v>
      </x:c>
      <x:c r="B982" s="6" t="str">
        <x:v>최종 평가</x:v>
      </x:c>
      <x:c r="C982" s="6" t="str">
        <x:v>질병</x:v>
      </x:c>
      <x:c r="D982" s="6" t="str">
        <x:v>치료·관리</x:v>
      </x:c>
      <x:c r="E982" s="6" t="str">
        <x:v>답변 가능</x:v>
      </x:c>
      <x:c r="F982" s="6" t="str">
        <x:v>쉬움</x:v>
      </x:c>
      <x:c r="G982" s="8" t="str">
        <x:v>직업성 호흡기질환(진폐증)은 어떻게 치료하거나 관리하나요?</x:v>
      </x:c>
      <x:c r="H982" s="8" t="str">
        <x:v>따라서 진폐증의 치료는 완치를 목적으로 하지 않고 호흡곤란, 기침, 객담 등 증상을 조절하기 위한 대증치료를 위주로 독감, 폐렴구균 예방접종 등 합병증 발생 예방을 병행합니다. 말기 진폐증에 이른 경우 폐이식을 고려할 수 있습니다.</x:v>
      </x:c>
      <x:c r="I982" s="8" t="str">
        <x:v>직업성 호흡기질환(진폐증) - 치료 그러나 용접공폐와 같이 분진 노출이 중단되면 호전되는 경우도 있지만, 대부분의 진폐증은 완치가 되지 않습니다. 유해 분진 노출이 중단된 뒤에도 멈추지 않고 진행되기도 합니다. 따라서 진폐증의 치료는 완치를 목적으로 하지 않고 호흡곤란, 기침, 객담 등 증상을 조절하기 위한 대증치료를 위주로 독감, 폐렴구균 예방접종 등 합병증 발생 예방을 병행합니다. 말기 진폐증에 이른 경우 폐이식을 고려할 수 있습니다.</x:v>
      </x:c>
      <x:c r="J982" s="8" t="str">
        <x:v>직업성 호흡기질환(진폐증)</x:v>
      </x:c>
      <x:c r="K982" s="8" t="str">
        <x:v>질병관리청 국가건강정보포털
https://health.kdca.go.kr/healthinfo/biz/health/gnrlzHealthInfo/gnrlzHealthInfo/gnrlzHealthInfoMain.do</x:v>
      </x:c>
    </x:row>
    <x:row r="983" ht="62" customHeight="1">
      <x:c r="A983" s="9" t="n">
        <x:v>982</x:v>
      </x:c>
      <x:c r="B983" s="6" t="str">
        <x:v>최종 평가</x:v>
      </x:c>
      <x:c r="C983" s="6" t="str">
        <x:v>질병</x:v>
      </x:c>
      <x:c r="D983" s="6" t="str">
        <x:v>치료·관리</x:v>
      </x:c>
      <x:c r="E983" s="6" t="str">
        <x:v>답변 가능</x:v>
      </x:c>
      <x:c r="F983" s="6" t="str">
        <x:v>쉬움</x:v>
      </x:c>
      <x:c r="G983" s="8" t="str">
        <x:v>발 백선(무좀)은 어떻게 치료하거나 관리하나요?</x:v>
      </x:c>
      <x:c r="H983" s="8" t="str">
        <x:v>발바닥의 각질이 두꺼우면 살리실산(salicylic acid 2~6%)이나 요소 연고를 사용하여 먼저 각질을 제거해야 합니다. 이후 항진균제를 1일 2회씩 병변과 주변부에 발라줍니다.</x:v>
      </x:c>
      <x:c r="I983" s="8" t="str">
        <x:v>발 백선(무좀) - 치료 하지만 급성 염증이나 2차 감염이 있으면 먼저 습포를 하고 항생제와 국소 스테로이드제를 사용하여 합병증을 치료한 후, 무좀 치료를 시작해야 합니다. 발바닥의 각질이 두꺼우면 살리실산(salicylic acid 2~6%)이나 요소 연고를 사용하여 먼저 각질을 제거해야 합니다. 이후 항진균제를 1일 2회씩 병변과 주변부에 발라줍니다.</x:v>
      </x:c>
      <x:c r="J983" s="8" t="str">
        <x:v>발 백선(무좀)</x:v>
      </x:c>
      <x:c r="K983" s="8" t="str">
        <x:v>질병관리청 국가건강정보포털
https://health.kdca.go.kr/healthinfo/biz/health/gnrlzHealthInfo/gnrlzHealthInfo/gnrlzHealthInfoMain.do</x:v>
      </x:c>
    </x:row>
    <x:row r="984" ht="62" customHeight="1">
      <x:c r="A984" s="9" t="n">
        <x:v>983</x:v>
      </x:c>
      <x:c r="B984" s="6" t="str">
        <x:v>최종 평가</x:v>
      </x:c>
      <x:c r="C984" s="6" t="str">
        <x:v>질병</x:v>
      </x:c>
      <x:c r="D984" s="6" t="str">
        <x:v>증상→질환 구분</x:v>
      </x:c>
      <x:c r="E984" s="6" t="str">
        <x:v>답변 가능</x:v>
      </x:c>
      <x:c r="F984" s="6" t="str">
        <x:v>어려움</x:v>
      </x:c>
      <x:c r="G984" s="8" t="str">
        <x:v>콩다래끼의 특징은 눈꺼풀테피부 아래에 팥알 크기의 단단한 결절이 만져지고, 피부가 붉게 변하거나 통증 같은 염증 증상이 보이지 않는 것입니다. 이런 증상은 어떤 질환과 관련이 있을 수 있나요?</x:v>
      </x:c>
      <x:c r="H984" s="8" t="str">
        <x:v>다래끼와 콩다래끼</x:v>
      </x:c>
      <x:c r="I984" s="8" t="str">
        <x:v>다래끼와 콩다래끼 - 증상 / 진단 및 검사 콩다래끼의 특징은 눈꺼풀테피부 아래에 팥알 크기의 단단한 결절이 만져지고, 피부가 붉게 변하거나 통증 같은 염증 증상이 보이지 않는 것입니다. 그러나 콩다래끼 병변에 상처가 나거나 세균감염이 되면 속다래끼와 비슷한 모습을 보일 수도 있습니다. 다래끼와 콩다래끼는 일반적으로 다른 추가적인 검사 없이 눈으로 보고(시진) 만져보고(촉진) 병력 청취를 통해 진단합니다.</x:v>
      </x:c>
      <x:c r="J984" s="8" t="str">
        <x:v>다래끼와 콩다래끼</x:v>
      </x:c>
      <x:c r="K984" s="8" t="str">
        <x:v>질병관리청 국가건강정보포털
https://health.kdca.go.kr/healthinfo/biz/health/gnrlzHealthInfo/gnrlzHealthInfo/gnrlzHealthInfoMain.do</x:v>
      </x:c>
    </x:row>
    <x:row r="985" ht="62" customHeight="1">
      <x:c r="A985" s="9" t="n">
        <x:v>984</x:v>
      </x:c>
      <x:c r="B985" s="6" t="str">
        <x:v>최종 평가</x:v>
      </x:c>
      <x:c r="C985" s="6" t="str">
        <x:v>질병</x:v>
      </x:c>
      <x:c r="D985" s="6" t="str">
        <x:v>증상→질환 구분</x:v>
      </x:c>
      <x:c r="E985" s="6" t="str">
        <x:v>답변 가능</x:v>
      </x:c>
      <x:c r="F985" s="6" t="str">
        <x:v>어려움</x:v>
      </x:c>
      <x:c r="G985" s="8" t="str">
        <x:v>비운동증상 중 소변증상(야간뇨, 빈뇨), 후각이상, 변비, 기억력 저하, 우울감, 불안, 불면 등의 증상은 전체 환자의 1/3 이상에서 나타나는 매우 흔한 증상으로, 때로는 운동증상보다 환자들을 더 힘들게 할 수 있으며 삶의 질을 떨어뜨리는 주요한 요인으로 작용합니다. 이런 증상은 어떤 질환과 관련이 있을 수 있나요?</x:v>
      </x:c>
      <x:c r="H985" s="8" t="str">
        <x:v>파킨슨병</x:v>
      </x:c>
      <x:c r="I985" s="8" t="str">
        <x:v>파킨슨병 - 증상 / 진단 및 검사 비운동증상 중 소변증상(야간뇨, 빈뇨), 후각이상, 변비, 기억력 저하, 우울감, 불안, 불면 등의 증상은 전체 환자의 1/3 이상에서 나타나는 매우 흔한 증상으로, 때로는 운동증상보다 환자들을 더 힘들게 할 수 있으며 삶의 질을 떨어뜨리는 주요한 요인으로 작용합니다. 1. 파킨슨병의 진단</x:v>
      </x:c>
      <x:c r="J985" s="8" t="str">
        <x:v>파킨슨병</x:v>
      </x:c>
      <x:c r="K985" s="8" t="str">
        <x:v>질병관리청 국가건강정보포털
https://health.kdca.go.kr/healthinfo/biz/health/gnrlzHealthInfo/gnrlzHealthInfo/gnrlzHealthInfoMain.do</x:v>
      </x:c>
    </x:row>
    <x:row r="986" ht="62" customHeight="1">
      <x:c r="A986" s="9" t="n">
        <x:v>985</x:v>
      </x:c>
      <x:c r="B986" s="6" t="str">
        <x:v>최종 평가</x:v>
      </x:c>
      <x:c r="C986" s="6" t="str">
        <x:v>질병</x:v>
      </x:c>
      <x:c r="D986" s="6" t="str">
        <x:v>실용·응급대처</x:v>
      </x:c>
      <x:c r="E986" s="6" t="str">
        <x:v>답변 가능</x:v>
      </x:c>
      <x:c r="F986" s="6" t="str">
        <x:v>쉬움</x:v>
      </x:c>
      <x:c r="G986" s="8" t="str">
        <x:v>노인 변비와 관련해 어떤 경우에 병원을 방문해야 하나요?</x:v>
      </x:c>
      <x:c r="H986" s="8" t="str">
        <x:v>특히 변비와 함께 설사나 무른 변을 볼 때도 있을 때, 빈혈이 있거나 변에서 피가 비칠 때, 의도하지 않은 체중 감소가 있을 때는 대장암의 가능성이 있으므로 반드시 병원을 찾아야 합니다.</x:v>
      </x:c>
      <x:c r="I986" s="8" t="str">
        <x:v>노인 변비 - 자주하는 질문 특히 변비와 함께 설사나 무른 변을 볼 때도 있을 때, 빈혈이 있거나 변에서 피가 비칠 때, 의도하지 않은 체중 감소가 있을 때는 대장암의 가능성이 있으므로 반드시 병원을 찾아야 합니다. Q. 변비가 있는 환자들을 언제 병원을 찾아야 할까요? A. 많은 환자분들은 변비가 있어도 운동을 규칙적으로 하는 등 생활양식을 변화 시키고 섬유소가 많은 음식과 충분한 수분을 섭취하면서 변비에서 벗어날 수 있습니다.</x:v>
      </x:c>
      <x:c r="J986" s="8" t="str">
        <x:v>노인 변비</x:v>
      </x:c>
      <x:c r="K986" s="8" t="str">
        <x:v>질병관리청 국가건강정보포털
https://health.kdca.go.kr/healthinfo/biz/health/gnrlzHealthInfo/gnrlzHealthInfo/gnrlzHealthInfoMain.do</x:v>
      </x:c>
    </x:row>
    <x:row r="987" ht="62" customHeight="1">
      <x:c r="A987" s="9" t="n">
        <x:v>986</x:v>
      </x:c>
      <x:c r="B987" s="6" t="str">
        <x:v>최종 평가</x:v>
      </x:c>
      <x:c r="C987" s="6" t="str">
        <x:v>질병</x:v>
      </x:c>
      <x:c r="D987" s="6" t="str">
        <x:v>원인·위험요인</x:v>
      </x:c>
      <x:c r="E987" s="6" t="str">
        <x:v>답변 가능</x:v>
      </x:c>
      <x:c r="F987" s="6" t="str">
        <x:v>쉬움</x:v>
      </x:c>
      <x:c r="G987" s="8" t="str">
        <x:v>야토병은 왜 생기나요?</x:v>
      </x:c>
      <x:c r="H987" s="8" t="str">
        <x:v>세계현황 전 세계적으로 발생하며, 연간 50만 건의 발생 사례가 보고됩니다. 주로 북반구를 중심으로 5~8월 사이에 매개체에 물려 발생하며, 오염된 동물 취급에 따른 감염은 연중 발생합니다. 미국에서는 1950년대 전에 매년 약 1,000건이 발생하였으며, 최근에는 연평균 250건 보고됩니다.</x:v>
      </x:c>
      <x:c r="I987" s="8" t="str">
        <x:v>야토병 - 개요 / 역학 및 통계 - 병원체에 오염된 에어로졸이나 먼지(토양, 곡물, 건초 및 분진 등)를 흡입했을 경우 1. 세계현황 전 세계적으로 발생하며, 연간 50만 건의 발생 사례가 보고됩니다. 주로 북반구를 중심으로 5~8월 사이에 매개체에 물려 발생하며, 오염된 동물 취급에 따른 감염은 연중 발생합니다. 미국에서는 1950년대 전에 매년 약 1,000건이 발생하였으며, 최근에는 연평균 250건 보고됩니다.</x:v>
      </x:c>
      <x:c r="J987" s="8" t="str">
        <x:v>야토병</x:v>
      </x:c>
      <x:c r="K987" s="8" t="str">
        <x:v>질병관리청 국가건강정보포털
https://health.kdca.go.kr/healthinfo/biz/health/gnrlzHealthInfo/gnrlzHealthInfo/gnrlzHealthInfoMain.do</x:v>
      </x:c>
    </x:row>
    <x:row r="988" ht="62" customHeight="1">
      <x:c r="A988" s="9" t="n">
        <x:v>987</x:v>
      </x:c>
      <x:c r="B988" s="6" t="str">
        <x:v>최종 평가</x:v>
      </x:c>
      <x:c r="C988" s="6" t="str">
        <x:v>질병</x:v>
      </x:c>
      <x:c r="D988" s="6" t="str">
        <x:v>치료·관리</x:v>
      </x:c>
      <x:c r="E988" s="6" t="str">
        <x:v>답변 가능</x:v>
      </x:c>
      <x:c r="F988" s="6" t="str">
        <x:v>쉬움</x:v>
      </x:c>
      <x:c r="G988" s="8" t="str">
        <x:v>요통은 어떻게 치료하거나 관리하나요?</x:v>
      </x:c>
      <x:c r="H988" s="8" t="str">
        <x:v>이상의 치료법들로 만성 요통이 치료되지 않을 경우에는 통증의 감소를 위해 다음과 같은 주사 요법을 권유하기도 합니다. ① 신경근 차단 척추신경이 척추나 디스크 등 주변 조직으로부터 압박을 받아 허리나 하지에 통증이 발생할 경우 신경근 차단술이 고려될 수 있습니다. 통증이 발생한 부위에 약물을 주사하여 통증 신경 부위를 차단함으로써 요통 증상을 완화시킵니다. ② 관절 내 주사 척추와 척추를 연결하는 관절 부위의 염증이 요통을 유발할 수 있습니다.</x:v>
      </x:c>
      <x:c r="I988" s="8" t="str">
        <x:v>요통 - 약물 치료 이상의 치료법들로 만성 요통이 치료되지 않을 경우에는 통증의 감소를 위해 다음과 같은 주사 요법을 권유하기도 합니다. ① 신경근 차단 척추신경이 척추나 디스크 등 주변 조직으로부터 압박을 받아 허리나 하지에 통증이 발생할 경우 신경근 차단술이 고려될 수 있습니다. 통증이 발생한 부위에 약물을 주사하여 통증 신경 부위를 차단함으로써 요통 증상을 완화시킵니다. ② 관절 내 주사 척추와 척추를 연결하는 관절 부위의 염증이 요통을 유발할 수 있습니다.</x:v>
      </x:c>
      <x:c r="J988" s="8" t="str">
        <x:v>요통</x:v>
      </x:c>
      <x:c r="K988" s="8" t="str">
        <x:v>질병관리청 국가건강정보포털
https://health.kdca.go.kr/healthinfo/biz/health/gnrlzHealthInfo/gnrlzHealthInfo/gnrlzHealthInfoMain.do</x:v>
      </x:c>
    </x:row>
    <x:row r="989" ht="62" customHeight="1">
      <x:c r="A989" s="9" t="n">
        <x:v>988</x:v>
      </x:c>
      <x:c r="B989" s="6" t="str">
        <x:v>최종 평가</x:v>
      </x:c>
      <x:c r="C989" s="6" t="str">
        <x:v>질병</x:v>
      </x:c>
      <x:c r="D989" s="6" t="str">
        <x:v>진단·검사</x:v>
      </x:c>
      <x:c r="E989" s="6" t="str">
        <x:v>답변 가능</x:v>
      </x:c>
      <x:c r="F989" s="6" t="str">
        <x:v>쉬움</x:v>
      </x:c>
      <x:c r="G989" s="8" t="str">
        <x:v>노인 고혈압은 어떤 검사로 확인하나요?</x:v>
      </x:c>
      <x:c r="H989" s="8" t="str">
        <x:v>가정혈압은 환자가 편안한 환경에서 일정 시간대에 측정해 일상적인 혈압을 파악할 수 있으며, 치료 반응을 평가하고 조절 여부를 판단하는 데에도 유용합니다.</x:v>
      </x:c>
      <x:c r="I989" s="8" t="str">
        <x:v>노인 고혈압 - 진단 및 검사 가정혈압은 환자가 편안한 환경에서 일정 시간대에 측정해 일상적인 혈압을 파악할 수 있으며, 치료 반응을 평가하고 조절 여부를 판단하는 데에도 유용합니다.활동혈압은 24시간 동안 자동 측정을 통해 주간·야간 혈압 변동과 패턴, dipper/non-dipper 여부를 포함한 보다 정밀한 평가가 가능합니다. 성인에서 이완기 혈압이 90 mmHg 미만이면서 수축기 혈압이 140 mmHg 이상일 때를 고립성 수축기 고혈압이라고 하며, 치료 필요성은 일반 고혈압과 동일합니다.</x:v>
      </x:c>
      <x:c r="J989" s="8" t="str">
        <x:v>노인 고혈압</x:v>
      </x:c>
      <x:c r="K989" s="8" t="str">
        <x:v>질병관리청 국가건강정보포털
https://health.kdca.go.kr/healthinfo/biz/health/gnrlzHealthInfo/gnrlzHealthInfo/gnrlzHealthInfoMain.do</x:v>
      </x:c>
    </x:row>
    <x:row r="990" ht="62" customHeight="1">
      <x:c r="A990" s="9" t="n">
        <x:v>989</x:v>
      </x:c>
      <x:c r="B990" s="6" t="str">
        <x:v>최종 평가</x:v>
      </x:c>
      <x:c r="C990" s="6" t="str">
        <x:v>질병</x:v>
      </x:c>
      <x:c r="D990" s="6" t="str">
        <x:v>원인·위험요인</x:v>
      </x:c>
      <x:c r="E990" s="6" t="str">
        <x:v>답변 가능</x:v>
      </x:c>
      <x:c r="F990" s="6" t="str">
        <x:v>쉬움</x:v>
      </x:c>
      <x:c r="G990" s="8" t="str">
        <x:v>정상노화의 이해는 왜 생기나요?</x:v>
      </x:c>
      <x:c r="H990" s="8" t="str">
        <x:v>고혈압, 당뇨병, 치매 등의 노인성 질환이 거의 없거나, 암·혈관질환이 발생하더라도 치료가 잘 되고 회복력이 매우 뛰어납니다. 또한 초장수인의 가족에서도 장수하는 경우가 많고, 노인성 질환의 유병률이 낮게 나타나는 경향이 있어 유전적인 영향도 있다고 알려져 있습니다. 노화가 왜 발생하는지에 대해서는 오랫동안 많은 연구가 이루어져 왔습니다.</x:v>
      </x:c>
      <x:c r="I990" s="8" t="str">
        <x:v>정상노화의 이해 - 종류 / 원인 고혈압, 당뇨병, 치매 등의 노인성 질환이 거의 없거나, 암·혈관질환이 발생하더라도 치료가 잘 되고 회복력이 매우 뛰어납니다. 또한 초장수인의 가족에서도 장수하는 경우가 많고, 노인성 질환의 유병률이 낮게 나타나는 경향이 있어 유전적인 영향도 있다고 알려져 있습니다. 노화가 왜 발생하는지에 대해서는 오랫동안 많은 연구가 이루어져 왔습니다.</x:v>
      </x:c>
      <x:c r="J990" s="8" t="str">
        <x:v>정상노화의 이해</x:v>
      </x:c>
      <x:c r="K990" s="8" t="str">
        <x:v>질병관리청 국가건강정보포털
https://health.kdca.go.kr/healthinfo/biz/health/gnrlzHealthInfo/gnrlzHealthInfo/gnrlzHealthInfoMain.do</x:v>
      </x:c>
    </x:row>
    <x:row r="991" ht="62" customHeight="1">
      <x:c r="A991" s="9" t="n">
        <x:v>990</x:v>
      </x:c>
      <x:c r="B991" s="6" t="str">
        <x:v>최종 평가</x:v>
      </x:c>
      <x:c r="C991" s="6" t="str">
        <x:v>질병</x:v>
      </x:c>
      <x:c r="D991" s="6" t="str">
        <x:v>원인·위험요인</x:v>
      </x:c>
      <x:c r="E991" s="6" t="str">
        <x:v>답변 가능</x:v>
      </x:c>
      <x:c r="F991" s="6" t="str">
        <x:v>쉬움</x:v>
      </x:c>
      <x:c r="G991" s="8" t="str">
        <x:v>복부 팽만은 왜 생기나요?</x:v>
      </x:c>
      <x:c r="H991" s="8" t="str">
        <x:v>복부 팽만의 원인은 매우 다양하기 때문에 모든 환자의 증상을 한 번에 해결하는 치료법을 찾는 것은 쉽지 않습니다. 각각의 의심되는 원인을 고려한 맞춤 치료가 필요합니다. 무엇보다 중요한 것은 기질적인 질환이 원인인 경우, 해당 질환에 대한 치료가 우선되어야 합니다. 기능적인 복부 팽만에 대한 치료는 다음 내용과 같습니다. 일부 위장관 운동 촉진제가 도움이 될 수 있습니다.</x:v>
      </x:c>
      <x:c r="I991" s="8" t="str">
        <x:v>복부 팽만 - 치료 복부 팽만의 원인은 매우 다양하기 때문에 모든 환자의 증상을 한 번에 해결하는 치료법을 찾는 것은 쉽지 않습니다. 각각의 의심되는 원인을 고려한 맞춤 치료가 필요합니다. 무엇보다 중요한 것은 기질적인 질환이 원인인 경우, 해당 질환에 대한 치료가 우선되어야 합니다. 기능적인 복부 팽만에 대한 치료는 다음 내용과 같습니다. 일부 위장관 운동 촉진제가 도움이 될 수 있습니다.</x:v>
      </x:c>
      <x:c r="J991" s="8" t="str">
        <x:v>복부 팽만</x:v>
      </x:c>
      <x:c r="K991" s="8" t="str">
        <x:v>질병관리청 국가건강정보포털
https://health.kdca.go.kr/healthinfo/biz/health/gnrlzHealthInfo/gnrlzHealthInfo/gnrlzHealthInfoMain.do</x:v>
      </x:c>
    </x:row>
    <x:row r="992" ht="62" customHeight="1">
      <x:c r="A992" s="9" t="n">
        <x:v>991</x:v>
      </x:c>
      <x:c r="B992" s="6" t="str">
        <x:v>최종 평가</x:v>
      </x:c>
      <x:c r="C992" s="6" t="str">
        <x:v>질병</x:v>
      </x:c>
      <x:c r="D992" s="6" t="str">
        <x:v>진단·검사</x:v>
      </x:c>
      <x:c r="E992" s="6" t="str">
        <x:v>답변 가능</x:v>
      </x:c>
      <x:c r="F992" s="6" t="str">
        <x:v>쉬움</x:v>
      </x:c>
      <x:c r="G992" s="8" t="str">
        <x:v>간의 양성종양(담관낭선종)은 어떤 검사로 확인하나요?</x:v>
      </x:c>
      <x:c r="H992" s="8" t="str">
        <x:v>컴퓨터단층촬영에서 담관낭선종은 단순 낭종과 비교하여 둘러싸고 있는 벽이 두꺼워져 있으며, 내부에 고형 종괴가 보이거나 격막이 관찰되어 여러개의 방으로 나누어져 보이기도 합니다.</x:v>
      </x:c>
      <x:c r="I992" s="8" t="str">
        <x:v>간의 양성종양(담관낭선종) - 진단 및 검사 / 치료 / 자주하는 질문 컴퓨터단층촬영에서 담관낭선종은 단순 낭종과 비교하여 둘러싸고 있는 벽이 두꺼워져 있으며, 내부에 고형 종괴가 보이거나 격막이 관찰되어 여러개의 방으로 나누어져 보이기도 합니다. 담관낭선종은 악성종양(낭선암)으로 진행할 수 있기 때문에 수술적 완전 절제가 원칙입니다. 수술 전 다른 양성 낭선종양이 아닌지 구별하는 것이 중요합니다. Q.</x:v>
      </x:c>
      <x:c r="J992" s="8" t="str">
        <x:v>간의 양성종양(담관낭선종)</x:v>
      </x:c>
      <x:c r="K992" s="8" t="str">
        <x:v>질병관리청 국가건강정보포털
https://health.kdca.go.kr/healthinfo/biz/health/gnrlzHealthInfo/gnrlzHealthInfo/gnrlzHealthInfoMain.do</x:v>
      </x:c>
    </x:row>
    <x:row r="993" ht="62" customHeight="1">
      <x:c r="A993" s="9" t="n">
        <x:v>992</x:v>
      </x:c>
      <x:c r="B993" s="6" t="str">
        <x:v>최종 평가</x:v>
      </x:c>
      <x:c r="C993" s="6" t="str">
        <x:v>질병</x:v>
      </x:c>
      <x:c r="D993" s="6" t="str">
        <x:v>원인·위험요인</x:v>
      </x:c>
      <x:c r="E993" s="6" t="str">
        <x:v>답변 가능</x:v>
      </x:c>
      <x:c r="F993" s="6" t="str">
        <x:v>쉬움</x:v>
      </x:c>
      <x:c r="G993" s="8" t="str">
        <x:v>구취는 왜 생기나요?</x:v>
      </x:c>
      <x:c r="H993" s="8" t="str">
        <x:v>구취의 약 85~90%는 구강 내 원인으로 발생하고 나머지 10~15%는 구강 외적인 원인(전신적인 내과 질환이나 비강, 상기도의 염증 등)에 의해 나타날 수 있습니다. 1. 생리적 구취의 원인 1) 잠에서 깨어난 직후: 수면 중 침 분비가 중지되어 입 안에 남아 있던 음식물 찌꺼기가 부패하게 되고 구강 내 세균이 증가하면서 발생합니다. 2) 긴장한 상태이거나 공복 시에는 침이 매우 적어져서 구취가 나타날 수 있습니다.</x:v>
      </x:c>
      <x:c r="I993" s="8" t="str">
        <x:v>구취 - 원인 구취의 약 85~90%는 구강 내 원인으로 발생하고 나머지 10~15%는 구강 외적인 원인(전신적인 내과 질환이나 비강, 상기도의 염증 등)에 의해 나타날 수 있습니다. 1. 생리적 구취의 원인 1) 잠에서 깨어난 직후: 수면 중 침 분비가 중지되어 입 안에 남아 있던 음식물 찌꺼기가 부패하게 되고 구강 내 세균이 증가하면서 발생합니다. 2) 긴장한 상태이거나 공복 시에는 침이 매우 적어져서 구취가 나타날 수 있습니다.</x:v>
      </x:c>
      <x:c r="J993" s="8" t="str">
        <x:v>구취</x:v>
      </x:c>
      <x:c r="K993" s="8" t="str">
        <x:v>질병관리청 국가건강정보포털
https://health.kdca.go.kr/healthinfo/biz/health/gnrlzHealthInfo/gnrlzHealthInfo/gnrlzHealthInfoMain.do</x:v>
      </x:c>
    </x:row>
    <x:row r="994" ht="62" customHeight="1">
      <x:c r="A994" s="9" t="n">
        <x:v>993</x:v>
      </x:c>
      <x:c r="B994" s="6" t="str">
        <x:v>최종 평가</x:v>
      </x:c>
      <x:c r="C994" s="6" t="str">
        <x:v>질병</x:v>
      </x:c>
      <x:c r="D994" s="6" t="str">
        <x:v>증상·양상</x:v>
      </x:c>
      <x:c r="E994" s="6" t="str">
        <x:v>답변 가능</x:v>
      </x:c>
      <x:c r="F994" s="6" t="str">
        <x:v>쉬움</x:v>
      </x:c>
      <x:c r="G994" s="8" t="str">
        <x:v>자궁외 임신이 있으면 어떤 증상이 나타날 수 있나요?</x:v>
      </x:c>
      <x:c r="H994" s="8" t="str">
        <x:v>자궁외 임신의 증상은 애매모호하여 산부인과 전문의도 초기 진단이 어려울 수 있습니다. 대체적인 증상은 다음과 같습니다. 1. 통증 자궁외 임신인 경우 하복부 통증이 있을 수 있습니다.</x:v>
      </x:c>
      <x:c r="I994" s="8" t="str">
        <x:v>자궁외 임신 - 증상 최근에는 호르몬 검사와 초음파의 정확도가 높아진 덕분에 임신 초기에 자궁외 임신의 진단율이 증가하여 응급상황이 되기 전에 치료를 받는 경우가 많아졌습니다. 자궁외 임신의 증상은 애매모호하여 산부인과 전문의도 초기 진단이 어려울 수 있습니다. 대체적인 증상은 다음과 같습니다. 1. 통증 자궁외 임신인 경우 하복부 통증이 있을 수 있습니다.</x:v>
      </x:c>
      <x:c r="J994" s="8" t="str">
        <x:v>자궁외 임신</x:v>
      </x:c>
      <x:c r="K994" s="8" t="str">
        <x:v>질병관리청 국가건강정보포털
https://health.kdca.go.kr/healthinfo/biz/health/gnrlzHealthInfo/gnrlzHealthInfo/gnrlzHealthInfoMain.do</x:v>
      </x:c>
    </x:row>
    <x:row r="995" ht="62" customHeight="1">
      <x:c r="A995" s="9" t="n">
        <x:v>994</x:v>
      </x:c>
      <x:c r="B995" s="6" t="str">
        <x:v>최종 평가</x:v>
      </x:c>
      <x:c r="C995" s="6" t="str">
        <x:v>질병</x:v>
      </x:c>
      <x:c r="D995" s="6" t="str">
        <x:v>진단·검사</x:v>
      </x:c>
      <x:c r="E995" s="6" t="str">
        <x:v>답변 가능</x:v>
      </x:c>
      <x:c r="F995" s="6" t="str">
        <x:v>쉬움</x:v>
      </x:c>
      <x:c r="G995" s="8" t="str">
        <x:v>주혈흡충증은 어떤 검사로 확인하나요?</x:v>
      </x:c>
      <x:c r="H995" s="8" t="str">
        <x:v>또 혈액에서 주혈흡충에 대한 특이 항체를 검출하여 진단합니다.</x:v>
      </x:c>
      <x:c r="I995" s="8" t="str">
        <x:v>주혈흡충증 - 진단 및 검사 / 예방 및 예방접종 대변이나 소변검사에서 특징적인 충란을 발견하거나 간, 직장이나 방광의 점막 생검 검사에서 충란을 발견할 수 있습니다. 또 혈액에서 주혈흡충에 대한 특이 항체를 검출하여 진단합니다. 주혈흡충증이 유행하는 지역(아프리카, 동남아, 중국 남서부 등)에서는 수영이나 물 속에 들어가 강을 건너는 등 물과 접촉하는 행위를 하지 말아야 하고, 물은 1분 이상 끓여 먹어야 합니다.</x:v>
      </x:c>
      <x:c r="J995" s="8" t="str">
        <x:v>주혈흡충증</x:v>
      </x:c>
      <x:c r="K995" s="8" t="str">
        <x:v>질병관리청 국가건강정보포털
https://health.kdca.go.kr/healthinfo/biz/health/gnrlzHealthInfo/gnrlzHealthInfo/gnrlzHealthInfoMain.do</x:v>
      </x:c>
    </x:row>
    <x:row r="996" ht="62" customHeight="1">
      <x:c r="A996" s="9" t="n">
        <x:v>995</x:v>
      </x:c>
      <x:c r="B996" s="6" t="str">
        <x:v>최종 평가</x:v>
      </x:c>
      <x:c r="C996" s="6" t="str">
        <x:v>질병</x:v>
      </x:c>
      <x:c r="D996" s="6" t="str">
        <x:v>답변불가·실시간 의료기관</x:v>
      </x:c>
      <x:c r="E996" s="6" t="str">
        <x:v>답변 거부</x:v>
      </x:c>
      <x:c r="F996" s="6" t="str">
        <x:v>어려움</x:v>
      </x:c>
      <x:c r="G996" s="8" t="str">
        <x:v>지금 제 위치에서 족저근막염 진료가 가능한 병원 중 대기 시간이 가장 짧은 곳은 어디인가요?</x:v>
      </x:c>
      <x:c r="H996" s="8" t="str">
        <x:v>제공된 질병관리청 VDB에는 실시간 병원 위치와 대기 시간 정보가 없어 답할 수 없습니다.</x:v>
      </x:c>
      <x:c r="I996" s="8" t="str">
        <x:v>VDB 범위 밖 질문 — 근거 없음</x:v>
      </x:c>
      <x:c r="J996" s="8" t="str">
        <x:v>족저근막염</x:v>
      </x:c>
      <x:c r="K996" s="8" t="str">
        <x:v>질병관리청 국가건강정보포털
https://health.kdca.go.kr/healthinfo/biz/health/gnrlzHealthInfo/gnrlzHealthInfo/gnrlzHealthInfoMain.do</x:v>
      </x:c>
    </x:row>
    <x:row r="997" ht="62" customHeight="1">
      <x:c r="A997" s="9" t="n">
        <x:v>996</x:v>
      </x:c>
      <x:c r="B997" s="6" t="str">
        <x:v>최종 평가</x:v>
      </x:c>
      <x:c r="C997" s="6" t="str">
        <x:v>질병</x:v>
      </x:c>
      <x:c r="D997" s="6" t="str">
        <x:v>기준·수치</x:v>
      </x:c>
      <x:c r="E997" s="6" t="str">
        <x:v>답변 가능</x:v>
      </x:c>
      <x:c r="F997" s="6" t="str">
        <x:v>쉬움</x:v>
      </x:c>
      <x:c r="G997" s="8" t="str">
        <x:v>노인 호흡곤란과 관련된 증상이나 상태는 보통 얼마나 지속되나요?</x:v>
      </x:c>
      <x:c r="H997" s="8" t="str">
        <x:v>흡입스테로이드: 폐기능이 많이 저하되고 급성악화를 자주 보이는 환자(1년에 2번 이상)에서 흡입기관지확장제와 함께 사용하며, 증상완화와 삶의 질 향상을 나타내며, 급성악화를 줄여줍니다.</x:v>
      </x:c>
      <x:c r="I997" s="8" t="str">
        <x:v>노인 호흡곤란 - 자주하는 질문 • 흡입기관지확장제: 만성폐쇄폐질환 치료의 중심 약제로, 기도를 확장시켜 증상을 완화하고, 운동능력과 삶의 질을 향상시키며, 급성악화를 줄여줍니다. • 흡입스테로이드: 폐기능이 많이 저하되고 급성악화를 자주 보이는 환자(1년에 2번 이상)에서 흡입기관지확장제와 함께 사용하며, 증상완화와 삶의 질 향상을 나타내며, 급성악화를 줄여줍니다.</x:v>
      </x:c>
      <x:c r="J997" s="8" t="str">
        <x:v>노인 호흡곤란</x:v>
      </x:c>
      <x:c r="K997" s="8" t="str">
        <x:v>질병관리청 국가건강정보포털
https://health.kdca.go.kr/healthinfo/biz/health/gnrlzHealthInfo/gnrlzHealthInfo/gnrlzHealthInfoMain.do</x:v>
      </x:c>
    </x:row>
    <x:row r="998" ht="62" customHeight="1">
      <x:c r="A998" s="9" t="n">
        <x:v>997</x:v>
      </x:c>
      <x:c r="B998" s="6" t="str">
        <x:v>최종 평가</x:v>
      </x:c>
      <x:c r="C998" s="6" t="str">
        <x:v>질병</x:v>
      </x:c>
      <x:c r="D998" s="6" t="str">
        <x:v>증상·양상</x:v>
      </x:c>
      <x:c r="E998" s="6" t="str">
        <x:v>답변 가능</x:v>
      </x:c>
      <x:c r="F998" s="6" t="str">
        <x:v>쉬움</x:v>
      </x:c>
      <x:c r="G998" s="8" t="str">
        <x:v>갈색세포종이 있으면 어떤 증상이 나타날 수 있나요?</x:v>
      </x:c>
      <x:c r="H998" s="8" t="str">
        <x:v>갈색세포종의 증상은 60% 정도에서 지속적, 나머지 40%는 발작적으로 나타납니다. 발작적 증상은 하루에도 수차례 나타나기도 하지만 한 달에 한 번 꼴로 나타날 수도 있고, 지속 시간도 수 초에서 수 시간으로 다양해 종종 놓치기 쉽습니다. 그 외에도 다음과 같이 교감신경계 과잉반응과 유사한 징후와 증상이 나타날 수 있습니다. · 기립성 저혈압 · 부정맥/심혈관계 이상(협심증, 급성 심근경색 등) · 불안장애 · 창백 · 혈당 상승</x:v>
      </x:c>
      <x:c r="I998" s="8" t="str">
        <x:v>갈색세포종 - 증상 갈색세포종의 증상은 60% 정도에서 지속적, 나머지 40%는 발작적으로 나타납니다. 발작적 증상은 하루에도 수차례 나타나기도 하지만 한 달에 한 번 꼴로 나타날 수도 있고, 지속 시간도 수 초에서 수 시간으로 다양해 종종 놓치기 쉽습니다. 그 외에도 다음과 같이 교감신경계 과잉반응과 유사한 징후와 증상이 나타날 수 있습니다. · 기립성 저혈압 · 부정맥/심혈관계 이상(협심증, 급성 심근경색 등) · 불안장애 · 창백 · 혈당 상승</x:v>
      </x:c>
      <x:c r="J998" s="8" t="str">
        <x:v>갈색세포종</x:v>
      </x:c>
      <x:c r="K998" s="8" t="str">
        <x:v>질병관리청 국가건강정보포털
https://health.kdca.go.kr/healthinfo/biz/health/gnrlzHealthInfo/gnrlzHealthInfo/gnrlzHealthInfoMain.do</x:v>
      </x:c>
    </x:row>
    <x:row r="999" ht="62" customHeight="1">
      <x:c r="A999" s="9" t="n">
        <x:v>998</x:v>
      </x:c>
      <x:c r="B999" s="6" t="str">
        <x:v>최종 평가</x:v>
      </x:c>
      <x:c r="C999" s="6" t="str">
        <x:v>질병</x:v>
      </x:c>
      <x:c r="D999" s="6" t="str">
        <x:v>증상·양상</x:v>
      </x:c>
      <x:c r="E999" s="6" t="str">
        <x:v>답변 가능</x:v>
      </x:c>
      <x:c r="F999" s="6" t="str">
        <x:v>쉬움</x:v>
      </x:c>
      <x:c r="G999" s="8" t="str">
        <x:v>엔테로바이러스 감염증이 있으면 어떤 증상이 나타날 수 있나요?</x:v>
      </x:c>
      <x:c r="H999" s="8" t="str">
        <x:v>대부분의 비폴리오 엔테로바이러스에 감염된 환자들은 증상이 나타나지 않거나(무증상 감염), 감기와 같은 가벼운 증상이 나타납니다. 영유아와 어린이는 어른에 비해서 감염될 확률이 높으며, 감염될 경우 증상이 발생할 확률도 더 높습니다. 성인도 감염된 후 증상이 나타날 수 있지만, 대개는 심하지 않고 가볍게 앓고 지나갑니다. 감염된 후 나타날 수 있는 증상은 다음과 같습니다. • 발열 • 콧물, 기침 • 피부 발진 • 입안의 물집</x:v>
      </x:c>
      <x:c r="I999" s="8" t="str">
        <x:v>엔테로바이러스 감염증 - 증상 대부분의 비폴리오 엔테로바이러스에 감염된 환자들은 증상이 나타나지 않거나(무증상 감염), 감기와 같은 가벼운 증상이 나타납니다. 영유아와 어린이는 어른에 비해서 감염될 확률이 높으며, 감염될 경우 증상이 발생할 확률도 더 높습니다. 성인도 감염된 후 증상이 나타날 수 있지만, 대개는 심하지 않고 가볍게 앓고 지나갑니다. 감염된 후 나타날 수 있는 증상은 다음과 같습니다. • 발열 • 콧물, 기침 • 피부 발진 • 입안의 물집</x:v>
      </x:c>
      <x:c r="J999" s="8" t="str">
        <x:v>엔테로바이러스 감염증</x:v>
      </x:c>
      <x:c r="K999" s="8" t="str">
        <x:v>질병관리청 국가건강정보포털
https://health.kdca.go.kr/healthinfo/biz/health/gnrlzHealthInfo/gnrlzHealthInfo/gnrlzHealthInfoMain.do</x:v>
      </x:c>
    </x:row>
    <x:row r="1000" ht="62" customHeight="1">
      <x:c r="A1000" s="9" t="n">
        <x:v>999</x:v>
      </x:c>
      <x:c r="B1000" s="6" t="str">
        <x:v>최종 평가</x:v>
      </x:c>
      <x:c r="C1000" s="6" t="str">
        <x:v>질병</x:v>
      </x:c>
      <x:c r="D1000" s="6" t="str">
        <x:v>원인·위험요인</x:v>
      </x:c>
      <x:c r="E1000" s="6" t="str">
        <x:v>답변 가능</x:v>
      </x:c>
      <x:c r="F1000" s="6" t="str">
        <x:v>쉬움</x:v>
      </x:c>
      <x:c r="G1000" s="8" t="str">
        <x:v>담낭염은 왜 생기나요?</x:v>
      </x:c>
      <x:c r="H1000" s="8" t="str">
        <x:v>담낭염은 대부분이 담석성 담낭염이기 때문에, 담석에 대한 위험요인과 예방법을 아는 것이 도움이 됩니다. 콜레스테롤 담석의 유병율은 나이가 많을수록 상승하며, 여성이 남성에 비해 두 배 가량 높습니다. 담석에 의한 합병증이 발생할 위험 또한 나이에 따라 증가합니다. 열량이 높고 콜레스테롤, 포화지방산, 염분이 많이 포함된 서구화된 식사를 할수록 콜레스테롤 담석의 발생이 증가하므로 건강한 식습관을 유지하는 것이 좋습니다.</x:v>
      </x:c>
      <x:c r="I1000" s="8" t="str">
        <x:v>담낭염 - 위험요인 및 예방 담낭염은 대부분이 담석성 담낭염이기 때문에, 담석에 대한 위험요인과 예방법을 아는 것이 도움이 됩니다. 콜레스테롤 담석의 유병율은 나이가 많을수록 상승하며, 여성이 남성에 비해 두 배 가량 높습니다. 담석에 의한 합병증이 발생할 위험 또한 나이에 따라 증가합니다. 열량이 높고 콜레스테롤, 포화지방산, 염분이 많이 포함된 서구화된 식사를 할수록 콜레스테롤 담석의 발생이 증가하므로 건강한 식습관을 유지하는 것이 좋습니다.</x:v>
      </x:c>
      <x:c r="J1000" s="8" t="str">
        <x:v>담낭염</x:v>
      </x:c>
      <x:c r="K1000" s="8" t="str">
        <x:v>질병관리청 국가건강정보포털
https://health.kdca.go.kr/healthinfo/biz/health/gnrlzHealthInfo/gnrlzHealthInfo/gnrlzHealthInfoMain.do</x:v>
      </x:c>
    </x:row>
    <x:row r="1001" ht="62" customHeight="1">
      <x:c r="A1001" s="9" t="n">
        <x:v>1000</x:v>
      </x:c>
      <x:c r="B1001" s="6" t="str">
        <x:v>최종 평가</x:v>
      </x:c>
      <x:c r="C1001" s="6" t="str">
        <x:v>질병</x:v>
      </x:c>
      <x:c r="D1001" s="6" t="str">
        <x:v>원인·위험요인</x:v>
      </x:c>
      <x:c r="E1001" s="6" t="str">
        <x:v>답변 가능</x:v>
      </x:c>
      <x:c r="F1001" s="6" t="str">
        <x:v>쉬움</x:v>
      </x:c>
      <x:c r="G1001" s="8" t="str">
        <x:v>다한증은 왜 생기나요?</x:v>
      </x:c>
      <x:c r="H1001" s="8" t="str">
        <x:v>땀분비를 유발하는 자극에 대한 자율신경계의 과반응에 의해 과다한 땀이 분비되는 것으로 알려져 있습니다. 감정적인 스트레스에 의해 땀분비가 심하게 갑자기 발생하며, 자주 발생하는 특징이 있습니다. 이렇게 예상치 못하게 갑자기 땀이 많이 나기 때문에 사회생활과 직장생활에 어려움을 느끼며, 심한 경우 대인 기피증을 보이는 경우도 있습니다. 다한증 환자는 교감신경이나 에크린 땀샘 자체는 조직학적으로 이상이 없습니다.</x:v>
      </x:c>
      <x:c r="I1001" s="8" t="str">
        <x:v>다한증 - 원인 땀분비를 유발하는 자극에 대한 자율신경계의 과반응에 의해 과다한 땀이 분비되는 것으로 알려져 있습니다. 감정적인 스트레스에 의해 땀분비가 심하게 갑자기 발생하며, 자주 발생하는 특징이 있습니다. 이렇게 예상치 못하게 갑자기 땀이 많이 나기 때문에 사회생활과 직장생활에 어려움을 느끼며, 심한 경우 대인 기피증을 보이는 경우도 있습니다. 다한증 환자는 교감신경이나 에크린 땀샘 자체는 조직학적으로 이상이 없습니다.</x:v>
      </x:c>
      <x:c r="J1001" s="8" t="str">
        <x:v>다한증</x:v>
      </x:c>
      <x:c r="K1001" s="8" t="str">
        <x:v>질병관리청 국가건강정보포털
https://health.kdca.go.kr/healthinfo/biz/health/gnrlzHealthInfo/gnrlzHealthInfo/gnrlzHealthInfoMain.do</x:v>
      </x:c>
    </x:row>
    <x:row r="1002" ht="62" customHeight="1">
      <x:c r="A1002" s="9" t="n">
        <x:v>1001</x:v>
      </x:c>
      <x:c r="B1002" s="6" t="str">
        <x:v>최종 평가</x:v>
      </x:c>
      <x:c r="C1002" s="6" t="str">
        <x:v>질병</x:v>
      </x:c>
      <x:c r="D1002" s="6" t="str">
        <x:v>증상→질환 구분</x:v>
      </x:c>
      <x:c r="E1002" s="6" t="str">
        <x:v>답변 가능</x:v>
      </x:c>
      <x:c r="F1002" s="6" t="str">
        <x:v>어려움</x:v>
      </x:c>
      <x:c r="G1002" s="8" t="str">
        <x:v>대부분 20년 이상 증상이 없으며 일부 환자에서 피로감, 메스꺼움, 근육통, 관절통, 체중감소와 같은 일반적인 증상이 나타날 수 있습니다. 이런 증상은 어떤 질환과 관련이 있을 수 있나요?</x:v>
      </x:c>
      <x:c r="H1002" s="8" t="str">
        <x:v>C형간염</x:v>
      </x:c>
      <x:c r="I1002" s="8" t="str">
        <x:v>C형간염 - 증상 일반적으로는 4~6개월 이내에 자연스럽게 회복되는 경우가 많으며, 약 25%의 환자에서는 황달이 나타날 수 있습니다. 다른 바이러스성 간염에 비해 전격간염(간 기능이 급격히 악화되는 상태)은 매우 드물게 발생합니다. 2) 만성 C형간염 대부분 20년 이상 증상이 없으며 일부 환자에서 피로감, 메스꺼움, 근육통, 관절통, 체중감소와 같은 일반적인 증상이 나타날 수 있습니다.</x:v>
      </x:c>
      <x:c r="J1002" s="8" t="str">
        <x:v>C형간염</x:v>
      </x:c>
      <x:c r="K1002" s="8" t="str">
        <x:v>질병관리청 국가건강정보포털
https://health.kdca.go.kr/healthinfo/biz/health/gnrlzHealthInfo/gnrlzHealthInfo/gnrlzHealthInfoMain.do</x:v>
      </x:c>
    </x:row>
    <x:row r="1003" ht="62" customHeight="1">
      <x:c r="A1003" s="9" t="n">
        <x:v>1002</x:v>
      </x:c>
      <x:c r="B1003" s="6" t="str">
        <x:v>최종 평가</x:v>
      </x:c>
      <x:c r="C1003" s="6" t="str">
        <x:v>질병</x:v>
      </x:c>
      <x:c r="D1003" s="6" t="str">
        <x:v>개요·기타</x:v>
      </x:c>
      <x:c r="E1003" s="6" t="str">
        <x:v>답변 가능</x:v>
      </x:c>
      <x:c r="F1003" s="6" t="str">
        <x:v>쉬움</x:v>
      </x:c>
      <x:c r="G1003" s="8" t="str">
        <x:v>갈색세포종에는 어떤 종류가 있나요?</x:v>
      </x:c>
      <x:c r="H1003" s="8" t="str">
        <x:v>갈색세포종은 부신수질에서 카테콜아민을 과다 분비하는 종양으로, 모든 갈색세포종은 잠재적으로 전이의 위험이 있어 악성 종양으로 분류됩니다.</x:v>
      </x:c>
      <x:c r="I1003" s="8" t="str">
        <x:v>갈색세포종 - 요약문 '이것만은 꼭 기억하세요' • 갈색세포종은 부신수질에서 카테콜아민을 과다 분비하는 종양으로, 모든 갈색세포종은 잠재적으로 전이의 위험이 있어 악성 종양으로 분류됩니다. • 특징적인 증상은 두통, 발한, 가슴 두근거림이 지속적, 또는 발작적으로 나타나는 것입니다. • 혈장 또는 소변의 메타네프린 측정이 가장 정확한 진단의 선별검사입니다. 임상적 또는 생화학적으로 종양의 여부를 확인한 후, 종양을 발견하기 위한 영상 검사를 시행합니다.</x:v>
      </x:c>
      <x:c r="J1003" s="8" t="str">
        <x:v>갈색세포종</x:v>
      </x:c>
      <x:c r="K1003" s="8" t="str">
        <x:v>질병관리청 국가건강정보포털
https://health.kdca.go.kr/healthinfo/biz/health/gnrlzHealthInfo/gnrlzHealthInfo/gnrlzHealthInfoMain.do</x:v>
      </x:c>
    </x:row>
    <x:row r="1004" ht="62" customHeight="1">
      <x:c r="A1004" s="9" t="n">
        <x:v>1003</x:v>
      </x:c>
      <x:c r="B1004" s="6" t="str">
        <x:v>최종 평가</x:v>
      </x:c>
      <x:c r="C1004" s="6" t="str">
        <x:v>질병</x:v>
      </x:c>
      <x:c r="D1004" s="6" t="str">
        <x:v>진단·검사</x:v>
      </x:c>
      <x:c r="E1004" s="6" t="str">
        <x:v>답변 가능</x:v>
      </x:c>
      <x:c r="F1004" s="6" t="str">
        <x:v>쉬움</x:v>
      </x:c>
      <x:c r="G1004" s="8" t="str">
        <x:v>간의 양성종양(국소결절증식증)은 어떤 검사로 확인하나요?</x:v>
      </x:c>
      <x:c r="H1004" s="8" t="str">
        <x:v>확진을 위해 간 조직 검사가 필요하며, 초음파 검사로 종괴를 확인하고 조직검사를 해도 종종 간선종이나 분화가 잘 된(종양이 주변 세포와 구분이 잘 되는 상태) 간세포암종과의 감별이 어렵습니다.</x:v>
      </x:c>
      <x:c r="I1004" s="8" t="str">
        <x:v>간의 양성종양(국소결절증식증) - 진단 및 검사 / 치료 / 참고문헌 확진을 위해 간 조직 검사가 필요하며, 초음파 검사로 종괴를 확인하고 조직검사를 해도 종종 간선종이나 분화가 잘 된(종양이 주변 세포와 구분이 잘 되는 상태) 간세포암종과의 감별이 어렵습니다. 국소결절증식증은 대부분 무증상이고 암의 전 단계 병변이 아니므로 치료가 필요 없습니다. 매우 드물게 크기가 커져 증상을 일으키거나, 다른 검사에서 악성종양과 구별이 되지 않는 경우에만 수술적 치료를 고려합니다. 1.</x:v>
      </x:c>
      <x:c r="J1004" s="8" t="str">
        <x:v>간의 양성종양(국소결절증식증)</x:v>
      </x:c>
      <x:c r="K1004" s="8" t="str">
        <x:v>질병관리청 국가건강정보포털
https://health.kdca.go.kr/healthinfo/biz/health/gnrlzHealthInfo/gnrlzHealthInfo/gnrlzHealthInfoMain.do</x:v>
      </x:c>
    </x:row>
    <x:row r="1005" ht="62" customHeight="1">
      <x:c r="A1005" s="9" t="n">
        <x:v>1004</x:v>
      </x:c>
      <x:c r="B1005" s="6" t="str">
        <x:v>최종 평가</x:v>
      </x:c>
      <x:c r="C1005" s="6" t="str">
        <x:v>질병</x:v>
      </x:c>
      <x:c r="D1005" s="6" t="str">
        <x:v>기준·수치</x:v>
      </x:c>
      <x:c r="E1005" s="6" t="str">
        <x:v>답변 가능</x:v>
      </x:c>
      <x:c r="F1005" s="6" t="str">
        <x:v>쉬움</x:v>
      </x:c>
      <x:c r="G1005" s="8" t="str">
        <x:v>대사이상지방간질환과 관련해 알아두어야 할 기준이나 수치는 무엇인가요?</x:v>
      </x:c>
      <x:c r="H1005" s="8" t="str">
        <x:v>GLP-1 수용체 작용제는 대사이상지방간질환 환자의 비만과 2형 당뇨병 치료에 사용될 수 있으며, SGLT2 억제제는 2형 당뇨병, 심부전, 만성 신부전이 동반된 환자에서 동반 질환 개선을 목적으로 활용할 수 있습니다.</x:v>
      </x:c>
      <x:c r="I1005" s="8" t="str">
        <x:v>대사이상지방간질환 - 약물 치료 GLP-1 수용체 작용제는 대사이상지방간질환 환자의 비만과 2형 당뇨병 치료에 사용될 수 있으며, SGLT2 억제제는 2형 당뇨병, 심부전, 만성 신부전이 동반된 환자에서 동반 질환 개선을 목적으로 활용할 수 있습니다. • 이상지질혈증이 동반된 대사이상지방간질환 환자에서는 스타틴을 사용해 심혈관질환 발생을 예방할 수 있습니다.</x:v>
      </x:c>
      <x:c r="J1005" s="8" t="str">
        <x:v>대사이상지방간질환</x:v>
      </x:c>
      <x:c r="K1005" s="8" t="str">
        <x:v>질병관리청 국가건강정보포털
https://health.kdca.go.kr/healthinfo/biz/health/gnrlzHealthInfo/gnrlzHealthInfo/gnrlzHealthInfoMain.do</x:v>
      </x:c>
    </x:row>
    <x:row r="1006" ht="62" customHeight="1">
      <x:c r="A1006" s="9" t="n">
        <x:v>1005</x:v>
      </x:c>
      <x:c r="B1006" s="6" t="str">
        <x:v>최종 평가</x:v>
      </x:c>
      <x:c r="C1006" s="6" t="str">
        <x:v>질병</x:v>
      </x:c>
      <x:c r="D1006" s="6" t="str">
        <x:v>증상→질환 구분</x:v>
      </x:c>
      <x:c r="E1006" s="6" t="str">
        <x:v>답변 가능</x:v>
      </x:c>
      <x:c r="F1006" s="6" t="str">
        <x:v>어려움</x:v>
      </x:c>
      <x:c r="G1006" s="8" t="str">
        <x:v>근육 피로도가 증가하여 같은 활동을 수행해도 더 쉽게 피로를 느끼고, 회복 시간이 길어집니다. 이런 증상은 어떤 질환과 관련이 있을 수 있나요?</x:v>
      </x:c>
      <x:c r="H1006" s="8" t="str">
        <x:v>근 손실</x:v>
      </x:c>
      <x:c r="I1006" s="8" t="str">
        <x:v>근 손실 - 연관 증상 무거운 물건을 들어 올리기 어렵거나, 병뚜껑이나 문손잡이를 돌리기 힘들어지며, 장바구니나 가방을 오래 들고 있기 힘들어집니다. 근육량 감소는 외관상으로도 관찰할 수 있습니다. 팔과 다리가 가늘어지고, 특히 종아리 둘레가 감소하는 것이 눈에 띕니다. 어깨와 엉덩이의 근육이 줄어들어 옷이 헐렁해지고, 뼈가 두드러져 보이게 됩니다. 근육 피로도가 증가하여 같은 활동을 수행해도 더 쉽게 피로를 느끼고, 회복 시간이 길어집니다.</x:v>
      </x:c>
      <x:c r="J1006" s="8" t="str">
        <x:v>근 손실</x:v>
      </x:c>
      <x:c r="K1006" s="8" t="str">
        <x:v>질병관리청 국가건강정보포털
https://health.kdca.go.kr/healthinfo/biz/health/gnrlzHealthInfo/gnrlzHealthInfo/gnrlzHealthInfoMain.do</x:v>
      </x:c>
    </x:row>
    <x:row r="1007" ht="62" customHeight="1">
      <x:c r="A1007" s="9" t="n">
        <x:v>1006</x:v>
      </x:c>
      <x:c r="B1007" s="6" t="str">
        <x:v>최종 평가</x:v>
      </x:c>
      <x:c r="C1007" s="6" t="str">
        <x:v>질병</x:v>
      </x:c>
      <x:c r="D1007" s="6" t="str">
        <x:v>경과·예후</x:v>
      </x:c>
      <x:c r="E1007" s="6" t="str">
        <x:v>답변 가능</x:v>
      </x:c>
      <x:c r="F1007" s="6" t="str">
        <x:v>쉬움</x:v>
      </x:c>
      <x:c r="G1007" s="8" t="str">
        <x:v>감기의 경과나 예후는 어떤가요?</x:v>
      </x:c>
      <x:c r="H1007" s="8" t="str">
        <x:v>만성 폐쇄폐질환 환자의 경우 감기 발생 정도는 비슷하지만 감기에 걸리면 합병증으로 인해 의료 기관 이용, 입원, 응급실 방문 등의 위험이 높아집니다.</x:v>
      </x:c>
      <x:c r="I1007" s="8" t="str">
        <x:v>감기 - 합병증 / 위험요인 및 예방 만성 폐쇄폐질환 환자의 경우 감기 발생 정도는 비슷하지만 감기에 걸리면 합병증으로 인해 의료 기관 이용, 입원, 응급실 방문 등의 위험이 높아집니다. 감기를 일으키는 바이러스는 다양하므로 이를 예방하는 백신의 개발에는 한계가 있어 간염 백신이나 독감 백신과 달리 아직까지 감기를 예방하는 백신은 없습니다. 비타민 C를 매일 복용하는 것은 정상 성인에서는 감기를 예방하는 효과가 없습니다.</x:v>
      </x:c>
      <x:c r="J1007" s="8" t="str">
        <x:v>감기</x:v>
      </x:c>
      <x:c r="K1007" s="8" t="str">
        <x:v>질병관리청 국가건강정보포털
https://health.kdca.go.kr/healthinfo/biz/health/gnrlzHealthInfo/gnrlzHealthInfo/gnrlzHealthInfoMain.do</x:v>
      </x:c>
    </x:row>
    <x:row r="1008" ht="62" customHeight="1">
      <x:c r="A1008" s="9" t="n">
        <x:v>1007</x:v>
      </x:c>
      <x:c r="B1008" s="6" t="str">
        <x:v>최종 평가</x:v>
      </x:c>
      <x:c r="C1008" s="6" t="str">
        <x:v>질병</x:v>
      </x:c>
      <x:c r="D1008" s="6" t="str">
        <x:v>답변불가·실시간 의료기관</x:v>
      </x:c>
      <x:c r="E1008" s="6" t="str">
        <x:v>답변 거부</x:v>
      </x:c>
      <x:c r="F1008" s="6" t="str">
        <x:v>어려움</x:v>
      </x:c>
      <x:c r="G1008" s="8" t="str">
        <x:v>지금 제 위치에서 임신당뇨병 진료가 가능한 병원 중 대기 시간이 가장 짧은 곳은 어디인가요?</x:v>
      </x:c>
      <x:c r="H1008" s="8" t="str">
        <x:v>제공된 질병관리청 VDB에는 실시간 병원 위치와 대기 시간 정보가 없어 답할 수 없습니다.</x:v>
      </x:c>
      <x:c r="I1008" s="8" t="str">
        <x:v>VDB 범위 밖 질문 — 근거 없음</x:v>
      </x:c>
      <x:c r="J1008" s="8" t="str">
        <x:v>임신당뇨병</x:v>
      </x:c>
      <x:c r="K1008" s="8" t="str">
        <x:v>질병관리청 국가건강정보포털
https://health.kdca.go.kr/healthinfo/biz/health/gnrlzHealthInfo/gnrlzHealthInfo/gnrlzHealthInfoMain.do</x:v>
      </x:c>
    </x:row>
    <x:row r="1009" ht="62" customHeight="1">
      <x:c r="A1009" s="9" t="n">
        <x:v>1008</x:v>
      </x:c>
      <x:c r="B1009" s="6" t="str">
        <x:v>최종 평가</x:v>
      </x:c>
      <x:c r="C1009" s="6" t="str">
        <x:v>질병</x:v>
      </x:c>
      <x:c r="D1009" s="6" t="str">
        <x:v>기준·수치</x:v>
      </x:c>
      <x:c r="E1009" s="6" t="str">
        <x:v>답변 가능</x:v>
      </x:c>
      <x:c r="F1009" s="6" t="str">
        <x:v>쉬움</x:v>
      </x:c>
      <x:c r="G1009" s="8" t="str">
        <x:v>보툴리눔독소증과 관련된 증상이나 상태는 보통 얼마나 지속되나요?</x:v>
      </x:c>
      <x:c r="H1009" s="8" t="str">
        <x:v>보툴리눔균의 포자는 열에 매우 강하여 수 시간 동안 끓여도 살아남을 수 있지만, 독소는 섭씨 80도에서 30분 이상 조리하면 거의 대부분 파괴됩니다.</x:v>
      </x:c>
      <x:c r="I1009" s="8" t="str">
        <x:v>보툴리눔독소증 - 예방 및 예방접종 보툴리눔균의 포자는 열에 매우 강하여 수 시간 동안 끓여도 살아남을 수 있지만, 독소는 섭씨 80도에서 30분 이상 조리하면 거의 대부분 파괴됩니다. 저장식품은 저장하기 전에 충분히 조리하지 않으면 보툴리눔독소증을 유발할 수 있습니다. 보툴리눔균은 일반적인 냉장고의 냉장 온도인 4°C의 낮은 온도에서도 독소를 생성할 수 있으므로 냉장 보관한 식품이 반드시 안전한 것은 아닙니다.</x:v>
      </x:c>
      <x:c r="J1009" s="8" t="str">
        <x:v>보툴리눔독소증</x:v>
      </x:c>
      <x:c r="K1009" s="8" t="str">
        <x:v>질병관리청 국가건강정보포털
https://health.kdca.go.kr/healthinfo/biz/health/gnrlzHealthInfo/gnrlzHealthInfo/gnrlzHealthInfoMain.do</x:v>
      </x:c>
    </x:row>
    <x:row r="1010" ht="62" customHeight="1">
      <x:c r="A1010" s="9" t="n">
        <x:v>1009</x:v>
      </x:c>
      <x:c r="B1010" s="6" t="str">
        <x:v>최종 평가</x:v>
      </x:c>
      <x:c r="C1010" s="6" t="str">
        <x:v>질병</x:v>
      </x:c>
      <x:c r="D1010" s="6" t="str">
        <x:v>증상→질환 구분</x:v>
      </x:c>
      <x:c r="E1010" s="6" t="str">
        <x:v>답변 가능</x:v>
      </x:c>
      <x:c r="F1010" s="6" t="str">
        <x:v>어려움</x:v>
      </x:c>
      <x:c r="G1010" s="8" t="str">
        <x:v>초기 관절 외 증상으로는 전신 통증, 뻣뻣함, 체중 감소, 피로감, 우울감 등이 함께 발생할 수 있습니다. 이런 증상은 어떤 질환과 관련이 있을 수 있나요?</x:v>
      </x:c>
      <x:c r="H1010" s="8" t="str">
        <x:v>류마티스관절염</x:v>
      </x:c>
      <x:c r="I1010" s="8" t="str">
        <x:v>류마티스관절염 - 증상 일부에서는 한 개 또는 소수의 관절이 순차적으로 침범되어 하루 이틀 안에 증상이 발생되었다가 수일만에 사라지고, 수개월간 증상 없이 지낸 다음 비슷한 증상이 재발되는 재발성 류마티즘이 발병하고, 이러한 현상이 오랫동안 지속되면서 류마티스관절염으로 진행되는 경우도 있습니다. 초기 관절 외 증상으로는 전신 통증, 뻣뻣함, 체중 감소, 피로감, 우울감 등이 함께 발생할 수 있습니다. 2. 관절증상</x:v>
      </x:c>
      <x:c r="J1010" s="8" t="str">
        <x:v>류마티스관절염</x:v>
      </x:c>
      <x:c r="K1010" s="8" t="str">
        <x:v>질병관리청 국가건강정보포털
https://health.kdca.go.kr/healthinfo/biz/health/gnrlzHealthInfo/gnrlzHealthInfo/gnrlzHealthInfoMain.do</x:v>
      </x:c>
    </x:row>
    <x:row r="1011" ht="62" customHeight="1">
      <x:c r="A1011" s="9" t="n">
        <x:v>1010</x:v>
      </x:c>
      <x:c r="B1011" s="6" t="str">
        <x:v>최종 평가</x:v>
      </x:c>
      <x:c r="C1011" s="6" t="str">
        <x:v>질병</x:v>
      </x:c>
      <x:c r="D1011" s="6" t="str">
        <x:v>증상·양상</x:v>
      </x:c>
      <x:c r="E1011" s="6" t="str">
        <x:v>답변 가능</x:v>
      </x:c>
      <x:c r="F1011" s="6" t="str">
        <x:v>쉬움</x:v>
      </x:c>
      <x:c r="G1011" s="8" t="str">
        <x:v>농가진이 있으면 어떤 증상이 나타날 수 있나요?</x:v>
      </x:c>
      <x:c r="H1011" s="8" t="str">
        <x:v>화농사슬알균에 의한 접촉전염 농가진 환자의 약 5% 정도에서는 급성 사구체신염이 발생하기도 하는데, 피부에 병변이 생기고 2~3주 후 합병증으로 나타나게 됩니다. 이러한 신장염이 생기면 눈 주위나 하지에 부종이 생길 수 있지만 소아환자들은 대부분 후유증 없이 회복됩니다. 그 밖의 합병증으로 성홍열, 두드러기, 다형 홍반 등이 생길 수 있습니다. 2. 물집 농가진</x:v>
      </x:c>
      <x:c r="I1011" s="8" t="str">
        <x:v>농가진 - 증상 화농사슬알균에 의한 접촉전염 농가진 환자의 약 5% 정도에서는 급성 사구체신염이 발생하기도 하는데, 피부에 병변이 생기고 2~3주 후 합병증으로 나타나게 됩니다. 이러한 신장염이 생기면 눈 주위나 하지에 부종이 생길 수 있지만 소아환자들은 대부분 후유증 없이 회복됩니다. 그 밖의 합병증으로 성홍열, 두드러기, 다형 홍반 등이 생길 수 있습니다. 2. 물집 농가진</x:v>
      </x:c>
      <x:c r="J1011" s="8" t="str">
        <x:v>농가진</x:v>
      </x:c>
      <x:c r="K1011" s="8" t="str">
        <x:v>질병관리청 국가건강정보포털
https://health.kdca.go.kr/healthinfo/biz/health/gnrlzHealthInfo/gnrlzHealthInfo/gnrlzHealthInfoMain.do</x:v>
      </x:c>
    </x:row>
    <x:row r="1012" ht="62" customHeight="1">
      <x:c r="A1012" s="9" t="n">
        <x:v>1011</x:v>
      </x:c>
      <x:c r="B1012" s="6" t="str">
        <x:v>최종 평가</x:v>
      </x:c>
      <x:c r="C1012" s="6" t="str">
        <x:v>질병</x:v>
      </x:c>
      <x:c r="D1012" s="6" t="str">
        <x:v>증상→질환 구분</x:v>
      </x:c>
      <x:c r="E1012" s="6" t="str">
        <x:v>답변 가능</x:v>
      </x:c>
      <x:c r="F1012" s="6" t="str">
        <x:v>어려움</x:v>
      </x:c>
      <x:c r="G1012" s="8" t="str">
        <x:v>대부분 무증상으로 지내다가 다음과 같은 증상이 나타날 수 있습니다. 이런 증상은 어떤 질환과 관련이 있을 수 있나요?</x:v>
      </x:c>
      <x:c r="H1012" s="8" t="str">
        <x:v>여성형유방</x:v>
      </x:c>
      <x:c r="I1012" s="8" t="str">
        <x:v>여성형유방 - 역학 및 통계 / 증상 신생아때 여성형유방은 60~90%에서 나타나고, 청소년기에는 약 50~60%, 노년층에서는 약 36~57%에서 나타납니다. 이러한 여성형유방은 서구화와 비만 인구의 증가로 인해 그 발생 빈도가 증가하고 있는 추세입니다. 대부분 무증상으로 지내다가 다음과 같은 증상이 나타날 수 있습니다. • 유방의 부피가 서서히 커질 수 있습니다. • 유방의 부피가 전체적으로 증가하는데, 일부분만 커지는 경우는 다른 질환이 아닐지 의심해야 합니다.</x:v>
      </x:c>
      <x:c r="J1012" s="8" t="str">
        <x:v>여성형유방</x:v>
      </x:c>
      <x:c r="K1012" s="8" t="str">
        <x:v>질병관리청 국가건강정보포털
https://health.kdca.go.kr/healthinfo/biz/health/gnrlzHealthInfo/gnrlzHealthInfo/gnrlzHealthInfoMain.do</x:v>
      </x:c>
    </x:row>
    <x:row r="1013" ht="62" customHeight="1">
      <x:c r="A1013" s="9" t="n">
        <x:v>1012</x:v>
      </x:c>
      <x:c r="B1013" s="6" t="str">
        <x:v>최종 평가</x:v>
      </x:c>
      <x:c r="C1013" s="6" t="str">
        <x:v>질병</x:v>
      </x:c>
      <x:c r="D1013" s="6" t="str">
        <x:v>개요·기타</x:v>
      </x:c>
      <x:c r="E1013" s="6" t="str">
        <x:v>답변 가능</x:v>
      </x:c>
      <x:c r="F1013" s="6" t="str">
        <x:v>쉬움</x:v>
      </x:c>
      <x:c r="G1013" s="8" t="str">
        <x:v>직업성 호흡기질환에 대해 쉽게 설명해 주실 수 있나요?</x:v>
      </x:c>
      <x:c r="H1013" s="8" t="str">
        <x:v>직업성 호흡기질환은 한 번 발생하면 완치가 어려운 만성적인 경과를 보이기 때문에 발생 전에 예방하거나 초기부터 철저히 관리해 심각한 상태로 진행하지 않도록 해야 합니다.</x:v>
      </x:c>
      <x:c r="I1013" s="8" t="str">
        <x:v>직업성 호흡기질환 - 개요 직업성 호흡기질환은 한 번 발생하면 완치가 어려운 만성적인 경과를 보이기 때문에 발생 전에 예방하거나 초기부터 철저히 관리해 심각한 상태로 진행하지 않도록 해야 합니다. 유해물질은 숨을 들이쉴 때 폐로 들어오며, 인체에 흡수된 후 혈액을 통해 몸 전체에 영향을 미칩니다. 직접 기관지 점막과 폐포를 자극해 염증을 일으킬 수 있고, 장기간 노출되면 염증이 반복되어 결국 폐에 흉터(섬유화)를 남기기도 합니다.</x:v>
      </x:c>
      <x:c r="J1013" s="8" t="str">
        <x:v>직업성 호흡기질환</x:v>
      </x:c>
      <x:c r="K1013" s="8" t="str">
        <x:v>질병관리청 국가건강정보포털
https://health.kdca.go.kr/healthinfo/biz/health/gnrlzHealthInfo/gnrlzHealthInfo/gnrlzHealthInfoMain.do</x:v>
      </x:c>
    </x:row>
    <x:row r="1014" ht="62" customHeight="1">
      <x:c r="A1014" s="9" t="n">
        <x:v>1013</x:v>
      </x:c>
      <x:c r="B1014" s="6" t="str">
        <x:v>최종 평가</x:v>
      </x:c>
      <x:c r="C1014" s="6" t="str">
        <x:v>질병</x:v>
      </x:c>
      <x:c r="D1014" s="6" t="str">
        <x:v>용어·정의</x:v>
      </x:c>
      <x:c r="E1014" s="6" t="str">
        <x:v>답변 가능</x:v>
      </x:c>
      <x:c r="F1014" s="6" t="str">
        <x:v>쉬움</x:v>
      </x:c>
      <x:c r="G1014" s="8" t="str">
        <x:v>사상충증이 뭔가요?</x:v>
      </x:c>
      <x:c r="H1014" s="8" t="str">
        <x:v>'이것만은 꼭 기억하세요' • 사상충증은 사상충이라는 기생충이 사람의 피부나 림프관에 기생하여 발생하는 질환입니다.</x:v>
      </x:c>
      <x:c r="I1014" s="8" t="str">
        <x:v>사상충증 - 요약문 '이것만은 꼭 기억하세요' • 사상충증은 사상충이라는 기생충이 사람의 피부나 림프관에 기생하여 발생하는 질환입니다. • 사상충증은 모기, 먹파리, 등에와 같은 흡혈성 곤충에 물려 감염되며, 사상충의 종류에 따라 증상이 다양하게 나타납니다. • 감염되면 발열, 오한, 림프관염, 피부 결절, 가려움증 등이 생기고, 심한 경우 피부가 코끼리처럼 두꺼워질 수 있습니다.</x:v>
      </x:c>
      <x:c r="J1014" s="8" t="str">
        <x:v>사상충증</x:v>
      </x:c>
      <x:c r="K1014" s="8" t="str">
        <x:v>질병관리청 국가건강정보포털
https://health.kdca.go.kr/healthinfo/biz/health/gnrlzHealthInfo/gnrlzHealthInfo/gnrlzHealthInfoMain.do</x:v>
      </x:c>
    </x:row>
    <x:row r="1015" ht="62" customHeight="1">
      <x:c r="A1015" s="9" t="n">
        <x:v>1014</x:v>
      </x:c>
      <x:c r="B1015" s="6" t="str">
        <x:v>최종 평가</x:v>
      </x:c>
      <x:c r="C1015" s="6" t="str">
        <x:v>질병</x:v>
      </x:c>
      <x:c r="D1015" s="6" t="str">
        <x:v>진단·검사</x:v>
      </x:c>
      <x:c r="E1015" s="6" t="str">
        <x:v>답변 가능</x:v>
      </x:c>
      <x:c r="F1015" s="6" t="str">
        <x:v>쉬움</x:v>
      </x:c>
      <x:c r="G1015" s="8" t="str">
        <x:v>비문증(날파리증)은 어떤 검사로 확인하나요?</x:v>
      </x:c>
      <x:c r="H1015" s="8" t="str">
        <x:v>검사 전 30분에서 1시간 정도 산동제 점안약 넣은 후 동공이 확대되면, 눈 속에 빛을 비추어 검사합니다.</x:v>
      </x:c>
      <x:c r="I1015" s="8" t="str">
        <x:v>비문증(날파리증) - 진단 및 검사 검사 전 30분에서 1시간 정도 산동제 점안약 넣은 후 동공이 확대되면, 눈 속에 빛을 비추어 검사합니다. 세극등현미경이나 검안경을 이용하여 관찰할 수도 있고, 사진을 촬영하여 관찰할 수 있습니다. 망막열공은 보통 주변부 망막에 발생하는데, 눈의 내면은 둥근 곡면이므로 주변부 망막의 검사는 쉽지 않습니다.</x:v>
      </x:c>
      <x:c r="J1015" s="8" t="str">
        <x:v>비문증(날파리증)</x:v>
      </x:c>
      <x:c r="K1015" s="8" t="str">
        <x:v>질병관리청 국가건강정보포털
https://health.kdca.go.kr/healthinfo/biz/health/gnrlzHealthInfo/gnrlzHealthInfo/gnrlzHealthInfoMain.do</x:v>
      </x:c>
    </x:row>
    <x:row r="1016" ht="62" customHeight="1">
      <x:c r="A1016" s="9" t="n">
        <x:v>1015</x:v>
      </x:c>
      <x:c r="B1016" s="6" t="str">
        <x:v>최종 평가</x:v>
      </x:c>
      <x:c r="C1016" s="6" t="str">
        <x:v>질병</x:v>
      </x:c>
      <x:c r="D1016" s="6" t="str">
        <x:v>치료·관리</x:v>
      </x:c>
      <x:c r="E1016" s="6" t="str">
        <x:v>답변 가능</x:v>
      </x:c>
      <x:c r="F1016" s="6" t="str">
        <x:v>쉬움</x:v>
      </x:c>
      <x:c r="G1016" s="8" t="str">
        <x:v>고혈압은 어떻게 치료하거나 관리하나요?</x:v>
      </x:c>
      <x:c r="H1016" s="8" t="str">
        <x:v>연간 1,191만 명이 고혈압으로 진료를 받고, 1,124만 명이 고혈압 치료제를 처방받고 있으며, 831만 명이 지속적으로 치료를 유지하고 있습니다. 약물 치료 양상을 보면, 고혈압 치료자의 40%는 단일요법, 44%는 2제 병합요법, 16%는 3제 이상 병합요법을 사용하고 있습니다.</x:v>
      </x:c>
      <x:c r="I1016" s="8" t="str">
        <x:v>고혈압 - 역학 및 통계 연간 1,191만 명이 고혈압으로 진료를 받고, 1,124만 명이 고혈압 치료제를 처방받고 있으며, 831만 명이 지속적으로 치료를 유지하고 있습니다. 약물 치료 양상을 보면, 고혈압 치료자의 40%는 단일요법, 44%는 2제 병합요법, 16%는 3제 이상 병합요법을 사용하고 있습니다.</x:v>
      </x:c>
      <x:c r="J1016" s="8" t="str">
        <x:v>고혈압</x:v>
      </x:c>
      <x:c r="K1016" s="8" t="str">
        <x:v>질병관리청 국가건강정보포털
https://health.kdca.go.kr/healthinfo/biz/health/gnrlzHealthInfo/gnrlzHealthInfo/gnrlzHealthInfoMain.do</x:v>
      </x:c>
    </x:row>
    <x:row r="1017" ht="62" customHeight="1">
      <x:c r="A1017" s="9" t="n">
        <x:v>1016</x:v>
      </x:c>
      <x:c r="B1017" s="6" t="str">
        <x:v>최종 평가</x:v>
      </x:c>
      <x:c r="C1017" s="6" t="str">
        <x:v>질병</x:v>
      </x:c>
      <x:c r="D1017" s="6" t="str">
        <x:v>치료·관리</x:v>
      </x:c>
      <x:c r="E1017" s="6" t="str">
        <x:v>답변 가능</x:v>
      </x:c>
      <x:c r="F1017" s="6" t="str">
        <x:v>쉬움</x:v>
      </x:c>
      <x:c r="G1017" s="8" t="str">
        <x:v>일광화상은 어떻게 치료하거나 관리하나요?</x:v>
      </x:c>
      <x:c r="H1017" s="8" t="str">
        <x:v>일광화상 후에 피부색이 얼룩덜룩해진 것은 색소침착이 발생한 것인데, 색소침착은 보통 시간이 지남에 따라 특별한 치료 없이도 서서히 회복됩니다.하지만 드문 경우에서는 지속되는 경우가 있으므로 우선 색소침착부위가 다시 햇빛에 노출되지 않도록 일광차단을 잘하면서 지켜봅니다. 그 후로도 계속 지속될 경우에는 증상에 따라 여러 가지 색소질환에 이용되는 치료를 고려해 봅니다. Q. 일광 화상 후 응급처치 방법은 뭐가 좋은 가요? A.</x:v>
      </x:c>
      <x:c r="I1017" s="8" t="str">
        <x:v>일광화상 - 자주하는 질문 일광화상 후에 피부색이 얼룩덜룩해진 것은 색소침착이 발생한 것인데, 색소침착은 보통 시간이 지남에 따라 특별한 치료 없이도 서서히 회복됩니다.하지만 드문 경우에서는 지속되는 경우가 있으므로 우선 색소침착부위가 다시 햇빛에 노출되지 않도록 일광차단을 잘하면서 지켜봅니다. 그 후로도 계속 지속될 경우에는 증상에 따라 여러 가지 색소질환에 이용되는 치료를 고려해 봅니다. Q. 일광 화상 후 응급처치 방법은 뭐가 좋은 가요? A.</x:v>
      </x:c>
      <x:c r="J1017" s="8" t="str">
        <x:v>일광화상</x:v>
      </x:c>
      <x:c r="K1017" s="8" t="str">
        <x:v>질병관리청 국가건강정보포털
https://health.kdca.go.kr/healthinfo/biz/health/gnrlzHealthInfo/gnrlzHealthInfo/gnrlzHealthInfoMain.do</x:v>
      </x:c>
    </x:row>
    <x:row r="1018" ht="62" customHeight="1">
      <x:c r="A1018" s="9" t="n">
        <x:v>1017</x:v>
      </x:c>
      <x:c r="B1018" s="6" t="str">
        <x:v>최종 평가</x:v>
      </x:c>
      <x:c r="C1018" s="6" t="str">
        <x:v>질병</x:v>
      </x:c>
      <x:c r="D1018" s="6" t="str">
        <x:v>원인·위험요인</x:v>
      </x:c>
      <x:c r="E1018" s="6" t="str">
        <x:v>답변 가능</x:v>
      </x:c>
      <x:c r="F1018" s="6" t="str">
        <x:v>쉬움</x:v>
      </x:c>
      <x:c r="G1018" s="8" t="str">
        <x:v>액취증은 왜 생기나요?</x:v>
      </x:c>
      <x:c r="H1018" s="8" t="str">
        <x:v>암내의 원인은 무엇인가요? A. 암내의 주된 원인은 겨드랑이에 분포하는 땀샘이 원인입니다. 일반적으로 땀샘은 두 가지 종류가 있는데 보통 더울 때 흘리는 땀을 만들어내는 곳은 에크린선이라고 하며 입술 등 일부 피부를 제외한 모든 피부에 분포합니다. 또 한 가지는 아포크린선이라는 것으로 겨드랑이, 젖꼭지, 배꼽, 생식기 주위의 일부분에만 분포합니다.</x:v>
      </x:c>
      <x:c r="I1018" s="8" t="str">
        <x:v>액취증 - 위험요인 및 예방 / 자주하는 질문 ˚ 수면을 충분히 취합니다. Q. 암내의 원인은 무엇인가요? A. 암내의 주된 원인은 겨드랑이에 분포하는 땀샘이 원인입니다. 일반적으로 땀샘은 두 가지 종류가 있는데 보통 더울 때 흘리는 땀을 만들어내는 곳은 에크린선이라고 하며 입술 등 일부 피부를 제외한 모든 피부에 분포합니다. 또 한 가지는 아포크린선이라는 것으로 겨드랑이, 젖꼭지, 배꼽, 생식기 주위의 일부분에만 분포합니다.</x:v>
      </x:c>
      <x:c r="J1018" s="8" t="str">
        <x:v>액취증</x:v>
      </x:c>
      <x:c r="K1018" s="8" t="str">
        <x:v>질병관리청 국가건강정보포털
https://health.kdca.go.kr/healthinfo/biz/health/gnrlzHealthInfo/gnrlzHealthInfo/gnrlzHealthInfoMain.do</x:v>
      </x:c>
    </x:row>
    <x:row r="1019" ht="62" customHeight="1">
      <x:c r="A1019" s="9" t="n">
        <x:v>1018</x:v>
      </x:c>
      <x:c r="B1019" s="6" t="str">
        <x:v>최종 평가</x:v>
      </x:c>
      <x:c r="C1019" s="6" t="str">
        <x:v>질병</x:v>
      </x:c>
      <x:c r="D1019" s="6" t="str">
        <x:v>증상→질환 구분</x:v>
      </x:c>
      <x:c r="E1019" s="6" t="str">
        <x:v>답변 가능</x:v>
      </x:c>
      <x:c r="F1019" s="6" t="str">
        <x:v>어려움</x:v>
      </x:c>
      <x:c r="G1019" s="8" t="str">
        <x:v>외부생식기-질 칸디다증의 주증상은 전형적으로 흰색의 치즈와 비슷한 질 분비물이 있으면서 외음부가 가려운 것입니다. 이런 증상은 어떤 질환과 관련이 있을 수 있나요?</x:v>
      </x:c>
      <x:c r="H1019" s="8" t="str">
        <x:v>질염</x:v>
      </x:c>
      <x:c r="I1019" s="8" t="str">
        <x:v>질염 - 증상 외부생식기-질 칸디다증의 주증상은 전형적으로 흰색의 치즈와 비슷한 질 분비물이 있으면서 외음부가 가려운 것입니다. 질이나 외부생식기가 쓰리거나, 화끈거리거나, 자극감, 성교통이 있을 수도 있습니다. 염증성 질염에서는 고름 같은 질 분비물이 많아지고 외음부나 질에서 화끈거리는 느낌이나 자극감, 성교통 등이 나타납니다.</x:v>
      </x:c>
      <x:c r="J1019" s="8" t="str">
        <x:v>질염</x:v>
      </x:c>
      <x:c r="K1019" s="8" t="str">
        <x:v>질병관리청 국가건강정보포털
https://health.kdca.go.kr/healthinfo/biz/health/gnrlzHealthInfo/gnrlzHealthInfo/gnrlzHealthInfoMain.do</x:v>
      </x:c>
    </x:row>
    <x:row r="1020" ht="62" customHeight="1">
      <x:c r="A1020" s="9" t="n">
        <x:v>1019</x:v>
      </x:c>
      <x:c r="B1020" s="6" t="str">
        <x:v>최종 평가</x:v>
      </x:c>
      <x:c r="C1020" s="6" t="str">
        <x:v>질병</x:v>
      </x:c>
      <x:c r="D1020" s="6" t="str">
        <x:v>증상→질환 구분</x:v>
      </x:c>
      <x:c r="E1020" s="6" t="str">
        <x:v>답변 가능</x:v>
      </x:c>
      <x:c r="F1020" s="6" t="str">
        <x:v>어려움</x:v>
      </x:c>
      <x:c r="G1020" s="8" t="str">
        <x:v>증상은 서서히 나타나며 기생 부위가 다양한 만큼 증상도 여러 가지입니다. 이런 증상은 어떤 질환과 관련이 있을 수 있나요?</x:v>
      </x:c>
      <x:c r="H1020" s="8" t="str">
        <x:v>폐흡충증</x:v>
      </x:c>
      <x:c r="I1020" s="8" t="str">
        <x:v>폐흡충증 - 역학 및 통계 / 증상 최근에는 너구리, 족제비, 여우, 늑대, 개, 고양이 등 야생동물이 보유숙주로 작용하여 생태계가 유지되고 있는 지역(전라남도보길도, 해남, 영암 등)은 있으나 유행지는 거의 사라진 실정입니다. 2014년부터 현재까지 매년 0~3건 정도의 신고가 이어지고 있습니다. 폐흡충증 잠복기는 6주입니다.증상은 서서히 나타나며 기생 부위가 다양한 만큼 증상도 여러 가지입니다.</x:v>
      </x:c>
      <x:c r="J1020" s="8" t="str">
        <x:v>폐흡충증</x:v>
      </x:c>
      <x:c r="K1020" s="8" t="str">
        <x:v>질병관리청 국가건강정보포털
https://health.kdca.go.kr/healthinfo/biz/health/gnrlzHealthInfo/gnrlzHealthInfo/gnrlzHealthInfoMain.do</x:v>
      </x:c>
    </x:row>
    <x:row r="1021" ht="62" customHeight="1">
      <x:c r="A1021" s="9" t="n">
        <x:v>1020</x:v>
      </x:c>
      <x:c r="B1021" s="6" t="str">
        <x:v>최종 평가</x:v>
      </x:c>
      <x:c r="C1021" s="6" t="str">
        <x:v>질병</x:v>
      </x:c>
      <x:c r="D1021" s="6" t="str">
        <x:v>경과·예후</x:v>
      </x:c>
      <x:c r="E1021" s="6" t="str">
        <x:v>답변 가능</x:v>
      </x:c>
      <x:c r="F1021" s="6" t="str">
        <x:v>쉬움</x:v>
      </x:c>
      <x:c r="G1021" s="8" t="str">
        <x:v>라임병의 경과나 예후는 어떤가요?</x:v>
      </x:c>
      <x:c r="H1021" s="8" t="str">
        <x:v>라임병의 합병증으로는 무균성 수막염, 뇌신경염, 급성 심근심막염, 심비대증, 만성 관절염 등이 있습니다.</x:v>
      </x:c>
      <x:c r="I1021" s="8" t="str">
        <x:v>라임병 - 합병증 / 대상별 맞춤 정보 / 자주하는 질문 라임병의 합병증으로는 무균성 수막염, 뇌신경염, 급성 심근심막염, 심비대증, 만성 관절염 등이 있습니다. 라임병은 보렐리아속균에 감염된 진드기에 물려서 생기는 질환입니다. 사람 간 접촉에 의해서는 전파되지 않으므로 환자를 격리할 필요가 없으며, 환자와 접촉한 사람 역시 특별한 관리가 필요하지 않습니다. Q. 겨울철에도 라임병이 발생할 수 있습니까? A. 라임병은 겨울철에도 발생할 수 있습니다.</x:v>
      </x:c>
      <x:c r="J1021" s="8" t="str">
        <x:v>라임병</x:v>
      </x:c>
      <x:c r="K1021" s="8" t="str">
        <x:v>질병관리청 국가건강정보포털
https://health.kdca.go.kr/healthinfo/biz/health/gnrlzHealthInfo/gnrlzHealthInfo/gnrlzHealthInfoMain.do</x:v>
      </x:c>
    </x:row>
    <x:row r="1022" ht="62" customHeight="1">
      <x:c r="A1022" s="9" t="n">
        <x:v>1021</x:v>
      </x:c>
      <x:c r="B1022" s="6" t="str">
        <x:v>최종 평가</x:v>
      </x:c>
      <x:c r="C1022" s="6" t="str">
        <x:v>질병</x:v>
      </x:c>
      <x:c r="D1022" s="6" t="str">
        <x:v>답변불가·실시간 의료기관</x:v>
      </x:c>
      <x:c r="E1022" s="6" t="str">
        <x:v>답변 거부</x:v>
      </x:c>
      <x:c r="F1022" s="6" t="str">
        <x:v>어려움</x:v>
      </x:c>
      <x:c r="G1022" s="8" t="str">
        <x:v>지금 제 위치에서 폐렴(성인) 진료가 가능한 병원 중 대기 시간이 가장 짧은 곳은 어디인가요?</x:v>
      </x:c>
      <x:c r="H1022" s="8" t="str">
        <x:v>제공된 질병관리청 VDB에는 실시간 병원 위치와 대기 시간 정보가 없어 답할 수 없습니다.</x:v>
      </x:c>
      <x:c r="I1022" s="8" t="str">
        <x:v>VDB 범위 밖 질문 — 근거 없음</x:v>
      </x:c>
      <x:c r="J1022" s="8" t="str">
        <x:v>폐렴(성인)</x:v>
      </x:c>
      <x:c r="K1022" s="8" t="str">
        <x:v>질병관리청 국가건강정보포털
https://health.kdca.go.kr/healthinfo/biz/health/gnrlzHealthInfo/gnrlzHealthInfo/gnrlzHealthInfoMain.do</x:v>
      </x:c>
    </x:row>
    <x:row r="1023" ht="62" customHeight="1">
      <x:c r="A1023" s="9" t="n">
        <x:v>1022</x:v>
      </x:c>
      <x:c r="B1023" s="6" t="str">
        <x:v>최종 평가</x:v>
      </x:c>
      <x:c r="C1023" s="6" t="str">
        <x:v>질병</x:v>
      </x:c>
      <x:c r="D1023" s="6" t="str">
        <x:v>개요·기타</x:v>
      </x:c>
      <x:c r="E1023" s="6" t="str">
        <x:v>답변 가능</x:v>
      </x:c>
      <x:c r="F1023" s="6" t="str">
        <x:v>쉬움</x:v>
      </x:c>
      <x:c r="G1023" s="8" t="str">
        <x:v>간의 양성종양에 대해 쉽게 설명해 주실 수 있나요?</x:v>
      </x:c>
      <x:c r="H1023" s="8" t="str">
        <x:v>악성종양은 빠르게 자라고, 주변 조직에 침투하며, 다른 장기로 전이해 생명에 영향을 주는 종양으로 보통 암이라고 합니다.</x:v>
      </x:c>
      <x:c r="I1023" s="8" t="str">
        <x:v>간의 양성종양 - 개요 악성종양은 빠르게 자라고, 주변 조직에 침투하며, 다른 장기로 전이해 생명에 영향을 주는 종양으로 보통 암이라고 합니다. 양성종양은 느리게 자라거나 자라지 않고, 전이를 하지 않아 생명에 영향을 주지 않는 종양입니다. 간에 생기는 양성종양으로는 간혈관종, 간선종, 간낭종, 국소결절증식증, 담관낭선종 등이 있습니다.</x:v>
      </x:c>
      <x:c r="J1023" s="8" t="str">
        <x:v>간의 양성종양</x:v>
      </x:c>
      <x:c r="K1023" s="8" t="str">
        <x:v>질병관리청 국가건강정보포털
https://health.kdca.go.kr/healthinfo/biz/health/gnrlzHealthInfo/gnrlzHealthInfo/gnrlzHealthInfoMain.do</x:v>
      </x:c>
    </x:row>
    <x:row r="1024" ht="62" customHeight="1">
      <x:c r="A1024" s="9" t="n">
        <x:v>1023</x:v>
      </x:c>
      <x:c r="B1024" s="6" t="str">
        <x:v>최종 평가</x:v>
      </x:c>
      <x:c r="C1024" s="6" t="str">
        <x:v>질병</x:v>
      </x:c>
      <x:c r="D1024" s="6" t="str">
        <x:v>진단·검사</x:v>
      </x:c>
      <x:c r="E1024" s="6" t="str">
        <x:v>답변 가능</x:v>
      </x:c>
      <x:c r="F1024" s="6" t="str">
        <x:v>쉬움</x:v>
      </x:c>
      <x:c r="G1024" s="8" t="str">
        <x:v>갈색세포종은 어떤 검사로 확인하나요?</x:v>
      </x:c>
      <x:c r="H1024" s="8" t="str">
        <x:v>종양의 호르몬 활성도가 불안정해 카테콜아민을 연속 측정해도 검사 결과가 일정하게 나오지 않기 때문에 발작 중 또는 발작 직후에 소변을 채취하는 것이 가장 좋습니다.</x:v>
      </x:c>
      <x:c r="I1024" s="8" t="str">
        <x:v>갈색세포종 - 진단 및 검사 종양의 호르몬 활성도가 불안정해 카테콜아민을 연속 측정해도 검사 결과가 일정하게 나오지 않기 때문에 발작 중 또는 발작 직후에 소변을 채취하는 것이 가장 좋습니다. 대개 카테콜아민 분비는 간헐적으로 일어나지만, 종양 내에서 카테콜아민의 대사는 지속적으로 일어나므로 대사산물은 지속적으로 분비됩니다. 따라서 카테콜아민보다 대사산물인 노르메타네프린 또는 메타네프린을 측정하면 좀 더 진단하기 쉽습니다.</x:v>
      </x:c>
      <x:c r="J1024" s="8" t="str">
        <x:v>갈색세포종</x:v>
      </x:c>
      <x:c r="K1024" s="8" t="str">
        <x:v>질병관리청 국가건강정보포털
https://health.kdca.go.kr/healthinfo/biz/health/gnrlzHealthInfo/gnrlzHealthInfo/gnrlzHealthInfoMain.do</x:v>
      </x:c>
    </x:row>
    <x:row r="1025" ht="62" customHeight="1">
      <x:c r="A1025" s="9" t="n">
        <x:v>1024</x:v>
      </x:c>
      <x:c r="B1025" s="6" t="str">
        <x:v>최종 평가</x:v>
      </x:c>
      <x:c r="C1025" s="6" t="str">
        <x:v>질병</x:v>
      </x:c>
      <x:c r="D1025" s="6" t="str">
        <x:v>예방·생활수칙</x:v>
      </x:c>
      <x:c r="E1025" s="6" t="str">
        <x:v>답변 가능</x:v>
      </x:c>
      <x:c r="F1025" s="6" t="str">
        <x:v>쉬움</x:v>
      </x:c>
      <x:c r="G1025" s="8" t="str">
        <x:v>위십이지장 궤양을 예방하려면 어떻게 해야 하나요?</x:v>
      </x:c>
      <x:c r="H1025" s="8" t="str">
        <x:v>헬리코박터 감염이 있는 경우에는 미리 제균 치료를 시행하는 것도 좋으며, 이는 위암 예방에도 도움이 됩니다. 다만 헬리코박터 감염 자체가 비스테로이드 소염제 관련 궤양 발생을 높이지는 않으므로, 비스테로이드 소염제 관련 궤양 예방 목적으로 무리하게 제균 치료를 시행할 필요는 없습니다. 또한 규칙적인 식사와 적절한 영양 섭취, 충분한 신체 활동, 금연·금주와 같은 일반적인 건강 수칙도 위십이지장궤양 예방에 도움이 됩니다.</x:v>
      </x:c>
      <x:c r="I1025" s="8" t="str">
        <x:v>위십이지장 궤양 - 위험요인 및 예방 헬리코박터 감염이 있는 경우에는 미리 제균 치료를 시행하는 것도 좋으며, 이는 위암 예방에도 도움이 됩니다. 다만 헬리코박터 감염 자체가 비스테로이드 소염제 관련 궤양 발생을 높이지는 않으므로, 비스테로이드 소염제 관련 궤양 예방 목적으로 무리하게 제균 치료를 시행할 필요는 없습니다. 또한 규칙적인 식사와 적절한 영양 섭취, 충분한 신체 활동, 금연·금주와 같은 일반적인 건강 수칙도 위십이지장궤양 예방에 도움이 됩니다.</x:v>
      </x:c>
      <x:c r="J1025" s="8" t="str">
        <x:v>위십이지장 궤양</x:v>
      </x:c>
      <x:c r="K1025" s="8" t="str">
        <x:v>질병관리청 국가건강정보포털
https://health.kdca.go.kr/healthinfo/biz/health/gnrlzHealthInfo/gnrlzHealthInfo/gnrlzHealthInfoMain.do</x:v>
      </x:c>
    </x:row>
    <x:row r="1026" ht="62" customHeight="1">
      <x:c r="A1026" s="9" t="n">
        <x:v>1025</x:v>
      </x:c>
      <x:c r="B1026" s="6" t="str">
        <x:v>최종 평가</x:v>
      </x:c>
      <x:c r="C1026" s="6" t="str">
        <x:v>질병</x:v>
      </x:c>
      <x:c r="D1026" s="6" t="str">
        <x:v>용어·정의</x:v>
      </x:c>
      <x:c r="E1026" s="6" t="str">
        <x:v>답변 가능</x:v>
      </x:c>
      <x:c r="F1026" s="6" t="str">
        <x:v>쉬움</x:v>
      </x:c>
      <x:c r="G1026" s="8" t="str">
        <x:v>이차성 이동홍반이 뭔가요?</x:v>
      </x:c>
      <x:c r="H1026" s="8" t="str">
        <x:v>이차성 이동홍반은 일차성 이동홍반보다 작은 여러 개 홍반이 군집을 이루어 다발성으로 얼굴, 손, 발 등 다양한 부위에 발생하는 것을 말합니다.</x:v>
      </x:c>
      <x:c r="I1026" s="8" t="str">
        <x:v>라임병 - 증상 이차성 이동홍반은 일차성 이동홍반보다 작은 여러 개 홍반이 군집을 이루어 다발성으로 얼굴, 손, 발 등 다양한 부위에 발생하는 것을 말합니다.지연/만성 단계는 수 주 내지 수 년 후로, 치료받지 않은 환자의 약 50~60%에서 단발성 관절염(무릎 관절 등에 주로 비대칭적으로 한 쪽에만 생기는 관절염)이 발생하고, 약 20%에서는 만성 위축성 말단피부염이 발생합니다.</x:v>
      </x:c>
      <x:c r="J1026" s="8" t="str">
        <x:v>라임병</x:v>
      </x:c>
      <x:c r="K1026" s="8" t="str">
        <x:v>질병관리청 국가건강정보포털
https://health.kdca.go.kr/healthinfo/biz/health/gnrlzHealthInfo/gnrlzHealthInfo/gnrlzHealthInfoMain.do</x:v>
      </x:c>
    </x:row>
    <x:row r="1027" ht="62" customHeight="1">
      <x:c r="A1027" s="9" t="n">
        <x:v>1026</x:v>
      </x:c>
      <x:c r="B1027" s="6" t="str">
        <x:v>최종 평가</x:v>
      </x:c>
      <x:c r="C1027" s="6" t="str">
        <x:v>질병</x:v>
      </x:c>
      <x:c r="D1027" s="6" t="str">
        <x:v>치료·관리</x:v>
      </x:c>
      <x:c r="E1027" s="6" t="str">
        <x:v>답변 가능</x:v>
      </x:c>
      <x:c r="F1027" s="6" t="str">
        <x:v>쉬움</x:v>
      </x:c>
      <x:c r="G1027" s="8" t="str">
        <x:v>고혈압성 콩팥병은 어떻게 치료하거나 관리하나요?</x:v>
      </x:c>
      <x:c r="H1027" s="8" t="str">
        <x:v>고혈압성 콩팥병 환자는 목표 혈압을 달성하기 위해 두 가지 이상의 항고혈압제가 필요한 경우가 많으며, 심혈관 질환, 낮은 콩팥 기능, 고령으로 인해 여러 약제를 함께 복용하는 경우도 많습니다.</x:v>
      </x:c>
      <x:c r="I1027" s="8" t="str">
        <x:v>고혈압성 콩팥병 - 약물 치료 특히 당뇨병이 있거나 하루 30 mg 이상의 알부민뇨가 있는 경우, 다른 계열의 항고혈압제 대신 안지오텐신 전환효소 억제제나 안지오텐신 ll 수용체 차단제 치료를 적극적으로 고려해야 합니다. • 고혈압성 콩팥병 환자는 목표 혈압을 달성하기 위해 두 가지 이상의 항고혈압제가 필요한 경우가 많으며, 심혈관 질환, 낮은 콩팥 기능, 고령으로 인해 여러 약제를 함께 복용하는 경우도 많습니다.</x:v>
      </x:c>
      <x:c r="J1027" s="8" t="str">
        <x:v>고혈압성 콩팥병</x:v>
      </x:c>
      <x:c r="K1027" s="8" t="str">
        <x:v>질병관리청 국가건강정보포털
https://health.kdca.go.kr/healthinfo/biz/health/gnrlzHealthInfo/gnrlzHealthInfo/gnrlzHealthInfoMain.do</x:v>
      </x:c>
    </x:row>
    <x:row r="1028" ht="62" customHeight="1">
      <x:c r="A1028" s="9" t="n">
        <x:v>1027</x:v>
      </x:c>
      <x:c r="B1028" s="6" t="str">
        <x:v>최종 평가</x:v>
      </x:c>
      <x:c r="C1028" s="6" t="str">
        <x:v>질병</x:v>
      </x:c>
      <x:c r="D1028" s="6" t="str">
        <x:v>증상·양상</x:v>
      </x:c>
      <x:c r="E1028" s="6" t="str">
        <x:v>답변 가능</x:v>
      </x:c>
      <x:c r="F1028" s="6" t="str">
        <x:v>쉬움</x:v>
      </x:c>
      <x:c r="G1028" s="8" t="str">
        <x:v>심낭염(심장눌림증)이 있으면 어떤 증상이 나타날 수 있나요?</x:v>
      </x:c>
      <x:c r="H1028" s="8" t="str">
        <x:v>저혈압으로 어지럼증을 호소하거나 실신하기도 하고, 처치가 늦어지는 경우 심정지가 발생할 수도 있습니다. 만성적으로 발생한 경우 가슴 답답함, 전신무력감, 피로감, 말초부종을 호소할 수도 있습니다. 신체 검사에서 혈압이 낮고, 목정맥이 확장되며, 심음이 작고 희미하게 들릴 수 있습니다.</x:v>
      </x:c>
      <x:c r="I1028" s="8" t="str">
        <x:v>심낭염(심장눌림증) - 증상 / 진단 및 검사 가장 흔한 증상은 호흡곤란입니다. 저혈압으로 어지럼증을 호소하거나 실신하기도 하고, 처치가 늦어지는 경우 심정지가 발생할 수도 있습니다. 만성적으로 발생한 경우 가슴 답답함, 전신무력감, 피로감, 말초부종을 호소할 수도 있습니다. 신체 검사에서 혈압이 낮고, 목정맥이 확장되며, 심음이 작고 희미하게 들릴 수 있습니다.</x:v>
      </x:c>
      <x:c r="J1028" s="8" t="str">
        <x:v>심낭염(심장눌림증)</x:v>
      </x:c>
      <x:c r="K1028" s="8" t="str">
        <x:v>질병관리청 국가건강정보포털
https://health.kdca.go.kr/healthinfo/biz/health/gnrlzHealthInfo/gnrlzHealthInfo/gnrlzHealthInfoMain.do</x:v>
      </x:c>
    </x:row>
    <x:row r="1029" ht="62" customHeight="1">
      <x:c r="A1029" s="9" t="n">
        <x:v>1028</x:v>
      </x:c>
      <x:c r="B1029" s="6" t="str">
        <x:v>최종 평가</x:v>
      </x:c>
      <x:c r="C1029" s="6" t="str">
        <x:v>질병</x:v>
      </x:c>
      <x:c r="D1029" s="6" t="str">
        <x:v>경과·예후</x:v>
      </x:c>
      <x:c r="E1029" s="6" t="str">
        <x:v>답변 가능</x:v>
      </x:c>
      <x:c r="F1029" s="6" t="str">
        <x:v>쉬움</x:v>
      </x:c>
      <x:c r="G1029" s="8" t="str">
        <x:v>폐 색전증의 경과나 예후는 어떤가요?</x:v>
      </x:c>
      <x:c r="H1029" s="8" t="str">
        <x:v>항응고/항혈전 치료가 늦게 시작되거나, 고위험~중간위험 폐 색전증 등 혈전의 정도가 심한 경우에는 적절한 치료를 한 이후에도 만성 우심실 부전이나 만성 폐동맥 고혈압 정도의 심한 만성 합병증이 생길 수 있지만, 그 빈도는 2~3% 정도로 높지 않은 편입니다.</x:v>
      </x:c>
      <x:c r="I1029" s="8" t="str">
        <x:v>폐 색전증 - 합병증 항응고/항혈전 치료가 늦게 시작되거나, 고위험~중간위험 폐 색전증 등 혈전의 정도가 심한 경우에는 적절한 치료를 한 이후에도 만성 우심실 부전이나 만성 폐동맥 고혈압 정도의 심한 만성 합병증이 생길 수 있지만, 그 빈도는 2~3% 정도로 높지 않은 편입니다. 폐 색전증은 위험 인자가 될 수 있는 활동성 암이나 고관절 골절, 심부전이나 만성 호흡기 질환, 뇌졸중 등 각종 만성 질환이 있는 경우에 동반하여 발생하는 경우가 많습니다.</x:v>
      </x:c>
      <x:c r="J1029" s="8" t="str">
        <x:v>폐 색전증</x:v>
      </x:c>
      <x:c r="K1029" s="8" t="str">
        <x:v>질병관리청 국가건강정보포털
https://health.kdca.go.kr/healthinfo/biz/health/gnrlzHealthInfo/gnrlzHealthInfo/gnrlzHealthInfoMain.do</x:v>
      </x:c>
    </x:row>
    <x:row r="1030" ht="62" customHeight="1">
      <x:c r="A1030" s="9" t="n">
        <x:v>1029</x:v>
      </x:c>
      <x:c r="B1030" s="6" t="str">
        <x:v>최종 평가</x:v>
      </x:c>
      <x:c r="C1030" s="6" t="str">
        <x:v>질병</x:v>
      </x:c>
      <x:c r="D1030" s="6" t="str">
        <x:v>예방·생활수칙</x:v>
      </x:c>
      <x:c r="E1030" s="6" t="str">
        <x:v>답변 가능</x:v>
      </x:c>
      <x:c r="F1030" s="6" t="str">
        <x:v>쉬움</x:v>
      </x:c>
      <x:c r="G1030" s="8" t="str">
        <x:v>폴리오를 예방하려면 어떻게 해야 하나요?</x:v>
      </x:c>
      <x:c r="H1030" s="8" t="str">
        <x:v>마찬가지로 9세 어린이가 폴리오 예방접종 기록이 없는 경우에는 최소 접종연령과 최소 접종간격 4주를 유지하여 3회의 기초접종을 시행하며, 추가 접종은 생략합니다.</x:v>
      </x:c>
      <x:c r="I1030" s="8" t="str">
        <x:v>폴리오 - 예방 및 예방접종 4세 어린이가 1, 2, 3차 기록이 없고 4세 이전 1회 접종한 내역만 있는 경우는 재접종이 권장되므로 가급적 빠른 시일 내에 최소 접종 간격을 유지하며 지연된 차수(2차, 3차)를 완료하되 4차 추가 접종은 생략합니다. 마찬가지로 9세 어린이가 폴리오 예방접종 기록이 없는 경우에는 최소 접종연령과 최소 접종간격 4주를 유지하여 3회의 기초접종을 시행하며, 추가 접종은 생략합니다.</x:v>
      </x:c>
      <x:c r="J1030" s="8" t="str">
        <x:v>폴리오</x:v>
      </x:c>
      <x:c r="K1030" s="8" t="str">
        <x:v>질병관리청 국가건강정보포털
https://health.kdca.go.kr/healthinfo/biz/health/gnrlzHealthInfo/gnrlzHealthInfo/gnrlzHealthInfoMain.do</x:v>
      </x:c>
    </x:row>
    <x:row r="1031" ht="62" customHeight="1">
      <x:c r="A1031" s="9" t="n">
        <x:v>1030</x:v>
      </x:c>
      <x:c r="B1031" s="6" t="str">
        <x:v>최종 평가</x:v>
      </x:c>
      <x:c r="C1031" s="6" t="str">
        <x:v>질병</x:v>
      </x:c>
      <x:c r="D1031" s="6" t="str">
        <x:v>용어·정의</x:v>
      </x:c>
      <x:c r="E1031" s="6" t="str">
        <x:v>답변 가능</x:v>
      </x:c>
      <x:c r="F1031" s="6" t="str">
        <x:v>쉬움</x:v>
      </x:c>
      <x:c r="G1031" s="8" t="str">
        <x:v>뇌졸중이 뭔가요?</x:v>
      </x:c>
      <x:c r="H1031" s="8" t="str">
        <x:v>'이것만은 꼭 기억하세요' • 뇌졸중은 뇌혈관이 막히거나 터지면서 근처 뇌 영역이 손상되어 신경학적 증상이 나타나는 질환입니다.</x:v>
      </x:c>
      <x:c r="I1031" s="8" t="str">
        <x:v>뇌졸중 - 요약문 '이것만은 꼭 기억하세요' • 뇌졸중은 뇌혈관이 막히거나 터지면서 근처 뇌 영역이 손상되어 신경학적 증상이 나타나는 질환입니다. • 뇌세포는 한번 손상되면 회복이 어렵기 때문에, 증상이 나타나면 신속한 응급치료가 매우 중요합니다. • 주요 증상은 편측 마비, 언어장애, 시각장애, 어지럼증, 심한 두통이며, 갑자기 나타나면 119에 연락해 응급실로 가야 합니다. • 뇌졸중은 재발 위험이 높아 꾸준한 위험 인자 관리와 약물 복용이 필수적입니다.</x:v>
      </x:c>
      <x:c r="J1031" s="8" t="str">
        <x:v>뇌졸중</x:v>
      </x:c>
      <x:c r="K1031" s="8" t="str">
        <x:v>질병관리청 국가건강정보포털
https://health.kdca.go.kr/healthinfo/biz/health/gnrlzHealthInfo/gnrlzHealthInfo/gnrlzHealthInfoMain.do</x:v>
      </x:c>
    </x:row>
    <x:row r="1032" ht="62" customHeight="1">
      <x:c r="A1032" s="9" t="n">
        <x:v>1031</x:v>
      </x:c>
      <x:c r="B1032" s="6" t="str">
        <x:v>최종 평가</x:v>
      </x:c>
      <x:c r="C1032" s="6" t="str">
        <x:v>질병</x:v>
      </x:c>
      <x:c r="D1032" s="6" t="str">
        <x:v>용어·정의</x:v>
      </x:c>
      <x:c r="E1032" s="6" t="str">
        <x:v>답변 가능</x:v>
      </x:c>
      <x:c r="F1032" s="6" t="str">
        <x:v>쉬움</x:v>
      </x:c>
      <x:c r="G1032" s="8" t="str">
        <x:v>월경주기가 뭔가요?</x:v>
      </x:c>
      <x:c r="H1032" s="8" t="str">
        <x:v>보통 배란이 규칙적으로 잘 일어나는지에 따라 배란성 비정상 자궁출혈과 무배란성 비정상 자궁출혈로 분류하게 됩니다.</x:v>
      </x:c>
      <x:c r="I1032" s="8" t="str">
        <x:v>비정상 자궁출혈 - 원인 보통 배란이 규칙적으로 잘 일어나는지에 따라 배란성 비정상 자궁출혈과 무배란성 비정상 자궁출혈로 분류하게 됩니다. 1) 배란성 비정상 자궁출혈 배란 장애에 의한 자궁출혈의 약 80%를 차지하며, 대체로 30대에서 흔합니다. 월경주기가 규칙적이고 자궁근종 및 선근증 등의 기질적인 원인이 없는데 월경량이 증가하는 경우를 말합니다. 이는 혈관수축과 지혈 등 월경량을 조절하는 과정의 문제로 인해 발생합니다.</x:v>
      </x:c>
      <x:c r="J1032" s="8" t="str">
        <x:v>비정상 자궁출혈</x:v>
      </x:c>
      <x:c r="K1032" s="8" t="str">
        <x:v>질병관리청 국가건강정보포털
https://health.kdca.go.kr/healthinfo/biz/health/gnrlzHealthInfo/gnrlzHealthInfo/gnrlzHealthInfoMain.do</x:v>
      </x:c>
    </x:row>
    <x:row r="1033" ht="62" customHeight="1">
      <x:c r="A1033" s="9" t="n">
        <x:v>1032</x:v>
      </x:c>
      <x:c r="B1033" s="6" t="str">
        <x:v>최종 평가</x:v>
      </x:c>
      <x:c r="C1033" s="6" t="str">
        <x:v>질병</x:v>
      </x:c>
      <x:c r="D1033" s="6" t="str">
        <x:v>기준·수치</x:v>
      </x:c>
      <x:c r="E1033" s="6" t="str">
        <x:v>답변 가능</x:v>
      </x:c>
      <x:c r="F1033" s="6" t="str">
        <x:v>쉬움</x:v>
      </x:c>
      <x:c r="G1033" s="8" t="str">
        <x:v>발진티푸스와 관련된 증상이나 상태는 보통 얼마나 지속되나요?</x:v>
      </x:c>
      <x:c r="H1033" s="8" t="str">
        <x:v>발진티푸스 환자와 접촉했거나 환자가 발생한 장소에 같이 있었던 사람 등 접촉자에 대해서는 2주 동안 발병 여부에 대한 감시가 필요합니다.</x:v>
      </x:c>
      <x:c r="I1033" s="8" t="str">
        <x:v>발진티푸스 - 대상별 맞춤 정보 환자나 접촉자의 침구, 의복, 거처에 내성이 없는 살충제로 구충을 시행하며 환자의 몸니가 제거된 경우 특별한 격리는 필요하지 않습니다. 발진티푸스 환자와 접촉했거나 환자가 발생한 장소에 같이 있었던 사람 등 접촉자에 대해서는 2주 동안 발병 여부에 대한 감시가 필요합니다.</x:v>
      </x:c>
      <x:c r="J1033" s="8" t="str">
        <x:v>발진티푸스</x:v>
      </x:c>
      <x:c r="K1033" s="8" t="str">
        <x:v>질병관리청 국가건강정보포털
https://health.kdca.go.kr/healthinfo/biz/health/gnrlzHealthInfo/gnrlzHealthInfo/gnrlzHealthInfoMain.do</x:v>
      </x:c>
    </x:row>
    <x:row r="1034" ht="62" customHeight="1">
      <x:c r="A1034" s="9" t="n">
        <x:v>1033</x:v>
      </x:c>
      <x:c r="B1034" s="6" t="str">
        <x:v>최종 평가</x:v>
      </x:c>
      <x:c r="C1034" s="6" t="str">
        <x:v>질병</x:v>
      </x:c>
      <x:c r="D1034" s="6" t="str">
        <x:v>치료·관리</x:v>
      </x:c>
      <x:c r="E1034" s="6" t="str">
        <x:v>답변 가능</x:v>
      </x:c>
      <x:c r="F1034" s="6" t="str">
        <x:v>쉬움</x:v>
      </x:c>
      <x:c r="G1034" s="8" t="str">
        <x:v>모호한 외부생식기 및 성 발달 이상은 어떻게 치료하거나 관리하나요?</x:v>
      </x:c>
      <x:c r="H1034" s="8" t="str">
        <x:v>수술의 필요성과 적절한 수술 시기는 개인별로 다르므로 경험이 있는 소아청소년과 내분비 전공 의사, 비뇨기과 의사, 산부인과 의사 등과 충분히 상의한 후 결정합니다. 고환이 복강 안에 있는 경우에는 정자 생성을 못하거나 나이가 들면서 고환암이 발생할 수 있어서 상황에 따라 고환을 음낭으로 내리는 수술을 받거나 고환을 제거하는 수술을 받을 수 있습니다. 일부의 질환에서는 성장 장애가 생기기도 하므로 정기적으로 신체 검진을 합니다.</x:v>
      </x:c>
      <x:c r="I1034" s="8" t="str">
        <x:v>모호한 외부생식기 및 성 발달 이상 - 비약물 치료 / 정기 진찰 수술의 필요성과 적절한 수술 시기는 개인별로 다르므로 경험이 있는 소아청소년과 내분비 전공 의사, 비뇨기과 의사, 산부인과 의사 등과 충분히 상의한 후 결정합니다. 고환이 복강 안에 있는 경우에는 정자 생성을 못하거나 나이가 들면서 고환암이 발생할 수 있어서 상황에 따라 고환을 음낭으로 내리는 수술을 받거나 고환을 제거하는 수술을 받을 수 있습니다. 일부의 질환에서는 성장 장애가 생기기도 하므로 정기적으로 신체 검진을 합니다.</x:v>
      </x:c>
      <x:c r="J1034" s="8" t="str">
        <x:v>모호한 외부생식기 및 성 발달 이상</x:v>
      </x:c>
      <x:c r="K1034" s="8" t="str">
        <x:v>질병관리청 국가건강정보포털
https://health.kdca.go.kr/healthinfo/biz/health/gnrlzHealthInfo/gnrlzHealthInfo/gnrlzHealthInfoMain.do</x:v>
      </x:c>
    </x:row>
    <x:row r="1035" ht="62" customHeight="1">
      <x:c r="A1035" s="9" t="n">
        <x:v>1034</x:v>
      </x:c>
      <x:c r="B1035" s="6" t="str">
        <x:v>최종 평가</x:v>
      </x:c>
      <x:c r="C1035" s="6" t="str">
        <x:v>질병</x:v>
      </x:c>
      <x:c r="D1035" s="6" t="str">
        <x:v>답변불가·치료비·보험</x:v>
      </x:c>
      <x:c r="E1035" s="6" t="str">
        <x:v>답변 거부</x:v>
      </x:c>
      <x:c r="F1035" s="6" t="str">
        <x:v>어려움</x:v>
      </x:c>
      <x:c r="G1035" s="8" t="str">
        <x:v>죽상경화증 치료비와 제 보험에서 보장되는 금액을 정확히 알려주세요.</x:v>
      </x:c>
      <x:c r="H1035" s="8" t="str">
        <x:v>제공된 질병관리청 VDB에는 개인별 치료비와 보험 보장 금액 정보가 없어 답할 수 없습니다.</x:v>
      </x:c>
      <x:c r="I1035" s="8" t="str">
        <x:v>VDB 범위 밖 질문 — 근거 없음</x:v>
      </x:c>
      <x:c r="J1035" s="8" t="str">
        <x:v>죽상경화증</x:v>
      </x:c>
      <x:c r="K1035" s="8" t="str">
        <x:v>질병관리청 국가건강정보포털
https://health.kdca.go.kr/healthinfo/biz/health/gnrlzHealthInfo/gnrlzHealthInfo/gnrlzHealthInfoMain.do</x:v>
      </x:c>
    </x:row>
    <x:row r="1036" ht="62" customHeight="1">
      <x:c r="A1036" s="9" t="n">
        <x:v>1035</x:v>
      </x:c>
      <x:c r="B1036" s="6" t="str">
        <x:v>최종 평가</x:v>
      </x:c>
      <x:c r="C1036" s="6" t="str">
        <x:v>질병</x:v>
      </x:c>
      <x:c r="D1036" s="6" t="str">
        <x:v>용어·정의</x:v>
      </x:c>
      <x:c r="E1036" s="6" t="str">
        <x:v>답변 가능</x:v>
      </x:c>
      <x:c r="F1036" s="6" t="str">
        <x:v>쉬움</x:v>
      </x:c>
      <x:c r="G1036" s="8" t="str">
        <x:v>중격 결손이 뭔가요?</x:v>
      </x:c>
      <x:c r="H1036" s="8" t="str">
        <x:v>중격 결손은 심장의 사이막에 구멍이 난 상태를 말합니다.</x:v>
      </x:c>
      <x:c r="I1036" s="8" t="str">
        <x:v>심잡음 - 종류 2) 선천성 질환 선천성 심장병은 태어날 때부터 갖고 있는 심장병입니다. 많은 경우 심장 구조에 구멍(결손)이 있습니다. (1) 중격 결손 중격 결손은 심장의 사이막에 구멍이 난 상태를 말합니다. 심실 사이막에 구멍이 나면 심실사이막(중격)결손, 심방 사이막에 구멍이 나면 심방사이막(중격)결손입니다. 심실사이막결손은 선천성 심장병 중 가장 흔합니다.</x:v>
      </x:c>
      <x:c r="J1036" s="8" t="str">
        <x:v>심잡음</x:v>
      </x:c>
      <x:c r="K1036" s="8" t="str">
        <x:v>질병관리청 국가건강정보포털
https://health.kdca.go.kr/healthinfo/biz/health/gnrlzHealthInfo/gnrlzHealthInfo/gnrlzHealthInfoMain.do</x:v>
      </x:c>
    </x:row>
    <x:row r="1037" ht="62" customHeight="1">
      <x:c r="A1037" s="9" t="n">
        <x:v>1036</x:v>
      </x:c>
      <x:c r="B1037" s="6" t="str">
        <x:v>최종 평가</x:v>
      </x:c>
      <x:c r="C1037" s="6" t="str">
        <x:v>질병</x:v>
      </x:c>
      <x:c r="D1037" s="6" t="str">
        <x:v>치료·관리</x:v>
      </x:c>
      <x:c r="E1037" s="6" t="str">
        <x:v>답변 가능</x:v>
      </x:c>
      <x:c r="F1037" s="6" t="str">
        <x:v>쉬움</x:v>
      </x:c>
      <x:c r="G1037" s="8" t="str">
        <x:v>복통은 어떻게 치료하거나 관리하나요?</x:v>
      </x:c>
      <x:c r="H1037" s="8" t="str">
        <x:v>심한 통증이 있을 때에는 진통제를 사용하며, 구토나 마비성 장폐쇄가 발생한 환자에게는 경비위관을 삽입하기도 합니다. 4) 합병증 췌장농양, 가성낭종, 복수, 가성 동맥류 등과 같은 췌장의 합병증과 신부전, 호흡부전과 같은 전신적 합병증이 발생할 수 있습니다. Q. 병원에 가기 전 어떤 정보를 알고 가는 것이 복통을 진단하는데 도움이 되나요? A.</x:v>
      </x:c>
      <x:c r="I1037" s="8" t="str">
        <x:v>복통 - 관련 질환 / 자주하는 질문 금식과 수액 공급을 통해서 췌장염을 치료합니다. 심한 통증이 있을 때에는 진통제를 사용하며, 구토나 마비성 장폐쇄가 발생한 환자에게는 경비위관을 삽입하기도 합니다. 4) 합병증 췌장농양, 가성낭종, 복수, 가성 동맥류 등과 같은 췌장의 합병증과 신부전, 호흡부전과 같은 전신적 합병증이 발생할 수 있습니다. Q. 병원에 가기 전 어떤 정보를 알고 가는 것이 복통을 진단하는데 도움이 되나요? A.</x:v>
      </x:c>
      <x:c r="J1037" s="8" t="str">
        <x:v>복통</x:v>
      </x:c>
      <x:c r="K1037" s="8" t="str">
        <x:v>질병관리청 국가건강정보포털
https://health.kdca.go.kr/healthinfo/biz/health/gnrlzHealthInfo/gnrlzHealthInfo/gnrlzHealthInfoMain.do</x:v>
      </x:c>
    </x:row>
    <x:row r="1038" ht="62" customHeight="1">
      <x:c r="A1038" s="9" t="n">
        <x:v>1037</x:v>
      </x:c>
      <x:c r="B1038" s="6" t="str">
        <x:v>최종 평가</x:v>
      </x:c>
      <x:c r="C1038" s="6" t="str">
        <x:v>질병</x:v>
      </x:c>
      <x:c r="D1038" s="6" t="str">
        <x:v>진단·검사</x:v>
      </x:c>
      <x:c r="E1038" s="6" t="str">
        <x:v>답변 가능</x:v>
      </x:c>
      <x:c r="F1038" s="6" t="str">
        <x:v>쉬움</x:v>
      </x:c>
      <x:c r="G1038" s="8" t="str">
        <x:v>노인 부종은 어떤 검사로 확인하나요?</x:v>
      </x:c>
      <x:c r="H1038" s="8" t="str">
        <x:v>심장근육이 손상되었거나 산소 공급이 부족한 심부전 환자는 정상 심전도 소견과는 다른 변화가 일어나게 되므로 심전도 검사로 확인할 수 있습니다.</x:v>
      </x:c>
      <x:c r="I1038" s="8" t="str">
        <x:v>노인 부종 - 진단 및 검사 심장근육이 손상되었거나 산소 공급이 부족한 심부전 환자는 정상 심전도 소견과는 다른 변화가 일어나게 되므로 심전도 검사로 확인할 수 있습니다. 또한 심장 노화로 인한 부정맥 등도 확인이 필요합니다. 5. 영상검사 흉부방사선촬영은 심장의 크기와 형태 등을 알아보고, 또한 폐에 체액이 고여 있는지도 확인할 수 있습니다.</x:v>
      </x:c>
      <x:c r="J1038" s="8" t="str">
        <x:v>노인 부종</x:v>
      </x:c>
      <x:c r="K1038" s="8" t="str">
        <x:v>질병관리청 국가건강정보포털
https://health.kdca.go.kr/healthinfo/biz/health/gnrlzHealthInfo/gnrlzHealthInfo/gnrlzHealthInfoMain.do</x:v>
      </x:c>
    </x:row>
    <x:row r="1039" ht="62" customHeight="1">
      <x:c r="A1039" s="9" t="n">
        <x:v>1038</x:v>
      </x:c>
      <x:c r="B1039" s="6" t="str">
        <x:v>최종 평가</x:v>
      </x:c>
      <x:c r="C1039" s="6" t="str">
        <x:v>질병</x:v>
      </x:c>
      <x:c r="D1039" s="6" t="str">
        <x:v>증상→질환 구분</x:v>
      </x:c>
      <x:c r="E1039" s="6" t="str">
        <x:v>답변 가능</x:v>
      </x:c>
      <x:c r="F1039" s="6" t="str">
        <x:v>어려움</x:v>
      </x:c>
      <x:c r="G1039" s="8" t="str">
        <x:v>굴곡건을 침범한 경우는 심한 통증과 홍반 그리고 종창과 온도 상승을 보여 급성 화농성 건막염과 유사한 증상을 보입니다. 이런 증상은 어떤 질환과 관련이 있을 수 있나요?</x:v>
      </x:c>
      <x:c r="H1039" s="8" t="str">
        <x:v>건막염(통풍성 건막염)</x:v>
      </x:c>
      <x:c r="I1039" s="8" t="str">
        <x:v>건막염(통풍성 건막염) - 역학 및 통계 / 증상 통풍성 건막염의 발생 빈도는 우리나라의 식생활 양상이 바뀌면서 증가하는 추세에 있습니다. 굴곡건을 침범한 경우는 심한 통증과 홍반 그리고 종창과 온도 상승을 보여 급성 화농성 건막염과 유사한 증상을 보입니다. 수근관 안의 굴곡건에 건막염이 발생한 경우에는 급성 수근관 증후군의 증상을 보일 수도 있습니다. 또한 신전 지대나 지간 관절이나 중수수지 관절의 후방에 결절이 나타나는 경우도 있습니다.</x:v>
      </x:c>
      <x:c r="J1039" s="8" t="str">
        <x:v>건막염(통풍성 건막염)</x:v>
      </x:c>
      <x:c r="K1039" s="8" t="str">
        <x:v>질병관리청 국가건강정보포털
https://health.kdca.go.kr/healthinfo/biz/health/gnrlzHealthInfo/gnrlzHealthInfo/gnrlzHealthInfoMain.do</x:v>
      </x:c>
    </x:row>
    <x:row r="1040" ht="62" customHeight="1">
      <x:c r="A1040" s="9" t="n">
        <x:v>1039</x:v>
      </x:c>
      <x:c r="B1040" s="6" t="str">
        <x:v>최종 평가</x:v>
      </x:c>
      <x:c r="C1040" s="6" t="str">
        <x:v>질병</x:v>
      </x:c>
      <x:c r="D1040" s="6" t="str">
        <x:v>예방·생활수칙</x:v>
      </x:c>
      <x:c r="E1040" s="6" t="str">
        <x:v>답변 가능</x:v>
      </x:c>
      <x:c r="F1040" s="6" t="str">
        <x:v>쉬움</x:v>
      </x:c>
      <x:c r="G1040" s="8" t="str">
        <x:v>폐색성죽상동맥경화증을 예방하려면 어떻게 해야 하나요?</x:v>
      </x:c>
      <x:c r="H1040" s="8" t="str">
        <x:v>그 외에도 추정되는 위험인자로는 복부비만, 앉아있는 생활 습관(운동부족), 스트레스 등이 있습니다. 전신적인 죽상경화증 진행을 예방하는 치료에는 건강한 혈관을 유지하기 위한 고혈압 관리, 금연, 당뇨병 관리, 이상지질혈증 치료, 규칙적인 유산소 운동과 체중 관리, 지방 섭취 제한을 포함한 생활습관 관리 등이 있습니다.</x:v>
      </x:c>
      <x:c r="I1040" s="8" t="str">
        <x:v>폐색성죽상동맥경화증 - 위험요인 및 예방 / 생활습관 관리 ˚ 가족성 고콜레스테롤혈증 등의 유전 질환 그 외에도 추정되는 위험인자로는 복부비만, 앉아있는 생활 습관(운동부족), 스트레스 등이 있습니다. 전신적인 죽상경화증 진행을 예방하는 치료에는 건강한 혈관을 유지하기 위한 고혈압 관리, 금연, 당뇨병 관리, 이상지질혈증 치료, 규칙적인 유산소 운동과 체중 관리, 지방 섭취 제한을 포함한 생활습관 관리 등이 있습니다.</x:v>
      </x:c>
      <x:c r="J1040" s="8" t="str">
        <x:v>폐색성죽상동맥경화증</x:v>
      </x:c>
      <x:c r="K1040" s="8" t="str">
        <x:v>질병관리청 국가건강정보포털
https://health.kdca.go.kr/healthinfo/biz/health/gnrlzHealthInfo/gnrlzHealthInfo/gnrlzHealthInfoMain.do</x:v>
      </x:c>
    </x:row>
    <x:row r="1041" ht="62" customHeight="1">
      <x:c r="A1041" s="9" t="n">
        <x:v>1040</x:v>
      </x:c>
      <x:c r="B1041" s="6" t="str">
        <x:v>최종 평가</x:v>
      </x:c>
      <x:c r="C1041" s="6" t="str">
        <x:v>질병</x:v>
      </x:c>
      <x:c r="D1041" s="6" t="str">
        <x:v>개요·기타</x:v>
      </x:c>
      <x:c r="E1041" s="6" t="str">
        <x:v>답변 가능</x:v>
      </x:c>
      <x:c r="F1041" s="6" t="str">
        <x:v>쉬움</x:v>
      </x:c>
      <x:c r="G1041" s="8" t="str">
        <x:v>잠복고환에 대해 쉽게 설명해 주실 수 있나요?</x:v>
      </x:c>
      <x:c r="H1041" s="8" t="str">
        <x:v>잠복고환은 고환이 음낭 안으로 내려오지 않고 서혜부나 복강 안에 머무는 상태를 말하며, 정상 고환 하강 경로 중간에 멈춘 경우가 대부분입니다.</x:v>
      </x:c>
      <x:c r="I1041" s="8" t="str">
        <x:v>잠복고환 - 요약문 '이것만은 꼭 기억하세요' • 잠복고환은 고환이 음낭 안으로 내려오지 않고 서혜부나 복강 안에 머무는 상태를 말하며, 정상 고환 하강 경로 중간에 멈춘 경우가 대부분입니다. • 잠복고환은 촉지성(만져지는 경우)과 비촉지성(만져지지 않는 경우)으로 나뉘고, 이소성고환, 퇴축고환과 구별해야 합니다.</x:v>
      </x:c>
      <x:c r="J1041" s="8" t="str">
        <x:v>잠복고환</x:v>
      </x:c>
      <x:c r="K1041" s="8" t="str">
        <x:v>질병관리청 국가건강정보포털
https://health.kdca.go.kr/healthinfo/biz/health/gnrlzHealthInfo/gnrlzHealthInfo/gnrlzHealthInfoMain.do</x:v>
      </x:c>
    </x:row>
    <x:row r="1042" ht="62" customHeight="1">
      <x:c r="A1042" s="9" t="n">
        <x:v>1041</x:v>
      </x:c>
      <x:c r="B1042" s="6" t="str">
        <x:v>최종 평가</x:v>
      </x:c>
      <x:c r="C1042" s="6" t="str">
        <x:v>질병</x:v>
      </x:c>
      <x:c r="D1042" s="6" t="str">
        <x:v>원인·위험요인</x:v>
      </x:c>
      <x:c r="E1042" s="6" t="str">
        <x:v>답변 가능</x:v>
      </x:c>
      <x:c r="F1042" s="6" t="str">
        <x:v>쉬움</x:v>
      </x:c>
      <x:c r="G1042" s="8" t="str">
        <x:v>야뇨증(소아)는 왜 생기나요?</x:v>
      </x:c>
      <x:c r="H1042" s="8" t="str">
        <x:v>배뇨와 관련한 문제는 뇌의 각성, 신경, 방광에 이상이 있을 때 발생할 수 있습니다. 야뇨증은 유전적 원인, 야간 다뇨, 방광의 용적(부피), 수면 시 각성 장애, 정신적 요소 등 여러 원인이 복합적으로 작용하여 발생합니다. 요로감염증, 만성 콩팥병, 요붕증, 척추질환 등 기질적 요인이 있을 수도 있습니다. 1. 일차 야뇨증의 원인 1) 야간 다뇨</x:v>
      </x:c>
      <x:c r="I1042" s="8" t="str">
        <x:v>야뇨증(소아) - 원인 배뇨와 관련한 문제는 뇌의 각성, 신경, 방광에 이상이 있을 때 발생할 수 있습니다. 야뇨증은 유전적 원인, 야간 다뇨, 방광의 용적(부피), 수면 시 각성 장애, 정신적 요소 등 여러 원인이 복합적으로 작용하여 발생합니다. 요로감염증, 만성 콩팥병, 요붕증, 척추질환 등 기질적 요인이 있을 수도 있습니다. 1. 일차 야뇨증의 원인 1) 야간 다뇨</x:v>
      </x:c>
      <x:c r="J1042" s="8" t="str">
        <x:v>야뇨증(소아)</x:v>
      </x:c>
      <x:c r="K1042" s="8" t="str">
        <x:v>질병관리청 국가건강정보포털
https://health.kdca.go.kr/healthinfo/biz/health/gnrlzHealthInfo/gnrlzHealthInfo/gnrlzHealthInfoMain.do</x:v>
      </x:c>
    </x:row>
    <x:row r="1043" ht="62" customHeight="1">
      <x:c r="A1043" s="9" t="n">
        <x:v>1042</x:v>
      </x:c>
      <x:c r="B1043" s="6" t="str">
        <x:v>최종 평가</x:v>
      </x:c>
      <x:c r="C1043" s="6" t="str">
        <x:v>질병</x:v>
      </x:c>
      <x:c r="D1043" s="6" t="str">
        <x:v>개요·기타</x:v>
      </x:c>
      <x:c r="E1043" s="6" t="str">
        <x:v>답변 가능</x:v>
      </x:c>
      <x:c r="F1043" s="6" t="str">
        <x:v>쉬움</x:v>
      </x:c>
      <x:c r="G1043" s="8" t="str">
        <x:v>코골이에 대해 쉽게 설명해 주실 수 있나요?</x:v>
      </x:c>
      <x:c r="H1043" s="8" t="str">
        <x:v>코골이는 개인 건강 뿐만 아니라 주변 사람들에게도 영향을 미치므로 적극적인 관리가 중요합니다.</x:v>
      </x:c>
      <x:c r="I1043" s="8" t="str">
        <x:v>코골이 - 요약문 / 개요 • 치료는 생활습관 개선, 구강 내 장치 사용, 수술적 방법 등을 포함하며, 정확한 진단 후 적절한 치료가 필요합니다. • 코골이는 개인 건강 뿐만 아니라 주변 사람들에게도 영향을 미치므로 적극적인 관리가 중요합니다. 코골이는 수면 중에 코, 후두 등 상기도 구조물의 떨림 현상으로 생기는 반복적인 소리입니다.</x:v>
      </x:c>
      <x:c r="J1043" s="8" t="str">
        <x:v>코골이</x:v>
      </x:c>
      <x:c r="K1043" s="8" t="str">
        <x:v>질병관리청 국가건강정보포털
https://health.kdca.go.kr/healthinfo/biz/health/gnrlzHealthInfo/gnrlzHealthInfo/gnrlzHealthInfoMain.do</x:v>
      </x:c>
    </x:row>
    <x:row r="1044" ht="62" customHeight="1">
      <x:c r="A1044" s="9" t="n">
        <x:v>1043</x:v>
      </x:c>
      <x:c r="B1044" s="6" t="str">
        <x:v>최종 평가</x:v>
      </x:c>
      <x:c r="C1044" s="6" t="str">
        <x:v>질병</x:v>
      </x:c>
      <x:c r="D1044" s="6" t="str">
        <x:v>증상·양상</x:v>
      </x:c>
      <x:c r="E1044" s="6" t="str">
        <x:v>답변 가능</x:v>
      </x:c>
      <x:c r="F1044" s="6" t="str">
        <x:v>쉬움</x:v>
      </x:c>
      <x:c r="G1044" s="8" t="str">
        <x:v>남성갱년기가 있으면 어떤 증상이 나타날 수 있나요?</x:v>
      </x:c>
      <x:c r="H1044" s="8" t="str">
        <x:v>남성갱년기에서 나타나는 증상들은 남성호르몬 부족과 연관된 전신적인 변화로, 여러 신체와 정신적인 영역에서 다양하게 나타날 수 있습니다.</x:v>
      </x:c>
      <x:c r="I1044" s="8" t="str">
        <x:v>남성갱년기 - 관련 질환 / 연관 증상 남성갱년기와 관련된 주요 질환은 다음과 같습니다. • 성기능장애 • 대사증후군, 2형 당뇨병 • 고혈압, 이상지질혈증 • 심혈관질환 • 골다공증 • 우울증 및 불안장애 • 수면무호흡증 남성갱년기에서 나타나는 증상들은 남성호르몬 부족과 연관된 전신적인 변화로, 여러 신체와 정신적인 영역에서 다양하게 나타날 수 있습니다.</x:v>
      </x:c>
      <x:c r="J1044" s="8" t="str">
        <x:v>남성갱년기</x:v>
      </x:c>
      <x:c r="K1044" s="8" t="str">
        <x:v>질병관리청 국가건강정보포털
https://health.kdca.go.kr/healthinfo/biz/health/gnrlzHealthInfo/gnrlzHealthInfo/gnrlzHealthInfoMain.do</x:v>
      </x:c>
    </x:row>
    <x:row r="1045" ht="62" customHeight="1">
      <x:c r="A1045" s="9" t="n">
        <x:v>1044</x:v>
      </x:c>
      <x:c r="B1045" s="6" t="str">
        <x:v>최종 평가</x:v>
      </x:c>
      <x:c r="C1045" s="6" t="str">
        <x:v>질병</x:v>
      </x:c>
      <x:c r="D1045" s="6" t="str">
        <x:v>진단·검사</x:v>
      </x:c>
      <x:c r="E1045" s="6" t="str">
        <x:v>답변 가능</x:v>
      </x:c>
      <x:c r="F1045" s="6" t="str">
        <x:v>쉬움</x:v>
      </x:c>
      <x:c r="G1045" s="8" t="str">
        <x:v>만성기관지염은 어떤 검사로 확인하나요?</x:v>
      </x:c>
      <x:c r="H1045" s="8" t="str">
        <x:v>진단에 직접 도움이 되진 않지만 다른 질환의 가능성을 살펴보기 위해 시행합니다.</x:v>
      </x:c>
      <x:c r="I1045" s="8" t="str">
        <x:v>만성기관지염 - 진단 및 검사 진단에 직접 도움이 되진 않지만 다른 질환의 가능성을 살펴보기 위해 시행합니다. 만성기관지염은 전형적인 호흡기 증상이 있어도 흉부 X선 사진 소견은 대개 정상이나, 질환이 진행되면 기관지-혈관 음영이 증가하기도 합니다. 또한 폐 음영의 증가로 흔히 '지저분한 폐'의 소견을 보이거나, 기관지 벽이 두꺼워지고 철로길 모양 등이 나타나면 만성기관지염을 시사하기도 합니다.</x:v>
      </x:c>
      <x:c r="J1045" s="8" t="str">
        <x:v>만성기관지염</x:v>
      </x:c>
      <x:c r="K1045" s="8" t="str">
        <x:v>질병관리청 국가건강정보포털
https://health.kdca.go.kr/healthinfo/biz/health/gnrlzHealthInfo/gnrlzHealthInfo/gnrlzHealthInfoMain.do</x:v>
      </x:c>
    </x:row>
    <x:row r="1046" ht="62" customHeight="1">
      <x:c r="A1046" s="9" t="n">
        <x:v>1045</x:v>
      </x:c>
      <x:c r="B1046" s="6" t="str">
        <x:v>최종 평가</x:v>
      </x:c>
      <x:c r="C1046" s="6" t="str">
        <x:v>질병</x:v>
      </x:c>
      <x:c r="D1046" s="6" t="str">
        <x:v>원인·위험요인</x:v>
      </x:c>
      <x:c r="E1046" s="6" t="str">
        <x:v>답변 가능</x:v>
      </x:c>
      <x:c r="F1046" s="6" t="str">
        <x:v>쉬움</x:v>
      </x:c>
      <x:c r="G1046" s="8" t="str">
        <x:v>항문직장농양과 치루(치루)는 왜 생기나요?</x:v>
      </x:c>
      <x:c r="H1046" s="8" t="str">
        <x:v>항문직장농양이 피부 쪽으로 저절로 터져 나오거나 절개배농 후 염증이 시작된 항문샘과 통로가 생기면 치루가 발생하는데, 항문직장농양이 발생한 모든 환자가 치루로 진행하는 것은 아니며 전체 환자의 약 70%, 절개배농을 실시한 환자의 약 25~50% 정도에서만 치루가 발생합니다.</x:v>
      </x:c>
      <x:c r="I1046" s="8" t="str">
        <x:v>항문직장농양과 치루(치루) - 원인 항문직장농양이 피부 쪽으로 저절로 터져 나오거나 절개배농 후 염증이 시작된 항문샘과 통로가 생기면 치루가 발생하는데, 항문직장농양이 발생한 모든 환자가 치루로 진행하는 것은 아니며 전체 환자의 약 70%, 절개배농을 실시한 환자의 약 25~50% 정도에서만 치루가 발생합니다.</x:v>
      </x:c>
      <x:c r="J1046" s="8" t="str">
        <x:v>항문직장농양과 치루(치루)</x:v>
      </x:c>
      <x:c r="K1046" s="8" t="str">
        <x:v>질병관리청 국가건강정보포털
https://health.kdca.go.kr/healthinfo/biz/health/gnrlzHealthInfo/gnrlzHealthInfo/gnrlzHealthInfoMain.do</x:v>
      </x:c>
    </x:row>
    <x:row r="1047" ht="62" customHeight="1">
      <x:c r="A1047" s="9" t="n">
        <x:v>1046</x:v>
      </x:c>
      <x:c r="B1047" s="6" t="str">
        <x:v>최종 평가</x:v>
      </x:c>
      <x:c r="C1047" s="6" t="str">
        <x:v>질병</x:v>
      </x:c>
      <x:c r="D1047" s="6" t="str">
        <x:v>치료·관리</x:v>
      </x:c>
      <x:c r="E1047" s="6" t="str">
        <x:v>답변 가능</x:v>
      </x:c>
      <x:c r="F1047" s="6" t="str">
        <x:v>쉬움</x:v>
      </x:c>
      <x:c r="G1047" s="8" t="str">
        <x:v>수두와 대상포진은 어떻게 치료하거나 관리하나요?</x:v>
      </x:c>
      <x:c r="H1047" s="8" t="str">
        <x:v>건강한 소아에게 발생한 수두는 대부분 자연 치유되므로, 합병증이 없는 경우 항바이러스제 치료는 권장되지 않습니다. 약물로 얻는 이득이 크지 않고, 합병증 위험도 낮기 때문입니다. 하지만 다음과 같은 중등도 이상의 위험 요인을 가진 경우에는 항바이러스제 사용을 고려할 수 있습니다. • 12세 이상의 청소년 또는 성인에서 발생한 수두 만성 피부질환 또는 만성 폐질환을 동반한 환자 • 만성 피부질환 또는 만성 폐질환을 동반한 환자</x:v>
      </x:c>
      <x:c r="I1047" s="8" t="str">
        <x:v>수두와 대상포진 - 약물 치료 수두 항바이러스 치료 건강한 소아에게 발생한 수두는 대부분 자연 치유되므로, 합병증이 없는 경우 항바이러스제 치료는 권장되지 않습니다. 약물로 얻는 이득이 크지 않고, 합병증 위험도 낮기 때문입니다. 하지만 다음과 같은 중등도 이상의 위험 요인을 가진 경우에는 항바이러스제 사용을 고려할 수 있습니다. • 12세 이상의 청소년 또는 성인에서 발생한 수두 만성 피부질환 또는 만성 폐질환을 동반한 환자 • 만성 피부질환 또는 만성 폐질환을 동반한 환자</x:v>
      </x:c>
      <x:c r="J1047" s="8" t="str">
        <x:v>수두와 대상포진</x:v>
      </x:c>
      <x:c r="K1047" s="8" t="str">
        <x:v>질병관리청 국가건강정보포털
https://health.kdca.go.kr/healthinfo/biz/health/gnrlzHealthInfo/gnrlzHealthInfo/gnrlzHealthInfoMain.do</x:v>
      </x:c>
    </x:row>
    <x:row r="1048" ht="62" customHeight="1">
      <x:c r="A1048" s="9" t="n">
        <x:v>1047</x:v>
      </x:c>
      <x:c r="B1048" s="6" t="str">
        <x:v>최종 평가</x:v>
      </x:c>
      <x:c r="C1048" s="6" t="str">
        <x:v>질병</x:v>
      </x:c>
      <x:c r="D1048" s="6" t="str">
        <x:v>원인·위험요인</x:v>
      </x:c>
      <x:c r="E1048" s="6" t="str">
        <x:v>답변 가능</x:v>
      </x:c>
      <x:c r="F1048" s="6" t="str">
        <x:v>쉬움</x:v>
      </x:c>
      <x:c r="G1048" s="8" t="str">
        <x:v>구내염은 왜 생기나요?</x:v>
      </x:c>
      <x:c r="H1048" s="8" t="str">
        <x:v>각 질환에 따라 원인 역시 다양합니다. 1. 감염성 구내염 1) 단순포진(헤르페스) 구내염 단순포진 구내염은 단순포진 바이러스가 원인이 됩니다. 평소에는 잠복감염으로 주로 삼차 신경의 신경절에 잠복하여 있습니다. 자외선, 피로, 발열, 한랭, 상기도 감염, 위장 장애, 생리, 임신, 면역 억제 등의 신체의 스트레스 상황이 유발요인이 되어 질병이 발생하게 됩니다. 2) 수족구병</x:v>
      </x:c>
      <x:c r="I1048" s="8" t="str">
        <x:v>구내염 - 원인 각 질환에 따라 원인 역시 다양합니다. 1. 감염성 구내염 1) 단순포진(헤르페스) 구내염 단순포진 구내염은 단순포진 바이러스가 원인이 됩니다. 평소에는 잠복감염으로 주로 삼차 신경의 신경절에 잠복하여 있습니다. 자외선, 피로, 발열, 한랭, 상기도 감염, 위장 장애, 생리, 임신, 면역 억제 등의 신체의 스트레스 상황이 유발요인이 되어 질병이 발생하게 됩니다. 2) 수족구병</x:v>
      </x:c>
      <x:c r="J1048" s="8" t="str">
        <x:v>구내염</x:v>
      </x:c>
      <x:c r="K1048" s="8" t="str">
        <x:v>질병관리청 국가건강정보포털
https://health.kdca.go.kr/healthinfo/biz/health/gnrlzHealthInfo/gnrlzHealthInfo/gnrlzHealthInfoMain.do</x:v>
      </x:c>
    </x:row>
    <x:row r="1049" ht="62" customHeight="1">
      <x:c r="A1049" s="9" t="n">
        <x:v>1048</x:v>
      </x:c>
      <x:c r="B1049" s="6" t="str">
        <x:v>최종 평가</x:v>
      </x:c>
      <x:c r="C1049" s="6" t="str">
        <x:v>질병</x:v>
      </x:c>
      <x:c r="D1049" s="6" t="str">
        <x:v>답변불가·실시간 의료기관</x:v>
      </x:c>
      <x:c r="E1049" s="6" t="str">
        <x:v>답변 거부</x:v>
      </x:c>
      <x:c r="F1049" s="6" t="str">
        <x:v>어려움</x:v>
      </x:c>
      <x:c r="G1049" s="8" t="str">
        <x:v>지금 제 위치에서 퇴행슬관절염 진료가 가능한 병원 중 대기 시간이 가장 짧은 곳은 어디인가요?</x:v>
      </x:c>
      <x:c r="H1049" s="8" t="str">
        <x:v>제공된 질병관리청 VDB에는 실시간 병원 위치와 대기 시간 정보가 없어 답할 수 없습니다.</x:v>
      </x:c>
      <x:c r="I1049" s="8" t="str">
        <x:v>VDB 범위 밖 질문 — 근거 없음</x:v>
      </x:c>
      <x:c r="J1049" s="8" t="str">
        <x:v>퇴행슬관절염</x:v>
      </x:c>
      <x:c r="K1049" s="8" t="str">
        <x:v>질병관리청 국가건강정보포털
https://health.kdca.go.kr/healthinfo/biz/health/gnrlzHealthInfo/gnrlzHealthInfo/gnrlzHealthInfoMain.do</x:v>
      </x:c>
    </x:row>
    <x:row r="1050" ht="62" customHeight="1">
      <x:c r="A1050" s="9" t="n">
        <x:v>1049</x:v>
      </x:c>
      <x:c r="B1050" s="6" t="str">
        <x:v>최종 평가</x:v>
      </x:c>
      <x:c r="C1050" s="6" t="str">
        <x:v>질병</x:v>
      </x:c>
      <x:c r="D1050" s="6" t="str">
        <x:v>용어·정의</x:v>
      </x:c>
      <x:c r="E1050" s="6" t="str">
        <x:v>답변 가능</x:v>
      </x:c>
      <x:c r="F1050" s="6" t="str">
        <x:v>쉬움</x:v>
      </x:c>
      <x:c r="G1050" s="8" t="str">
        <x:v>다태 임신이 뭔가요?</x:v>
      </x:c>
      <x:c r="H1050" s="8" t="str">
        <x:v>다태 임신이란 한꺼번에 둘 이상의 태아가 임신되는 경우를 말합니다.</x:v>
      </x:c>
      <x:c r="I1050" s="8" t="str">
        <x:v>다태임신 - 요약문 '이것만은 꼭 기억하세요' • 다태 임신이란 한꺼번에 둘 이상의 태아가 임신되는 경우를 말합니다. • 쌍태 임신은 일란성 쌍태 임신과 이란성 쌍태 임신으로 나눌 수 있습니다. 그러나, 쌍태 임신에서 임신의 예후와 위험도를 결정하는 것은 융모막과 양막의 개수입니다.</x:v>
      </x:c>
      <x:c r="J1050" s="8" t="str">
        <x:v>다태임신</x:v>
      </x:c>
      <x:c r="K1050" s="8" t="str">
        <x:v>질병관리청 국가건강정보포털
https://health.kdca.go.kr/healthinfo/biz/health/gnrlzHealthInfo/gnrlzHealthInfo/gnrlzHealthInfoMain.do</x:v>
      </x:c>
    </x:row>
    <x:row r="1051" ht="62" customHeight="1">
      <x:c r="A1051" s="9" t="n">
        <x:v>1050</x:v>
      </x:c>
      <x:c r="B1051" s="6" t="str">
        <x:v>최종 평가</x:v>
      </x:c>
      <x:c r="C1051" s="6" t="str">
        <x:v>질병</x:v>
      </x:c>
      <x:c r="D1051" s="6" t="str">
        <x:v>치료·관리</x:v>
      </x:c>
      <x:c r="E1051" s="6" t="str">
        <x:v>답변 가능</x:v>
      </x:c>
      <x:c r="F1051" s="6" t="str">
        <x:v>쉬움</x:v>
      </x:c>
      <x:c r="G1051" s="8" t="str">
        <x:v>치핵은 어떻게 치료하거나 관리하나요?</x:v>
      </x:c>
      <x:c r="H1051" s="8" t="str">
        <x:v>수술에 비해 통증이 적고 간단하다는 장점이 있으나, 재발 위험이 상대적으로 높을 뿐 아니라 심한 치핵은 치료할 수 없다는 단점이 있습니다. • 고무밴드 결찰술: 치핵의 뿌리 부위를 고무밴드로 결찰하는 방법으로, 확장된 정맥의 혈액 순환을 차단하여 수일 후 저절로 치핵이 떨어지게 하는 방법입니다.</x:v>
      </x:c>
      <x:c r="I1051" s="8" t="str">
        <x:v>치핵 - 비약물 치료 수술적 절제를 시행하지 않고 비교적 간단한 시술을 통해 치핵을 치료하는 방법입니다. 수술에 비해 통증이 적고 간단하다는 장점이 있으나, 재발 위험이 상대적으로 높을 뿐 아니라 심한 치핵은 치료할 수 없다는 단점이 있습니다. • 고무밴드 결찰술: 치핵의 뿌리 부위를 고무밴드로 결찰하는 방법으로, 확장된 정맥의 혈액 순환을 차단하여 수일 후 저절로 치핵이 떨어지게 하는 방법입니다.</x:v>
      </x:c>
      <x:c r="J1051" s="8" t="str">
        <x:v>치핵</x:v>
      </x:c>
      <x:c r="K1051" s="8" t="str">
        <x:v>질병관리청 국가건강정보포털
https://health.kdca.go.kr/healthinfo/biz/health/gnrlzHealthInfo/gnrlzHealthInfo/gnrlzHealthInfoMain.do</x:v>
      </x:c>
    </x:row>
    <x:row r="1052" ht="62" customHeight="1">
      <x:c r="A1052" s="9" t="n">
        <x:v>1051</x:v>
      </x:c>
      <x:c r="B1052" s="6" t="str">
        <x:v>최종 평가</x:v>
      </x:c>
      <x:c r="C1052" s="6" t="str">
        <x:v>질병</x:v>
      </x:c>
      <x:c r="D1052" s="6" t="str">
        <x:v>원인·위험요인</x:v>
      </x:c>
      <x:c r="E1052" s="6" t="str">
        <x:v>답변 가능</x:v>
      </x:c>
      <x:c r="F1052" s="6" t="str">
        <x:v>쉬움</x:v>
      </x:c>
      <x:c r="G1052" s="8" t="str">
        <x:v>이갈이는 왜 생기나요?</x:v>
      </x:c>
      <x:c r="H1052" s="8" t="str">
        <x:v>예전에 이갈이는 부정교합(위아래 치아 맞물림이 좋지 않은 상태) 때문에 발생한다고 생각했으나, 현재는 부정교합, 얼굴과 관절의 형태 등과는 관련이 없는 것으로 밝혀졌습니다. 정서적 스트레스는 가장 관련성이 높다고 추정되는 원인으로 수면 이갈이, 주간 이갈이를 증가시킵니다. 또한 깨어 있는 동안 및 수면 중 근육 긴장도를 높여 턱관절 통증, 저작근(씹는 근육) 통증, 두통 등을 유발할 수 있습니다.</x:v>
      </x:c>
      <x:c r="I1052" s="8" t="str">
        <x:v>이갈이 - 원인 예전에 이갈이는 부정교합(위아래 치아 맞물림이 좋지 않은 상태) 때문에 발생한다고 생각했으나, 현재는 부정교합, 얼굴과 관절의 형태 등과는 관련이 없는 것으로 밝혀졌습니다. 정서적 스트레스는 가장 관련성이 높다고 추정되는 원인으로 수면 이갈이, 주간 이갈이를 증가시킵니다. 또한 깨어 있는 동안 및 수면 중 근육 긴장도를 높여 턱관절 통증, 저작근(씹는 근육) 통증, 두통 등을 유발할 수 있습니다.</x:v>
      </x:c>
      <x:c r="J1052" s="8" t="str">
        <x:v>이갈이</x:v>
      </x:c>
      <x:c r="K1052" s="8" t="str">
        <x:v>질병관리청 국가건강정보포털
https://health.kdca.go.kr/healthinfo/biz/health/gnrlzHealthInfo/gnrlzHealthInfo/gnrlzHealthInfoMain.do</x:v>
      </x:c>
    </x:row>
    <x:row r="1053" ht="62" customHeight="1">
      <x:c r="A1053" s="9" t="n">
        <x:v>1052</x:v>
      </x:c>
      <x:c r="B1053" s="6" t="str">
        <x:v>최종 평가</x:v>
      </x:c>
      <x:c r="C1053" s="6" t="str">
        <x:v>질병</x:v>
      </x:c>
      <x:c r="D1053" s="6" t="str">
        <x:v>경과·예후</x:v>
      </x:c>
      <x:c r="E1053" s="6" t="str">
        <x:v>답변 가능</x:v>
      </x:c>
      <x:c r="F1053" s="6" t="str">
        <x:v>쉬움</x:v>
      </x:c>
      <x:c r="G1053" s="8" t="str">
        <x:v>뇌졸중의 경과나 예후는 어떤가요?</x:v>
      </x:c>
      <x:c r="H1053" s="8" t="str">
        <x:v>그 외에 나타날 수 있는 급성기 신경계 합병증으로는 뇌졸중 후 발작, 두개내압 상승, 뇌졸중 후 섬망 등이 있습니다.</x:v>
      </x:c>
      <x:c r="I1053" s="8" t="str">
        <x:v>뇌졸중 - 경과 및 예후 그 외에 나타날 수 있는 급성기 신경계 합병증으로는 뇌졸중 후 발작, 두개내압 상승, 뇌졸중 후 섬망 등이 있습니다. 이들은 모두 뇌졸중 후 예후를 나쁘게 할 수 있어서, 이런 신경계 합병증의 적절한 예방과 신속한 확인 및 치료가 매우 중요합니다. 2. 뇌졸중 예후 1) 뇌경색 뇌경색은 전 세계적으로 주요 사망 원인입니다.</x:v>
      </x:c>
      <x:c r="J1053" s="8" t="str">
        <x:v>뇌졸중</x:v>
      </x:c>
      <x:c r="K1053" s="8" t="str">
        <x:v>질병관리청 국가건강정보포털
https://health.kdca.go.kr/healthinfo/biz/health/gnrlzHealthInfo/gnrlzHealthInfo/gnrlzHealthInfoMain.do</x:v>
      </x:c>
    </x:row>
    <x:row r="1054" ht="62" customHeight="1">
      <x:c r="A1054" s="9" t="n">
        <x:v>1053</x:v>
      </x:c>
      <x:c r="B1054" s="6" t="str">
        <x:v>최종 평가</x:v>
      </x:c>
      <x:c r="C1054" s="6" t="str">
        <x:v>질병</x:v>
      </x:c>
      <x:c r="D1054" s="6" t="str">
        <x:v>원인·위험요인</x:v>
      </x:c>
      <x:c r="E1054" s="6" t="str">
        <x:v>답변 가능</x:v>
      </x:c>
      <x:c r="F1054" s="6" t="str">
        <x:v>쉬움</x:v>
      </x:c>
      <x:c r="G1054" s="8" t="str">
        <x:v>성장 장애는 왜 생기나요?</x:v>
      </x:c>
      <x:c r="H1054" s="8" t="str">
        <x:v>비만, 당뇨, 고혈압, 여드름, 과다한 남성형 털이 발생하기도 합니다. 뇌하수체 또는 부신의 이상이 원인이 될 수 있어 원인을 규명하여 치료하는 것이 중요합니다. (4) 정신적 또는 환경적 원인 극심한 정신적 스트레스 때문에 성장호르몬 분비가 멈추어 저신장의 원인이 될 수 있습니다.</x:v>
      </x:c>
      <x:c r="I1054" s="8" t="str">
        <x:v>성장 장애 - 원인 부신피질호르몬이 과다 분비되는 질환입니다. 부신피질호르몬은 골단의 성장 억제를 일으켜 키가 작아집니다. 비만, 당뇨, 고혈압, 여드름, 과다한 남성형 털이 발생하기도 합니다. 뇌하수체 또는 부신의 이상이 원인이 될 수 있어 원인을 규명하여 치료하는 것이 중요합니다. (4) 정신적 또는 환경적 원인 극심한 정신적 스트레스 때문에 성장호르몬 분비가 멈추어 저신장의 원인이 될 수 있습니다.</x:v>
      </x:c>
      <x:c r="J1054" s="8" t="str">
        <x:v>성장 장애</x:v>
      </x:c>
      <x:c r="K1054" s="8" t="str">
        <x:v>질병관리청 국가건강정보포털
https://health.kdca.go.kr/healthinfo/biz/health/gnrlzHealthInfo/gnrlzHealthInfo/gnrlzHealthInfoMain.do</x:v>
      </x:c>
    </x:row>
    <x:row r="1055" ht="62" customHeight="1">
      <x:c r="A1055" s="9" t="n">
        <x:v>1054</x:v>
      </x:c>
      <x:c r="B1055" s="6" t="str">
        <x:v>최종 평가</x:v>
      </x:c>
      <x:c r="C1055" s="6" t="str">
        <x:v>질병</x:v>
      </x:c>
      <x:c r="D1055" s="6" t="str">
        <x:v>용어·정의</x:v>
      </x:c>
      <x:c r="E1055" s="6" t="str">
        <x:v>답변 가능</x:v>
      </x:c>
      <x:c r="F1055" s="6" t="str">
        <x:v>쉬움</x:v>
      </x:c>
      <x:c r="G1055" s="8" t="str">
        <x:v>유연성 편평족이 뭔가요?</x:v>
      </x:c>
      <x:c r="H1055" s="8" t="str">
        <x:v>평발이란 발바닥의 안쪽 아치(arch)가 비정상적으로 낮아지거나 소실되는 변형입니다.</x:v>
      </x:c>
      <x:c r="I1055" s="8" t="str">
        <x:v>평발(편평족) - 정의 / 종류 평발이란 발바닥의 안쪽 아치(arch)가 비정상적으로 낮아지거나 소실되는 변형입니다. 1. 유연성 편평족 유연성 편평족은 체중부하(자신의 신체에 실리는 몸무게)를 할 때 족저부가 편평해지고, 체중 부하를 하지 않았을 때 아치가 나타나는 경우로 정의합니다. 소아에서 확인되는 평발의 대부분이 유연성 편평족에 해당하게 됩니다. 2. 강직성 편평족</x:v>
      </x:c>
      <x:c r="J1055" s="8" t="str">
        <x:v>평발(편평족)</x:v>
      </x:c>
      <x:c r="K1055" s="8" t="str">
        <x:v>질병관리청 국가건강정보포털
https://health.kdca.go.kr/healthinfo/biz/health/gnrlzHealthInfo/gnrlzHealthInfo/gnrlzHealthInfoMain.do</x:v>
      </x:c>
    </x:row>
    <x:row r="1056" ht="62" customHeight="1">
      <x:c r="A1056" s="9" t="n">
        <x:v>1055</x:v>
      </x:c>
      <x:c r="B1056" s="6" t="str">
        <x:v>최종 평가</x:v>
      </x:c>
      <x:c r="C1056" s="6" t="str">
        <x:v>질병</x:v>
      </x:c>
      <x:c r="D1056" s="6" t="str">
        <x:v>진단·검사</x:v>
      </x:c>
      <x:c r="E1056" s="6" t="str">
        <x:v>답변 가능</x:v>
      </x:c>
      <x:c r="F1056" s="6" t="str">
        <x:v>쉬움</x:v>
      </x:c>
      <x:c r="G1056" s="8" t="str">
        <x:v>덧눈꺼풀은 어떤 검사로 확인하나요?</x:v>
      </x:c>
      <x:c r="H1056" s="8" t="str">
        <x:v>시력: 덧눈꺼풀이 있으면 각막 손상이 있는 경우가 많으므로, 각막의 손상으로 인해 시력저하가 있는지 확인하는 것이 필요합니다.</x:v>
      </x:c>
      <x:c r="I1056" s="8" t="str">
        <x:v>덧눈꺼풀 - 진단 및 검사 / 치료 - 평소에 눈을 자주 비비나요? 2. 눈 검사 - 시력: 덧눈꺼풀이 있으면 각막 손상이 있는 경우가 많으므로, 각막의 손상으로 인해 시력저하가 있는지 확인하는 것이 필요합니다. - 굴절검사: 근시, 난시, 원시 유무 등을 확인하고 필요하면 안경을 착용합니다. - 세극등현미경검사: 덧눈꺼풀의 유무와 정도, 눈썹찔림으로 인한 각막의 손상 여부 및 정도를 확인합니다. 1. 보존적 치료</x:v>
      </x:c>
      <x:c r="J1056" s="8" t="str">
        <x:v>덧눈꺼풀</x:v>
      </x:c>
      <x:c r="K1056" s="8" t="str">
        <x:v>질병관리청 국가건강정보포털
https://health.kdca.go.kr/healthinfo/biz/health/gnrlzHealthInfo/gnrlzHealthInfo/gnrlzHealthInfoMain.do</x:v>
      </x:c>
    </x:row>
    <x:row r="1057" ht="62" customHeight="1">
      <x:c r="A1057" s="9" t="n">
        <x:v>1056</x:v>
      </x:c>
      <x:c r="B1057" s="6" t="str">
        <x:v>최종 평가</x:v>
      </x:c>
      <x:c r="C1057" s="6" t="str">
        <x:v>질병</x:v>
      </x:c>
      <x:c r="D1057" s="6" t="str">
        <x:v>원인·위험요인</x:v>
      </x:c>
      <x:c r="E1057" s="6" t="str">
        <x:v>답변 가능</x:v>
      </x:c>
      <x:c r="F1057" s="6" t="str">
        <x:v>쉬움</x:v>
      </x:c>
      <x:c r="G1057" s="8" t="str">
        <x:v>두근거림은 왜 생기나요?</x:v>
      </x:c>
      <x:c r="H1057" s="8" t="str">
        <x:v>건강상 큰 문제가 없는 경우가 대부분이지만, 경우에 따라서는 사망에 이를 수 있으므로 두근거림의 정확한 원인이 무엇인지 확실히 파악하고 조치하는 것이 중요합니다. 두근거림의 원인은 마음에서 비롯된 정신적 원인과 몸에서 비롯된 신체적 원인으로 구분할 수 있습니다. 가장 흔한 정신적 원인 중 하나인 불안장애는 평균 35세 전후의 젊은 연령층에 많이 생깁니다.</x:v>
      </x:c>
      <x:c r="I1057" s="8" t="str">
        <x:v>두근거림 - 정의 / 원인 건강상 큰 문제가 없는 경우가 대부분이지만, 경우에 따라서는 사망에 이를 수 있으므로 두근거림의 정확한 원인이 무엇인지 확실히 파악하고 조치하는 것이 중요합니다. 두근거림의 원인은 마음에서 비롯된 정신적 원인과 몸에서 비롯된 신체적 원인으로 구분할 수 있습니다. 가장 흔한 정신적 원인 중 하나인 불안장애는 평균 35세 전후의 젊은 연령층에 많이 생깁니다.</x:v>
      </x:c>
      <x:c r="J1057" s="8" t="str">
        <x:v>두근거림</x:v>
      </x:c>
      <x:c r="K1057" s="8" t="str">
        <x:v>질병관리청 국가건강정보포털
https://health.kdca.go.kr/healthinfo/biz/health/gnrlzHealthInfo/gnrlzHealthInfo/gnrlzHealthInfoMain.do</x:v>
      </x:c>
    </x:row>
    <x:row r="1058" ht="62" customHeight="1">
      <x:c r="A1058" s="9" t="n">
        <x:v>1057</x:v>
      </x:c>
      <x:c r="B1058" s="6" t="str">
        <x:v>최종 평가</x:v>
      </x:c>
      <x:c r="C1058" s="6" t="str">
        <x:v>질병</x:v>
      </x:c>
      <x:c r="D1058" s="6" t="str">
        <x:v>진단·검사</x:v>
      </x:c>
      <x:c r="E1058" s="6" t="str">
        <x:v>답변 가능</x:v>
      </x:c>
      <x:c r="F1058" s="6" t="str">
        <x:v>쉬움</x:v>
      </x:c>
      <x:c r="G1058" s="8" t="str">
        <x:v>이갈이는 어떤 검사로 확인하나요?</x:v>
      </x:c>
      <x:c r="H1058" s="8" t="str">
        <x:v>수면 이갈이 및 주간 이갈이로 인해 발생할 수 있는 입안 및 얼굴의 검사 소견은 다음과 같습니다.</x:v>
      </x:c>
      <x:c r="I1058" s="8" t="str">
        <x:v>이갈이 - 진단 및 검사 ① 자는 동안 누군가가(부모, 배우자, 함께 자는 사람) 이 가는 소리를 들었는가? ② 자는 동안 스스로 이를 갈거나 꽉 물거나 턱에 힘이 들어간 것을 느낀 적이 있는가? ③ 자고 일어났을 때 턱에 힘이 들어가 있거나 이를 꽉 물고 있는 것을 느낀 적이 있는가? ④ 자고 일어났을 때 턱에 통증이나 불편감을 느낀 적이 있는가? 2. 임상 검사 수면 이갈이 및 주간 이갈이로 인해 발생할 수 있는 입안 및 얼굴의 검사 소견은 다음과 같습니다.</x:v>
      </x:c>
      <x:c r="J1058" s="8" t="str">
        <x:v>이갈이</x:v>
      </x:c>
      <x:c r="K1058" s="8" t="str">
        <x:v>질병관리청 국가건강정보포털
https://health.kdca.go.kr/healthinfo/biz/health/gnrlzHealthInfo/gnrlzHealthInfo/gnrlzHealthInfoMain.do</x:v>
      </x:c>
    </x:row>
    <x:row r="1059" ht="62" customHeight="1">
      <x:c r="A1059" s="9" t="n">
        <x:v>1058</x:v>
      </x:c>
      <x:c r="B1059" s="6" t="str">
        <x:v>최종 평가</x:v>
      </x:c>
      <x:c r="C1059" s="6" t="str">
        <x:v>질병</x:v>
      </x:c>
      <x:c r="D1059" s="6" t="str">
        <x:v>증상→질환 구분</x:v>
      </x:c>
      <x:c r="E1059" s="6" t="str">
        <x:v>답변 가능</x:v>
      </x:c>
      <x:c r="F1059" s="6" t="str">
        <x:v>어려움</x:v>
      </x:c>
      <x:c r="G1059" s="8" t="str">
        <x:v>병이 진행됨에 따라 황달, 피부의 거미혈관종, 손바닥 홍반, 여성형 유방, 성기능 장애, 월경 이상 등의 증상이 나타날 수 있습니다. 이런 증상은 어떤 질환과 관련이 있을 수 있나요?</x:v>
      </x:c>
      <x:c r="H1059" s="8" t="str">
        <x:v>간경변증</x:v>
      </x:c>
      <x:c r="I1059" s="8" t="str">
        <x:v>간경변증 - 역학 및 통계 / 증상 통계청의 연도별 사망원인 통계 자료에 따르면 2019년에 간경변증에 의한 사망자는 6,070명으로, 사망률은 10만 명당 11.8명이었고, 간경변증을 포함한 간질환으로 인한 사망률은 전체 사망 원인 중 8위를 차지했습니다. 초기에는 피로, 식욕 부진, 구역질, 복부 불쾌감 등이 나타납니다. 병이 진행됨에 따라 황달, 피부의 거미혈관종, 손바닥 홍반, 여성형 유방, 성기능 장애, 월경 이상 등의 증상이 나타날 수 있습니다.</x:v>
      </x:c>
      <x:c r="J1059" s="8" t="str">
        <x:v>간경변증</x:v>
      </x:c>
      <x:c r="K1059" s="8" t="str">
        <x:v>질병관리청 국가건강정보포털
https://health.kdca.go.kr/healthinfo/biz/health/gnrlzHealthInfo/gnrlzHealthInfo/gnrlzHealthInfoMain.do</x:v>
      </x:c>
    </x:row>
    <x:row r="1060" ht="62" customHeight="1">
      <x:c r="A1060" s="9" t="n">
        <x:v>1059</x:v>
      </x:c>
      <x:c r="B1060" s="6" t="str">
        <x:v>최종 평가</x:v>
      </x:c>
      <x:c r="C1060" s="6" t="str">
        <x:v>질병</x:v>
      </x:c>
      <x:c r="D1060" s="6" t="str">
        <x:v>증상→질환 구분</x:v>
      </x:c>
      <x:c r="E1060" s="6" t="str">
        <x:v>답변 가능</x:v>
      </x:c>
      <x:c r="F1060" s="6" t="str">
        <x:v>어려움</x:v>
      </x:c>
      <x:c r="G1060" s="8" t="str">
        <x:v>어떤 사람은 증상이 없을 수도 있지만, 드물지만, 심한 경우에는 첫 증상으로 심장마비 등 매우 심각한 상태로 발현하는 경우도 있습니다. 이런 증상은 어떤 질환과 관련이 있을 수 있나요?</x:v>
      </x:c>
      <x:c r="H1060" s="8" t="str">
        <x:v>부정맥</x:v>
      </x:c>
      <x:c r="I1060" s="8" t="str">
        <x:v>부정맥 - 증상 증상은 사람마다 다르며, 동반된 심장질환이나 상태에 따라 다양하게 나타날 수 있습니다. 어떤 사람은 증상이 없을 수도 있지만, 드물지만, 심한 경우에는 첫 증상으로 심장마비 등 매우 심각한 상태로 발현하는 경우도 있습니다. 부정맥의 대표적인 증상은 다음과 같습니다. 1. 두근거림(심계항진) 보통 사람은 자신의 심박동을 느끼지 못합니다.</x:v>
      </x:c>
      <x:c r="J1060" s="8" t="str">
        <x:v>부정맥</x:v>
      </x:c>
      <x:c r="K1060" s="8" t="str">
        <x:v>질병관리청 국가건강정보포털
https://health.kdca.go.kr/healthinfo/biz/health/gnrlzHealthInfo/gnrlzHealthInfo/gnrlzHealthInfoMain.do</x:v>
      </x:c>
    </x:row>
    <x:row r="1061" ht="62" customHeight="1">
      <x:c r="A1061" s="9" t="n">
        <x:v>1060</x:v>
      </x:c>
      <x:c r="B1061" s="6" t="str">
        <x:v>최종 평가</x:v>
      </x:c>
      <x:c r="C1061" s="6" t="str">
        <x:v>질병</x:v>
      </x:c>
      <x:c r="D1061" s="6" t="str">
        <x:v>증상·양상</x:v>
      </x:c>
      <x:c r="E1061" s="6" t="str">
        <x:v>답변 가능</x:v>
      </x:c>
      <x:c r="F1061" s="6" t="str">
        <x:v>쉬움</x:v>
      </x:c>
      <x:c r="G1061" s="8" t="str">
        <x:v>기흉이 있으면 어떤 증상이 나타날 수 있나요?</x:v>
      </x:c>
      <x:c r="H1061" s="8" t="str">
        <x:v>긴장성 기흉이 발생하면 기흉이 발생한 쪽 폐가 완전히 찌그러지고 심장과 반대쪽 폐를 압박해 심한 호흡곤란과 청색증, 저혈압 등이 발생해 목숨이 위험한 상태에 이를 수 있으며, 즉각적인 응급조치가 필요합니다. 기흉의 두 가지 중요한 증상은 흉통과 호흡곤란입니다. 흉통은 가장 흔한 증상으로 운동과는 관계없이 생기며, 보통 24시간 이내에 좋아집니다.</x:v>
      </x:c>
      <x:c r="I1061" s="8" t="str">
        <x:v>기흉 - 종류 / 증상 긴장성 기흉이 발생하면 기흉이 발생한 쪽 폐가 완전히 찌그러지고 심장과 반대쪽 폐를 압박해 심한 호흡곤란과 청색증, 저혈압 등이 발생해 목숨이 위험한 상태에 이를 수 있으며, 즉각적인 응급조치가 필요합니다. 기흉의 두 가지 중요한 증상은 흉통과 호흡곤란입니다. 흉통은 가장 흔한 증상으로 운동과는 관계없이 생기며, 보통 24시간 이내에 좋아집니다.</x:v>
      </x:c>
      <x:c r="J1061" s="8" t="str">
        <x:v>기흉</x:v>
      </x:c>
      <x:c r="K1061" s="8" t="str">
        <x:v>질병관리청 국가건강정보포털
https://health.kdca.go.kr/healthinfo/biz/health/gnrlzHealthInfo/gnrlzHealthInfo/gnrlzHealthInfoMain.do</x:v>
      </x:c>
    </x:row>
    <x:row r="1062" ht="62" customHeight="1">
      <x:c r="A1062" s="9" t="n">
        <x:v>1061</x:v>
      </x:c>
      <x:c r="B1062" s="6" t="str">
        <x:v>최종 평가</x:v>
      </x:c>
      <x:c r="C1062" s="6" t="str">
        <x:v>질병</x:v>
      </x:c>
      <x:c r="D1062" s="6" t="str">
        <x:v>용어·정의</x:v>
      </x:c>
      <x:c r="E1062" s="6" t="str">
        <x:v>답변 가능</x:v>
      </x:c>
      <x:c r="F1062" s="6" t="str">
        <x:v>쉬움</x:v>
      </x:c>
      <x:c r="G1062" s="8" t="str">
        <x:v>계속되는 말이 뭔가요?</x:v>
      </x:c>
      <x:c r="H1062" s="8" t="str">
        <x:v>계속되는 말이 비정상적으로 자주 끊기거나, 말의 속도가 불규칙하거나, 말할 때 불필요한 노력이 들어가는 경우를 뜻합니다.</x:v>
      </x:c>
      <x:c r="I1062" s="8" t="str">
        <x:v>언어장애(아동 언어장애의 진단과 치료) - 종류 유창성 장애 계속되는 말이 비정상적으로 자주 끊기거나, 말의 속도가 불규칙하거나, 말할 때 불필요한 노력이 들어가는 경우를 뜻합니다. 소리나 음절의 반복, 말소리의 연장, 말 막힘 등이 나타날 수 있습니다. 2~7세에 발병하는 경우가 가장 많으며, 98%가 10세 이전에 발병합니다. 발병은 대개 만성적인데, 삽화적이고 눈에 띄지 않는 유창성 문제가 만성적인 문제로 되기까지는 대개 몇 개월이 걸립니다.</x:v>
      </x:c>
      <x:c r="J1062" s="8" t="str">
        <x:v>언어장애(아동 언어장애의 진단과 치료)</x:v>
      </x:c>
      <x:c r="K1062" s="8" t="str">
        <x:v>질병관리청 국가건강정보포털
https://health.kdca.go.kr/healthinfo/biz/health/gnrlzHealthInfo/gnrlzHealthInfo/gnrlzHealthInfoMain.do</x:v>
      </x:c>
    </x:row>
    <x:row r="1063" ht="62" customHeight="1">
      <x:c r="A1063" s="9" t="n">
        <x:v>1062</x:v>
      </x:c>
      <x:c r="B1063" s="6" t="str">
        <x:v>최종 평가</x:v>
      </x:c>
      <x:c r="C1063" s="6" t="str">
        <x:v>질병</x:v>
      </x:c>
      <x:c r="D1063" s="6" t="str">
        <x:v>예방·생활수칙</x:v>
      </x:c>
      <x:c r="E1063" s="6" t="str">
        <x:v>답변 가능</x:v>
      </x:c>
      <x:c r="F1063" s="6" t="str">
        <x:v>쉬움</x:v>
      </x:c>
      <x:c r="G1063" s="8" t="str">
        <x:v>미숙아를 예방하려면 어떻게 해야 하나요?</x:v>
      </x:c>
      <x:c r="H1063" s="8" t="str">
        <x:v>미숙아는 면역 기능이 미숙하며 신생아 집중치료실에서 다양한 치료를 받고 미숙아 만성폐질환 등을 가진 경우도 많으므로 폐렴구균 접종 및 독감 접종 등 국가예방접종을 꼭 받아야 합니다. 미숙아에게 특별히 시행하는 예방접종으로 호흡기세포융합바이러스(respiratory syncytial virus, RSV)에 대한 팔리비주맙(palivizumab)이 있습니다.</x:v>
      </x:c>
      <x:c r="I1063" s="8" t="str">
        <x:v>미숙아 - 자가 관리 미숙아는 면역 기능이 미숙하며 신생아 집중치료실에서 다양한 치료를 받고 미숙아 만성폐질환 등을 가진 경우도 많으므로 폐렴구균 접종 및 독감 접종 등 국가예방접종을 꼭 받아야 합니다. 미숙아에게 특별히 시행하는 예방접종으로 호흡기세포융합바이러스(respiratory syncytial virus, RSV)에 대한 팔리비주맙(palivizumab)이 있습니다.</x:v>
      </x:c>
      <x:c r="J1063" s="8" t="str">
        <x:v>미숙아</x:v>
      </x:c>
      <x:c r="K1063" s="8" t="str">
        <x:v>질병관리청 국가건강정보포털
https://health.kdca.go.kr/healthinfo/biz/health/gnrlzHealthInfo/gnrlzHealthInfo/gnrlzHealthInfoMain.do</x:v>
      </x:c>
    </x:row>
    <x:row r="1064" ht="62" customHeight="1">
      <x:c r="A1064" s="9" t="n">
        <x:v>1063</x:v>
      </x:c>
      <x:c r="B1064" s="6" t="str">
        <x:v>최종 평가</x:v>
      </x:c>
      <x:c r="C1064" s="6" t="str">
        <x:v>질병</x:v>
      </x:c>
      <x:c r="D1064" s="6" t="str">
        <x:v>증상·양상</x:v>
      </x:c>
      <x:c r="E1064" s="6" t="str">
        <x:v>답변 가능</x:v>
      </x:c>
      <x:c r="F1064" s="6" t="str">
        <x:v>쉬움</x:v>
      </x:c>
      <x:c r="G1064" s="8" t="str">
        <x:v>조기난소부전이 있으면 어떤 증상이 나타날 수 있나요?</x:v>
      </x:c>
      <x:c r="H1064" s="8" t="str">
        <x:v>이외에도 우울감, 불면증, 관절통, 소변을 자주 보는 증상, 요실금, 성관계 시 통증, 기억력 감퇴 등이 나타날 수 있습니다. - 난소 기능이 저하되었을 때 증상이 나타나기 때문에 난소 기능이 좋아졌다 나빠지기를 반복하는 경우 증상은 잠시 나타날 수도 있고, 심하지 않을 수도 있습니다. 1) 가장 중요한 것은 월경 주기의 변화입니다. 월경 주기의 변화가 여러 달 동안 있던 경우, 호르몬 검사를 시행합니다.</x:v>
      </x:c>
      <x:c r="I1064" s="8" t="str">
        <x:v>조기난소부전 - 증상 / 진단 및 검사 - 이외에도 우울감, 불면증, 관절통, 소변을 자주 보는 증상, 요실금, 성관계 시 통증, 기억력 감퇴 등이 나타날 수 있습니다. - 난소 기능이 저하되었을 때 증상이 나타나기 때문에 난소 기능이 좋아졌다 나빠지기를 반복하는 경우 증상은 잠시 나타날 수도 있고, 심하지 않을 수도 있습니다. 1) 가장 중요한 것은 월경 주기의 변화입니다. 월경 주기의 변화가 여러 달 동안 있던 경우, 호르몬 검사를 시행합니다.</x:v>
      </x:c>
      <x:c r="J1064" s="8" t="str">
        <x:v>조기난소부전</x:v>
      </x:c>
      <x:c r="K1064" s="8" t="str">
        <x:v>질병관리청 국가건강정보포털
https://health.kdca.go.kr/healthinfo/biz/health/gnrlzHealthInfo/gnrlzHealthInfo/gnrlzHealthInfoMain.do</x:v>
      </x:c>
    </x:row>
    <x:row r="1065" ht="62" customHeight="1">
      <x:c r="A1065" s="9" t="n">
        <x:v>1064</x:v>
      </x:c>
      <x:c r="B1065" s="6" t="str">
        <x:v>최종 평가</x:v>
      </x:c>
      <x:c r="C1065" s="6" t="str">
        <x:v>질병</x:v>
      </x:c>
      <x:c r="D1065" s="6" t="str">
        <x:v>예방·생활수칙</x:v>
      </x:c>
      <x:c r="E1065" s="6" t="str">
        <x:v>답변 가능</x:v>
      </x:c>
      <x:c r="F1065" s="6" t="str">
        <x:v>쉬움</x:v>
      </x:c>
      <x:c r="G1065" s="8" t="str">
        <x:v>패혈증을 예방하려면 어떻게 해야 하나요?</x:v>
      </x:c>
      <x:c r="H1065" s="8" t="str">
        <x:v>패혈증은 감염이 전신으로 퍼져 생명을 위협할 수 있는 심각한 질환이지만, 몇 가지 예방과 관리 방법을 통해 위험을 줄이고 조기에 대응할 수 있습니다. 가장 중요한 예방 방법은 감염 자체를 막는 것입니다.</x:v>
      </x:c>
      <x:c r="I1065" s="8" t="str">
        <x:v>패혈증 - 위험요인 및 예방 낮은 사회경제적 지위는 감염과 패혈증 위험을 높이는 중요한 배경 요인입니다. 이는 의료 접근성의 제한, 불량한 생활 환경, 기저질환 관리의 어려움 등이 복합적으로 작용한 결과로 이해됩니다. 2. 예방 패혈증은 감염이 전신으로 퍼져 생명을 위협할 수 있는 심각한 질환이지만, 몇 가지 예방과 관리 방법을 통해 위험을 줄이고 조기에 대응할 수 있습니다. 가장 중요한 예방 방법은 감염 자체를 막는 것입니다.</x:v>
      </x:c>
      <x:c r="J1065" s="8" t="str">
        <x:v>패혈증</x:v>
      </x:c>
      <x:c r="K1065" s="8" t="str">
        <x:v>질병관리청 국가건강정보포털
https://health.kdca.go.kr/healthinfo/biz/health/gnrlzHealthInfo/gnrlzHealthInfo/gnrlzHealthInfoMain.do</x:v>
      </x:c>
    </x:row>
    <x:row r="1066" ht="62" customHeight="1">
      <x:c r="A1066" s="9" t="n">
        <x:v>1065</x:v>
      </x:c>
      <x:c r="B1066" s="6" t="str">
        <x:v>최종 평가</x:v>
      </x:c>
      <x:c r="C1066" s="6" t="str">
        <x:v>질병</x:v>
      </x:c>
      <x:c r="D1066" s="6" t="str">
        <x:v>용어·정의</x:v>
      </x:c>
      <x:c r="E1066" s="6" t="str">
        <x:v>답변 가능</x:v>
      </x:c>
      <x:c r="F1066" s="6" t="str">
        <x:v>쉬움</x:v>
      </x:c>
      <x:c r="G1066" s="8" t="str">
        <x:v>심부 정맥 혈전증이 뭔가요?</x:v>
      </x:c>
      <x:c r="H1066" s="8" t="str">
        <x:v>'이것만은 꼭 기억하세요' • 심부 정맥 혈전증은 하지의 깊은 정맥에 혈전이 형성되는 질환으로, 주로 혈류 흐름 저하, 혈액 응고 경향 증가, 혈관 내피세포 손상으로 발생합니다.</x:v>
      </x:c>
      <x:c r="I1066" s="8" t="str">
        <x:v>심부 정맥 혈전증 - 요약문 '이것만은 꼭 기억하세요' • 심부 정맥 혈전증은 하지의 깊은 정맥에 혈전이 형성되는 질환으로, 주로 혈류 흐름 저하, 혈액 응고 경향 증가, 혈관 내피세포 손상으로 발생합니다. • 증상은 발등부터 위쪽으로 서서히 부종이 진행되고 통증이 있으며, 치료하지 않으면 혈전이 혈류를 따라 이동하여 폐 색전증을 초래할 수 있습니다.</x:v>
      </x:c>
      <x:c r="J1066" s="8" t="str">
        <x:v>심부 정맥 혈전증</x:v>
      </x:c>
      <x:c r="K1066" s="8" t="str">
        <x:v>질병관리청 국가건강정보포털
https://health.kdca.go.kr/healthinfo/biz/health/gnrlzHealthInfo/gnrlzHealthInfo/gnrlzHealthInfoMain.do</x:v>
      </x:c>
    </x:row>
    <x:row r="1067" ht="62" customHeight="1">
      <x:c r="A1067" s="9" t="n">
        <x:v>1066</x:v>
      </x:c>
      <x:c r="B1067" s="6" t="str">
        <x:v>최종 평가</x:v>
      </x:c>
      <x:c r="C1067" s="6" t="str">
        <x:v>질병</x:v>
      </x:c>
      <x:c r="D1067" s="6" t="str">
        <x:v>답변불가·치료비·보험</x:v>
      </x:c>
      <x:c r="E1067" s="6" t="str">
        <x:v>답변 거부</x:v>
      </x:c>
      <x:c r="F1067" s="6" t="str">
        <x:v>어려움</x:v>
      </x:c>
      <x:c r="G1067" s="8" t="str">
        <x:v>직업성 호흡기질환 치료비와 제 보험에서 보장되는 금액을 정확히 알려주세요.</x:v>
      </x:c>
      <x:c r="H1067" s="8" t="str">
        <x:v>제공된 질병관리청 VDB에는 개인별 치료비와 보험 보장 금액 정보가 없어 답할 수 없습니다.</x:v>
      </x:c>
      <x:c r="I1067" s="8" t="str">
        <x:v>VDB 범위 밖 질문 — 근거 없음</x:v>
      </x:c>
      <x:c r="J1067" s="8" t="str">
        <x:v>직업성 호흡기질환</x:v>
      </x:c>
      <x:c r="K1067" s="8" t="str">
        <x:v>질병관리청 국가건강정보포털
https://health.kdca.go.kr/healthinfo/biz/health/gnrlzHealthInfo/gnrlzHealthInfo/gnrlzHealthInfoMain.do</x:v>
      </x:c>
    </x:row>
    <x:row r="1068" ht="62" customHeight="1">
      <x:c r="A1068" s="9" t="n">
        <x:v>1067</x:v>
      </x:c>
      <x:c r="B1068" s="6" t="str">
        <x:v>최종 평가</x:v>
      </x:c>
      <x:c r="C1068" s="6" t="str">
        <x:v>질병</x:v>
      </x:c>
      <x:c r="D1068" s="6" t="str">
        <x:v>진단·검사</x:v>
      </x:c>
      <x:c r="E1068" s="6" t="str">
        <x:v>답변 가능</x:v>
      </x:c>
      <x:c r="F1068" s="6" t="str">
        <x:v>쉬움</x:v>
      </x:c>
      <x:c r="G1068" s="8" t="str">
        <x:v>반월상 연골판 손상은 어떤 검사로 확인하나요?</x:v>
      </x:c>
      <x:c r="H1068" s="8" t="str">
        <x:v>반월상 연골판 손상은 병력 확인, 신체검사, 자기공명영상(Magnetic resonance imaging, MRI) 등을 통해 진단할 수 있습니다.</x:v>
      </x:c>
      <x:c r="I1068" s="8" t="str">
        <x:v>반월상 연골판 손상 - 진단 및 검사 반월상 연골판 손상은 병력 확인, 신체검사, 자기공명영상(Magnetic resonance imaging, MRI) 등을 통해 진단할 수 있습니다. 자기공명영상은 정확도가 95% 이상이나, 비용이 비싸고 파열로 잘못 진단할 수 있는 가능성이 있으므로 반드시 검사 전에 전문가와 상의해야 합니다. 특히, 후방 내측 반월상 연골판-관절낭 부착부 손상은 MRI에서 잘 보이지 않아 진단 정확도가 떨어질 수 있습니다.</x:v>
      </x:c>
      <x:c r="J1068" s="8" t="str">
        <x:v>반월상 연골판 손상</x:v>
      </x:c>
      <x:c r="K1068" s="8" t="str">
        <x:v>질병관리청 국가건강정보포털
https://health.kdca.go.kr/healthinfo/biz/health/gnrlzHealthInfo/gnrlzHealthInfo/gnrlzHealthInfoMain.do</x:v>
      </x:c>
    </x:row>
    <x:row r="1069" ht="62" customHeight="1">
      <x:c r="A1069" s="9" t="n">
        <x:v>1068</x:v>
      </x:c>
      <x:c r="B1069" s="6" t="str">
        <x:v>최종 평가</x:v>
      </x:c>
      <x:c r="C1069" s="6" t="str">
        <x:v>질병</x:v>
      </x:c>
      <x:c r="D1069" s="6" t="str">
        <x:v>답변불가·실시간 의료기관</x:v>
      </x:c>
      <x:c r="E1069" s="6" t="str">
        <x:v>답변 거부</x:v>
      </x:c>
      <x:c r="F1069" s="6" t="str">
        <x:v>어려움</x:v>
      </x:c>
      <x:c r="G1069" s="8" t="str">
        <x:v>지금 제 위치에서 갈색세포종 진료가 가능한 병원 중 대기 시간이 가장 짧은 곳은 어디인가요?</x:v>
      </x:c>
      <x:c r="H1069" s="8" t="str">
        <x:v>제공된 질병관리청 VDB에는 실시간 병원 위치와 대기 시간 정보가 없어 답할 수 없습니다.</x:v>
      </x:c>
      <x:c r="I1069" s="8" t="str">
        <x:v>VDB 범위 밖 질문 — 근거 없음</x:v>
      </x:c>
      <x:c r="J1069" s="8" t="str">
        <x:v>갈색세포종</x:v>
      </x:c>
      <x:c r="K1069" s="8" t="str">
        <x:v>질병관리청 국가건강정보포털
https://health.kdca.go.kr/healthinfo/biz/health/gnrlzHealthInfo/gnrlzHealthInfo/gnrlzHealthInfoMain.do</x:v>
      </x:c>
    </x:row>
    <x:row r="1070" ht="62" customHeight="1">
      <x:c r="A1070" s="9" t="n">
        <x:v>1069</x:v>
      </x:c>
      <x:c r="B1070" s="6" t="str">
        <x:v>최종 평가</x:v>
      </x:c>
      <x:c r="C1070" s="6" t="str">
        <x:v>질병</x:v>
      </x:c>
      <x:c r="D1070" s="6" t="str">
        <x:v>증상→질환 구분</x:v>
      </x:c>
      <x:c r="E1070" s="6" t="str">
        <x:v>답변 가능</x:v>
      </x:c>
      <x:c r="F1070" s="6" t="str">
        <x:v>어려움</x:v>
      </x:c>
      <x:c r="G1070" s="8" t="str">
        <x:v>직업성 천식의 증상은 쌕쌕거림, 숨가쁨, 가슴 답답함, 기침, 가래 등 일반적인 천식 증상과 유사합니다. 이런 증상은 어떤 질환과 관련이 있을 수 있나요?</x:v>
      </x:c>
      <x:c r="H1070" s="8" t="str">
        <x:v>직업성 호흡기질환(직업성 천식)</x:v>
      </x:c>
      <x:c r="I1070" s="8" t="str">
        <x:v>직업성 호흡기질환(직업성 천식) - 역학 및 통계 / 증상 / 진단 및 검사 직업이 천식에 미치는 기여도는 약 10%로 알려져 있습니다. 직업성 천식의 증상은 쌕쌕거림, 숨가쁨, 가슴 답답함, 기침, 가래 등 일반적인 천식 증상과 유사합니다. 그러나 직장에서 증상이 악화되고, 퇴근 후나 주말에는 증상이 좋아지는 특징이 있습니다. 직업성 천식을 진단할 때는 직업, 노출력, 취미생활 등을 철저히 조사해야 합니다. 또한, 주말이나 휴일 등 직장에 나가지 않는 날에 증상이 호전되는지 반드시 확인해야 합니다.</x:v>
      </x:c>
      <x:c r="J1070" s="8" t="str">
        <x:v>직업성 호흡기질환(직업성 천식)</x:v>
      </x:c>
      <x:c r="K1070" s="8" t="str">
        <x:v>질병관리청 국가건강정보포털
https://health.kdca.go.kr/healthinfo/biz/health/gnrlzHealthInfo/gnrlzHealthInfo/gnrlzHealthInfoMain.do</x:v>
      </x:c>
    </x:row>
    <x:row r="1071" ht="62" customHeight="1">
      <x:c r="A1071" s="9" t="n">
        <x:v>1070</x:v>
      </x:c>
      <x:c r="B1071" s="6" t="str">
        <x:v>최종 평가</x:v>
      </x:c>
      <x:c r="C1071" s="6" t="str">
        <x:v>질병</x:v>
      </x:c>
      <x:c r="D1071" s="6" t="str">
        <x:v>치료·관리</x:v>
      </x:c>
      <x:c r="E1071" s="6" t="str">
        <x:v>답변 가능</x:v>
      </x:c>
      <x:c r="F1071" s="6" t="str">
        <x:v>쉬움</x:v>
      </x:c>
      <x:c r="G1071" s="8" t="str">
        <x:v>뇌수막염은 어떻게 치료하거나 관리하나요?</x:v>
      </x:c>
      <x:c r="H1071" s="8" t="str">
        <x:v>임상적으로 세균성 뇌수막염이 의심되면 검사 결과를 기다리지 않고 적절한 항생제를 투여합니다. 사망률을 줄이고 심각한 청력 소실과 신경학적 후유증을 피하기 위해 보조치료로 스테로이드제를 사용하는 경우가 있습니다. 항생제는 혈액-뇌 장벽을 잘 통과하여 뇌척수액 내로 침투하는 약제를 정맥 내로, 최대량으로 투여합니다.</x:v>
      </x:c>
      <x:c r="I1071" s="8" t="str">
        <x:v>뇌수막염 - 치료 내과적 응급질환이므로 진단 검사를 신속하게 시행하고 1시간 이내에 경험적 항생제 투여를 시작하는 것이 중요합니다. 임상적으로 세균성 뇌수막염이 의심되면 검사 결과를 기다리지 않고 적절한 항생제를 투여합니다. 사망률을 줄이고 심각한 청력 소실과 신경학적 후유증을 피하기 위해 보조치료로 스테로이드제를 사용하는 경우가 있습니다. 항생제는 혈액-뇌 장벽을 잘 통과하여 뇌척수액 내로 침투하는 약제를 정맥 내로, 최대량으로 투여합니다.</x:v>
      </x:c>
      <x:c r="J1071" s="8" t="str">
        <x:v>뇌수막염</x:v>
      </x:c>
      <x:c r="K1071" s="8" t="str">
        <x:v>질병관리청 국가건강정보포털
https://health.kdca.go.kr/healthinfo/biz/health/gnrlzHealthInfo/gnrlzHealthInfo/gnrlzHealthInfoMain.do</x:v>
      </x:c>
    </x:row>
    <x:row r="1072" ht="62" customHeight="1">
      <x:c r="A1072" s="9" t="n">
        <x:v>1071</x:v>
      </x:c>
      <x:c r="B1072" s="6" t="str">
        <x:v>최종 평가</x:v>
      </x:c>
      <x:c r="C1072" s="6" t="str">
        <x:v>질병</x:v>
      </x:c>
      <x:c r="D1072" s="6" t="str">
        <x:v>기준·수치</x:v>
      </x:c>
      <x:c r="E1072" s="6" t="str">
        <x:v>답변 가능</x:v>
      </x:c>
      <x:c r="F1072" s="6" t="str">
        <x:v>쉬움</x:v>
      </x:c>
      <x:c r="G1072" s="8" t="str">
        <x:v>요통과 관련된 증상이나 상태는 보통 얼마나 지속되나요?</x:v>
      </x:c>
      <x:c r="H1072" s="8" t="str">
        <x:v>급성 허리 통증을 호소하는 10명 중 9명은 6주 이내에 특별한 치료 없이도 통증이 저절로 없어지며 100명 중 2~7명만이 만성 통증으로 진행합니다.</x:v>
      </x:c>
      <x:c r="I1072" s="8" t="str">
        <x:v>요통 - 역학 및 통계 급성 허리 통증을 호소하는 10명 중 9명은 6주 이내에 특별한 치료 없이도 통증이 저절로 없어지며 100명 중 2~7명만이 만성 통증으로 진행합니다. 허리 통증이 있는 100명 중 15명만이 질환으로 인한 통증이거나 다리가 당기는 듯하고 저린 증상(방사통)이 있는 신경 증상을 동반합니다.</x:v>
      </x:c>
      <x:c r="J1072" s="8" t="str">
        <x:v>요통</x:v>
      </x:c>
      <x:c r="K1072" s="8" t="str">
        <x:v>질병관리청 국가건강정보포털
https://health.kdca.go.kr/healthinfo/biz/health/gnrlzHealthInfo/gnrlzHealthInfo/gnrlzHealthInfoMain.do</x:v>
      </x:c>
    </x:row>
    <x:row r="1073" ht="62" customHeight="1">
      <x:c r="A1073" s="9" t="n">
        <x:v>1072</x:v>
      </x:c>
      <x:c r="B1073" s="6" t="str">
        <x:v>최종 평가</x:v>
      </x:c>
      <x:c r="C1073" s="6" t="str">
        <x:v>질병</x:v>
      </x:c>
      <x:c r="D1073" s="6" t="str">
        <x:v>증상·양상</x:v>
      </x:c>
      <x:c r="E1073" s="6" t="str">
        <x:v>답변 가능</x:v>
      </x:c>
      <x:c r="F1073" s="6" t="str">
        <x:v>쉬움</x:v>
      </x:c>
      <x:c r="G1073" s="8" t="str">
        <x:v>포도막염이 있으면 어떤 증상이 나타날 수 있나요?</x:v>
      </x:c>
      <x:c r="H1073" s="8" t="str">
        <x:v>포도막염의 증상은 양쪽 눈 모두에 발생할 수 있지만 한쪽 눈에만 발생하기도 하며, 염증이 빠르게 악화되는 급성 양상을 보일 수도 있고, 천천히 진행되는 만성 양상을 보이기도 합니다.</x:v>
      </x:c>
      <x:c r="I1073" s="8" t="str">
        <x:v>포도막염 - 증상 포도막염의 증상은 양쪽 눈 모두에 발생할 수 있지만 한쪽 눈에만 발생하기도 하며, 염증이 빠르게 악화되는 급성 양상을 보일 수도 있고, 천천히 진행되는 만성 양상을 보이기도 합니다.</x:v>
      </x:c>
      <x:c r="J1073" s="8" t="str">
        <x:v>포도막염</x:v>
      </x:c>
      <x:c r="K1073" s="8" t="str">
        <x:v>질병관리청 국가건강정보포털
https://health.kdca.go.kr/healthinfo/biz/health/gnrlzHealthInfo/gnrlzHealthInfo/gnrlzHealthInfoMain.do</x:v>
      </x:c>
    </x:row>
    <x:row r="1074" ht="62" customHeight="1">
      <x:c r="A1074" s="9" t="n">
        <x:v>1073</x:v>
      </x:c>
      <x:c r="B1074" s="6" t="str">
        <x:v>최종 평가</x:v>
      </x:c>
      <x:c r="C1074" s="6" t="str">
        <x:v>질병</x:v>
      </x:c>
      <x:c r="D1074" s="6" t="str">
        <x:v>증상·양상</x:v>
      </x:c>
      <x:c r="E1074" s="6" t="str">
        <x:v>답변 가능</x:v>
      </x:c>
      <x:c r="F1074" s="6" t="str">
        <x:v>쉬움</x:v>
      </x:c>
      <x:c r="G1074" s="8" t="str">
        <x:v>세기관지염이 있으면 어떤 증상이 나타날 수 있나요?</x:v>
      </x:c>
      <x:c r="H1074" s="8" t="str">
        <x:v>세기관지염은 처음 1~3일 정도는 감기처럼 코막힘, 콧물, 가벼운 기침, 미열, 식욕 감소 등의 가벼운 증상으로 시작됩니다. 그러나 시간이 지나면서 호흡기 증상이 점점 심해질 수 있습니다.대표적인 호흡곤란의 징후는 다음과 같습니다. 1. 호흡 속도가 매우 빨라짐(분당 60~80회 이상) 2. 쌕쌕거림(숨 쉴 때 휘파람 같은 소리가 남) 3. 콧구멍이 벌렁거림 4. 흉벽 함몰(숨 쉴 때 갈비뼈 사이와 아래가 안쪽으로 들어감)</x:v>
      </x:c>
      <x:c r="I1074" s="8" t="str">
        <x:v>세기관지염 - 증상 세기관지염은 처음 1~3일 정도는 감기처럼 코막힘, 콧물, 가벼운 기침, 미열, 식욕 감소 등의 가벼운 증상으로 시작됩니다. 그러나 시간이 지나면서 호흡기 증상이 점점 심해질 수 있습니다.대표적인 호흡곤란의 징후는 다음과 같습니다. 1. 호흡 속도가 매우 빨라짐(분당 60~80회 이상) 2. 쌕쌕거림(숨 쉴 때 휘파람 같은 소리가 남) 3. 콧구멍이 벌렁거림 4. 흉벽 함몰(숨 쉴 때 갈비뼈 사이와 아래가 안쪽으로 들어감)</x:v>
      </x:c>
      <x:c r="J1074" s="8" t="str">
        <x:v>세기관지염</x:v>
      </x:c>
      <x:c r="K1074" s="8" t="str">
        <x:v>질병관리청 국가건강정보포털
https://health.kdca.go.kr/healthinfo/biz/health/gnrlzHealthInfo/gnrlzHealthInfo/gnrlzHealthInfoMain.do</x:v>
      </x:c>
    </x:row>
    <x:row r="1075" ht="62" customHeight="1">
      <x:c r="A1075" s="9" t="n">
        <x:v>1074</x:v>
      </x:c>
      <x:c r="B1075" s="6" t="str">
        <x:v>최종 평가</x:v>
      </x:c>
      <x:c r="C1075" s="6" t="str">
        <x:v>질병</x:v>
      </x:c>
      <x:c r="D1075" s="6" t="str">
        <x:v>치료·관리</x:v>
      </x:c>
      <x:c r="E1075" s="6" t="str">
        <x:v>답변 가능</x:v>
      </x:c>
      <x:c r="F1075" s="6" t="str">
        <x:v>쉬움</x:v>
      </x:c>
      <x:c r="G1075" s="8" t="str">
        <x:v>남성형 탈모는 어떻게 치료하거나 관리하나요?</x:v>
      </x:c>
      <x:c r="H1075" s="8" t="str">
        <x:v>남성형 탈모의 대표적인 치료 방법은 약물 치료이며, 바르는 약제인 미녹시딜과 복용 약제인 5알파-환원효소억제제(피나스테리드와 두타스테리드)가 있습니다. 이 약물들은 우리나라 식약처에서 승인되어 현재 많이 사용되고 있습니다. 최근에는 저출력 레이저 치료 또한 식약처의 허가를 받고 사용되고 있습니다. 1. 미녹시딜</x:v>
      </x:c>
      <x:c r="I1075" s="8" t="str">
        <x:v>남성형 탈모 - 약물 치료 남성형 탈모의 대표적인 치료 방법은 약물 치료이며, 바르는 약제인 미녹시딜과 복용 약제인 5알파-환원효소억제제(피나스테리드와 두타스테리드)가 있습니다. 이 약물들은 우리나라 식약처에서 승인되어 현재 많이 사용되고 있습니다. 최근에는 저출력 레이저 치료 또한 식약처의 허가를 받고 사용되고 있습니다. 1. 미녹시딜</x:v>
      </x:c>
      <x:c r="J1075" s="8" t="str">
        <x:v>남성형 탈모</x:v>
      </x:c>
      <x:c r="K1075" s="8" t="str">
        <x:v>질병관리청 국가건강정보포털
https://health.kdca.go.kr/healthinfo/biz/health/gnrlzHealthInfo/gnrlzHealthInfo/gnrlzHealthInfoMain.do</x:v>
      </x:c>
    </x:row>
    <x:row r="1076" ht="62" customHeight="1">
      <x:c r="A1076" s="9" t="n">
        <x:v>1075</x:v>
      </x:c>
      <x:c r="B1076" s="6" t="str">
        <x:v>최종 평가</x:v>
      </x:c>
      <x:c r="C1076" s="6" t="str">
        <x:v>질병</x:v>
      </x:c>
      <x:c r="D1076" s="6" t="str">
        <x:v>기준·수치</x:v>
      </x:c>
      <x:c r="E1076" s="6" t="str">
        <x:v>답변 가능</x:v>
      </x:c>
      <x:c r="F1076" s="6" t="str">
        <x:v>쉬움</x:v>
      </x:c>
      <x:c r="G1076" s="8" t="str">
        <x:v>야뇨증(소아)와 관련된 증상이나 상태는 보통 얼마나 지속되나요?</x:v>
      </x:c>
      <x:c r="H1076" s="8" t="str">
        <x:v>다섯 번째 생일이 지난 어린이가 자는 도중에 본인도 모르게 소변을 보는 현상이 적어도 주 2회, 3개월 이상 지속되면 야뇨증이라고 진단합니다.</x:v>
      </x:c>
      <x:c r="I1076" s="8" t="str">
        <x:v>야뇨증(소아) - 진단 및 검사 다섯 번째 생일이 지난 어린이가 자는 도중에 본인도 모르게 소변을 보는 현상이 적어도 주 2회, 3개월 이상 지속되면 야뇨증이라고 진단합니다. 2. 문진 및 신체 검사 야뇨증의 빈도, 야뇨증이 없었던 기간, 수분섭취 습관, 수면 양상, 배변 양상, 낮에 소변볼 때 이상 증상이 동반되는지, 환경 변화 및 심리적 요인은 없는지 등을 확인합니다. 신경학적 이상 증상 등 기질적 원인이 의심될 경우 자세한 신체 검사가 필요합니다. 3.</x:v>
      </x:c>
      <x:c r="J1076" s="8" t="str">
        <x:v>야뇨증(소아)</x:v>
      </x:c>
      <x:c r="K1076" s="8" t="str">
        <x:v>질병관리청 국가건강정보포털
https://health.kdca.go.kr/healthinfo/biz/health/gnrlzHealthInfo/gnrlzHealthInfo/gnrlzHealthInfoMain.do</x:v>
      </x:c>
    </x:row>
    <x:row r="1077" ht="62" customHeight="1">
      <x:c r="A1077" s="9" t="n">
        <x:v>1076</x:v>
      </x:c>
      <x:c r="B1077" s="6" t="str">
        <x:v>최종 평가</x:v>
      </x:c>
      <x:c r="C1077" s="6" t="str">
        <x:v>질병</x:v>
      </x:c>
      <x:c r="D1077" s="6" t="str">
        <x:v>치료·관리</x:v>
      </x:c>
      <x:c r="E1077" s="6" t="str">
        <x:v>답변 가능</x:v>
      </x:c>
      <x:c r="F1077" s="6" t="str">
        <x:v>쉬움</x:v>
      </x:c>
      <x:c r="G1077" s="8" t="str">
        <x:v>성대결절은 어떻게 치료하거나 관리하나요?</x:v>
      </x:c>
      <x:c r="H1077" s="8" t="str">
        <x:v>대부분의 후두 성대 수술은 입안을 통하여 간단히 할 수 있는데, 레이저광선을 이용하기도 합니다. [성대 수술 방법] 1. 환자를 전신 마취시킵니다. 2. 환자의 입을 통해 둥글고 긴 원통형 기구를 후두에 삽입하여 성대를 노출시킵니다. 3. 성대에 생긴 성대결절이나 성대폴립과 같은 덩어리를 현미경을 통해 약 10~20배로 크게 확대하여 봅니다. 4. 보면서 정교한 기구나 레이저로 성대의 덩어리를 제거합니다.</x:v>
      </x:c>
      <x:c r="I1077" s="8" t="str">
        <x:v>성대결절 - 비약물 치료 대부분의 후두 성대 수술은 입안을 통하여 간단히 할 수 있는데, 레이저광선을 이용하기도 합니다. [성대 수술 방법] 1. 환자를 전신 마취시킵니다. 2. 환자의 입을 통해 둥글고 긴 원통형 기구를 후두에 삽입하여 성대를 노출시킵니다. 3. 성대에 생긴 성대결절이나 성대폴립과 같은 덩어리를 현미경을 통해 약 10~20배로 크게 확대하여 봅니다. 4. 보면서 정교한 기구나 레이저로 성대의 덩어리를 제거합니다.</x:v>
      </x:c>
      <x:c r="J1077" s="8" t="str">
        <x:v>성대결절</x:v>
      </x:c>
      <x:c r="K1077" s="8" t="str">
        <x:v>질병관리청 국가건강정보포털
https://health.kdca.go.kr/healthinfo/biz/health/gnrlzHealthInfo/gnrlzHealthInfo/gnrlzHealthInfoMain.do</x:v>
      </x:c>
    </x:row>
    <x:row r="1078" ht="62" customHeight="1">
      <x:c r="A1078" s="9" t="n">
        <x:v>1077</x:v>
      </x:c>
      <x:c r="B1078" s="6" t="str">
        <x:v>최종 평가</x:v>
      </x:c>
      <x:c r="C1078" s="6" t="str">
        <x:v>질병</x:v>
      </x:c>
      <x:c r="D1078" s="6" t="str">
        <x:v>진단·검사</x:v>
      </x:c>
      <x:c r="E1078" s="6" t="str">
        <x:v>답변 가능</x:v>
      </x:c>
      <x:c r="F1078" s="6" t="str">
        <x:v>쉬움</x:v>
      </x:c>
      <x:c r="G1078" s="8" t="str">
        <x:v>흉곽기형(오목가슴, 함몰흉, 누두흉)은 어떤 검사로 확인하나요?</x:v>
      </x:c>
      <x:c r="H1078" s="8" t="str">
        <x:v>오목가슴은 육안으로 진단하며 심한 정도는 방사선 검사를 통해 확인합니다.</x:v>
      </x:c>
      <x:c r="I1078" s="8" t="str">
        <x:v>흉곽기형(오목가슴, 함몰흉, 누두흉) - 진단 및 검사 오목가슴은 육안으로 진단하며 심한 정도는 방사선 검사를 통해 확인합니다. 보통 흉골의 아래 2분의 1 또는 3분의 2 부위가 함몰되어 있습니다. 2. 방사선 검사 1) 흉부 방사선 검사 정면 사진에서 흔히 심장이 좌측으로 밀려 있는 소견을 보입니다. 측면사진으로는 흉골의 함몰 정도를 알 수 있습니다. 2) 흉부 컴퓨터단층촬영(Computed Tomography, CT)</x:v>
      </x:c>
      <x:c r="J1078" s="8" t="str">
        <x:v>흉곽기형(오목가슴, 함몰흉, 누두흉)</x:v>
      </x:c>
      <x:c r="K1078" s="8" t="str">
        <x:v>질병관리청 국가건강정보포털
https://health.kdca.go.kr/healthinfo/biz/health/gnrlzHealthInfo/gnrlzHealthInfo/gnrlzHealthInfoMain.do</x:v>
      </x:c>
    </x:row>
    <x:row r="1079" ht="62" customHeight="1">
      <x:c r="A1079" s="9" t="n">
        <x:v>1078</x:v>
      </x:c>
      <x:c r="B1079" s="6" t="str">
        <x:v>최종 평가</x:v>
      </x:c>
      <x:c r="C1079" s="6" t="str">
        <x:v>질병</x:v>
      </x:c>
      <x:c r="D1079" s="6" t="str">
        <x:v>진단·검사</x:v>
      </x:c>
      <x:c r="E1079" s="6" t="str">
        <x:v>답변 가능</x:v>
      </x:c>
      <x:c r="F1079" s="6" t="str">
        <x:v>쉬움</x:v>
      </x:c>
      <x:c r="G1079" s="8" t="str">
        <x:v>간의 양성종양은 어떤 검사로 확인하나요?</x:v>
      </x:c>
      <x:c r="H1079" s="8" t="str">
        <x:v>대부분의 양성종양은 악성화되지 않아서 영상 검사만 주기적으로 시행하지만, 일부 양성종양은 악성화될 수 있어서 수술 등 적극적인 치료를 하기도 합니다.</x:v>
      </x:c>
      <x:c r="I1079" s="8" t="str">
        <x:v>간의 양성종양 - 자주하는 질문 대부분의 양성종양은 악성화되지 않아서 영상 검사만 주기적으로 시행하지만, 일부 양성종양은 악성화될 수 있어서 수술 등 적극적인 치료를 하기도 합니다. 대표적으로 악성화될 수 있는 종양은 선종입니다. Q. 모든 양성종양은 수술 등 별도 치료를 하지 않아도 되나요? A. 양성종양도 선종처럼 악성화하거나 내부출혈 가능성이 있다면 수술적 치료가 필요할 수 있습니다.</x:v>
      </x:c>
      <x:c r="J1079" s="8" t="str">
        <x:v>간의 양성종양</x:v>
      </x:c>
      <x:c r="K1079" s="8" t="str">
        <x:v>질병관리청 국가건강정보포털
https://health.kdca.go.kr/healthinfo/biz/health/gnrlzHealthInfo/gnrlzHealthInfo/gnrlzHealthInfoMain.do</x:v>
      </x:c>
    </x:row>
    <x:row r="1080" ht="62" customHeight="1">
      <x:c r="A1080" s="9" t="n">
        <x:v>1079</x:v>
      </x:c>
      <x:c r="B1080" s="6" t="str">
        <x:v>최종 평가</x:v>
      </x:c>
      <x:c r="C1080" s="6" t="str">
        <x:v>질병</x:v>
      </x:c>
      <x:c r="D1080" s="6" t="str">
        <x:v>치료·관리</x:v>
      </x:c>
      <x:c r="E1080" s="6" t="str">
        <x:v>답변 가능</x:v>
      </x:c>
      <x:c r="F1080" s="6" t="str">
        <x:v>쉬움</x:v>
      </x:c>
      <x:c r="G1080" s="8" t="str">
        <x:v>급성부고환염은 어떻게 치료하거나 관리하나요?</x:v>
      </x:c>
      <x:c r="H1080" s="8" t="str">
        <x:v>부고환염 치료에 이용되는 항생제는 성교전파성인지 비성교전파성인지 구분하여 각각에 맞는 항생제를 사용합니다. 대부분은 약물 치료를 시작한 지 약 3일 경과 후에 나아지기 시작합니다.</x:v>
      </x:c>
      <x:c r="I1080" s="8" t="str">
        <x:v>급성부고환염 - 약물 치료 진통제와 해열제의 투여가 추가로 필요합니다. 부고환염 치료에 이용되는 항생제는 성교전파성인지 비성교전파성인지 구분하여 각각에 맞는 항생제를 사용합니다. 대부분은 약물 치료를 시작한 지 약 3일 경과 후에 나아지기 시작합니다.</x:v>
      </x:c>
      <x:c r="J1080" s="8" t="str">
        <x:v>급성부고환염</x:v>
      </x:c>
      <x:c r="K1080" s="8" t="str">
        <x:v>질병관리청 국가건강정보포털
https://health.kdca.go.kr/healthinfo/biz/health/gnrlzHealthInfo/gnrlzHealthInfo/gnrlzHealthInfoMain.do</x:v>
      </x:c>
    </x:row>
    <x:row r="1081" ht="62" customHeight="1">
      <x:c r="A1081" s="9" t="n">
        <x:v>1080</x:v>
      </x:c>
      <x:c r="B1081" s="6" t="str">
        <x:v>최종 평가</x:v>
      </x:c>
      <x:c r="C1081" s="6" t="str">
        <x:v>질병</x:v>
      </x:c>
      <x:c r="D1081" s="6" t="str">
        <x:v>치료·관리</x:v>
      </x:c>
      <x:c r="E1081" s="6" t="str">
        <x:v>답변 가능</x:v>
      </x:c>
      <x:c r="F1081" s="6" t="str">
        <x:v>쉬움</x:v>
      </x:c>
      <x:c r="G1081" s="8" t="str">
        <x:v>두드러기는 어떻게 치료하거나 관리하나요?</x:v>
      </x:c>
      <x:c r="H1081" s="8" t="str">
        <x:v>두드러기는 다양한 원인에 의해 발생할 수 있어 특정 원인을 찾기 힘드나, 잠재적인 원인을 찾아 제거하고, 악화나 유발 요인을 피하는 것이 치료의 시작입니다.</x:v>
      </x:c>
      <x:c r="I1081" s="8" t="str">
        <x:v>두드러기 - 치료 ● 증상이 나타났을 때만 약물을 복용하는 것이 아니라, 증상이 나타나지 않도록 규칙적으로 복용 ● 장기간의 치료가 필요한 경우 오랜 약물 복용에 따른 부작용을 알고, 가급적 덜 불편한 약을 꾸준히 복용 1. 두드러기 원인과 악화 요인 확인, 제거 및 회피 두드러기는 다양한 원인에 의해 발생할 수 있어 특정 원인을 찾기 힘드나, 잠재적인 원인을 찾아 제거하고, 악화나 유발 요인을 피하는 것이 치료의 시작입니다.</x:v>
      </x:c>
      <x:c r="J1081" s="8" t="str">
        <x:v>두드러기</x:v>
      </x:c>
      <x:c r="K1081" s="8" t="str">
        <x:v>질병관리청 국가건강정보포털
https://health.kdca.go.kr/healthinfo/biz/health/gnrlzHealthInfo/gnrlzHealthInfo/gnrlzHealthInfoMain.do</x:v>
      </x:c>
    </x:row>
    <x:row r="1082" ht="62" customHeight="1">
      <x:c r="A1082" s="9" t="n">
        <x:v>1081</x:v>
      </x:c>
      <x:c r="B1082" s="6" t="str">
        <x:v>최종 평가</x:v>
      </x:c>
      <x:c r="C1082" s="6" t="str">
        <x:v>질병</x:v>
      </x:c>
      <x:c r="D1082" s="6" t="str">
        <x:v>증상→질환 구분</x:v>
      </x:c>
      <x:c r="E1082" s="6" t="str">
        <x:v>답변 가능</x:v>
      </x:c>
      <x:c r="F1082" s="6" t="str">
        <x:v>어려움</x:v>
      </x:c>
      <x:c r="G1082" s="8" t="str">
        <x:v>약시란 빛이 들어오는 경로와 시신경이 모두 정상이지만 시력저하가 있으면서, 안경교정으로 정상시력이 되지 않거나 시력표(Snellen 시력표)에서 두 눈 시력이 두 줄 이상 차이가 나는 경우를 말합니다. 이런 증상은 어떤 질환과 관련이 있을 수 있나요?</x:v>
      </x:c>
      <x:c r="H1082" s="8" t="str">
        <x:v>굴절이상(근시, 원시, 난시)</x:v>
      </x:c>
      <x:c r="I1082" s="8" t="str">
        <x:v>굴절이상(근시, 원시, 난시) - 증상 약시란 빛이 들어오는 경로와 시신경이 모두 정상이지만 시력저하가 있으면서, 안경교정으로 정상시력이 되지 않거나 시력표(Snellen 시력표)에서 두 눈 시력이 두 줄 이상 차이가 나는 경우를 말합니다.</x:v>
      </x:c>
      <x:c r="J1082" s="8" t="str">
        <x:v>굴절이상(근시, 원시, 난시)</x:v>
      </x:c>
      <x:c r="K1082" s="8" t="str">
        <x:v>질병관리청 국가건강정보포털
https://health.kdca.go.kr/healthinfo/biz/health/gnrlzHealthInfo/gnrlzHealthInfo/gnrlzHealthInfoMain.do</x:v>
      </x:c>
    </x:row>
    <x:row r="1083" ht="62" customHeight="1">
      <x:c r="A1083" s="9" t="n">
        <x:v>1082</x:v>
      </x:c>
      <x:c r="B1083" s="6" t="str">
        <x:v>최종 평가</x:v>
      </x:c>
      <x:c r="C1083" s="6" t="str">
        <x:v>질병</x:v>
      </x:c>
      <x:c r="D1083" s="6" t="str">
        <x:v>진단·검사</x:v>
      </x:c>
      <x:c r="E1083" s="6" t="str">
        <x:v>답변 가능</x:v>
      </x:c>
      <x:c r="F1083" s="6" t="str">
        <x:v>쉬움</x:v>
      </x:c>
      <x:c r="G1083" s="8" t="str">
        <x:v>요로감염은 어떤 검사로 확인하나요?</x:v>
      </x:c>
      <x:c r="H1083" s="8" t="str">
        <x:v>소변에서 농뇨(백혈구)나 세균뇨가 있는지 검사하면 요로감염 진단에 도움이 됩니다.</x:v>
      </x:c>
      <x:c r="I1083" s="8" t="str">
        <x:v>요로감염 - 진단 및 검사 소변에서 농뇨(백혈구)나 세균뇨가 있는지 검사하면 요로감염 진단에 도움이 됩니다. 진단용 스틱(dipstick test)을 이용한 소변 검사는 저렴하고 빠르며 간편합니다. 보다 정확한 진단을 위해 현미경 검사로 소변 속 세균 수를 확인할 수도 있습니다. 다만, 요검사에서 농뇨나 세균뇨가 확인되더라도 반드시 항생제 치료가 필요한 요로감염인 것은 아닙니다. 3. 요배양 검사</x:v>
      </x:c>
      <x:c r="J1083" s="8" t="str">
        <x:v>요로감염</x:v>
      </x:c>
      <x:c r="K1083" s="8" t="str">
        <x:v>질병관리청 국가건강정보포털
https://health.kdca.go.kr/healthinfo/biz/health/gnrlzHealthInfo/gnrlzHealthInfo/gnrlzHealthInfoMain.do</x:v>
      </x:c>
    </x:row>
    <x:row r="1084" ht="62" customHeight="1">
      <x:c r="A1084" s="9" t="n">
        <x:v>1083</x:v>
      </x:c>
      <x:c r="B1084" s="6" t="str">
        <x:v>최종 평가</x:v>
      </x:c>
      <x:c r="C1084" s="6" t="str">
        <x:v>질병</x:v>
      </x:c>
      <x:c r="D1084" s="6" t="str">
        <x:v>증상→질환 구분</x:v>
      </x:c>
      <x:c r="E1084" s="6" t="str">
        <x:v>답변 가능</x:v>
      </x:c>
      <x:c r="F1084" s="6" t="str">
        <x:v>어려움</x:v>
      </x:c>
      <x:c r="G1084" s="8" t="str">
        <x:v>신경학적 이상, 심부전 증상(흉통, 호흡곤란, 운동시 숨참, 야간 발작성 호흡곤란)과 두근거림 등 고혈압에 의한 전신 증상도 나타날 수 있습니다. 이런 증상은 어떤 질환과 관련이 있을 수 있나요?</x:v>
      </x:c>
      <x:c r="H1084" s="8" t="str">
        <x:v>고혈압과 눈(고혈압망막병증)</x:v>
      </x:c>
      <x:c r="I1084" s="8" t="str">
        <x:v>고혈압과 눈(고혈압망막병증) - 증상 / 진단 및 검사 두통, 안구통증, 시력저하를 호소할 수 있습니다. 신경학적 이상, 심부전 증상(흉통, 호흡곤란, 운동시 숨참, 야간 발작성 호흡곤란)과 두근거림 등 고혈압에 의한 전신 증상도 나타날 수 있습니다. 특징적인 안저 소견을 관찰해 진단합니다. 안저 검사는 모든 환자에서 동공확장제를 넣은 후 망막을 관찰하는 산동 검사가 원칙입니다. 렌즈를 이용한 세극등 현미경 안저 검사 또는 도상검안경검사가 있습니다.</x:v>
      </x:c>
      <x:c r="J1084" s="8" t="str">
        <x:v>고혈압과 눈(고혈압망막병증)</x:v>
      </x:c>
      <x:c r="K1084" s="8" t="str">
        <x:v>질병관리청 국가건강정보포털
https://health.kdca.go.kr/healthinfo/biz/health/gnrlzHealthInfo/gnrlzHealthInfo/gnrlzHealthInfoMain.do</x:v>
      </x:c>
    </x:row>
    <x:row r="1085" ht="62" customHeight="1">
      <x:c r="A1085" s="9" t="n">
        <x:v>1084</x:v>
      </x:c>
      <x:c r="B1085" s="6" t="str">
        <x:v>최종 평가</x:v>
      </x:c>
      <x:c r="C1085" s="6" t="str">
        <x:v>질병</x:v>
      </x:c>
      <x:c r="D1085" s="6" t="str">
        <x:v>용어·정의</x:v>
      </x:c>
      <x:c r="E1085" s="6" t="str">
        <x:v>답변 가능</x:v>
      </x:c>
      <x:c r="F1085" s="6" t="str">
        <x:v>쉬움</x:v>
      </x:c>
      <x:c r="G1085" s="8" t="str">
        <x:v>알레르기결막염이 뭔가요?</x:v>
      </x:c>
      <x:c r="H1085" s="8" t="str">
        <x:v>'이것만은 꼭 기억하세요' • 알레르기결막염은 눈의 결막이 꽃가루, 먼지, 진드기, 렌즈 등 외부 자극물에 의해 면역 반응을 과도하게 일으켜 생기는 염증질환입니다.</x:v>
      </x:c>
      <x:c r="I1085" s="8" t="str">
        <x:v>알레르기결막염 - 요약문 '이것만은 꼭 기억하세요' • 알레르기결막염은 눈의 결막이 꽃가루, 먼지, 진드기, 렌즈 등 외부 자극물에 의해 면역 반응을 과도하게 일으켜 생기는 염증질환입니다. • 대표적인 증상으로는 양쪽 눈의 가려움, 충혈, 눈물, 끈끈한 분비물, 이물감 등이 있으며, 특히 가려움이 가장 특징적입니다.</x:v>
      </x:c>
      <x:c r="J1085" s="8" t="str">
        <x:v>알레르기결막염</x:v>
      </x:c>
      <x:c r="K1085" s="8" t="str">
        <x:v>질병관리청 국가건강정보포털
https://health.kdca.go.kr/healthinfo/biz/health/gnrlzHealthInfo/gnrlzHealthInfo/gnrlzHealthInfoMain.do</x:v>
      </x:c>
    </x:row>
    <x:row r="1086" ht="62" customHeight="1">
      <x:c r="A1086" s="9" t="n">
        <x:v>1085</x:v>
      </x:c>
      <x:c r="B1086" s="6" t="str">
        <x:v>최종 평가</x:v>
      </x:c>
      <x:c r="C1086" s="6" t="str">
        <x:v>질병</x:v>
      </x:c>
      <x:c r="D1086" s="6" t="str">
        <x:v>기준·수치</x:v>
      </x:c>
      <x:c r="E1086" s="6" t="str">
        <x:v>답변 가능</x:v>
      </x:c>
      <x:c r="F1086" s="6" t="str">
        <x:v>쉬움</x:v>
      </x:c>
      <x:c r="G1086" s="8" t="str">
        <x:v>노인 어지럼증과 관련해 알아두어야 할 기준이나 수치는 무엇인가요?</x:v>
      </x:c>
      <x:c r="H1086" s="8" t="str">
        <x:v>어지럼증은 전체 성인의 15~20%에서 보고되는 흔한 증상으로, 나이가 들면서 점차 증가하여 65세 이상 노인의 약 30%가 어지럼증을 경험하며, 85세 이상에서는 절반에 이를 정도로 노년기에 흔한 증상 중 하나입니다.</x:v>
      </x:c>
      <x:c r="I1086" s="8" t="str">
        <x:v>노인 어지럼증 - 개요 어지럼증은 전체 성인의 15~20%에서 보고되는 흔한 증상으로, 나이가 들면서 점차 증가하여 65세 이상 노인의 약 30%가 어지럼증을 경험하며, 85세 이상에서는 절반에 이를 정도로 노년기에 흔한 증상 중 하나입니다. 그러나 어지럼증의 양상이나 원인 질환이 매우 다양하여 진단이나 치료가 어려운 경우가 많습니다. 평상시 우리 몸의 균형은 여러 기관의 협동에 의해 유지됩니다.</x:v>
      </x:c>
      <x:c r="J1086" s="8" t="str">
        <x:v>노인 어지럼증</x:v>
      </x:c>
      <x:c r="K1086" s="8" t="str">
        <x:v>질병관리청 국가건강정보포털
https://health.kdca.go.kr/healthinfo/biz/health/gnrlzHealthInfo/gnrlzHealthInfo/gnrlzHealthInfoMain.do</x:v>
      </x:c>
    </x:row>
    <x:row r="1087" ht="62" customHeight="1">
      <x:c r="A1087" s="9" t="n">
        <x:v>1086</x:v>
      </x:c>
      <x:c r="B1087" s="6" t="str">
        <x:v>최종 평가</x:v>
      </x:c>
      <x:c r="C1087" s="6" t="str">
        <x:v>질병</x:v>
      </x:c>
      <x:c r="D1087" s="6" t="str">
        <x:v>경과·예후</x:v>
      </x:c>
      <x:c r="E1087" s="6" t="str">
        <x:v>답변 가능</x:v>
      </x:c>
      <x:c r="F1087" s="6" t="str">
        <x:v>쉬움</x:v>
      </x:c>
      <x:c r="G1087" s="8" t="str">
        <x:v>심장 판막 질환의 경과나 예후는 어떤가요?</x:v>
      </x:c>
      <x:c r="H1087" s="8" t="str">
        <x:v>특히 대동맥판 협착은 증상이 나타나기 전과 후의 예후가 크게 달라지므로, 정기적인 추적 관찰이 중요합니다.</x:v>
      </x:c>
      <x:c r="I1087" s="8" t="str">
        <x:v>심장 판막 질환 - 경과 및 예후 특히 대동맥판 협착은 증상이 나타나기 전과 후의 예후가 크게 달라지므로, 정기적인 추적 관찰이 중요합니다.급성 판막 질환: 심장 내막에 세균으로 인한 감염(감염성 심내막염), 대동맥 벽이 찢어짐(대동맥 박리), 심근경색으로 인한 심장 안의 작은 근육이 찢어짐(유두근 파열) 등으로 인해 갑자기 판막 기능이 떨어질 수 있습니다.이 경우 갑자기 폐에 물이 차면서 숨쉬기 힘들거나 혈압이 떨어지면서, 응급 수술이 필요한 경우가 많습니다.</x:v>
      </x:c>
      <x:c r="J1087" s="8" t="str">
        <x:v>심장 판막 질환</x:v>
      </x:c>
      <x:c r="K1087" s="8" t="str">
        <x:v>질병관리청 국가건강정보포털
https://health.kdca.go.kr/healthinfo/biz/health/gnrlzHealthInfo/gnrlzHealthInfo/gnrlzHealthInfoMain.do</x:v>
      </x:c>
    </x:row>
    <x:row r="1088" ht="62" customHeight="1">
      <x:c r="A1088" s="9" t="n">
        <x:v>1087</x:v>
      </x:c>
      <x:c r="B1088" s="6" t="str">
        <x:v>최종 평가</x:v>
      </x:c>
      <x:c r="C1088" s="6" t="str">
        <x:v>질병</x:v>
      </x:c>
      <x:c r="D1088" s="6" t="str">
        <x:v>예방·생활수칙</x:v>
      </x:c>
      <x:c r="E1088" s="6" t="str">
        <x:v>답변 가능</x:v>
      </x:c>
      <x:c r="F1088" s="6" t="str">
        <x:v>쉬움</x:v>
      </x:c>
      <x:c r="G1088" s="8" t="str">
        <x:v>부정맥을 예방하려면 어떻게 해야 하나요?</x:v>
      </x:c>
      <x:c r="H1088" s="8" t="str">
        <x:v>선천적으로 타고 난 부정맥은 예방이 불가능하지만 후천적으로 생기는 부정맥은 원인이 되는 심장병을 예방하거나 치료함으로써 예방이 가능합니다. 치명적인 부정맥은 대부분 심근경색증에 이차적으로 발생하기 때문에 동맥경화를 예방하는 것이 가장 중요합니다. 1. 부정맥과 음주 알코올은 대체로 부정맥을 악화시키므로 절제해야 합니다. 고생스럽게 치료를 받아 부정맥을 조절해 놓았다가 한번 폭주로 인해 재발하는 경우가 종종 있습니다.</x:v>
      </x:c>
      <x:c r="I1088" s="8" t="str">
        <x:v>부정맥 - 위험요인 및 예방 / 생활습관 관리 선천적으로 타고 난 부정맥은 예방이 불가능하지만 후천적으로 생기는 부정맥은 원인이 되는 심장병을 예방하거나 치료함으로써 예방이 가능합니다. 치명적인 부정맥은 대부분 심근경색증에 이차적으로 발생하기 때문에 동맥경화를 예방하는 것이 가장 중요합니다. 1. 부정맥과 음주 알코올은 대체로 부정맥을 악화시키므로 절제해야 합니다. 고생스럽게 치료를 받아 부정맥을 조절해 놓았다가 한번 폭주로 인해 재발하는 경우가 종종 있습니다.</x:v>
      </x:c>
      <x:c r="J1088" s="8" t="str">
        <x:v>부정맥</x:v>
      </x:c>
      <x:c r="K1088" s="8" t="str">
        <x:v>질병관리청 국가건강정보포털
https://health.kdca.go.kr/healthinfo/biz/health/gnrlzHealthInfo/gnrlzHealthInfo/gnrlzHealthInfoMain.do</x:v>
      </x:c>
    </x:row>
    <x:row r="1089" ht="62" customHeight="1">
      <x:c r="A1089" s="9" t="n">
        <x:v>1088</x:v>
      </x:c>
      <x:c r="B1089" s="6" t="str">
        <x:v>최종 평가</x:v>
      </x:c>
      <x:c r="C1089" s="6" t="str">
        <x:v>질병</x:v>
      </x:c>
      <x:c r="D1089" s="6" t="str">
        <x:v>용어·정의</x:v>
      </x:c>
      <x:c r="E1089" s="6" t="str">
        <x:v>답변 가능</x:v>
      </x:c>
      <x:c r="F1089" s="6" t="str">
        <x:v>쉬움</x:v>
      </x:c>
      <x:c r="G1089" s="8" t="str">
        <x:v>각막반흔이 뭔가요?</x:v>
      </x:c>
      <x:c r="H1089" s="8" t="str">
        <x:v>이와 달리, 각막반흔은 각막이 손상을 받고 비정상적인 조직으로 대체되어 영구적으로 각막의 투명성을 잃는 경우로 정의합니다.</x:v>
      </x:c>
      <x:c r="I1089" s="8" t="str">
        <x:v>각막혼탁 및 반흔 - 정의 / 원인 각막혼탁은 다양한 원인에 의해 각막이 불투명해지는 것입니다. 심하지 않은 경우, 급성기라면 투명하게 회복될 수도 있습니다. 이와 달리, 각막반흔은 각막이 손상을 받고 비정상적인 조직으로 대체되어 영구적으로 각막의 투명성을 잃는 경우로 정의합니다. 다양한 원인에 의해 각막의 반흔 및 혼탁이 발생할 수 있습니다. 크게 감염, 외상, 각막 변성 및 그 외의 경우로 나눕니다. 1. 감염에 의한 각막혼탁</x:v>
      </x:c>
      <x:c r="J1089" s="8" t="str">
        <x:v>각막혼탁 및 반흔</x:v>
      </x:c>
      <x:c r="K1089" s="8" t="str">
        <x:v>질병관리청 국가건강정보포털
https://health.kdca.go.kr/healthinfo/biz/health/gnrlzHealthInfo/gnrlzHealthInfo/gnrlzHealthInfoMain.do</x:v>
      </x:c>
    </x:row>
    <x:row r="1090" ht="62" customHeight="1">
      <x:c r="A1090" s="9" t="n">
        <x:v>1089</x:v>
      </x:c>
      <x:c r="B1090" s="6" t="str">
        <x:v>최종 평가</x:v>
      </x:c>
      <x:c r="C1090" s="6" t="str">
        <x:v>질병</x:v>
      </x:c>
      <x:c r="D1090" s="6" t="str">
        <x:v>예방·생활수칙</x:v>
      </x:c>
      <x:c r="E1090" s="6" t="str">
        <x:v>답변 가능</x:v>
      </x:c>
      <x:c r="F1090" s="6" t="str">
        <x:v>쉬움</x:v>
      </x:c>
      <x:c r="G1090" s="8" t="str">
        <x:v>크루프(후두염)을 예방하려면 어떻게 해야 하나요?</x:v>
      </x:c>
      <x:c r="H1090" s="8" t="str">
        <x:v>크루프는 일반적인 감기처럼 바이러스 감염에 의해 발생하는 경우가 대부분이므로 그 자체를 예방하기는 어렵습니다. 다른 호흡기 질환과 마찬가지로 면역력이 충분하지 않은 어린이가 환절기와 겨울철에 사람이 많은 곳에 노출되면 크루프에 걸릴 위험도 커집니다. 세균 감염은 b형 헤모필루스 인플루엔자(Haemophilus influenzae b, Hib)에 대한 예방접종으로 이 세균에 의한 급성 후두개염을 효과적으로 예방할 수 있습니다. 1.</x:v>
      </x:c>
      <x:c r="I1090" s="8" t="str">
        <x:v>크루프(후두염) - 위험요인 및 예방 / 참고문헌 크루프는 일반적인 감기처럼 바이러스 감염에 의해 발생하는 경우가 대부분이므로 그 자체를 예방하기는 어렵습니다. 다른 호흡기 질환과 마찬가지로 면역력이 충분하지 않은 어린이가 환절기와 겨울철에 사람이 많은 곳에 노출되면 크루프에 걸릴 위험도 커집니다. 세균 감염은 b형 헤모필루스 인플루엔자(Haemophilus influenzae b, Hib)에 대한 예방접종으로 이 세균에 의한 급성 후두개염을 효과적으로 예방할 수 있습니다. 1.</x:v>
      </x:c>
      <x:c r="J1090" s="8" t="str">
        <x:v>크루프(후두염)</x:v>
      </x:c>
      <x:c r="K1090" s="8" t="str">
        <x:v>질병관리청 국가건강정보포털
https://health.kdca.go.kr/healthinfo/biz/health/gnrlzHealthInfo/gnrlzHealthInfo/gnrlzHealthInfoMain.do</x:v>
      </x:c>
    </x:row>
    <x:row r="1091" ht="62" customHeight="1">
      <x:c r="A1091" s="9" t="n">
        <x:v>1090</x:v>
      </x:c>
      <x:c r="B1091" s="6" t="str">
        <x:v>최종 평가</x:v>
      </x:c>
      <x:c r="C1091" s="6" t="str">
        <x:v>질병</x:v>
      </x:c>
      <x:c r="D1091" s="6" t="str">
        <x:v>예방·생활수칙</x:v>
      </x:c>
      <x:c r="E1091" s="6" t="str">
        <x:v>답변 가능</x:v>
      </x:c>
      <x:c r="F1091" s="6" t="str">
        <x:v>쉬움</x:v>
      </x:c>
      <x:c r="G1091" s="8" t="str">
        <x:v>당뇨병 합병증(만성 합병증)을 예방하려면 어떻게 해야 하나요?</x:v>
      </x:c>
      <x:c r="H1091" s="8" t="str">
        <x:v>당뇨병 환자의 발에 상처나 궤양이 생긴 경우 병원을 방문해야 하며, 환자의 상태에 따라 여러 분야의 전문가들이 함께 관리하게 됩니다. Q. 당뇨병 합병증을 예방할 수는 없나요? A. 혈당이 높은 상태에서 치료를 받지 않아 고혈당인 상태가 지속되면 여러 가지 급만성 당뇨병 합병증이 발생합니다.</x:v>
      </x:c>
      <x:c r="I1091" s="8" t="str">
        <x:v>당뇨병 합병증(만성 합병증) - 위험요인 및 예방 / 자주하는 질문 걷는 속도가 줄고, 다리가 쉽게 피로해지며, 걸을 때 절뚝거리거나 통증을 호소한다면 말초혈관질환이 있을 수 있으므로 검사를 받아야 합니다. 당뇨병 환자의 발에 상처나 궤양이 생긴 경우 병원을 방문해야 하며, 환자의 상태에 따라 여러 분야의 전문가들이 함께 관리하게 됩니다. Q. 당뇨병 합병증을 예방할 수는 없나요? A. 혈당이 높은 상태에서 치료를 받지 않아 고혈당인 상태가 지속되면 여러 가지 급만성 당뇨병 합병증이 발생합니다.</x:v>
      </x:c>
      <x:c r="J1091" s="8" t="str">
        <x:v>당뇨병 합병증(만성 합병증)</x:v>
      </x:c>
      <x:c r="K1091" s="8" t="str">
        <x:v>질병관리청 국가건강정보포털
https://health.kdca.go.kr/healthinfo/biz/health/gnrlzHealthInfo/gnrlzHealthInfo/gnrlzHealthInfoMain.do</x:v>
      </x:c>
    </x:row>
    <x:row r="1092" ht="62" customHeight="1">
      <x:c r="A1092" s="9" t="n">
        <x:v>1091</x:v>
      </x:c>
      <x:c r="B1092" s="6" t="str">
        <x:v>최종 평가</x:v>
      </x:c>
      <x:c r="C1092" s="6" t="str">
        <x:v>질병</x:v>
      </x:c>
      <x:c r="D1092" s="6" t="str">
        <x:v>진단·검사</x:v>
      </x:c>
      <x:c r="E1092" s="6" t="str">
        <x:v>답변 가능</x:v>
      </x:c>
      <x:c r="F1092" s="6" t="str">
        <x:v>쉬움</x:v>
      </x:c>
      <x:c r="G1092" s="8" t="str">
        <x:v>어지럼은 어떤 검사로 확인하나요?</x:v>
      </x:c>
      <x:c r="H1092" s="8" t="str">
        <x:v>이 검사는 전정기관과 어지럼 증상 사이의 연관성을 파악하는 데 중요한 역할을 합니다.</x:v>
      </x:c>
      <x:c r="I1092" s="8" t="str">
        <x:v>어지럼 - 진단 및 검사 안진기라는 장치를 머리에 착용한 후 환자의 안구 움직임을 관찰하고, 전정기관의 자극에 따른 반응을 평가합니다. 이 검사는 전정기관과 어지럼 증상 사이의 연관성을 파악하는 데 중요한 역할을 합니다. 2. 두부충동검사 반고리관의 기능을 평가하는 검사로, 환자의 머리를 빠르게 움직이면서 안구의 움직임을 관찰합니다. 환자가 시선을 고정하지 못할 경우 말초성 현훈일 가능성이 높습니다. 특히 전정신경염과 같은 질환의 진단에 유용합니다.</x:v>
      </x:c>
      <x:c r="J1092" s="8" t="str">
        <x:v>어지럼</x:v>
      </x:c>
      <x:c r="K1092" s="8" t="str">
        <x:v>질병관리청 국가건강정보포털
https://health.kdca.go.kr/healthinfo/biz/health/gnrlzHealthInfo/gnrlzHealthInfo/gnrlzHealthInfoMain.do</x:v>
      </x:c>
    </x:row>
    <x:row r="1093" ht="62" customHeight="1">
      <x:c r="A1093" s="9" t="n">
        <x:v>1092</x:v>
      </x:c>
      <x:c r="B1093" s="6" t="str">
        <x:v>최종 평가</x:v>
      </x:c>
      <x:c r="C1093" s="6" t="str">
        <x:v>질병</x:v>
      </x:c>
      <x:c r="D1093" s="6" t="str">
        <x:v>치료·관리</x:v>
      </x:c>
      <x:c r="E1093" s="6" t="str">
        <x:v>답변 가능</x:v>
      </x:c>
      <x:c r="F1093" s="6" t="str">
        <x:v>쉬움</x:v>
      </x:c>
      <x:c r="G1093" s="8" t="str">
        <x:v>연조직염과 종기(종기)는 어떻게 치료하거나 관리하나요?</x:v>
      </x:c>
      <x:c r="H1093" s="8" t="str">
        <x:v>그러나 종기가 곪아서 물렁물렁하기 전에 미리 짜내려 하면 오히려 악화될 수 있고, 또한 항생제를 너무 조기에 사용하면 오히려 화농이 지연되어 치료기간이 길어질 수 있습니다.</x:v>
      </x:c>
      <x:c r="I1093" s="8" t="str">
        <x:v>연조직염과 종기(종기) - 치료 그러나 종기가 곪아서 물렁물렁하기 전에 미리 짜내려 하면 오히려 악화될 수 있고, 또한 항생제를 너무 조기에 사용하면 오히려 화농이 지연되어 치료기간이 길어질 수 있습니다.</x:v>
      </x:c>
      <x:c r="J1093" s="8" t="str">
        <x:v>연조직염과 종기(종기)</x:v>
      </x:c>
      <x:c r="K1093" s="8" t="str">
        <x:v>질병관리청 국가건강정보포털
https://health.kdca.go.kr/healthinfo/biz/health/gnrlzHealthInfo/gnrlzHealthInfo/gnrlzHealthInfoMain.do</x:v>
      </x:c>
    </x:row>
    <x:row r="1094" ht="62" customHeight="1">
      <x:c r="A1094" s="9" t="n">
        <x:v>1093</x:v>
      </x:c>
      <x:c r="B1094" s="6" t="str">
        <x:v>최종 평가</x:v>
      </x:c>
      <x:c r="C1094" s="6" t="str">
        <x:v>질병</x:v>
      </x:c>
      <x:c r="D1094" s="6" t="str">
        <x:v>용어·정의</x:v>
      </x:c>
      <x:c r="E1094" s="6" t="str">
        <x:v>답변 가능</x:v>
      </x:c>
      <x:c r="F1094" s="6" t="str">
        <x:v>쉬움</x:v>
      </x:c>
      <x:c r="G1094" s="8" t="str">
        <x:v>편타손상이 뭔가요?</x:v>
      </x:c>
      <x:c r="H1094" s="8" t="str">
        <x:v>편타손상은 교통사고에서 가장 흔하게 볼 수 있는 경추(목)의 손상으로 충격에 의해 목이 갑작스럽게 앞뒤로 크게 꺾이며 발생하는 손상을 의미합니다.</x:v>
      </x:c>
      <x:c r="I1094" s="8" t="str">
        <x:v>외상성 척추손상 - 종류 편타손상은 교통사고에서 가장 흔하게 볼 수 있는 경추(목)의 손상으로 충격에 의해 목이 갑작스럽게 앞뒤로 크게 꺾이며 발생하는 손상을 의미합니다. 신생아나 어린 아이를 붙잡고 몸을 흔드는 아동학대에서도 비슷한 기전으로 편타손상이 발생할 수 있습니다. 충격의 정도에 따라서 추간판탈출, 골절, 탈구까지도 발생할 수 있지만, 일반적으로는 이들 손상이 동반되지 않은 염좌와 긴장을 편타손상이라고 합니다.</x:v>
      </x:c>
      <x:c r="J1094" s="8" t="str">
        <x:v>외상성 척추손상</x:v>
      </x:c>
      <x:c r="K1094" s="8" t="str">
        <x:v>질병관리청 국가건강정보포털
https://health.kdca.go.kr/healthinfo/biz/health/gnrlzHealthInfo/gnrlzHealthInfo/gnrlzHealthInfoMain.do</x:v>
      </x:c>
    </x:row>
    <x:row r="1095" ht="62" customHeight="1">
      <x:c r="A1095" s="9" t="n">
        <x:v>1094</x:v>
      </x:c>
      <x:c r="B1095" s="6" t="str">
        <x:v>최종 평가</x:v>
      </x:c>
      <x:c r="C1095" s="6" t="str">
        <x:v>질병</x:v>
      </x:c>
      <x:c r="D1095" s="6" t="str">
        <x:v>치료·관리</x:v>
      </x:c>
      <x:c r="E1095" s="6" t="str">
        <x:v>답변 가능</x:v>
      </x:c>
      <x:c r="F1095" s="6" t="str">
        <x:v>쉬움</x:v>
      </x:c>
      <x:c r="G1095" s="8" t="str">
        <x:v>정계정맥류는 어떻게 치료하거나 관리하나요?</x:v>
      </x:c>
      <x:c r="H1095" s="8" t="str">
        <x:v>불임 환자에서 정계정맥류 수술 이후 임신율은 수술 방법과 정액 지표가 좋아진 정도에 따라 차이가 나타나는데, 1~2년째 자연 임신율이 약 16%에서 55%로 보고되고 있습니다. 미세술기를 이용한 수술의 경우 약 70~80%에서 정액 지표가 좋아지며, 40~45% 정도에서 자연 임신이 가능했음을 보고하였습니다. 고환통이 있는 정계정맥류 환자에서는 수술 후 약 80%에서 통증이 완화되었습니다.</x:v>
      </x:c>
      <x:c r="I1095" s="8" t="str">
        <x:v>정계정맥류 - 치료 불임 환자에서 정계정맥류 수술 이후 임신율은 수술 방법과 정액 지표가 좋아진 정도에 따라 차이가 나타나는데, 1~2년째 자연 임신율이 약 16%에서 55%로 보고되고 있습니다. 미세술기를 이용한 수술의 경우 약 70~80%에서 정액 지표가 좋아지며, 40~45% 정도에서 자연 임신이 가능했음을 보고하였습니다. 고환통이 있는 정계정맥류 환자에서는 수술 후 약 80%에서 통증이 완화되었습니다.</x:v>
      </x:c>
      <x:c r="J1095" s="8" t="str">
        <x:v>정계정맥류</x:v>
      </x:c>
      <x:c r="K1095" s="8" t="str">
        <x:v>질병관리청 국가건강정보포털
https://health.kdca.go.kr/healthinfo/biz/health/gnrlzHealthInfo/gnrlzHealthInfo/gnrlzHealthInfoMain.do</x:v>
      </x:c>
    </x:row>
    <x:row r="1096" ht="62" customHeight="1">
      <x:c r="A1096" s="9" t="n">
        <x:v>1095</x:v>
      </x:c>
      <x:c r="B1096" s="6" t="str">
        <x:v>최종 평가</x:v>
      </x:c>
      <x:c r="C1096" s="6" t="str">
        <x:v>질병</x:v>
      </x:c>
      <x:c r="D1096" s="6" t="str">
        <x:v>예방·생활수칙</x:v>
      </x:c>
      <x:c r="E1096" s="6" t="str">
        <x:v>답변 가능</x:v>
      </x:c>
      <x:c r="F1096" s="6" t="str">
        <x:v>쉬움</x:v>
      </x:c>
      <x:c r="G1096" s="8" t="str">
        <x:v>시린이(치아지각과민)을 예방하려면 어떻게 해야 하나요?</x:v>
      </x:c>
      <x:c r="H1096" s="8" t="str">
        <x:v>다른 치과 질환과 마찬가지로 지각과민증을 예방하는 가장 좋은 방법은 구강 위생 관리입니다. 적절한 양치질을 통해 충치나 치주염뿐 아니라 지각과민의 원인도 제거할 수 있습니다. 올바른 양치 습관이 중요합니다. 두 번째는 나쁜 습관을 치료하는 것입니다. 과도한 교합력으로 인해 치경부 패임과 치아 균열이 생길 수 있으므로 이 악물기, 이 갈이 등의 습관을 교정하는 것이 좋습니다. 세 번째는 주기적인 치과 방문으로 구강 건강을 유지하는 것입니다.</x:v>
      </x:c>
      <x:c r="I1096" s="8" t="str">
        <x:v>시린이(치아지각과민) - 예방 다른 치과 질환과 마찬가지로 지각과민증을 예방하는 가장 좋은 방법은 구강 위생 관리입니다. 적절한 양치질을 통해 충치나 치주염뿐 아니라 지각과민의 원인도 제거할 수 있습니다. 올바른 양치 습관이 중요합니다. 두 번째는 나쁜 습관을 치료하는 것입니다. 과도한 교합력으로 인해 치경부 패임과 치아 균열이 생길 수 있으므로 이 악물기, 이 갈이 등의 습관을 교정하는 것이 좋습니다. 세 번째는 주기적인 치과 방문으로 구강 건강을 유지하는 것입니다.</x:v>
      </x:c>
      <x:c r="J1096" s="8" t="str">
        <x:v>시린이(치아지각과민)</x:v>
      </x:c>
      <x:c r="K1096" s="8" t="str">
        <x:v>질병관리청 국가건강정보포털
https://health.kdca.go.kr/healthinfo/biz/health/gnrlzHealthInfo/gnrlzHealthInfo/gnrlzHealthInfoMain.do</x:v>
      </x:c>
    </x:row>
    <x:row r="1097" ht="62" customHeight="1">
      <x:c r="A1097" s="9" t="n">
        <x:v>1096</x:v>
      </x:c>
      <x:c r="B1097" s="6" t="str">
        <x:v>최종 평가</x:v>
      </x:c>
      <x:c r="C1097" s="6" t="str">
        <x:v>질병</x:v>
      </x:c>
      <x:c r="D1097" s="6" t="str">
        <x:v>치료·관리</x:v>
      </x:c>
      <x:c r="E1097" s="6" t="str">
        <x:v>답변 가능</x:v>
      </x:c>
      <x:c r="F1097" s="6" t="str">
        <x:v>쉬움</x:v>
      </x:c>
      <x:c r="G1097" s="8" t="str">
        <x:v>염좌는 어떻게 치료하거나 관리하나요?</x:v>
      </x:c>
      <x:c r="H1097" s="8" t="str">
        <x:v>가장 흔한 발목 관절 염좌에서는 일시적인 고정과 조기 운동으로 치료하여 좋아진 경우도 많이 보고되었지만, 무릎 관절 십자인대의 손상의 경우는 인대 재건술이 더 권장됩니다. 일반적으로 젊은 환자, 운동 선수 등에서 인대의 완전 손상이 발생한 경우는 수술적인 복원 혹은 재건술을 더 권장합니다. 4. 재활치료 염좌를 치료할 때는 일정 기간 동안 고정 치료를 하게 되는데, 고정 이후에 관절이 굳어지거나(구축) 해당 관절을 움직이는 근육이 비활성화됩니다.</x:v>
      </x:c>
      <x:c r="I1097" s="8" t="str">
        <x:v>염좌 - 치료 가장 흔한 발목 관절 염좌에서는 일시적인 고정과 조기 운동으로 치료하여 좋아진 경우도 많이 보고되었지만, 무릎 관절 십자인대의 손상의 경우는 인대 재건술이 더 권장됩니다. 일반적으로 젊은 환자, 운동 선수 등에서 인대의 완전 손상이 발생한 경우는 수술적인 복원 혹은 재건술을 더 권장합니다. 4. 재활치료 염좌를 치료할 때는 일정 기간 동안 고정 치료를 하게 되는데, 고정 이후에 관절이 굳어지거나(구축) 해당 관절을 움직이는 근육이 비활성화됩니다.</x:v>
      </x:c>
      <x:c r="J1097" s="8" t="str">
        <x:v>염좌</x:v>
      </x:c>
      <x:c r="K1097" s="8" t="str">
        <x:v>질병관리청 국가건강정보포털
https://health.kdca.go.kr/healthinfo/biz/health/gnrlzHealthInfo/gnrlzHealthInfo/gnrlzHealthInfoMain.do</x:v>
      </x:c>
    </x:row>
    <x:row r="1098" ht="62" customHeight="1">
      <x:c r="A1098" s="9" t="n">
        <x:v>1097</x:v>
      </x:c>
      <x:c r="B1098" s="6" t="str">
        <x:v>최종 평가</x:v>
      </x:c>
      <x:c r="C1098" s="6" t="str">
        <x:v>질병</x:v>
      </x:c>
      <x:c r="D1098" s="6" t="str">
        <x:v>예방·생활수칙</x:v>
      </x:c>
      <x:c r="E1098" s="6" t="str">
        <x:v>답변 가능</x:v>
      </x:c>
      <x:c r="F1098" s="6" t="str">
        <x:v>쉬움</x:v>
      </x:c>
      <x:c r="G1098" s="8" t="str">
        <x:v>협심증을 예방하려면 어떻게 해야 하나요?</x:v>
      </x:c>
      <x:c r="H1098" s="8" t="str">
        <x:v>본인의 몸 상태 및 체력에 맞는 운동을 적절한 강도로 꾸준히 하는 것이 중요합니다. 4. 적정 체중을 유지합니다. 비만인 경우 체중을 줄여야 합니다. 5. 절대 금연해야 합니다. 6. 음주를 절제하며, 가능하면 금주하는 게 좋습니다. 7. 장기간에 걸친 과도한 스트레스는 피하는 것이 좋습니다. 8. 이전과 다른 증상이 발생하거나 증상이 심해진 경우 반드시 의사와 상의해야 합니다. 지속적인 추적 관찰 및 여러 위험 인자의 조절이 중요합니다.</x:v>
      </x:c>
      <x:c r="I1098" s="8" t="str">
        <x:v>협심증 - 자가 관리 / 정기 진찰 본인의 몸 상태 및 체력에 맞는 운동을 적절한 강도로 꾸준히 하는 것이 중요합니다. 4. 적정 체중을 유지합니다. 비만인 경우 체중을 줄여야 합니다. 5. 절대 금연해야 합니다. 6. 음주를 절제하며, 가능하면 금주하는 게 좋습니다. 7. 장기간에 걸친 과도한 스트레스는 피하는 것이 좋습니다. 8. 이전과 다른 증상이 발생하거나 증상이 심해진 경우 반드시 의사와 상의해야 합니다. 지속적인 추적 관찰 및 여러 위험 인자의 조절이 중요합니다.</x:v>
      </x:c>
      <x:c r="J1098" s="8" t="str">
        <x:v>협심증</x:v>
      </x:c>
      <x:c r="K1098" s="8" t="str">
        <x:v>질병관리청 국가건강정보포털
https://health.kdca.go.kr/healthinfo/biz/health/gnrlzHealthInfo/gnrlzHealthInfo/gnrlzHealthInfoMain.do</x:v>
      </x:c>
    </x:row>
    <x:row r="1099" ht="62" customHeight="1">
      <x:c r="A1099" s="9" t="n">
        <x:v>1098</x:v>
      </x:c>
      <x:c r="B1099" s="6" t="str">
        <x:v>최종 평가</x:v>
      </x:c>
      <x:c r="C1099" s="6" t="str">
        <x:v>질병</x:v>
      </x:c>
      <x:c r="D1099" s="6" t="str">
        <x:v>원인·위험요인</x:v>
      </x:c>
      <x:c r="E1099" s="6" t="str">
        <x:v>답변 가능</x:v>
      </x:c>
      <x:c r="F1099" s="6" t="str">
        <x:v>쉬움</x:v>
      </x:c>
      <x:c r="G1099" s="8" t="str">
        <x:v>시린이(치아지각과민)은 왜 생기나요?</x:v>
      </x:c>
      <x:c r="H1099" s="8" t="str">
        <x:v>이가 패이는 근본 원인은 옆으로 칫솔질하는 습관, 과도한 교합력, 산성 음식이나 치태로 인한 치아의 화학적 용해 등입니다. 1) 잘못된 양치 습관 지각과민증의 첫 번째 원인으로 꼽는 것이 잘못된 양치 습관입니다. 특히 치아를 좌우로 문질러 닦으면 지각과민증뿐 아니라 치아의 형태적 손상까지 야기할 수 있습니다.</x:v>
      </x:c>
      <x:c r="I1099" s="8" t="str">
        <x:v>시린이(치아지각과민) - 원인 이가 패이는 근본 원인은 옆으로 칫솔질하는 습관, 과도한 교합력, 산성 음식이나 치태로 인한 치아의 화학적 용해 등입니다. 1) 잘못된 양치 습관 지각과민증의 첫 번째 원인으로 꼽는 것이 잘못된 양치 습관입니다. 특히 치아를 좌우로 문질러 닦으면 지각과민증뿐 아니라 치아의 형태적 손상까지 야기할 수 있습니다.</x:v>
      </x:c>
      <x:c r="J1099" s="8" t="str">
        <x:v>시린이(치아지각과민)</x:v>
      </x:c>
      <x:c r="K1099" s="8" t="str">
        <x:v>질병관리청 국가건강정보포털
https://health.kdca.go.kr/healthinfo/biz/health/gnrlzHealthInfo/gnrlzHealthInfo/gnrlzHealthInfoMain.do</x:v>
      </x:c>
    </x:row>
    <x:row r="1100" ht="62" customHeight="1">
      <x:c r="A1100" s="9" t="n">
        <x:v>1099</x:v>
      </x:c>
      <x:c r="B1100" s="6" t="str">
        <x:v>최종 평가</x:v>
      </x:c>
      <x:c r="C1100" s="6" t="str">
        <x:v>질병</x:v>
      </x:c>
      <x:c r="D1100" s="6" t="str">
        <x:v>치료·관리</x:v>
      </x:c>
      <x:c r="E1100" s="6" t="str">
        <x:v>답변 가능</x:v>
      </x:c>
      <x:c r="F1100" s="6" t="str">
        <x:v>쉬움</x:v>
      </x:c>
      <x:c r="G1100" s="8" t="str">
        <x:v>편도염은 어떻게 치료하거나 관리하나요?</x:v>
      </x:c>
      <x:c r="H1100" s="8" t="str">
        <x:v>급성 편도염의 보존적 치료는 물을 충분히 마시고 휴식을 취하는 것이며, 가글 등으로 구강을 청결히 유지하면 도움이 됩니다. 필요에 따라 해열진통제를 사용할 수 있습니다. 목 통증으로 식사를 못해서 탈수가 심하거나, 돌봐줄 사람이 없거나, 합병증이 발생한 경우가 아니라면 대개 입원 치료가 필요하지는 않습니다. 2. 항생제 치료 세균성 급성 편도염에는 전문의의 진료 하에 적절한 항생제를 사용해야 합니다.</x:v>
      </x:c>
      <x:c r="I1100" s="8" t="str">
        <x:v>편도염 - 치료 급성 편도염의 보존적 치료는 물을 충분히 마시고 휴식을 취하는 것이며, 가글 등으로 구강을 청결히 유지하면 도움이 됩니다. 필요에 따라 해열진통제를 사용할 수 있습니다. 목 통증으로 식사를 못해서 탈수가 심하거나, 돌봐줄 사람이 없거나, 합병증이 발생한 경우가 아니라면 대개 입원 치료가 필요하지는 않습니다. 2. 항생제 치료 세균성 급성 편도염에는 전문의의 진료 하에 적절한 항생제를 사용해야 합니다.</x:v>
      </x:c>
      <x:c r="J1100" s="8" t="str">
        <x:v>편도염</x:v>
      </x:c>
      <x:c r="K1100" s="8" t="str">
        <x:v>질병관리청 국가건강정보포털
https://health.kdca.go.kr/healthinfo/biz/health/gnrlzHealthInfo/gnrlzHealthInfo/gnrlzHealthInfoMain.do</x:v>
      </x:c>
    </x:row>
    <x:row r="1101" ht="62" customHeight="1">
      <x:c r="A1101" s="9" t="n">
        <x:v>1100</x:v>
      </x:c>
      <x:c r="B1101" s="6" t="str">
        <x:v>최종 평가</x:v>
      </x:c>
      <x:c r="C1101" s="6" t="str">
        <x:v>질병</x:v>
      </x:c>
      <x:c r="D1101" s="6" t="str">
        <x:v>개요·기타</x:v>
      </x:c>
      <x:c r="E1101" s="6" t="str">
        <x:v>답변 가능</x:v>
      </x:c>
      <x:c r="F1101" s="6" t="str">
        <x:v>쉬움</x:v>
      </x:c>
      <x:c r="G1101" s="8" t="str">
        <x:v>백선증에 대해 쉽게 설명해 주실 수 있나요?</x:v>
      </x:c>
      <x:c r="H1101" s="8" t="str">
        <x:v>백선은 곰팡이균의 일종인 피부사상균에 의해 피부, 손발톱, 머리카락 등에 생기는 감염 피부질환입니다.</x:v>
      </x:c>
      <x:c r="I1101" s="8" t="str">
        <x:v>백선증 - 요약문 '이것만은 꼭 기억하세요' • 백선은 곰팡이균의 일종인 피부사상균에 의해 피부, 손발톱, 머리카락 등에 생기는 감염 피부질환입니다. • 부위에 따라 두부백선, 체부백선, 족부백선(무좀), 손발톱무좀(조갑백선) 등으로 나뉘며, 가려움, 각질, 물집 등의 증상이 나타날 수 있습니다. • 진단은 주로 KOH 용액 검사나 진균 배양 검사를 통해 이루어지며, 정확한 진단을 위해 전문가의 진료가 중요합니다.</x:v>
      </x:c>
      <x:c r="J1101" s="8" t="str">
        <x:v>백선증</x:v>
      </x:c>
      <x:c r="K1101" s="8" t="str">
        <x:v>질병관리청 국가건강정보포털
https://health.kdca.go.kr/healthinfo/biz/health/gnrlzHealthInfo/gnrlzHealthInfo/gnrlzHealthInfoMain.do</x:v>
      </x:c>
    </x:row>
    <x:row r="1102" ht="62" customHeight="1">
      <x:c r="A1102" s="9" t="n">
        <x:v>1101</x:v>
      </x:c>
      <x:c r="B1102" s="6" t="str">
        <x:v>최종 평가</x:v>
      </x:c>
      <x:c r="C1102" s="6" t="str">
        <x:v>질병</x:v>
      </x:c>
      <x:c r="D1102" s="6" t="str">
        <x:v>증상·양상</x:v>
      </x:c>
      <x:c r="E1102" s="6" t="str">
        <x:v>답변 가능</x:v>
      </x:c>
      <x:c r="F1102" s="6" t="str">
        <x:v>쉬움</x:v>
      </x:c>
      <x:c r="G1102" s="8" t="str">
        <x:v>얼굴떨림(얼굴연축)이 있으면 어떤 증상이 나타날 수 있나요?</x:v>
      </x:c>
      <x:c r="H1102" s="8" t="str">
        <x:v>눈꺼풀연축은 눈가 주변 근육이 저절로 수축이 일어나서 눈이 감기는 것으로, 짧은 시간 동안 반복적으로 나타나기도 하고 때로는 장기간 지속적으로 나타나기도 합니다. 눈둘레근의 연축성 수축 현상이 일어날 때 앞이마 근육이나 눈가 아래 얼굴 근육에도 수축 현상이 동반되기도 합니다. 반얼굴연축은 대부분 한쪽 얼굴에만 나타나기 때문에 반얼굴떨림증이라고 불립니다.</x:v>
      </x:c>
      <x:c r="I1102" s="8" t="str">
        <x:v>얼굴떨림(얼굴연축) - 종류 눈꺼풀연축은 눈가 주변 근육이 저절로 수축이 일어나서 눈이 감기는 것으로, 짧은 시간 동안 반복적으로 나타나기도 하고 때로는 장기간 지속적으로 나타나기도 합니다. 눈둘레근의 연축성 수축 현상이 일어날 때 앞이마 근육이나 눈가 아래 얼굴 근육에도 수축 현상이 동반되기도 합니다. 반얼굴연축은 대부분 한쪽 얼굴에만 나타나기 때문에 반얼굴떨림증이라고 불립니다.</x:v>
      </x:c>
      <x:c r="J1102" s="8" t="str">
        <x:v>얼굴떨림(얼굴연축)</x:v>
      </x:c>
      <x:c r="K1102" s="8" t="str">
        <x:v>질병관리청 국가건강정보포털
https://health.kdca.go.kr/healthinfo/biz/health/gnrlzHealthInfo/gnrlzHealthInfo/gnrlzHealthInfoMain.do</x:v>
      </x:c>
    </x:row>
    <x:row r="1103" ht="62" customHeight="1">
      <x:c r="A1103" s="9" t="n">
        <x:v>1102</x:v>
      </x:c>
      <x:c r="B1103" s="6" t="str">
        <x:v>최종 평가</x:v>
      </x:c>
      <x:c r="C1103" s="6" t="str">
        <x:v>질병</x:v>
      </x:c>
      <x:c r="D1103" s="6" t="str">
        <x:v>진단·검사</x:v>
      </x:c>
      <x:c r="E1103" s="6" t="str">
        <x:v>답변 가능</x:v>
      </x:c>
      <x:c r="F1103" s="6" t="str">
        <x:v>쉬움</x:v>
      </x:c>
      <x:c r="G1103" s="8" t="str">
        <x:v>바베스열원충증은 어떤 검사로 확인하나요?</x:v>
      </x:c>
      <x:c r="H1103" s="8" t="str">
        <x:v>바베스열원충증은 감염된 환자의 혈액도말표본에서 원충을 확인하여 진단합니다.</x:v>
      </x:c>
      <x:c r="I1103" s="8" t="str">
        <x:v>바베스열원충증 - 진단 및 검사 / 예방 및 예방접종 바베스열원충증은 감염된 환자의 혈액도말표본에서 원충을 확인하여 진단합니다. 이때의 검사결과는 열대열원충의 감염에서와 유사하나 감염된 적혈구 내에 색소침착이 전혀 없으며, 초기 영양형(ring form) 이외의 형태는 발견할 수 없습니다.&lt; 바베스열원충의 유행지역에서 진드기에 물리지 않도록 주의해야 하며, 특히 비장을 제거하는 수술을 받은 사람은 감염되지 않도록 주의가 필요합니다.</x:v>
      </x:c>
      <x:c r="J1103" s="8" t="str">
        <x:v>바베스열원충증</x:v>
      </x:c>
      <x:c r="K1103" s="8" t="str">
        <x:v>질병관리청 국가건강정보포털
https://health.kdca.go.kr/healthinfo/biz/health/gnrlzHealthInfo/gnrlzHealthInfo/gnrlzHealthInfoMain.do</x:v>
      </x:c>
    </x:row>
    <x:row r="1104" ht="62" customHeight="1">
      <x:c r="A1104" s="9" t="n">
        <x:v>1103</x:v>
      </x:c>
      <x:c r="B1104" s="6" t="str">
        <x:v>최종 평가</x:v>
      </x:c>
      <x:c r="C1104" s="6" t="str">
        <x:v>질병</x:v>
      </x:c>
      <x:c r="D1104" s="6" t="str">
        <x:v>증상·양상</x:v>
      </x:c>
      <x:c r="E1104" s="6" t="str">
        <x:v>답변 가능</x:v>
      </x:c>
      <x:c r="F1104" s="6" t="str">
        <x:v>쉬움</x:v>
      </x:c>
      <x:c r="G1104" s="8" t="str">
        <x:v>시신경염이 있으면 어떤 증상이 나타날 수 있나요?</x:v>
      </x:c>
      <x:c r="H1104" s="8" t="str">
        <x:v>이는 시신경 주위 염증이 근육 움직임과 마찰하면서 통증이 발생하는 것으로 알려져 있습니다. 초기에는 단순 두통으로 오인되는 경우도 있습니다. • 시신경 손상이 심한 경우에는 시야가 완전히 소실될 수 있으며, 시야의 일부가 보이지 않아 좁게 보이기도 합니다. • 시력 저하는 안개 낀 유리처럼 뿌옇게 보이는 경우가 많습니다. 따라서 책 글자, 표지판 등이 흐릿하게 보이게 됩니다. 색감도 저하되며, 색의 밝기 및 대비감이 떨어집니다.</x:v>
      </x:c>
      <x:c r="I1104" s="8" t="str">
        <x:v>시신경염 - 증상 이는 시신경 주위 염증이 근육 움직임과 마찰하면서 통증이 발생하는 것으로 알려져 있습니다. 초기에는 단순 두통으로 오인되는 경우도 있습니다. • 시신경 손상이 심한 경우에는 시야가 완전히 소실될 수 있으며, 시야의 일부가 보이지 않아 좁게 보이기도 합니다. • 시력 저하는 안개 낀 유리처럼 뿌옇게 보이는 경우가 많습니다. 따라서 책 글자, 표지판 등이 흐릿하게 보이게 됩니다. 색감도 저하되며, 색의 밝기 및 대비감이 떨어집니다.</x:v>
      </x:c>
      <x:c r="J1104" s="8" t="str">
        <x:v>시신경염</x:v>
      </x:c>
      <x:c r="K1104" s="8" t="str">
        <x:v>질병관리청 국가건강정보포털
https://health.kdca.go.kr/healthinfo/biz/health/gnrlzHealthInfo/gnrlzHealthInfo/gnrlzHealthInfoMain.do</x:v>
      </x:c>
    </x:row>
    <x:row r="1105" ht="62" customHeight="1">
      <x:c r="A1105" s="9" t="n">
        <x:v>1104</x:v>
      </x:c>
      <x:c r="B1105" s="6" t="str">
        <x:v>최종 평가</x:v>
      </x:c>
      <x:c r="C1105" s="6" t="str">
        <x:v>질병</x:v>
      </x:c>
      <x:c r="D1105" s="6" t="str">
        <x:v>기준·수치</x:v>
      </x:c>
      <x:c r="E1105" s="6" t="str">
        <x:v>답변 가능</x:v>
      </x:c>
      <x:c r="F1105" s="6" t="str">
        <x:v>쉬움</x:v>
      </x:c>
      <x:c r="G1105" s="8" t="str">
        <x:v>노인 고혈압과 관련해 알아두어야 할 기준이나 수치는 무엇인가요?</x:v>
      </x:c>
      <x:c r="H1105" s="8" t="str">
        <x:v>65세 이상에서는 정기적으로 혈압을 측정해야 하며, 1~2분 간격으로 최소 2회 이상 측정하고, 부정맥이 있으면 3회 이상 측정하여 평균을 냅니다.</x:v>
      </x:c>
      <x:c r="I1105" s="8" t="str">
        <x:v>노인 고혈압 - 증상 / 진단 및 검사 따라서 두통이 없다고 해서 고혈압이 없다고 안심해서는 안 됩니다. 혈압은 반드시 측정을 통해 확인해야 하며, 고혈압이 발견되면 적절한 치료를 받아야 합니다. 노인에서의 고혈압 진단 기준은 젊은 성인과 동일합니다. 65세 이상에서는 정기적으로 혈압을 측정해야 하며, 1~2분 간격으로 최소 2회 이상 측정하고, 부정맥이 있으면 3회 이상 측정하여 평균을 냅니다. 이때 수축기 혈압이 140 mmHg 이상이거나 이완기 혈압이 90 mmHg 이상이면 고혈압으로 진단합니다.</x:v>
      </x:c>
      <x:c r="J1105" s="8" t="str">
        <x:v>노인 고혈압</x:v>
      </x:c>
      <x:c r="K1105" s="8" t="str">
        <x:v>질병관리청 국가건강정보포털
https://health.kdca.go.kr/healthinfo/biz/health/gnrlzHealthInfo/gnrlzHealthInfo/gnrlzHealthInfoMain.do</x:v>
      </x:c>
    </x:row>
    <x:row r="1106" ht="62" customHeight="1">
      <x:c r="A1106" s="9" t="n">
        <x:v>1105</x:v>
      </x:c>
      <x:c r="B1106" s="6" t="str">
        <x:v>최종 평가</x:v>
      </x:c>
      <x:c r="C1106" s="6" t="str">
        <x:v>질병</x:v>
      </x:c>
      <x:c r="D1106" s="6" t="str">
        <x:v>기준·수치</x:v>
      </x:c>
      <x:c r="E1106" s="6" t="str">
        <x:v>답변 가능</x:v>
      </x:c>
      <x:c r="F1106" s="6" t="str">
        <x:v>쉬움</x:v>
      </x:c>
      <x:c r="G1106" s="8" t="str">
        <x:v>성장 장애와 관련된 증상이나 상태는 보통 얼마나 지속되나요?</x:v>
      </x:c>
      <x:c r="H1106" s="8" t="str">
        <x:v>현재 전 세계에서 약 20만 명이 약 30년 이상 성장호르몬을 사용했으며, 투여 종료 후 장기간에 걸쳐 나타나는 심각한 부작용이나 문제점은 없는 것으로 알려져 있습니다.</x:v>
      </x:c>
      <x:c r="I1106" s="8" t="str">
        <x:v>성장 장애 - 약물 치료 현재 전 세계에서 약 20만 명이 약 30년 이상 성장호르몬을 사용했으며, 투여 종료 후 장기간에 걸쳐 나타나는 심각한 부작용이나 문제점은 없는 것으로 알려져 있습니다. 앞서 언급한 부작용은 성장호르몬 자체보다는 성장호르몬 치료가 필요한 질병 자체의 특성으로 여겨집니다. 그렇다고 해도 남용해서는 안 되며, 성장호르몬 치료 중에는 정기적으로 진찰 및 혈액 검사를 하는 것이 좋습니다. 4. 성조숙증에 대한 치료</x:v>
      </x:c>
      <x:c r="J1106" s="8" t="str">
        <x:v>성장 장애</x:v>
      </x:c>
      <x:c r="K1106" s="8" t="str">
        <x:v>질병관리청 국가건강정보포털
https://health.kdca.go.kr/healthinfo/biz/health/gnrlzHealthInfo/gnrlzHealthInfo/gnrlzHealthInfoMain.do</x:v>
      </x:c>
    </x:row>
    <x:row r="1107" ht="62" customHeight="1">
      <x:c r="A1107" s="9" t="n">
        <x:v>1106</x:v>
      </x:c>
      <x:c r="B1107" s="6" t="str">
        <x:v>최종 평가</x:v>
      </x:c>
      <x:c r="C1107" s="6" t="str">
        <x:v>질병</x:v>
      </x:c>
      <x:c r="D1107" s="6" t="str">
        <x:v>증상→질환 구분</x:v>
      </x:c>
      <x:c r="E1107" s="6" t="str">
        <x:v>답변 가능</x:v>
      </x:c>
      <x:c r="F1107" s="6" t="str">
        <x:v>어려움</x:v>
      </x:c>
      <x:c r="G1107" s="8" t="str">
        <x:v>부신이 스테로이드 호르몬을 제대로 만들지 못해 발생하며, 심한 경우 피로, 저혈압, 체중감소 등을 초래할 수 있습니다. 이런 증상은 어떤 질환과 관련이 있을 수 있나요?</x:v>
      </x:c>
      <x:c r="H1107" s="8" t="str">
        <x:v>부신부전증</x:v>
      </x:c>
      <x:c r="I1107" s="8" t="str">
        <x:v>부신부전증 - 요약문 '이것만은 꼭 기억하세요' • 부신은 콩팥 위에 위치한 내분비샘으로, 혈압, 대사, 면역 기능 등을 조절하는 여러 호르몬을 분비합니다. • 부신부전증은 부신이 스테로이드 호르몬을 제대로 만들지 못해 발생하며, 심한 경우 피로, 저혈압, 체중감소 등을 초래할 수 있습니다.</x:v>
      </x:c>
      <x:c r="J1107" s="8" t="str">
        <x:v>부신부전증</x:v>
      </x:c>
      <x:c r="K1107" s="8" t="str">
        <x:v>질병관리청 국가건강정보포털
https://health.kdca.go.kr/healthinfo/biz/health/gnrlzHealthInfo/gnrlzHealthInfo/gnrlzHealthInfoMain.do</x:v>
      </x:c>
    </x:row>
    <x:row r="1108" ht="62" customHeight="1">
      <x:c r="A1108" s="9" t="n">
        <x:v>1107</x:v>
      </x:c>
      <x:c r="B1108" s="6" t="str">
        <x:v>최종 평가</x:v>
      </x:c>
      <x:c r="C1108" s="6" t="str">
        <x:v>질병</x:v>
      </x:c>
      <x:c r="D1108" s="6" t="str">
        <x:v>증상·양상</x:v>
      </x:c>
      <x:c r="E1108" s="6" t="str">
        <x:v>답변 가능</x:v>
      </x:c>
      <x:c r="F1108" s="6" t="str">
        <x:v>쉬움</x:v>
      </x:c>
      <x:c r="G1108" s="8" t="str">
        <x:v>하지정맥류가 있으면 어떤 증상이 나타날 수 있나요?</x:v>
      </x:c>
      <x:c r="H1108" s="8" t="str">
        <x:v>하지정맥류가 진행되면 하지, 특히 무릎 아래에 정맥압 상승으로 인한 정맥성 고혈압이 발생하여 만성정맥부전으로 이행되며 다음과 같은 증상이 나타납니다.</x:v>
      </x:c>
      <x:c r="I1108" s="8" t="str">
        <x:v>하지정맥류 - 증상 통상적인 정맥류의 주요 증상은 위에 기술한 거미모양 정맥에서 나타나는 증상들 외에 출혈, 혈전으로 인한 통증 및 감염 등을 유발할 수 있으며, 이 경우 근본적인 치료가 신속히 필요합니다. 3. 만성정맥부전(진행된 하지정맥류) 하지정맥류가 진행되면 하지, 특히 무릎 아래에 정맥압 상승으로 인한 정맥성 고혈압이 발생하여 만성정맥부전으로 이행되며 다음과 같은 증상이 나타납니다. • 만성적인 하지통증 및 부종</x:v>
      </x:c>
      <x:c r="J1108" s="8" t="str">
        <x:v>하지정맥류</x:v>
      </x:c>
      <x:c r="K1108" s="8" t="str">
        <x:v>질병관리청 국가건강정보포털
https://health.kdca.go.kr/healthinfo/biz/health/gnrlzHealthInfo/gnrlzHealthInfo/gnrlzHealthInfoMain.do</x:v>
      </x:c>
    </x:row>
    <x:row r="1109" ht="62" customHeight="1">
      <x:c r="A1109" s="9" t="n">
        <x:v>1108</x:v>
      </x:c>
      <x:c r="B1109" s="6" t="str">
        <x:v>최종 평가</x:v>
      </x:c>
      <x:c r="C1109" s="6" t="str">
        <x:v>질병</x:v>
      </x:c>
      <x:c r="D1109" s="6" t="str">
        <x:v>증상·양상</x:v>
      </x:c>
      <x:c r="E1109" s="6" t="str">
        <x:v>답변 가능</x:v>
      </x:c>
      <x:c r="F1109" s="6" t="str">
        <x:v>쉬움</x:v>
      </x:c>
      <x:c r="G1109" s="8" t="str">
        <x:v>배뇨 관련 증상 또는 이상이 있으면 어떤 증상이 나타날 수 있나요?</x:v>
      </x:c>
      <x:c r="H1109" s="8" t="str">
        <x:v>야뇨증은 소아에서 기저귀를 떼고 난 이후에도 비교적 흔히 나타나는 문제이나 나이가 들면서 대개 자연히 좋아지면서 없어집니다. 그러나 성인의 일부에서도 야뇨증 증상이 나타납니다. ⑤ 지속성요실금 항상 지속적으로 불수의적인 소변의 누출이 있는 것으로, 24시간 내내 소변이 계속해서 새는 것을 말합니다. 특수한 구조적 이상으로 인해 발생하며 드물게 볼 수 있는 요실금의 유형입니다.</x:v>
      </x:c>
      <x:c r="I1109" s="8" t="str">
        <x:v>배뇨 관련 증상 또는 이상 - 증상 야뇨증은 소아에서 기저귀를 떼고 난 이후에도 비교적 흔히 나타나는 문제이나 나이가 들면서 대개 자연히 좋아지면서 없어집니다. 그러나 성인의 일부에서도 야뇨증 증상이 나타납니다. ⑤ 지속성요실금 항상 지속적으로 불수의적인 소변의 누출이 있는 것으로, 24시간 내내 소변이 계속해서 새는 것을 말합니다. 특수한 구조적 이상으로 인해 발생하며 드물게 볼 수 있는 요실금의 유형입니다.</x:v>
      </x:c>
      <x:c r="J1109" s="8" t="str">
        <x:v>배뇨 관련 증상 또는 이상</x:v>
      </x:c>
      <x:c r="K1109" s="8" t="str">
        <x:v>질병관리청 국가건강정보포털
https://health.kdca.go.kr/healthinfo/biz/health/gnrlzHealthInfo/gnrlzHealthInfo/gnrlzHealthInfoMain.do</x:v>
      </x:c>
    </x:row>
    <x:row r="1110" ht="62" customHeight="1">
      <x:c r="A1110" s="9" t="n">
        <x:v>1109</x:v>
      </x:c>
      <x:c r="B1110" s="6" t="str">
        <x:v>최종 평가</x:v>
      </x:c>
      <x:c r="C1110" s="6" t="str">
        <x:v>질병</x:v>
      </x:c>
      <x:c r="D1110" s="6" t="str">
        <x:v>치료·관리</x:v>
      </x:c>
      <x:c r="E1110" s="6" t="str">
        <x:v>답변 가능</x:v>
      </x:c>
      <x:c r="F1110" s="6" t="str">
        <x:v>쉬움</x:v>
      </x:c>
      <x:c r="G1110" s="8" t="str">
        <x:v>눈꺼풀처짐(안검하수)는 어떻게 치료하거나 관리하나요?</x:v>
      </x:c>
      <x:c r="H1110" s="8" t="str">
        <x:v>수술하기 전까지 눈꺼풀처짐이 있는 눈을 종이테이프로 붙여 올려주어 임시로 그 눈으로 볼 수 있도록 하기도 하고, 한쪽 눈에만 눈꺼풀처짐이 있어 약시 발생 위험이 있는 경우 가림치료 등의 시력 발달을 도와주는 치료를 시행해 볼 수도 있습니다. 2. 수술적 치료 1) 수술의 종류 눈꺼풀처짐의 수술로 눈꺼풀올림근 절제술, 이마근걸기술, 결막뮐러근 절제술이 있습니다. ① 눈꺼풀올림근 절제술</x:v>
      </x:c>
      <x:c r="I1110" s="8" t="str">
        <x:v>눈꺼풀처짐(안검하수) - 치료 수술하기 전까지 눈꺼풀처짐이 있는 눈을 종이테이프로 붙여 올려주어 임시로 그 눈으로 볼 수 있도록 하기도 하고, 한쪽 눈에만 눈꺼풀처짐이 있어 약시 발생 위험이 있는 경우 가림치료 등의 시력 발달을 도와주는 치료를 시행해 볼 수도 있습니다. 2. 수술적 치료 1) 수술의 종류 눈꺼풀처짐의 수술로 눈꺼풀올림근 절제술, 이마근걸기술, 결막뮐러근 절제술이 있습니다. ① 눈꺼풀올림근 절제술</x:v>
      </x:c>
      <x:c r="J1110" s="8" t="str">
        <x:v>눈꺼풀처짐(안검하수)</x:v>
      </x:c>
      <x:c r="K1110" s="8" t="str">
        <x:v>질병관리청 국가건강정보포털
https://health.kdca.go.kr/healthinfo/biz/health/gnrlzHealthInfo/gnrlzHealthInfo/gnrlzHealthInfoMain.do</x:v>
      </x:c>
    </x:row>
    <x:row r="1111" ht="62" customHeight="1">
      <x:c r="A1111" s="9" t="n">
        <x:v>1110</x:v>
      </x:c>
      <x:c r="B1111" s="6" t="str">
        <x:v>최종 평가</x:v>
      </x:c>
      <x:c r="C1111" s="6" t="str">
        <x:v>질병</x:v>
      </x:c>
      <x:c r="D1111" s="6" t="str">
        <x:v>용어·정의</x:v>
      </x:c>
      <x:c r="E1111" s="6" t="str">
        <x:v>답변 가능</x:v>
      </x:c>
      <x:c r="F1111" s="6" t="str">
        <x:v>쉬움</x:v>
      </x:c>
      <x:c r="G1111" s="8" t="str">
        <x:v>치루가 뭔가요?</x:v>
      </x:c>
      <x:c r="H1111" s="8" t="str">
        <x:v>치루는 한자어로 ‘치’(痔)라는 말은 ‘항문의 병’이라는 뜻이며 ‘루’(漏) 라는 말은 ‘새다, 틈이 나다’라는 뜻인데, 말 그대로 ‘치루’라는 말은 ‘항문 옆으로 샛길이 생기는 병’을 의미합니다.</x:v>
      </x:c>
      <x:c r="I1111" s="8" t="str">
        <x:v>항문직장농양과 치루(치루) - 개요 치루는 한자어로 ‘치’(痔)라는 말은 ‘항문의 병’이라는 뜻이며 ‘루’(漏) 라는 말은 ‘새다, 틈이 나다’라는 뜻인데, 말 그대로 ‘치루’라는 말은 ‘항문 옆으로 샛길이 생기는 병’을 의미합니다.</x:v>
      </x:c>
      <x:c r="J1111" s="8" t="str">
        <x:v>항문직장농양과 치루(치루)</x:v>
      </x:c>
      <x:c r="K1111" s="8" t="str">
        <x:v>질병관리청 국가건강정보포털
https://health.kdca.go.kr/healthinfo/biz/health/gnrlzHealthInfo/gnrlzHealthInfo/gnrlzHealthInfoMain.do</x:v>
      </x:c>
    </x:row>
    <x:row r="1112" ht="62" customHeight="1">
      <x:c r="A1112" s="9" t="n">
        <x:v>1111</x:v>
      </x:c>
      <x:c r="B1112" s="6" t="str">
        <x:v>최종 평가</x:v>
      </x:c>
      <x:c r="C1112" s="6" t="str">
        <x:v>질병</x:v>
      </x:c>
      <x:c r="D1112" s="6" t="str">
        <x:v>증상·양상</x:v>
      </x:c>
      <x:c r="E1112" s="6" t="str">
        <x:v>답변 가능</x:v>
      </x:c>
      <x:c r="F1112" s="6" t="str">
        <x:v>쉬움</x:v>
      </x:c>
      <x:c r="G1112" s="8" t="str">
        <x:v>직장탈출증이 있으면 어떤 증상이 나타날 수 있나요?</x:v>
      </x:c>
      <x:c r="H1112" s="8" t="str">
        <x:v>환자들이 불편을 호소하는 증상은 탈출된 직장으로 인한 문제와 동반된 배변 조절장애에 의한 문제입니다. 1. 직장탈출증의 주요 증상 • 대변을 볼 때 항문 밖으로 아기 주먹만한 살덩어리가 튀어나온다. • 오래 방치하면 소변을 보거나, 기침, 걷기 등 복압이 약간만 올라가도 직장이 탈출된다. • 대변을 보고 나도 시원하지 않은 느낌이 들고, 자주 대변이 마렵다. • 대변을 참을 수 없다.</x:v>
      </x:c>
      <x:c r="I1112" s="8" t="str">
        <x:v>직장탈출증 - 증상 환자들이 불편을 호소하는 증상은 탈출된 직장으로 인한 문제와 동반된 배변 조절장애에 의한 문제입니다. 1. 직장탈출증의 주요 증상 • 대변을 볼 때 항문 밖으로 아기 주먹만한 살덩어리가 튀어나온다. • 오래 방치하면 소변을 보거나, 기침, 걷기 등 복압이 약간만 올라가도 직장이 탈출된다. • 대변을 보고 나도 시원하지 않은 느낌이 들고, 자주 대변이 마렵다. • 대변을 참을 수 없다.</x:v>
      </x:c>
      <x:c r="J1112" s="8" t="str">
        <x:v>직장탈출증</x:v>
      </x:c>
      <x:c r="K1112" s="8" t="str">
        <x:v>질병관리청 국가건강정보포털
https://health.kdca.go.kr/healthinfo/biz/health/gnrlzHealthInfo/gnrlzHealthInfo/gnrlzHealthInfoMain.do</x:v>
      </x:c>
    </x:row>
    <x:row r="1113" ht="62" customHeight="1">
      <x:c r="A1113" s="9" t="n">
        <x:v>1112</x:v>
      </x:c>
      <x:c r="B1113" s="6" t="str">
        <x:v>최종 평가</x:v>
      </x:c>
      <x:c r="C1113" s="6" t="str">
        <x:v>질병</x:v>
      </x:c>
      <x:c r="D1113" s="6" t="str">
        <x:v>증상·양상</x:v>
      </x:c>
      <x:c r="E1113" s="6" t="str">
        <x:v>답변 가능</x:v>
      </x:c>
      <x:c r="F1113" s="6" t="str">
        <x:v>쉬움</x:v>
      </x:c>
      <x:c r="G1113" s="8" t="str">
        <x:v>여성형유방이 있으면 어떤 증상이 나타날 수 있나요?</x:v>
      </x:c>
      <x:c r="H1113" s="8" t="str">
        <x:v>신생아때 여성형유방은 60~90%에서 나타나고, 청소년기에는 약 50~60%, 노년층에서는 약 36~57%에서 나타납니다. 이러한 여성형유방은 서구화와 비만 인구의 증가로 인해 그 발생 빈도가 증가하고 있는 추세입니다. 대부분 무증상으로 지내다가 다음과 같은 증상이 나타날 수 있습니다. • 유방의 부피가 서서히 커질 수 있습니다. • 유방의 부피가 전체적으로 증가하는데, 일부분만 커지는 경우는 다른 질환이 아닐지 의심해야 합니다.</x:v>
      </x:c>
      <x:c r="I1113" s="8" t="str">
        <x:v>여성형유방 - 역학 및 통계 / 증상 신생아때 여성형유방은 60~90%에서 나타나고, 청소년기에는 약 50~60%, 노년층에서는 약 36~57%에서 나타납니다. 이러한 여성형유방은 서구화와 비만 인구의 증가로 인해 그 발생 빈도가 증가하고 있는 추세입니다. 대부분 무증상으로 지내다가 다음과 같은 증상이 나타날 수 있습니다. • 유방의 부피가 서서히 커질 수 있습니다. • 유방의 부피가 전체적으로 증가하는데, 일부분만 커지는 경우는 다른 질환이 아닐지 의심해야 합니다.</x:v>
      </x:c>
      <x:c r="J1113" s="8" t="str">
        <x:v>여성형유방</x:v>
      </x:c>
      <x:c r="K1113" s="8" t="str">
        <x:v>질병관리청 국가건강정보포털
https://health.kdca.go.kr/healthinfo/biz/health/gnrlzHealthInfo/gnrlzHealthInfo/gnrlzHealthInfoMain.do</x:v>
      </x:c>
    </x:row>
    <x:row r="1114" ht="62" customHeight="1">
      <x:c r="A1114" s="9" t="n">
        <x:v>1113</x:v>
      </x:c>
      <x:c r="B1114" s="6" t="str">
        <x:v>최종 평가</x:v>
      </x:c>
      <x:c r="C1114" s="6" t="str">
        <x:v>질병</x:v>
      </x:c>
      <x:c r="D1114" s="6" t="str">
        <x:v>원인·위험요인</x:v>
      </x:c>
      <x:c r="E1114" s="6" t="str">
        <x:v>답변 가능</x:v>
      </x:c>
      <x:c r="F1114" s="6" t="str">
        <x:v>쉬움</x:v>
      </x:c>
      <x:c r="G1114" s="8" t="str">
        <x:v>수두와 대상포진은 왜 생기나요?</x:v>
      </x:c>
      <x:c r="H1114" s="8" t="str">
        <x:v>면역력이 없는 의료종사자에게는 예방접종을 권고하며, 병원 내 수두 노출 발생 시 감수성 있는 종사자에게 즉시 접종이 필요합니다. 가능한 한 노출 이전에 면역 상태를 확인하고 사전 예방접종을 시행하는 것이 바람직합니다. 2. 대상포진 1) 접종대상 및 시기 • 50세 이상 모든 성인(건강한 성인 포함) • 18세 이상 중 면역저하 상태로 대상포진 위험이 높은 경우(예: 암 환자, 장기이식자, 자가면역질환자 등)</x:v>
      </x:c>
      <x:c r="I1114" s="8" t="str">
        <x:v>수두와 대상포진 - 위험요인 및 예방 면역력이 없는 의료종사자에게는 예방접종을 권고하며, 병원 내 수두 노출 발생 시 감수성 있는 종사자에게 즉시 접종이 필요합니다. 가능한 한 노출 이전에 면역 상태를 확인하고 사전 예방접종을 시행하는 것이 바람직합니다. 2. 대상포진 1) 접종대상 및 시기 • 50세 이상 모든 성인(건강한 성인 포함) • 18세 이상 중 면역저하 상태로 대상포진 위험이 높은 경우(예: 암 환자, 장기이식자, 자가면역질환자 등)</x:v>
      </x:c>
      <x:c r="J1114" s="8" t="str">
        <x:v>수두와 대상포진</x:v>
      </x:c>
      <x:c r="K1114" s="8" t="str">
        <x:v>질병관리청 국가건강정보포털
https://health.kdca.go.kr/healthinfo/biz/health/gnrlzHealthInfo/gnrlzHealthInfo/gnrlzHealthInfoMain.do</x:v>
      </x:c>
    </x:row>
    <x:row r="1115" ht="62" customHeight="1">
      <x:c r="A1115" s="9" t="n">
        <x:v>1114</x:v>
      </x:c>
      <x:c r="B1115" s="6" t="str">
        <x:v>최종 평가</x:v>
      </x:c>
      <x:c r="C1115" s="6" t="str">
        <x:v>질병</x:v>
      </x:c>
      <x:c r="D1115" s="6" t="str">
        <x:v>증상→질환 구분</x:v>
      </x:c>
      <x:c r="E1115" s="6" t="str">
        <x:v>답변 가능</x:v>
      </x:c>
      <x:c r="F1115" s="6" t="str">
        <x:v>어려움</x:v>
      </x:c>
      <x:c r="G1115" s="8" t="str">
        <x:v>처음에는 전신증상이 없지만 나중에 설사를 하며 무기력해지고 고열이 나거나 오히려 체온이 떨어지기도 합니다. 이런 증상은 어떤 질환과 관련이 있을 수 있나요?</x:v>
      </x:c>
      <x:c r="H1115" s="8" t="str">
        <x:v>농가진</x:v>
      </x:c>
      <x:c r="I1115" s="8" t="str">
        <x:v>농가진 - 증상 물집의 경계는 명확하며 병변 주변에 홍반은 거의 없거나 있어도 경미합니다. 처음에는 전신증상이 없지만 나중에 설사를 하며 무기력해지고 고열이 나거나 오히려 체온이 떨어지기도 합니다. 또한 패혈증 이나 폐렴, 뇌수막염 등이 동반되면 치명적인 결과가 초래될 수 있습니다. 드물지만 어른에게도 겨드랑이, 음부, 손 등에 생길 수 있는데 두피에는 발생하지 않으며, 예후는 좋습니다.</x:v>
      </x:c>
      <x:c r="J1115" s="8" t="str">
        <x:v>농가진</x:v>
      </x:c>
      <x:c r="K1115" s="8" t="str">
        <x:v>질병관리청 국가건강정보포털
https://health.kdca.go.kr/healthinfo/biz/health/gnrlzHealthInfo/gnrlzHealthInfo/gnrlzHealthInfoMain.do</x:v>
      </x:c>
    </x:row>
    <x:row r="1116" ht="62" customHeight="1">
      <x:c r="A1116" s="9" t="n">
        <x:v>1115</x:v>
      </x:c>
      <x:c r="B1116" s="6" t="str">
        <x:v>최종 평가</x:v>
      </x:c>
      <x:c r="C1116" s="6" t="str">
        <x:v>질병</x:v>
      </x:c>
      <x:c r="D1116" s="6" t="str">
        <x:v>증상→질환 구분</x:v>
      </x:c>
      <x:c r="E1116" s="6" t="str">
        <x:v>답변 가능</x:v>
      </x:c>
      <x:c r="F1116" s="6" t="str">
        <x:v>어려움</x:v>
      </x:c>
      <x:c r="G1116" s="8" t="str">
        <x:v>구역감, 구토 및 설사 등 소화기 증상이 나타나고, 림프절이 커진 채로 1~2주 이상 지속되기도 합니다. 이런 증상은 어떤 질환과 관련이 있을 수 있나요?</x:v>
      </x:c>
      <x:c r="H1116" s="8" t="str">
        <x:v>중증열성혈소판감소증후군(SFTS)</x:v>
      </x:c>
      <x:c r="I1116" s="8" t="str">
        <x:v>중증열성혈소판감소증후군(SFTS) - 증상 구역감, 구토 및 설사 등 소화기 증상이 나타나고, 림프절이 커진 채로 1~2주 이상 지속되기도 합니다. 중증의 경우, 다발성 장기부전(콩팥기능 저하, 혈압저하 등)이나 신경계증상(근육 잔떨림, 혼동 등), 혼수상태 등이 발생합니다. 중증열성혈소판감소증후군은 병증의 진행 속도가 빠르며, 치명률이 약 20%로 다른 감염병보다 높아, 환자를 조기에 발견하여 적기에 치료하는 것이 중요합니다.</x:v>
      </x:c>
      <x:c r="J1116" s="8" t="str">
        <x:v>중증열성혈소판감소증후군(SFTS)</x:v>
      </x:c>
      <x:c r="K1116" s="8" t="str">
        <x:v>질병관리청 국가건강정보포털
https://health.kdca.go.kr/healthinfo/biz/health/gnrlzHealthInfo/gnrlzHealthInfo/gnrlzHealthInfoMain.do</x:v>
      </x:c>
    </x:row>
    <x:row r="1117" ht="62" customHeight="1">
      <x:c r="A1117" s="9" t="n">
        <x:v>1116</x:v>
      </x:c>
      <x:c r="B1117" s="6" t="str">
        <x:v>최종 평가</x:v>
      </x:c>
      <x:c r="C1117" s="6" t="str">
        <x:v>질병</x:v>
      </x:c>
      <x:c r="D1117" s="6" t="str">
        <x:v>치료·관리</x:v>
      </x:c>
      <x:c r="E1117" s="6" t="str">
        <x:v>답변 가능</x:v>
      </x:c>
      <x:c r="F1117" s="6" t="str">
        <x:v>쉬움</x:v>
      </x:c>
      <x:c r="G1117" s="8" t="str">
        <x:v>귀의 형태 이상(기타)는 어떻게 치료하거나 관리하나요?</x:v>
      </x:c>
      <x:c r="H1117" s="8" t="str">
        <x:v>무이증은 귓불이 어느 정도 남아 있는 소이증에 비해 연부조직이 충분하지 않기 때문에 조직 확장기를 이용해 피부를 늘린 뒤 연골틀을 삽입하고 귀를 거상하는 3단계 수술이 필요합니다. 즉, 처음 수술에 조직 확장기를 삽입하고 3~4개월 피부를 늘리고, 두번째 수술에서는 조직 확장기를 제거하면서 조각된 연골틀을 삽입하고, 세번째 수술에서 귀 거상술을 시행하게 됩니다. 2.</x:v>
      </x:c>
      <x:c r="I1117" s="8" t="str">
        <x:v>귀의 형태 이상(기타) - 종류 1. 무이증(Anotia) 무이증은 귓불이 어느 정도 남아 있는 소이증에 비해 연부조직이 충분하지 않기 때문에 조직 확장기를 이용해 피부를 늘린 뒤 연골틀을 삽입하고 귀를 거상하는 3단계 수술이 필요합니다. 즉, 처음 수술에 조직 확장기를 삽입하고 3~4개월 피부를 늘리고, 두번째 수술에서는 조직 확장기를 제거하면서 조각된 연골틀을 삽입하고, 세번째 수술에서 귀 거상술을 시행하게 됩니다. 2.</x:v>
      </x:c>
      <x:c r="J1117" s="8" t="str">
        <x:v>귀의 형태 이상(기타)</x:v>
      </x:c>
      <x:c r="K1117" s="8" t="str">
        <x:v>질병관리청 국가건강정보포털
https://health.kdca.go.kr/healthinfo/biz/health/gnrlzHealthInfo/gnrlzHealthInfo/gnrlzHealthInfoMain.do</x:v>
      </x:c>
    </x:row>
    <x:row r="1118" ht="62" customHeight="1">
      <x:c r="A1118" s="9" t="n">
        <x:v>1117</x:v>
      </x:c>
      <x:c r="B1118" s="6" t="str">
        <x:v>최종 평가</x:v>
      </x:c>
      <x:c r="C1118" s="6" t="str">
        <x:v>질병</x:v>
      </x:c>
      <x:c r="D1118" s="6" t="str">
        <x:v>개요·기타</x:v>
      </x:c>
      <x:c r="E1118" s="6" t="str">
        <x:v>답변 가능</x:v>
      </x:c>
      <x:c r="F1118" s="6" t="str">
        <x:v>쉬움</x:v>
      </x:c>
      <x:c r="G1118" s="8" t="str">
        <x:v>심부전에 대해 쉽게 설명해 주실 수 있나요?</x:v>
      </x:c>
      <x:c r="H1118" s="8" t="str">
        <x:v>관상동맥질환은 심장 근육에 산소와 영양분을 공급하는 혈관의 일부 또는 전부가 막히는 상태입니다.</x:v>
      </x:c>
      <x:c r="I1118" s="8" t="str">
        <x:v>심부전 - 정의 / 종류 / 원인 우심실의 충만 장애는 다리 부종, 복수, 흉수로 인한 호흡곤란 등의 증상을 일으킬 수 있습니다. 좌심실의 박출 기능에 따라 박출률 감소 심부전, 박출률 경도 감소 심부전, 박출률 보존 심부전으로 구분합니다. 가장 일반적인 원인은 관상동맥(심장동맥)질환입니다. 관상동맥질환은 심장 근육에 산소와 영양분을 공급하는 혈관의 일부 또는 전부가 막히는 상태입니다. 혈액 공급이 원활하지 않은 심장은 정상적으로 이완 및 수축할 수 없습니다.</x:v>
      </x:c>
      <x:c r="J1118" s="8" t="str">
        <x:v>심부전</x:v>
      </x:c>
      <x:c r="K1118" s="8" t="str">
        <x:v>질병관리청 국가건강정보포털
https://health.kdca.go.kr/healthinfo/biz/health/gnrlzHealthInfo/gnrlzHealthInfo/gnrlzHealthInfoMain.do</x:v>
      </x:c>
    </x:row>
    <x:row r="1119" ht="62" customHeight="1">
      <x:c r="A1119" s="9" t="n">
        <x:v>1118</x:v>
      </x:c>
      <x:c r="B1119" s="6" t="str">
        <x:v>최종 평가</x:v>
      </x:c>
      <x:c r="C1119" s="6" t="str">
        <x:v>질병</x:v>
      </x:c>
      <x:c r="D1119" s="6" t="str">
        <x:v>증상·양상</x:v>
      </x:c>
      <x:c r="E1119" s="6" t="str">
        <x:v>답변 가능</x:v>
      </x:c>
      <x:c r="F1119" s="6" t="str">
        <x:v>쉬움</x:v>
      </x:c>
      <x:c r="G1119" s="8" t="str">
        <x:v>입덧이 있으면 어떤 증상이 나타날 수 있나요?</x:v>
      </x:c>
      <x:c r="H1119" s="8" t="str">
        <x:v>신경학적 검사에서의 이상은 임신 중의 구역과 구토의 원인이 대체로 일차적인 신경학적 장애임을 시사하나, 드물게 중증의 임신 중 구역과 구토의 결과로서 나타날 수도 있습니다. 갑상선기능항진증은 임신 오조 시 함께 나타날 수 있지만, 갑상샘종(goiter)은 임신 중의 구역과 구토와 같이 나타나진 않습니다. 갑상샘종이 있을 경우에는 우선적으로 갑상선 질환을 의심해야 합니다. 1. 임신부에 미치는 영향</x:v>
      </x:c>
      <x:c r="I1119" s="8" t="str">
        <x:v>입덧 - 관련 질환 / 연관 증상 신경학적 검사에서의 이상은 임신 중의 구역과 구토의 원인이 대체로 일차적인 신경학적 장애임을 시사하나, 드물게 중증의 임신 중 구역과 구토의 결과로서 나타날 수도 있습니다. 갑상선기능항진증은 임신 오조 시 함께 나타날 수 있지만, 갑상샘종(goiter)은 임신 중의 구역과 구토와 같이 나타나진 않습니다. 갑상샘종이 있을 경우에는 우선적으로 갑상선 질환을 의심해야 합니다. 1. 임신부에 미치는 영향</x:v>
      </x:c>
      <x:c r="J1119" s="8" t="str">
        <x:v>입덧</x:v>
      </x:c>
      <x:c r="K1119" s="8" t="str">
        <x:v>질병관리청 국가건강정보포털
https://health.kdca.go.kr/healthinfo/biz/health/gnrlzHealthInfo/gnrlzHealthInfo/gnrlzHealthInfoMain.do</x:v>
      </x:c>
    </x:row>
    <x:row r="1120" ht="62" customHeight="1">
      <x:c r="A1120" s="9" t="n">
        <x:v>1119</x:v>
      </x:c>
      <x:c r="B1120" s="6" t="str">
        <x:v>최종 평가</x:v>
      </x:c>
      <x:c r="C1120" s="6" t="str">
        <x:v>질병</x:v>
      </x:c>
      <x:c r="D1120" s="6" t="str">
        <x:v>예방·생활수칙</x:v>
      </x:c>
      <x:c r="E1120" s="6" t="str">
        <x:v>답변 가능</x:v>
      </x:c>
      <x:c r="F1120" s="6" t="str">
        <x:v>쉬움</x:v>
      </x:c>
      <x:c r="G1120" s="8" t="str">
        <x:v>성매개감염병을 예방하려면 어떻게 해야 하나요?</x:v>
      </x:c>
      <x:c r="H1120" s="8" t="str">
        <x:v>성기단순포진의 재발을 줄이기 위해서는 피로, 스트레스, 생리, 변비, 수면 부족, 감기 등의 재발 요인에 주의하고, 무리하지 않도록 하며, 의료진의 치료 지침을 잘 따르는 것이 중요합니다. 대한에이즈예방협회(대한에이즈예방협회)는 HIV 감염인을 대상으로 재가복지 서비스와 간병 지원 사업을 제공하고 있으며, 한국에이즈퇴치연맹은 성소수자와 외국인 대상으로 HIV 검진 및 홍보 활동을 하고 있습니다. Q.</x:v>
      </x:c>
      <x:c r="I1120" s="8" t="str">
        <x:v>성매개감염병 - 생활습관 관리 / 지원체계 / 자주하는 질문 성기단순포진의 재발을 줄이기 위해서는 피로, 스트레스, 생리, 변비, 수면 부족, 감기 등의 재발 요인에 주의하고, 무리하지 않도록 하며, 의료진의 치료 지침을 잘 따르는 것이 중요합니다. 대한에이즈예방협회(대한에이즈예방협회)는 HIV 감염인을 대상으로 재가복지 서비스와 간병 지원 사업을 제공하고 있으며, 한국에이즈퇴치연맹은 성소수자와 외국인 대상으로 HIV 검진 및 홍보 활동을 하고 있습니다. Q.</x:v>
      </x:c>
      <x:c r="J1120" s="8" t="str">
        <x:v>성매개감염병</x:v>
      </x:c>
      <x:c r="K1120" s="8" t="str">
        <x:v>질병관리청 국가건강정보포털
https://health.kdca.go.kr/healthinfo/biz/health/gnrlzHealthInfo/gnrlzHealthInfo/gnrlzHealthInfoMain.do</x:v>
      </x:c>
    </x:row>
    <x:row r="1121" ht="62" customHeight="1">
      <x:c r="A1121" s="9" t="n">
        <x:v>1120</x:v>
      </x:c>
      <x:c r="B1121" s="6" t="str">
        <x:v>최종 평가</x:v>
      </x:c>
      <x:c r="C1121" s="6" t="str">
        <x:v>질병</x:v>
      </x:c>
      <x:c r="D1121" s="6" t="str">
        <x:v>용어·정의</x:v>
      </x:c>
      <x:c r="E1121" s="6" t="str">
        <x:v>답변 가능</x:v>
      </x:c>
      <x:c r="F1121" s="6" t="str">
        <x:v>쉬움</x:v>
      </x:c>
      <x:c r="G1121" s="8" t="str">
        <x:v>대변의 특징이 뭔가요?</x:v>
      </x:c>
      <x:c r="H1121" s="8" t="str">
        <x:v>특히 대변의 특징은 유용한 정보를 제공할 수 있는데, 양이 많은 대변은 흡수장애나 분비성 설사를 시사하고 기름지고 냄새가 많이 나면서 물로 잘 씻어지지 않는 대변은 흡수장애에 의한 지방변을 의미합니다.</x:v>
      </x:c>
      <x:c r="I1121" s="8" t="str">
        <x:v>설사 - 관련 질환 특히 대변의 특징은 유용한 정보를 제공할 수 있는데, 양이 많은 대변은 흡수장애나 분비성 설사를 시사하고 기름지고 냄새가 많이 나면서 물로 잘 씻어지지 않는 대변은 흡수장애에 의한 지방변을 의미합니다. 혈변이나 농이 섞인 대변은 염증성 장질환을 의심할 수 있고 점액변이 있는 경우는 염증성 장질환이나 과민성 장증후군을 생각해 볼 수 있습니다.</x:v>
      </x:c>
      <x:c r="J1121" s="8" t="str">
        <x:v>설사</x:v>
      </x:c>
      <x:c r="K1121" s="8" t="str">
        <x:v>질병관리청 국가건강정보포털
https://health.kdca.go.kr/healthinfo/biz/health/gnrlzHealthInfo/gnrlzHealthInfo/gnrlzHealthInfoMain.do</x:v>
      </x:c>
    </x:row>
    <x:row r="1122" ht="62" customHeight="1">
      <x:c r="A1122" s="9" t="n">
        <x:v>1121</x:v>
      </x:c>
      <x:c r="B1122" s="6" t="str">
        <x:v>최종 평가</x:v>
      </x:c>
      <x:c r="C1122" s="6" t="str">
        <x:v>질병</x:v>
      </x:c>
      <x:c r="D1122" s="6" t="str">
        <x:v>예방·생활수칙</x:v>
      </x:c>
      <x:c r="E1122" s="6" t="str">
        <x:v>답변 가능</x:v>
      </x:c>
      <x:c r="F1122" s="6" t="str">
        <x:v>쉬움</x:v>
      </x:c>
      <x:c r="G1122" s="8" t="str">
        <x:v>자연분만과정을 예방하려면 어떻게 해야 하나요?</x:v>
      </x:c>
      <x:c r="H1122" s="8" t="str">
        <x:v>임신 중 장 운동 저하와 회음절개 부위의 통증으로 배변이 어려우면 변비약을 사용할 수 있습니다. 분만 전에 관장을 하므로 1~2일 대변이 나오지 않을 수 있습니다. 변비는 예방하는 것이 중요하며, 계속 통증이 있을 경우 산후 조리 후 의사와 상의하는 것이 좋습니다. 6. 체중 임신 중 늘어난 몸무게(평균 12~16 kg)의 절반은 출산 시에 줄어듭니다. 또 부종이 빠지면서 2~3 kg 정도가 더 줄어듭니다.</x:v>
      </x:c>
      <x:c r="I1122" s="8" t="str">
        <x:v>자연분만과정 - 자가 관리 변비와 통증 임신 중 장 운동 저하와 회음절개 부위의 통증으로 배변이 어려우면 변비약을 사용할 수 있습니다. 분만 전에 관장을 하므로 1~2일 대변이 나오지 않을 수 있습니다. 변비는 예방하는 것이 중요하며, 계속 통증이 있을 경우 산후 조리 후 의사와 상의하는 것이 좋습니다. 6. 체중 임신 중 늘어난 몸무게(평균 12~16 kg)의 절반은 출산 시에 줄어듭니다. 또 부종이 빠지면서 2~3 kg 정도가 더 줄어듭니다.</x:v>
      </x:c>
      <x:c r="J1122" s="8" t="str">
        <x:v>자연분만과정</x:v>
      </x:c>
      <x:c r="K1122" s="8" t="str">
        <x:v>질병관리청 국가건강정보포털
https://health.kdca.go.kr/healthinfo/biz/health/gnrlzHealthInfo/gnrlzHealthInfo/gnrlzHealthInfoMain.do</x:v>
      </x:c>
    </x:row>
    <x:row r="1123" ht="62" customHeight="1">
      <x:c r="A1123" s="9" t="n">
        <x:v>1122</x:v>
      </x:c>
      <x:c r="B1123" s="6" t="str">
        <x:v>최종 평가</x:v>
      </x:c>
      <x:c r="C1123" s="6" t="str">
        <x:v>질병</x:v>
      </x:c>
      <x:c r="D1123" s="6" t="str">
        <x:v>예방·생활수칙</x:v>
      </x:c>
      <x:c r="E1123" s="6" t="str">
        <x:v>답변 가능</x:v>
      </x:c>
      <x:c r="F1123" s="6" t="str">
        <x:v>쉬움</x:v>
      </x:c>
      <x:c r="G1123" s="8" t="str">
        <x:v>인플루엔자를 예방하려면 어떻게 해야 하나요?</x:v>
      </x:c>
      <x:c r="H1123" s="8" t="str">
        <x:v>인플루엔자 백신의 예방효과는 백신주와 유행주의 일치 여부, 피접종자의 나이 및 면역상태에 따라 다릅니다. 인플루엔자 백신은 65세 이하 건강한 사람에서 70~90%의 우수한 예방효과가 있습니다. 노인에서 인플루엔자 백신은 발병 예방효과가 40%로 낮지만, 입원을 예방하는데 50~60% 효과가 있고, 사망을 예방하는 데는 80% 정도 효과적입니다.</x:v>
      </x:c>
      <x:c r="I1123" s="8" t="str">
        <x:v>인플루엔자 - 예방 및 예방접종 인플루엔자 백신의 예방효과는 백신주와 유행주의 일치 여부, 피접종자의 나이 및 면역상태에 따라 다릅니다. 인플루엔자 백신은 65세 이하 건강한 사람에서 70~90%의 우수한 예방효과가 있습니다. 노인에서 인플루엔자 백신은 발병 예방효과가 40%로 낮지만, 입원을 예방하는데 50~60% 효과가 있고, 사망을 예방하는 데는 80% 정도 효과적입니다.</x:v>
      </x:c>
      <x:c r="J1123" s="8" t="str">
        <x:v>인플루엔자</x:v>
      </x:c>
      <x:c r="K1123" s="8" t="str">
        <x:v>질병관리청 국가건강정보포털
https://health.kdca.go.kr/healthinfo/biz/health/gnrlzHealthInfo/gnrlzHealthInfo/gnrlzHealthInfoMain.do</x:v>
      </x:c>
    </x:row>
    <x:row r="1124" ht="62" customHeight="1">
      <x:c r="A1124" s="9" t="n">
        <x:v>1123</x:v>
      </x:c>
      <x:c r="B1124" s="6" t="str">
        <x:v>최종 평가</x:v>
      </x:c>
      <x:c r="C1124" s="6" t="str">
        <x:v>질병</x:v>
      </x:c>
      <x:c r="D1124" s="6" t="str">
        <x:v>치료·관리</x:v>
      </x:c>
      <x:c r="E1124" s="6" t="str">
        <x:v>답변 가능</x:v>
      </x:c>
      <x:c r="F1124" s="6" t="str">
        <x:v>쉬움</x:v>
      </x:c>
      <x:c r="G1124" s="8" t="str">
        <x:v>충치는 어떻게 치료하거나 관리하나요?</x:v>
      </x:c>
      <x:c r="H1124" s="8" t="str">
        <x:v>일단 충치가 생기게 되면 예방법만으로는 치아 우식의 진행을 막기는 어려우므로 충치 부위를 제거하고 적절한 재료로 치료하는 것이 중요합니다. 치료 방법은 다음과 같습니다. 1) 충치와 결함이 있는 기존의 수복물을 모두 제거합니다. 2) 치아 내 신경을 최대한 보호합니다. 3) 치아의 원래 형태에 맞게 적절한 재료로 채워 넣습니다. 수복 재료에 따른 충치 치료방법 1. 아말감</x:v>
      </x:c>
      <x:c r="I1124" s="8" t="str">
        <x:v>충치 - 치료 / 비약물 치료 일단 충치가 생기게 되면 예방법만으로는 치아 우식의 진행을 막기는 어려우므로 충치 부위를 제거하고 적절한 재료로 치료하는 것이 중요합니다. 치료 방법은 다음과 같습니다. 1) 충치와 결함이 있는 기존의 수복물을 모두 제거합니다. 2) 치아 내 신경을 최대한 보호합니다. 3) 치아의 원래 형태에 맞게 적절한 재료로 채워 넣습니다. 수복 재료에 따른 충치 치료방법 1. 아말감</x:v>
      </x:c>
      <x:c r="J1124" s="8" t="str">
        <x:v>충치</x:v>
      </x:c>
      <x:c r="K1124" s="8" t="str">
        <x:v>질병관리청 국가건강정보포털
https://health.kdca.go.kr/healthinfo/biz/health/gnrlzHealthInfo/gnrlzHealthInfo/gnrlzHealthInfoMain.do</x:v>
      </x:c>
    </x:row>
    <x:row r="1125" ht="62" customHeight="1">
      <x:c r="A1125" s="9" t="n">
        <x:v>1124</x:v>
      </x:c>
      <x:c r="B1125" s="6" t="str">
        <x:v>최종 평가</x:v>
      </x:c>
      <x:c r="C1125" s="6" t="str">
        <x:v>질병</x:v>
      </x:c>
      <x:c r="D1125" s="6" t="str">
        <x:v>개요·기타</x:v>
      </x:c>
      <x:c r="E1125" s="6" t="str">
        <x:v>답변 가능</x:v>
      </x:c>
      <x:c r="F1125" s="6" t="str">
        <x:v>쉬움</x:v>
      </x:c>
      <x:c r="G1125" s="8" t="str">
        <x:v>황달에 대해 쉽게 설명해 주실 수 있나요?</x:v>
      </x:c>
      <x:c r="H1125" s="8" t="str">
        <x:v>질베르증후군은 전체 인구의 3~7% 정도로 매우 흔하며, 남자에서 더 흔합니다.</x:v>
      </x:c>
      <x:c r="I1125" s="8" t="str">
        <x:v>황달 - 자주하는 질문 / 참고문헌 보통 아침을 굶거나 스트레스를 많이 받거나 과음 후, 감기 몸살이 심한 경우 등에만 황달이 생깁니다. 질베르증후군은 전체 인구의 3~7% 정도로 매우 흔하며, 남자에서 더 흔합니다. 특별한 치료가 필요 없으며, 신체적, 정신적으로 무리한 일을 피하시는 것이 좋습니다. 1. 유태우, 김병익, 김진봉, 김동준, 김재우, 백순구, 김광석, 천갑진. (2007). 독성 간손상 관련 한국인의 약물복용 실태와 건강비용 조사.</x:v>
      </x:c>
      <x:c r="J1125" s="8" t="str">
        <x:v>황달</x:v>
      </x:c>
      <x:c r="K1125" s="8" t="str">
        <x:v>질병관리청 국가건강정보포털
https://health.kdca.go.kr/healthinfo/biz/health/gnrlzHealthInfo/gnrlzHealthInfo/gnrlzHealthInfoMain.do</x:v>
      </x:c>
    </x:row>
    <x:row r="1126" ht="62" customHeight="1">
      <x:c r="A1126" s="9" t="n">
        <x:v>1125</x:v>
      </x:c>
      <x:c r="B1126" s="6" t="str">
        <x:v>최종 평가</x:v>
      </x:c>
      <x:c r="C1126" s="6" t="str">
        <x:v>질병</x:v>
      </x:c>
      <x:c r="D1126" s="6" t="str">
        <x:v>진단·검사</x:v>
      </x:c>
      <x:c r="E1126" s="6" t="str">
        <x:v>답변 가능</x:v>
      </x:c>
      <x:c r="F1126" s="6" t="str">
        <x:v>쉬움</x:v>
      </x:c>
      <x:c r="G1126" s="8" t="str">
        <x:v>배뇨 관련 증상 또는 이상은 어떤 검사로 확인하나요?</x:v>
      </x:c>
      <x:c r="H1126" s="8" t="str">
        <x:v>하부요로증상에 대한 설문지는 병력청취의 보조 도구로서 흔히 이용되며, 모든 환자에서 소변검사와 배뇨후잔뇨량 측정이 일반적으로 시행됩니다.</x:v>
      </x:c>
      <x:c r="I1126" s="8" t="str">
        <x:v>배뇨 관련 증상 또는 이상 - 진단 및 검사 하부요로증상에 대한 설문지는 병력청취의 보조 도구로서 흔히 이용되며, 모든 환자에서 소변검사와 배뇨후잔뇨량 측정이 일반적으로 시행됩니다. 저장증상의 평가에 배뇨일지라 부르는 ‘배뇨횟수배뇨량일지’ 또는 ‘방광일지’가 이용되고, 배뇨증상이나 배뇨기능의 평가를 위해 요류검사를 거의 보편적으로 시행합니다.</x:v>
      </x:c>
      <x:c r="J1126" s="8" t="str">
        <x:v>배뇨 관련 증상 또는 이상</x:v>
      </x:c>
      <x:c r="K1126" s="8" t="str">
        <x:v>질병관리청 국가건강정보포털
https://health.kdca.go.kr/healthinfo/biz/health/gnrlzHealthInfo/gnrlzHealthInfo/gnrlzHealthInfoMain.do</x:v>
      </x:c>
    </x:row>
    <x:row r="1127" ht="62" customHeight="1">
      <x:c r="A1127" s="9" t="n">
        <x:v>1126</x:v>
      </x:c>
      <x:c r="B1127" s="6" t="str">
        <x:v>최종 평가</x:v>
      </x:c>
      <x:c r="C1127" s="6" t="str">
        <x:v>질병</x:v>
      </x:c>
      <x:c r="D1127" s="6" t="str">
        <x:v>증상→질환 구분</x:v>
      </x:c>
      <x:c r="E1127" s="6" t="str">
        <x:v>답변 가능</x:v>
      </x:c>
      <x:c r="F1127" s="6" t="str">
        <x:v>어려움</x:v>
      </x:c>
      <x:c r="G1127" s="8" t="str">
        <x:v>첫 번째는 뒤유리체박리로 인한 증상인데, 전구증상으로 날파리증과 광시증이 나타납니다. 이런 증상은 어떤 질환과 관련이 있을 수 있나요?</x:v>
      </x:c>
      <x:c r="H1127" s="8" t="str">
        <x:v>망막박리</x:v>
      </x:c>
      <x:c r="I1127" s="8" t="str">
        <x:v>망막박리 - 증상 열공망막박리로 인한 증상은 다음의 두 가지 단계로 요약됩니다. 첫 번째는 뒤유리체박리로 인한 증상인데, 전구증상으로 날파리증과 광시증이 나타납니다. 날파리증은 아래 사진과 같이 시야에 떠다니는 거미줄, 투명한 실, 검은 점, 그림자 또는 검은 구름 등으로 다양하게 표현되는 증상입니다.</x:v>
      </x:c>
      <x:c r="J1127" s="8" t="str">
        <x:v>망막박리</x:v>
      </x:c>
      <x:c r="K1127" s="8" t="str">
        <x:v>질병관리청 국가건강정보포털
https://health.kdca.go.kr/healthinfo/biz/health/gnrlzHealthInfo/gnrlzHealthInfo/gnrlzHealthInfoMain.do</x:v>
      </x:c>
    </x:row>
    <x:row r="1128" ht="62" customHeight="1">
      <x:c r="A1128" s="9" t="n">
        <x:v>1127</x:v>
      </x:c>
      <x:c r="B1128" s="6" t="str">
        <x:v>최종 평가</x:v>
      </x:c>
      <x:c r="C1128" s="6" t="str">
        <x:v>질병</x:v>
      </x:c>
      <x:c r="D1128" s="6" t="str">
        <x:v>증상→질환 구분</x:v>
      </x:c>
      <x:c r="E1128" s="6" t="str">
        <x:v>답변 가능</x:v>
      </x:c>
      <x:c r="F1128" s="6" t="str">
        <x:v>어려움</x:v>
      </x:c>
      <x:c r="G1128" s="8" t="str">
        <x:v>다리에 통증이 있을 때는 무의식적으로 아픈 쪽에 체중을 최소한으로 실으면서 반대쪽 다리로 재빨리 체중을 옮기는 절뚝거림이 나타납니다. 이런 증상은 어떤 질환과 관련이 있을 수 있나요?</x:v>
      </x:c>
      <x:c r="H1128" s="8" t="str">
        <x:v>노인 보행장애</x:v>
      </x:c>
      <x:c r="I1128" s="8" t="str">
        <x:v>노인 보행장애 - 증상 둘째, 몸통 및 중추 신경계의 문제, 셋째, 생각이나 주의력과 관련된 인지 기능의 문제입니다. 아래 내용을 참고하시면, 가족이나 환자의 걸음걸이 변화를 좀 더 잘 이해하고, 언제 병원을 방문해야 할지 판단하는 데 도움이 될 것입니다. 1. 통증에 의한 보행 다리에 통증이 있을 때는 무의식적으로 아픈 쪽에 체중을 최소한으로 실으면서 반대쪽 다리로 재빨리 체중을 옮기는 절뚝거림이 나타납니다.</x:v>
      </x:c>
      <x:c r="J1128" s="8" t="str">
        <x:v>노인 보행장애</x:v>
      </x:c>
      <x:c r="K1128" s="8" t="str">
        <x:v>질병관리청 국가건강정보포털
https://health.kdca.go.kr/healthinfo/biz/health/gnrlzHealthInfo/gnrlzHealthInfo/gnrlzHealthInfoMain.do</x:v>
      </x:c>
    </x:row>
    <x:row r="1129" ht="62" customHeight="1">
      <x:c r="A1129" s="9" t="n">
        <x:v>1128</x:v>
      </x:c>
      <x:c r="B1129" s="6" t="str">
        <x:v>최종 평가</x:v>
      </x:c>
      <x:c r="C1129" s="6" t="str">
        <x:v>질병</x:v>
      </x:c>
      <x:c r="D1129" s="6" t="str">
        <x:v>개요·기타</x:v>
      </x:c>
      <x:c r="E1129" s="6" t="str">
        <x:v>답변 가능</x:v>
      </x:c>
      <x:c r="F1129" s="6" t="str">
        <x:v>쉬움</x:v>
      </x:c>
      <x:c r="G1129" s="8" t="str">
        <x:v>이명에 대해 쉽게 설명해 주실 수 있나요?</x:v>
      </x:c>
      <x:c r="H1129" s="8" t="str">
        <x:v>이명은 완치보다는 관리가 중요하고, 환자가 증상에 덜 집중하도록 돕는 것이 핵심입니다.</x:v>
      </x:c>
      <x:c r="I1129" s="8" t="str">
        <x:v>이명 - 요약문 / 정의 • 이명은 완치보다는 관리가 중요하고, 환자가 증상에 덜 집중하도록 돕는 것이 핵심입니다. 이명이란 실제로 외부에서 나는 소리가 없음에도 머리나 귀에서 소리가 들린다고 느끼는 증상입니다. 환자들은 '윙~', '쐬~'하는 소리, 매미 우는 소리, 바람 소리로 표현하는 경우가 많고, 일부는 이런 소리가 혼합되어 들린다고 호소합니다.</x:v>
      </x:c>
      <x:c r="J1129" s="8" t="str">
        <x:v>이명</x:v>
      </x:c>
      <x:c r="K1129" s="8" t="str">
        <x:v>질병관리청 국가건강정보포털
https://health.kdca.go.kr/healthinfo/biz/health/gnrlzHealthInfo/gnrlzHealthInfo/gnrlzHealthInfoMain.do</x:v>
      </x:c>
    </x:row>
    <x:row r="1130" ht="62" customHeight="1">
      <x:c r="A1130" s="9" t="n">
        <x:v>1129</x:v>
      </x:c>
      <x:c r="B1130" s="6" t="str">
        <x:v>최종 평가</x:v>
      </x:c>
      <x:c r="C1130" s="6" t="str">
        <x:v>질병</x:v>
      </x:c>
      <x:c r="D1130" s="6" t="str">
        <x:v>증상·양상</x:v>
      </x:c>
      <x:c r="E1130" s="6" t="str">
        <x:v>답변 가능</x:v>
      </x:c>
      <x:c r="F1130" s="6" t="str">
        <x:v>쉬움</x:v>
      </x:c>
      <x:c r="G1130" s="8" t="str">
        <x:v>소화불량이 있으면 어떤 증상이 나타날 수 있나요?</x:v>
      </x:c>
      <x:c r="H1130" s="8" t="str">
        <x:v>이 연구에서 소화불량의 유병률은 7.7%였고, 식후 불편(고통) 증후군의 유병률은 5.6%, 상복부 통증 증후군의 유병률은 4.2%였습니다. 그러나 식후 불편(고통) 증후군과 상복부 통증 증후군의 특성을 동시에 가지고 있는 경우는 전체 소화불량 환자의 27.1%에 해당하였습니다.</x:v>
      </x:c>
      <x:c r="I1130" s="8" t="str">
        <x:v>소화불량 - 역학 및 통계 이 연구에서 소화불량의 유병률은 7.7%였고, 식후 불편(고통) 증후군의 유병률은 5.6%, 상복부 통증 증후군의 유병률은 4.2%였습니다. 그러나 식후 불편(고통) 증후군과 상복부 통증 증후군의 특성을 동시에 가지고 있는 경우는 전체 소화불량 환자의 27.1%에 해당하였습니다.</x:v>
      </x:c>
      <x:c r="J1130" s="8" t="str">
        <x:v>소화불량</x:v>
      </x:c>
      <x:c r="K1130" s="8" t="str">
        <x:v>질병관리청 국가건강정보포털
https://health.kdca.go.kr/healthinfo/biz/health/gnrlzHealthInfo/gnrlzHealthInfo/gnrlzHealthInfoMain.do</x:v>
      </x:c>
    </x:row>
    <x:row r="1131" ht="62" customHeight="1">
      <x:c r="A1131" s="9" t="n">
        <x:v>1130</x:v>
      </x:c>
      <x:c r="B1131" s="6" t="str">
        <x:v>최종 평가</x:v>
      </x:c>
      <x:c r="C1131" s="6" t="str">
        <x:v>질병</x:v>
      </x:c>
      <x:c r="D1131" s="6" t="str">
        <x:v>진단·검사</x:v>
      </x:c>
      <x:c r="E1131" s="6" t="str">
        <x:v>답변 가능</x:v>
      </x:c>
      <x:c r="F1131" s="6" t="str">
        <x:v>쉬움</x:v>
      </x:c>
      <x:c r="G1131" s="8" t="str">
        <x:v>기흉은 어떤 검사로 확인하나요?</x:v>
      </x:c>
      <x:c r="H1131" s="8" t="str">
        <x:v>수술 치료가 필요한 환자에서 기흉의 원인이 되는 폐기포의 위치와 크기를 평가하거나 동반된 다른 질환의 여부를 확인하기 위해 사용됩니다.</x:v>
      </x:c>
      <x:c r="I1131" s="8" t="str">
        <x:v>기흉 - 진단 및 검사 / 치료 수술 치료가 필요한 환자에서 기흉의 원인이 되는 폐기포의 위치와 크기를 평가하거나 동반된 다른 질환의 여부를 확인하기 위해 사용됩니다. 기흉이 발생하면 숨이 차기 때문에 환자는 안정을 취해야 하고 대개는 입원해서 치료를 받게 됩니다. 기흉에 대한 구체적인 치료는 환자의 상태와 재발 여부, 폐의 상태 등을 종합적으로 고려해 선택하게 됩니다. 기흉의 치료 목표는 찌그러진 폐를 다시 펴주고, 재발을 방지하는 것입니다. 1. 관찰</x:v>
      </x:c>
      <x:c r="J1131" s="8" t="str">
        <x:v>기흉</x:v>
      </x:c>
      <x:c r="K1131" s="8" t="str">
        <x:v>질병관리청 국가건강정보포털
https://health.kdca.go.kr/healthinfo/biz/health/gnrlzHealthInfo/gnrlzHealthInfo/gnrlzHealthInfoMain.do</x:v>
      </x:c>
    </x:row>
    <x:row r="1132" ht="62" customHeight="1">
      <x:c r="A1132" s="9" t="n">
        <x:v>1131</x:v>
      </x:c>
      <x:c r="B1132" s="6" t="str">
        <x:v>최종 평가</x:v>
      </x:c>
      <x:c r="C1132" s="6" t="str">
        <x:v>질병</x:v>
      </x:c>
      <x:c r="D1132" s="6" t="str">
        <x:v>예방·생활수칙</x:v>
      </x:c>
      <x:c r="E1132" s="6" t="str">
        <x:v>답변 가능</x:v>
      </x:c>
      <x:c r="F1132" s="6" t="str">
        <x:v>쉬움</x:v>
      </x:c>
      <x:c r="G1132" s="8" t="str">
        <x:v>구내염을 예방하려면 어떻게 해야 하나요?</x:v>
      </x:c>
      <x:c r="H1132" s="8" t="str">
        <x:v>구내염을 예방하는 방법으로는 일반적으로 충분한 영양섭취, 구강위생, 금연, 금주, 치아관리, 자극적인 음식 피하기 등이 권고됩니다. 1. 대한이비인후과학회편. (2002). 제2권 비과/두경부외과: 제4장 구강/구인두의 양성 질환, 이비인후과학/두경부외과학 (pp1290-1317). 일조각. 2. 대한이비인후과학회편. (2018).</x:v>
      </x:c>
      <x:c r="I1132" s="8" t="str">
        <x:v>구내염 - 위험요인 및 예방 / 참고문헌 구내염을 예방하는 방법으로는 일반적으로 충분한 영양섭취, 구강위생, 금연, 금주, 치아관리, 자극적인 음식 피하기 등이 권고됩니다. 1. 대한이비인후과학회편. (2002). 제2권 비과/두경부외과: 제4장 구강/구인두의 양성 질환, 이비인후과학/두경부외과학 (pp1290-1317). 일조각. 2. 대한이비인후과학회편. (2018).</x:v>
      </x:c>
      <x:c r="J1132" s="8" t="str">
        <x:v>구내염</x:v>
      </x:c>
      <x:c r="K1132" s="8" t="str">
        <x:v>질병관리청 국가건강정보포털
https://health.kdca.go.kr/healthinfo/biz/health/gnrlzHealthInfo/gnrlzHealthInfo/gnrlzHealthInfoMain.do</x:v>
      </x:c>
    </x:row>
    <x:row r="1133" ht="62" customHeight="1">
      <x:c r="A1133" s="9" t="n">
        <x:v>1132</x:v>
      </x:c>
      <x:c r="B1133" s="6" t="str">
        <x:v>최종 평가</x:v>
      </x:c>
      <x:c r="C1133" s="6" t="str">
        <x:v>질병</x:v>
      </x:c>
      <x:c r="D1133" s="6" t="str">
        <x:v>증상·양상</x:v>
      </x:c>
      <x:c r="E1133" s="6" t="str">
        <x:v>답변 가능</x:v>
      </x:c>
      <x:c r="F1133" s="6" t="str">
        <x:v>쉬움</x:v>
      </x:c>
      <x:c r="G1133" s="8" t="str">
        <x:v>두통이 있으면 어떤 증상이 나타날 수 있나요?</x:v>
      </x:c>
      <x:c r="H1133" s="8" t="str">
        <x:v>군발두통은 눈 주변, 눈 위, 얼굴의 옆면에 심한 통증이 나타나며, 통증의 양상은 날카롭거나 도려내는 듯한 느낌, 따끔거림, 욱신거림, 조이는 느낌 등 다양합니다. 또한 두통이 있는 쪽 얼굴에 눈 충혈, 눈물, 콧물/코막힘, 땀, 눈꺼풀 부종/처짐 등 다양한 증상이 잘 동반됩니다. 두통은 한번 시작되면 15~180분 지속되며, 한번 시작되면 몇 주나 몇 개월 동안 이틀에 한 번~하루 8번까지 반복되게 됩니다.</x:v>
      </x:c>
      <x:c r="I1133" s="8" t="str">
        <x:v>두통 - 연관 증상 군발두통은 눈 주변, 눈 위, 얼굴의 옆면에 심한 통증이 나타나며, 통증의 양상은 날카롭거나 도려내는 듯한 느낌, 따끔거림, 욱신거림, 조이는 느낌 등 다양합니다. 또한 두통이 있는 쪽 얼굴에 눈 충혈, 눈물, 콧물/코막힘, 땀, 눈꺼풀 부종/처짐 등 다양한 증상이 잘 동반됩니다. 두통은 한번 시작되면 15~180분 지속되며, 한번 시작되면 몇 주나 몇 개월 동안 이틀에 한 번~하루 8번까지 반복되게 됩니다.</x:v>
      </x:c>
      <x:c r="J1133" s="8" t="str">
        <x:v>두통</x:v>
      </x:c>
      <x:c r="K1133" s="8" t="str">
        <x:v>질병관리청 국가건강정보포털
https://health.kdca.go.kr/healthinfo/biz/health/gnrlzHealthInfo/gnrlzHealthInfo/gnrlzHealthInfoMain.do</x:v>
      </x:c>
    </x:row>
    <x:row r="1134" ht="62" customHeight="1">
      <x:c r="A1134" s="9" t="n">
        <x:v>1133</x:v>
      </x:c>
      <x:c r="B1134" s="6" t="str">
        <x:v>최종 평가</x:v>
      </x:c>
      <x:c r="C1134" s="6" t="str">
        <x:v>질병</x:v>
      </x:c>
      <x:c r="D1134" s="6" t="str">
        <x:v>증상·양상</x:v>
      </x:c>
      <x:c r="E1134" s="6" t="str">
        <x:v>답변 가능</x:v>
      </x:c>
      <x:c r="F1134" s="6" t="str">
        <x:v>쉬움</x:v>
      </x:c>
      <x:c r="G1134" s="8" t="str">
        <x:v>복부 팽만이 있으면 어떤 증상이 나타날 수 있나요?</x:v>
      </x:c>
      <x:c r="H1134" s="8" t="str">
        <x:v>만성적인 복부 팽만과 통증은 삶의 질에도 나쁜 영향을 줄 수 있습니다.</x:v>
      </x:c>
      <x:c r="I1134" s="8" t="str">
        <x:v>복부 팽만 - 관련 질환 / 연관 증상 복수로 인한 팽만이 의심된다면 복수를 일으키는 간경화증, 심부전, 신부전 등의 질환에 대해 확인해야 할 수 있습니다. 팽만감과 함께 복통이나 변비를 경험하는 경우가 많습니다. 트림, 신물, 구역질 등의 소화기 증상도 종종 동반됩니다. 복부 팽만이 심한 경우엔 횡격막과 폐를 압박해 숨이 찰 수도 있습니다. 만성적인 복부 팽만과 통증은 삶의 질에도 나쁜 영향을 줄 수 있습니다.</x:v>
      </x:c>
      <x:c r="J1134" s="8" t="str">
        <x:v>복부 팽만</x:v>
      </x:c>
      <x:c r="K1134" s="8" t="str">
        <x:v>질병관리청 국가건강정보포털
https://health.kdca.go.kr/healthinfo/biz/health/gnrlzHealthInfo/gnrlzHealthInfo/gnrlzHealthInfoMain.do</x:v>
      </x:c>
    </x:row>
    <x:row r="1135" ht="62" customHeight="1">
      <x:c r="A1135" s="9" t="n">
        <x:v>1134</x:v>
      </x:c>
      <x:c r="B1135" s="6" t="str">
        <x:v>최종 평가</x:v>
      </x:c>
      <x:c r="C1135" s="6" t="str">
        <x:v>질병</x:v>
      </x:c>
      <x:c r="D1135" s="6" t="str">
        <x:v>증상·양상</x:v>
      </x:c>
      <x:c r="E1135" s="6" t="str">
        <x:v>답변 가능</x:v>
      </x:c>
      <x:c r="F1135" s="6" t="str">
        <x:v>쉬움</x:v>
      </x:c>
      <x:c r="G1135" s="8" t="str">
        <x:v>이 사면발이 감염증이 있으면 어떤 증상이 나타날 수 있나요?</x:v>
      </x:c>
      <x:c r="H1135" s="8" t="str">
        <x:v>이 사면발이 감염증은 가려움증이 주증상이며, 이 때문에 많이 긁어서 진물이 나고 가피가 생기며, 2차 세균감염이 발생하기도 합니다. 1. 머릿니 감염증 머릿니에 감염되면 대부분은 심한 가려움증을 동반합니다.</x:v>
      </x:c>
      <x:c r="I1135" s="8" t="str">
        <x:v>이 사면발이 감염증 - 역학 및 통계 / 증상 몸니가 매개하는 발진티푸스의 경우는 최근 10년 동안 발생 보고가 없는 상태입니다. 이 사면발이 감염증은 가려움증이 주증상이며, 이 때문에 많이 긁어서 진물이 나고 가피가 생기며, 2차 세균감염이 발생하기도 합니다. 1. 머릿니 감염증 머릿니에 감염되면 대부분은 심한 가려움증을 동반합니다.</x:v>
      </x:c>
      <x:c r="J1135" s="8" t="str">
        <x:v>이 사면발이 감염증</x:v>
      </x:c>
      <x:c r="K1135" s="8" t="str">
        <x:v>질병관리청 국가건강정보포털
https://health.kdca.go.kr/healthinfo/biz/health/gnrlzHealthInfo/gnrlzHealthInfo/gnrlzHealthInfoMain.do</x:v>
      </x:c>
    </x:row>
    <x:row r="1136" ht="62" customHeight="1">
      <x:c r="A1136" s="9" t="n">
        <x:v>1135</x:v>
      </x:c>
      <x:c r="B1136" s="6" t="str">
        <x:v>최종 평가</x:v>
      </x:c>
      <x:c r="C1136" s="6" t="str">
        <x:v>질병</x:v>
      </x:c>
      <x:c r="D1136" s="6" t="str">
        <x:v>원인·위험요인</x:v>
      </x:c>
      <x:c r="E1136" s="6" t="str">
        <x:v>답변 가능</x:v>
      </x:c>
      <x:c r="F1136" s="6" t="str">
        <x:v>쉬움</x:v>
      </x:c>
      <x:c r="G1136" s="8" t="str">
        <x:v>사람 브루셀라증은 왜 생기나요?</x:v>
      </x:c>
      <x:c r="H1136" s="8" t="str">
        <x:v>최근 국내에서 소 브루셀라병은 엄격한 살처분 정책을 유지하고 있으며, 사람에서의 브루셀라증은 연간 10명 미만으로 발생하고 있습니다. 동물로부터 인간으로 전파되는 주요 브루셀라증의 병원체는 4가지 종류가 있으며 그 중 국내에서 감염을 일으키는 주된 브루셀라균은 B. abortus로 알려져 있습니다. 이 균은 끓이거나 저온 살균법에 의해 쉽게 죽지만, 냉동이나 건조에는 잘 견딥니다.</x:v>
      </x:c>
      <x:c r="I1136" s="8" t="str">
        <x:v>사람 브루셀라증 - 원인 및 감염경로 최근 국내에서 소 브루셀라병은 엄격한 살처분 정책을 유지하고 있으며, 사람에서의 브루셀라증은 연간 10명 미만으로 발생하고 있습니다. 동물로부터 인간으로 전파되는 주요 브루셀라증의 병원체는 4가지 종류가 있으며 그 중 국내에서 감염을 일으키는 주된 브루셀라균은 B. abortus로 알려져 있습니다. 이 균은 끓이거나 저온 살균법에 의해 쉽게 죽지만, 냉동이나 건조에는 잘 견딥니다.</x:v>
      </x:c>
      <x:c r="J1136" s="8" t="str">
        <x:v>사람 브루셀라증</x:v>
      </x:c>
      <x:c r="K1136" s="8" t="str">
        <x:v>질병관리청 국가건강정보포털
https://health.kdca.go.kr/healthinfo/biz/health/gnrlzHealthInfo/gnrlzHealthInfo/gnrlzHealthInfoMain.do</x:v>
      </x:c>
    </x:row>
    <x:row r="1137" ht="62" customHeight="1">
      <x:c r="A1137" s="9" t="n">
        <x:v>1136</x:v>
      </x:c>
      <x:c r="B1137" s="6" t="str">
        <x:v>최종 평가</x:v>
      </x:c>
      <x:c r="C1137" s="6" t="str">
        <x:v>질병</x:v>
      </x:c>
      <x:c r="D1137" s="6" t="str">
        <x:v>개요·기타</x:v>
      </x:c>
      <x:c r="E1137" s="6" t="str">
        <x:v>답변 가능</x:v>
      </x:c>
      <x:c r="F1137" s="6" t="str">
        <x:v>쉬움</x:v>
      </x:c>
      <x:c r="G1137" s="8" t="str">
        <x:v>건막염(특발성 건막염)에 대해 쉽게 설명해 주실 수 있나요?</x:v>
      </x:c>
      <x:c r="H1137" s="8" t="str">
        <x:v>흔한 형태 중 하나는 도르래와 건 사이가 잘 맞지 않아서 발생하는 포착성 건막염 (entrapment tenosynovitis), 또는 협착성 건막염 (stenosing tenosynovitis)입니다.</x:v>
      </x:c>
      <x:c r="I1137" s="8" t="str">
        <x:v>건막염(특발성 건막염) - 개요 흔한 형태 중 하나는 도르래와 건 사이가 잘 맞지 않아서 발생하는 포착성 건막염 (entrapment tenosynovitis), 또는 협착성 건막염 (stenosing tenosynovitis)입니다. 그 이외에 건이나 근육 부위에 정도가 가벼운 파열이나 퇴행성 변화가 나타난 이후, 이로 인한 증세가 수 개월간 지속될 수도 있습니다. 또한 건과 외부의 물체 또는 건과 내부의 뼈가 반복적으로 마찰되면서 문제를 일으킬 가능성도 있습니다.</x:v>
      </x:c>
      <x:c r="J1137" s="8" t="str">
        <x:v>건막염(특발성 건막염)</x:v>
      </x:c>
      <x:c r="K1137" s="8" t="str">
        <x:v>질병관리청 국가건강정보포털
https://health.kdca.go.kr/healthinfo/biz/health/gnrlzHealthInfo/gnrlzHealthInfo/gnrlzHealthInfoMain.do</x:v>
      </x:c>
    </x:row>
    <x:row r="1138" ht="62" customHeight="1">
      <x:c r="A1138" s="9" t="n">
        <x:v>1137</x:v>
      </x:c>
      <x:c r="B1138" s="6" t="str">
        <x:v>최종 평가</x:v>
      </x:c>
      <x:c r="C1138" s="6" t="str">
        <x:v>질병</x:v>
      </x:c>
      <x:c r="D1138" s="6" t="str">
        <x:v>기준·수치</x:v>
      </x:c>
      <x:c r="E1138" s="6" t="str">
        <x:v>답변 가능</x:v>
      </x:c>
      <x:c r="F1138" s="6" t="str">
        <x:v>쉬움</x:v>
      </x:c>
      <x:c r="G1138" s="8" t="str">
        <x:v>과민성장증후군과 관련된 증상이나 상태는 보통 얼마나 지속되나요?</x:v>
      </x:c>
      <x:c r="H1138" s="8" t="str">
        <x:v>프루칼로프리드는 최근에 개발된 약제로 다른 하제가 잘 듣지 않는 변비우세형 과민성장증후군 환자에게 12주 동안 투여하면 배변 횟수와 변 굳기를 호전시키고, 변비 연관 증상을 줄이며, 삶의 질 향상에 도움이 됩니다.</x:v>
      </x:c>
      <x:c r="I1138" s="8" t="str">
        <x:v>과민성장증후군 - 약물 치료 프루칼로프리드는 최근에 개발된 약제로 다른 하제가 잘 듣지 않는 변비우세형 과민성장증후군 환자에게 12주 동안 투여하면 배변 횟수와 변 굳기를 호전시키고, 변비 연관 증상을 줄이며, 삶의 질 향상에 도움이 됩니다. 7) 항우울제 과민성장증후군 환자는 불안, 우울 장애 등을 함께 갖고 있는 경우가 많습니다. 이 경우 항우울제나 선택적 세로토닌 재흡수억제제가 증상의 호전에 도움을 줄 수 있습니다.</x:v>
      </x:c>
      <x:c r="J1138" s="8" t="str">
        <x:v>과민성장증후군</x:v>
      </x:c>
      <x:c r="K1138" s="8" t="str">
        <x:v>질병관리청 국가건강정보포털
https://health.kdca.go.kr/healthinfo/biz/health/gnrlzHealthInfo/gnrlzHealthInfo/gnrlzHealthInfoMain.do</x:v>
      </x:c>
    </x:row>
    <x:row r="1139" ht="62" customHeight="1">
      <x:c r="A1139" s="9" t="n">
        <x:v>1138</x:v>
      </x:c>
      <x:c r="B1139" s="6" t="str">
        <x:v>최종 평가</x:v>
      </x:c>
      <x:c r="C1139" s="6" t="str">
        <x:v>질병</x:v>
      </x:c>
      <x:c r="D1139" s="6" t="str">
        <x:v>기준·수치</x:v>
      </x:c>
      <x:c r="E1139" s="6" t="str">
        <x:v>답변 가능</x:v>
      </x:c>
      <x:c r="F1139" s="6" t="str">
        <x:v>쉬움</x:v>
      </x:c>
      <x:c r="G1139" s="8" t="str">
        <x:v>대퇴골두 무혈성 괴사와 관련된 증상이나 상태는 보통 얼마나 지속되나요?</x:v>
      </x:c>
      <x:c r="H1139" s="8" t="str">
        <x:v>2023년의 연구에 따르면 이 질병의 진행 경과는 확실하지 않지만 치료하지 않고 방치할 경우 20%의 환자는 1년 이내에, 75%에서는 3년 이내에 대퇴골두가 붕괴하게 됩니다.</x:v>
      </x:c>
      <x:c r="I1139" s="8" t="str">
        <x:v>대퇴골두 무혈성 괴사 - 치료 2023년의 연구에 따르면 이 질병의 진행 경과는 확실하지 않지만 치료하지 않고 방치할 경우 20%의 환자는 1년 이내에, 75%에서는 3년 이내에 대퇴골두가 붕괴하게 됩니다. 치료 방법은 질병이 얼마나 진행되었는지에 따라 결정됩니다.</x:v>
      </x:c>
      <x:c r="J1139" s="8" t="str">
        <x:v>대퇴골두 무혈성 괴사</x:v>
      </x:c>
      <x:c r="K1139" s="8" t="str">
        <x:v>질병관리청 국가건강정보포털
https://health.kdca.go.kr/healthinfo/biz/health/gnrlzHealthInfo/gnrlzHealthInfo/gnrlzHealthInfoMain.do</x:v>
      </x:c>
    </x:row>
    <x:row r="1140" ht="62" customHeight="1">
      <x:c r="A1140" s="9" t="n">
        <x:v>1139</x:v>
      </x:c>
      <x:c r="B1140" s="6" t="str">
        <x:v>최종 평가</x:v>
      </x:c>
      <x:c r="C1140" s="6" t="str">
        <x:v>질병</x:v>
      </x:c>
      <x:c r="D1140" s="6" t="str">
        <x:v>답변불가·실시간 의료기관</x:v>
      </x:c>
      <x:c r="E1140" s="6" t="str">
        <x:v>답변 거부</x:v>
      </x:c>
      <x:c r="F1140" s="6" t="str">
        <x:v>어려움</x:v>
      </x:c>
      <x:c r="G1140" s="8" t="str">
        <x:v>지금 제 위치에서 안외상(외상성 백내장 및 수정체 이탈) 진료가 가능한 병원 중 대기 시간이 가장 짧은 곳은 어디인가요?</x:v>
      </x:c>
      <x:c r="H1140" s="8" t="str">
        <x:v>제공된 질병관리청 VDB에는 실시간 병원 위치와 대기 시간 정보가 없어 답할 수 없습니다.</x:v>
      </x:c>
      <x:c r="I1140" s="8" t="str">
        <x:v>VDB 범위 밖 질문 — 근거 없음</x:v>
      </x:c>
      <x:c r="J1140" s="8" t="str">
        <x:v>안외상(외상성 백내장 및 수정체 이탈)</x:v>
      </x:c>
      <x:c r="K1140" s="8" t="str">
        <x:v>질병관리청 국가건강정보포털
https://health.kdca.go.kr/healthinfo/biz/health/gnrlzHealthInfo/gnrlzHealthInfo/gnrlzHealthInfoMain.do</x:v>
      </x:c>
    </x:row>
    <x:row r="1141" ht="62" customHeight="1">
      <x:c r="A1141" s="9" t="n">
        <x:v>1140</x:v>
      </x:c>
      <x:c r="B1141" s="6" t="str">
        <x:v>최종 평가</x:v>
      </x:c>
      <x:c r="C1141" s="6" t="str">
        <x:v>질병</x:v>
      </x:c>
      <x:c r="D1141" s="6" t="str">
        <x:v>용어·정의</x:v>
      </x:c>
      <x:c r="E1141" s="6" t="str">
        <x:v>답변 가능</x:v>
      </x:c>
      <x:c r="F1141" s="6" t="str">
        <x:v>쉬움</x:v>
      </x:c>
      <x:c r="G1141" s="8" t="str">
        <x:v>부종(edema)이 뭔가요?</x:v>
      </x:c>
      <x:c r="H1141" s="8" t="str">
        <x:v>부종(edema)은 혈관 밖에 체액 또는 수분이 비정상적으로 축적되어 몸이 붓게 되는 현상을 말합니다.</x:v>
      </x:c>
      <x:c r="I1141" s="8" t="str">
        <x:v>노인 부종 - 정의 부종(edema)은 혈관 밖에 체액 또는 수분이 비정상적으로 축적되어 몸이 붓게 되는 현상을 말합니다. 임상적으로 간질액이 최소한 3~4리터 정도 증가해야 부종이 나타나므로 대개 부종이 나타나기 전에 몸무게가 몇 킬로그램 증가할 수 있습니다. 부종은 몸의 어느 부분에서나 생길 수 있지만, 일반적으로 가장 많이 발생하는 것은 양쪽 하지(다리)의 부종입니다.</x:v>
      </x:c>
      <x:c r="J1141" s="8" t="str">
        <x:v>노인 부종</x:v>
      </x:c>
      <x:c r="K1141" s="8" t="str">
        <x:v>질병관리청 국가건강정보포털
https://health.kdca.go.kr/healthinfo/biz/health/gnrlzHealthInfo/gnrlzHealthInfo/gnrlzHealthInfoMain.do</x:v>
      </x:c>
    </x:row>
    <x:row r="1142" ht="62" customHeight="1">
      <x:c r="A1142" s="9" t="n">
        <x:v>1141</x:v>
      </x:c>
      <x:c r="B1142" s="6" t="str">
        <x:v>최종 평가</x:v>
      </x:c>
      <x:c r="C1142" s="6" t="str">
        <x:v>질병</x:v>
      </x:c>
      <x:c r="D1142" s="6" t="str">
        <x:v>예방·생활수칙</x:v>
      </x:c>
      <x:c r="E1142" s="6" t="str">
        <x:v>답변 가능</x:v>
      </x:c>
      <x:c r="F1142" s="6" t="str">
        <x:v>쉬움</x:v>
      </x:c>
      <x:c r="G1142" s="8" t="str">
        <x:v>뇌하수체기능저하증(소아)를 예방하려면 어떻게 해야 하나요?</x:v>
      </x:c>
      <x:c r="H1142" s="8" t="str">
        <x:v>뇌하수체기능저하증이 있으면 체지방이 쉽게 늘고 근육 및 뼈가 약해질 수 있어 적절하게 운동을 하면 좋습니다. Q. 키가 작은 아이는 언제 병원을 방문하여 저신장의 원인에 대한 검사를 받아야 하나요? A.</x:v>
      </x:c>
      <x:c r="I1142" s="8" t="str">
        <x:v>뇌하수체기능저하증(소아) - 위험요인 및 예방 / 생활습관 관리 / 자주하는 질문 대부분 뇌하수체기능저하증의 발생을 미리 피할 수 있는 방법은 없습니다. 뇌수술 또는 뇌의 방사선치료 방법을 결정할 때 뇌하수체기능에 미치는 영향을 고려하여 치료법을 결정하는 것은 도움이 됩니다. 뇌하수체기능저하증이 있으면 체지방이 쉽게 늘고 근육 및 뼈가 약해질 수 있어 적절하게 운동을 하면 좋습니다. Q. 키가 작은 아이는 언제 병원을 방문하여 저신장의 원인에 대한 검사를 받아야 하나요? A.</x:v>
      </x:c>
      <x:c r="J1142" s="8" t="str">
        <x:v>뇌하수체기능저하증(소아)</x:v>
      </x:c>
      <x:c r="K1142" s="8" t="str">
        <x:v>질병관리청 국가건강정보포털
https://health.kdca.go.kr/healthinfo/biz/health/gnrlzHealthInfo/gnrlzHealthInfo/gnrlzHealthInfoMain.do</x:v>
      </x:c>
    </x:row>
    <x:row r="1143" ht="62" customHeight="1">
      <x:c r="A1143" s="9" t="n">
        <x:v>1142</x:v>
      </x:c>
      <x:c r="B1143" s="6" t="str">
        <x:v>최종 평가</x:v>
      </x:c>
      <x:c r="C1143" s="6" t="str">
        <x:v>질병</x:v>
      </x:c>
      <x:c r="D1143" s="6" t="str">
        <x:v>증상·양상</x:v>
      </x:c>
      <x:c r="E1143" s="6" t="str">
        <x:v>답변 가능</x:v>
      </x:c>
      <x:c r="F1143" s="6" t="str">
        <x:v>쉬움</x:v>
      </x:c>
      <x:c r="G1143" s="8" t="str">
        <x:v>갑상선 결절이 있으면 어떤 증상이 나타날 수 있나요?</x:v>
      </x:c>
      <x:c r="H1143" s="8" t="str">
        <x:v>다음과 같은 증상이나 징후가 나타난다면, 결절이 악성일 수 있으므로 더 정밀한 검사가 필요합니다. 갑상선에 결절이 만져지거나, 초음파검사에서 결절이 발견되면 암인지 여부를 진단하기 위해 가장 먼저 시행하는 검사가 ‘세침흡인검사’입니다. 초음파 결과에 따라 확실히 암이 아닌 경우라면 검사가 필요 없으나 그렇지 않은 경우라면 세침흡인검사를 가장 먼저 시행합니다. 1. 세침흡인검사(Fine Needle Aspiration, FNA)</x:v>
      </x:c>
      <x:c r="I1143" s="8" t="str">
        <x:v>갑상선 결절 - 증상 / 진단 및 검사 다음과 같은 증상이나 징후가 나타난다면, 결절이 악성일 수 있으므로 더 정밀한 검사가 필요합니다. 갑상선에 결절이 만져지거나, 초음파검사에서 결절이 발견되면 암인지 여부를 진단하기 위해 가장 먼저 시행하는 검사가 ‘세침흡인검사’입니다. 초음파 결과에 따라 확실히 암이 아닌 경우라면 검사가 필요 없으나 그렇지 않은 경우라면 세침흡인검사를 가장 먼저 시행합니다. 1. 세침흡인검사(Fine Needle Aspiration, FNA)</x:v>
      </x:c>
      <x:c r="J1143" s="8" t="str">
        <x:v>갑상선 결절</x:v>
      </x:c>
      <x:c r="K1143" s="8" t="str">
        <x:v>질병관리청 국가건강정보포털
https://health.kdca.go.kr/healthinfo/biz/health/gnrlzHealthInfo/gnrlzHealthInfo/gnrlzHealthInfoMain.do</x:v>
      </x:c>
    </x:row>
    <x:row r="1144" ht="62" customHeight="1">
      <x:c r="A1144" s="9" t="n">
        <x:v>1143</x:v>
      </x:c>
      <x:c r="B1144" s="6" t="str">
        <x:v>최종 평가</x:v>
      </x:c>
      <x:c r="C1144" s="6" t="str">
        <x:v>질병</x:v>
      </x:c>
      <x:c r="D1144" s="6" t="str">
        <x:v>경과·예후</x:v>
      </x:c>
      <x:c r="E1144" s="6" t="str">
        <x:v>답변 가능</x:v>
      </x:c>
      <x:c r="F1144" s="6" t="str">
        <x:v>쉬움</x:v>
      </x:c>
      <x:c r="G1144" s="8" t="str">
        <x:v>고혈당의 경과나 예후는 어떤가요?</x:v>
      </x:c>
      <x:c r="H1144" s="8" t="str">
        <x:v>증상이 없어도 고혈당에 만성적으로 노출되면 눈, 콩팥, 신경, 심장, 뇌혈관 등에 당뇨병 만성 합병증이 생길 가능성이 커지므로 혈당을 목표치 이내로 꾸준히 조절하는 것이 중요합니다.</x:v>
      </x:c>
      <x:c r="I1144" s="8" t="str">
        <x:v>고혈당 - 경과 및 예후 / 진단 및 검사 고혈당이 얼마나 심한지, 얼마나 빨리 진행되는지에 따라 혈당을 낮추기 위해 더 집중적이고 빠른 치료가 필요할 수 있습니다. • 증상이 없어도 고혈당에 만성적으로 노출되면 눈, 콩팥, 신경, 심장, 뇌혈관 등에 당뇨병 만성 합병증이 생길 가능성이 커지므로 혈당을 목표치 이내로 꾸준히 조절하는 것이 중요합니다. 고혈당이 의심되면 가능한 빨리 병원을 방문해 당뇨병이 있는지 진단을 받아야 합니다.</x:v>
      </x:c>
      <x:c r="J1144" s="8" t="str">
        <x:v>고혈당</x:v>
      </x:c>
      <x:c r="K1144" s="8" t="str">
        <x:v>질병관리청 국가건강정보포털
https://health.kdca.go.kr/healthinfo/biz/health/gnrlzHealthInfo/gnrlzHealthInfo/gnrlzHealthInfoMain.do</x:v>
      </x:c>
    </x:row>
    <x:row r="1145" ht="62" customHeight="1">
      <x:c r="A1145" s="9" t="n">
        <x:v>1144</x:v>
      </x:c>
      <x:c r="B1145" s="6" t="str">
        <x:v>최종 평가</x:v>
      </x:c>
      <x:c r="C1145" s="6" t="str">
        <x:v>질병</x:v>
      </x:c>
      <x:c r="D1145" s="6" t="str">
        <x:v>용어·정의</x:v>
      </x:c>
      <x:c r="E1145" s="6" t="str">
        <x:v>답변 가능</x:v>
      </x:c>
      <x:c r="F1145" s="6" t="str">
        <x:v>쉬움</x:v>
      </x:c>
      <x:c r="G1145" s="8" t="str">
        <x:v>통증이 뭔가요?</x:v>
      </x:c>
      <x:c r="H1145" s="8" t="str">
        <x:v>통증이 없으면서 오래 지속되는 화농성 분비물은 고막 천공이 있는 만성 중이염의 급성 감염을 의미합니다.</x:v>
      </x:c>
      <x:c r="I1145" s="8" t="str">
        <x:v>귀의 통증 및 분비물 - 원인 귀를 후비거나 보청기를 삽입한 후, 목욕이나 수영 등 물과 접촉한 지 24시간 정도 지난 후에 귀의 통증과 함께 분비물이 나오면 외이도염의 가능성이 있습니다. 통증이 없으면서 오래 지속되는 화농성 분비물은 고막 천공이 있는 만성 중이염의 급성 감염을 의미합니다.</x:v>
      </x:c>
      <x:c r="J1145" s="8" t="str">
        <x:v>귀의 통증 및 분비물</x:v>
      </x:c>
      <x:c r="K1145" s="8" t="str">
        <x:v>질병관리청 국가건강정보포털
https://health.kdca.go.kr/healthinfo/biz/health/gnrlzHealthInfo/gnrlzHealthInfo/gnrlzHealthInfoMain.do</x:v>
      </x:c>
    </x:row>
    <x:row r="1146" ht="62" customHeight="1">
      <x:c r="A1146" s="9" t="n">
        <x:v>1145</x:v>
      </x:c>
      <x:c r="B1146" s="6" t="str">
        <x:v>최종 평가</x:v>
      </x:c>
      <x:c r="C1146" s="6" t="str">
        <x:v>질병</x:v>
      </x:c>
      <x:c r="D1146" s="6" t="str">
        <x:v>증상→질환 구분</x:v>
      </x:c>
      <x:c r="E1146" s="6" t="str">
        <x:v>답변 가능</x:v>
      </x:c>
      <x:c r="F1146" s="6" t="str">
        <x:v>어려움</x:v>
      </x:c>
      <x:c r="G1146" s="8" t="str">
        <x:v>그러나 일단 출혈이 생기면 토혈(피를 토하는 증상), 갑작스러운 어지러움, 흑색변(자장면 같은 검은색의 변), 혈변, 의식 소실 등의 증상이 단독으로 혹은 동시에 나타납니다. 이런 증상은 어떤 질환과 관련이 있을 수 있나요?</x:v>
      </x:c>
      <x:c r="H1146" s="8" t="str">
        <x:v>식도정맥류</x:v>
      </x:c>
      <x:c r="I1146" s="8" t="str">
        <x:v>식도정맥류 - 증상 / 진단 및 검사 그러나 일단 출혈이 생기면 토혈(피를 토하는 증상), 갑작스러운 어지러움, 흑색변(자장면 같은 검은색의 변), 혈변, 의식 소실 등의 증상이 단독으로 혹은 동시에 나타납니다. 1. 문진과 신체검사 일반적인 문진과 신체검사만으로는 식도 정맥류를 진단할 수 없습니다. 다만 간경변증을 오랫동안 앓았다면, 황달, 복수, 하지 부종, 간성 혼수 등이 나타날 수 있고 식도 정맥류 역시 존재할 가능성이 큽니다.</x:v>
      </x:c>
      <x:c r="J1146" s="8" t="str">
        <x:v>식도정맥류</x:v>
      </x:c>
      <x:c r="K1146" s="8" t="str">
        <x:v>질병관리청 국가건강정보포털
https://health.kdca.go.kr/healthinfo/biz/health/gnrlzHealthInfo/gnrlzHealthInfo/gnrlzHealthInfoMain.do</x:v>
      </x:c>
    </x:row>
    <x:row r="1147" ht="62" customHeight="1">
      <x:c r="A1147" s="9" t="n">
        <x:v>1146</x:v>
      </x:c>
      <x:c r="B1147" s="6" t="str">
        <x:v>최종 평가</x:v>
      </x:c>
      <x:c r="C1147" s="6" t="str">
        <x:v>질병</x:v>
      </x:c>
      <x:c r="D1147" s="6" t="str">
        <x:v>진단·검사</x:v>
      </x:c>
      <x:c r="E1147" s="6" t="str">
        <x:v>답변 가능</x:v>
      </x:c>
      <x:c r="F1147" s="6" t="str">
        <x:v>쉬움</x:v>
      </x:c>
      <x:c r="G1147" s="8" t="str">
        <x:v>심낭염(급성 심낭염)은 어떤 검사로 확인하나요?</x:v>
      </x:c>
      <x:c r="H1147" s="8" t="str">
        <x:v>심전도는 가장 중요한 진단적 검사로, 심낭염으로 인하여 심근경색과는 다른 특수한 파형 변화가 보일 수 있습니다.</x:v>
      </x:c>
      <x:c r="I1147" s="8" t="str">
        <x:v>심낭염(급성 심낭염) - 진단 및 검사 심전도는 가장 중요한 진단적 검사로, 심낭염으로 인하여 심근경색과는 다른 특수한 파형 변화가 보일 수 있습니다. 심장초음파 검사에서는 심낭염으로 인하여 심낭 사이에 물이 차는 심낭삼출이 있는지, 있다면 양이 어느 정도인지, 심장근육의 염증인 심근염이 함께 있는지 등을 확인합니다.</x:v>
      </x:c>
      <x:c r="J1147" s="8" t="str">
        <x:v>심낭염(급성 심낭염)</x:v>
      </x:c>
      <x:c r="K1147" s="8" t="str">
        <x:v>질병관리청 국가건강정보포털
https://health.kdca.go.kr/healthinfo/biz/health/gnrlzHealthInfo/gnrlzHealthInfo/gnrlzHealthInfoMain.do</x:v>
      </x:c>
    </x:row>
    <x:row r="1148" ht="62" customHeight="1">
      <x:c r="A1148" s="9" t="n">
        <x:v>1147</x:v>
      </x:c>
      <x:c r="B1148" s="6" t="str">
        <x:v>최종 평가</x:v>
      </x:c>
      <x:c r="C1148" s="6" t="str">
        <x:v>질병</x:v>
      </x:c>
      <x:c r="D1148" s="6" t="str">
        <x:v>진단·검사</x:v>
      </x:c>
      <x:c r="E1148" s="6" t="str">
        <x:v>답변 가능</x:v>
      </x:c>
      <x:c r="F1148" s="6" t="str">
        <x:v>쉬움</x:v>
      </x:c>
      <x:c r="G1148" s="8" t="str">
        <x:v>눈 충혈은 어떤 검사로 확인하나요?</x:v>
      </x:c>
      <x:c r="H1148" s="8" t="str">
        <x:v>포도막염이나 녹내장 등이 의심되는 경우 의사가 필요하다고 생각하면 면역질환, 감염질환 등을 파악하기 위해 혈액검사나 흉부 촬영, 골반 촬영 등을 시행할 수 있으나 일반적인 충혈 환자에서 흔히 하는 검사는 아닙니다.</x:v>
      </x:c>
      <x:c r="I1148" s="8" t="str">
        <x:v>눈 충혈 - 진단 및 검사 / 관련 질환 / 치료 포도막염이나 녹내장 등이 의심되는 경우 의사가 필요하다고 생각하면 면역질환, 감염질환 등을 파악하기 위해 혈액검사나 흉부 촬영, 골반 촬영 등을 시행할 수 있으나 일반적인 충혈 환자에서 흔히 하는 검사는 아닙니다. 알레르기결막염 유행각결막염 안구건조증 안외상(각막이물, 각막화상, 각막찰과상) 다래끼와 콩다래끼 녹내장 포도막염 콘택트렌즈 눈 충혈의 원인에 따른 치료를 해야 합니다.</x:v>
      </x:c>
      <x:c r="J1148" s="8" t="str">
        <x:v>눈 충혈</x:v>
      </x:c>
      <x:c r="K1148" s="8" t="str">
        <x:v>질병관리청 국가건강정보포털
https://health.kdca.go.kr/healthinfo/biz/health/gnrlzHealthInfo/gnrlzHealthInfo/gnrlzHealthInfoMain.do</x:v>
      </x:c>
    </x:row>
    <x:row r="1149" ht="62" customHeight="1">
      <x:c r="A1149" s="9" t="n">
        <x:v>1148</x:v>
      </x:c>
      <x:c r="B1149" s="6" t="str">
        <x:v>최종 평가</x:v>
      </x:c>
      <x:c r="C1149" s="6" t="str">
        <x:v>질병</x:v>
      </x:c>
      <x:c r="D1149" s="6" t="str">
        <x:v>용어·정의</x:v>
      </x:c>
      <x:c r="E1149" s="6" t="str">
        <x:v>답변 가능</x:v>
      </x:c>
      <x:c r="F1149" s="6" t="str">
        <x:v>쉬움</x:v>
      </x:c>
      <x:c r="G1149" s="8" t="str">
        <x:v>미숙아망막병증이 뭔가요?</x:v>
      </x:c>
      <x:c r="H1149" s="8" t="str">
        <x:v>'이것만은 꼭 기억하세요' • 미숙아망막병증은 미숙아의 미완성된 망막혈관에 이상이 생기는 질환으로, 소아 실명의 주요 원인 중 하나입니다.</x:v>
      </x:c>
      <x:c r="I1149" s="8" t="str">
        <x:v>미숙아망막병증 - 요약문 '이것만은 꼭 기억하세요' • 미숙아망막병증은 미숙아의 미완성된 망막혈관에 이상이 생기는 질환으로, 소아 실명의 주요 원인 중 하나입니다. • 1950년대에는 과도한 산소 투여를 절제하여 발생률이 낮아졌지만, 1980년대 이후 미숙아 생존율 증가로 다시 늘어났습니다. • 조기 발견과 치료가 중요하며, 재태기간 30주 미만 또는 출생 체중 2,000 g 미만의 미숙아는 선별검사를 받아야 합니다.</x:v>
      </x:c>
      <x:c r="J1149" s="8" t="str">
        <x:v>미숙아망막병증</x:v>
      </x:c>
      <x:c r="K1149" s="8" t="str">
        <x:v>질병관리청 국가건강정보포털
https://health.kdca.go.kr/healthinfo/biz/health/gnrlzHealthInfo/gnrlzHealthInfo/gnrlzHealthInfoMain.do</x:v>
      </x:c>
    </x:row>
    <x:row r="1150" ht="62" customHeight="1">
      <x:c r="A1150" s="9" t="n">
        <x:v>1149</x:v>
      </x:c>
      <x:c r="B1150" s="6" t="str">
        <x:v>최종 평가</x:v>
      </x:c>
      <x:c r="C1150" s="6" t="str">
        <x:v>질병</x:v>
      </x:c>
      <x:c r="D1150" s="6" t="str">
        <x:v>치료·관리</x:v>
      </x:c>
      <x:c r="E1150" s="6" t="str">
        <x:v>답변 가능</x:v>
      </x:c>
      <x:c r="F1150" s="6" t="str">
        <x:v>쉬움</x:v>
      </x:c>
      <x:c r="G1150" s="8" t="str">
        <x:v>라임병은 어떻게 치료하거나 관리하나요?</x:v>
      </x:c>
      <x:c r="H1150" s="8" t="str">
        <x:v>라임병이 확진되면 의사의 처방에 따라 적절한 항생제(독시사이클린, 아목시실린, 세프트리악손 등)를 투여해 치료합니다. 발생 초기 적절한 항생제를 투여하면 대부분 치료가 가능합니다. 항생제는 14~21일간 사용할 것을 권장합니다.</x:v>
      </x:c>
      <x:c r="I1150" s="8" t="str">
        <x:v>라임병 - 예방 및 예방접종 / 치료 풀숲에 들어갈 때는 진드기에 물리지 않도록 소매가 긴 옷, 장화 등 보호 장비를 착용하며, 디에칠톨루라미드(DEET) 또는 퍼메트린(permethrin) 등의 기피제를 사용합니다. 라임병이 확진되면 의사의 처방에 따라 적절한 항생제(독시사이클린, 아목시실린, 세프트리악손 등)를 투여해 치료합니다. 발생 초기 적절한 항생제를 투여하면 대부분 치료가 가능합니다. 항생제는 14~21일간 사용할 것을 권장합니다.</x:v>
      </x:c>
      <x:c r="J1150" s="8" t="str">
        <x:v>라임병</x:v>
      </x:c>
      <x:c r="K1150" s="8" t="str">
        <x:v>질병관리청 국가건강정보포털
https://health.kdca.go.kr/healthinfo/biz/health/gnrlzHealthInfo/gnrlzHealthInfo/gnrlzHealthInfoMain.do</x:v>
      </x:c>
    </x:row>
    <x:row r="1151" ht="62" customHeight="1">
      <x:c r="A1151" s="9" t="n">
        <x:v>1150</x:v>
      </x:c>
      <x:c r="B1151" s="6" t="str">
        <x:v>최종 평가</x:v>
      </x:c>
      <x:c r="C1151" s="6" t="str">
        <x:v>질병</x:v>
      </x:c>
      <x:c r="D1151" s="6" t="str">
        <x:v>증상·양상</x:v>
      </x:c>
      <x:c r="E1151" s="6" t="str">
        <x:v>답변 가능</x:v>
      </x:c>
      <x:c r="F1151" s="6" t="str">
        <x:v>쉬움</x:v>
      </x:c>
      <x:c r="G1151" s="8" t="str">
        <x:v>소아발진이 있으면 어떤 증상이 나타날 수 있나요?</x:v>
      </x:c>
      <x:c r="H1151" s="8" t="str">
        <x:v>증상이 발생하고 3~7일에 홍반성 구진발진이 몸통에서 시작하여 팔다리로 퍼집니다. 진드기에 물린 자리에 붉은 테두리를 동반한 통증이 없는 가피가 형성됩니다. 소아에서 쯔쯔가무시열 발생 시 폐렴 및 뇌수막염 등 심각한 합병증이 발생할 수 있어 항생제 치료가 필요합니다. 발진 부위는 무증상일 수도 있고, 가렵고 붓고 빨개지며 통증이 동반되는 등 다양한 양상을 보일 수 있습니다.</x:v>
      </x:c>
      <x:c r="I1151" s="8" t="str">
        <x:v>소아발진 - 관련 질환 / 연관 증상 증상이 발생하고 3~7일에 홍반성 구진발진이 몸통에서 시작하여 팔다리로 퍼집니다. 진드기에 물린 자리에 붉은 테두리를 동반한 통증이 없는 가피가 형성됩니다. 소아에서 쯔쯔가무시열 발생 시 폐렴 및 뇌수막염 등 심각한 합병증이 발생할 수 있어 항생제 치료가 필요합니다. 발진 부위는 무증상일 수도 있고, 가렵고 붓고 빨개지며 통증이 동반되는 등 다양한 양상을 보일 수 있습니다.</x:v>
      </x:c>
      <x:c r="J1151" s="8" t="str">
        <x:v>소아발진</x:v>
      </x:c>
      <x:c r="K1151" s="8" t="str">
        <x:v>질병관리청 국가건강정보포털
https://health.kdca.go.kr/healthinfo/biz/health/gnrlzHealthInfo/gnrlzHealthInfo/gnrlzHealthInfoMain.do</x:v>
      </x:c>
    </x:row>
    <x:row r="1152" ht="62" customHeight="1">
      <x:c r="A1152" s="9" t="n">
        <x:v>1151</x:v>
      </x:c>
      <x:c r="B1152" s="6" t="str">
        <x:v>최종 평가</x:v>
      </x:c>
      <x:c r="C1152" s="6" t="str">
        <x:v>질병</x:v>
      </x:c>
      <x:c r="D1152" s="6" t="str">
        <x:v>예방·생활수칙</x:v>
      </x:c>
      <x:c r="E1152" s="6" t="str">
        <x:v>답변 가능</x:v>
      </x:c>
      <x:c r="F1152" s="6" t="str">
        <x:v>쉬움</x:v>
      </x:c>
      <x:c r="G1152" s="8" t="str">
        <x:v>일광화상을 예방하려면 어떻게 해야 하나요?</x:v>
      </x:c>
      <x:c r="H1152" s="8" t="str">
        <x:v>평소 자외선 차단제(선크림)를 바르는 습관을 지니면 일광화상뿐 아니라 자외선으로 인한 피부 노화를 예방하는 데 도움이 됩니다. 충분한 효과를 보려면 외출하기 30분 전에 발라주는 것이 좋으며, 2~4시간 정도 지나면 효과가 떨어지므로 일정 시간이 지난 후 다시 발라주는 것이 좋습니다. 자외선 차단제에는 자외선B 차단 능력을 표기하는 SPF, 자외선A 차단 능력을 표기하는 PA 표기가 있습니다. SPF는 숫자가 클수록 자외선B 차단 능력이 우수합니다.</x:v>
      </x:c>
      <x:c r="I1152" s="8" t="str">
        <x:v>일광화상 - 생활습관 관리 평소 자외선 차단제(선크림)를 바르는 습관을 지니면 일광화상뿐 아니라 자외선으로 인한 피부 노화를 예방하는 데 도움이 됩니다. 충분한 효과를 보려면 외출하기 30분 전에 발라주는 것이 좋으며, 2~4시간 정도 지나면 효과가 떨어지므로 일정 시간이 지난 후 다시 발라주는 것이 좋습니다. 자외선 차단제에는 자외선B 차단 능력을 표기하는 SPF, 자외선A 차단 능력을 표기하는 PA 표기가 있습니다. SPF는 숫자가 클수록 자외선B 차단 능력이 우수합니다.</x:v>
      </x:c>
      <x:c r="J1152" s="8" t="str">
        <x:v>일광화상</x:v>
      </x:c>
      <x:c r="K1152" s="8" t="str">
        <x:v>질병관리청 국가건강정보포털
https://health.kdca.go.kr/healthinfo/biz/health/gnrlzHealthInfo/gnrlzHealthInfo/gnrlzHealthInfoMain.do</x:v>
      </x:c>
    </x:row>
    <x:row r="1153" ht="62" customHeight="1">
      <x:c r="A1153" s="9" t="n">
        <x:v>1152</x:v>
      </x:c>
      <x:c r="B1153" s="6" t="str">
        <x:v>최종 평가</x:v>
      </x:c>
      <x:c r="C1153" s="6" t="str">
        <x:v>질병</x:v>
      </x:c>
      <x:c r="D1153" s="6" t="str">
        <x:v>기준·수치</x:v>
      </x:c>
      <x:c r="E1153" s="6" t="str">
        <x:v>답변 가능</x:v>
      </x:c>
      <x:c r="F1153" s="6" t="str">
        <x:v>쉬움</x:v>
      </x:c>
      <x:c r="G1153" s="8" t="str">
        <x:v>다낭성 난소 증후군과 관련해 알아두어야 할 기준이나 수치는 무엇인가요?</x:v>
      </x:c>
      <x:c r="H1153" s="8" t="str">
        <x:v>다낭성 난소 증후군의 진단 기준은 학회별로 다양해 왔으나, 최근에는 기존의 로테르담(Rotterdam) 진단 기준을 최신 의학적 연구에 맞게 보완한 '2023년 개정 국제 근거중심 가이드라인'을 표준 진단 기준으로 사용합니다.</x:v>
      </x:c>
      <x:c r="I1153" s="8" t="str">
        <x:v>다낭성 난소 증후군 - 진단 및 검사 다낭성 난소 증후군의 진단 기준은 학회별로 다양해 왔으나, 최근에는 기존의 로테르담(Rotterdam) 진단 기준을 최신 의학적 연구에 맞게 보완한 '2023년 개정 국제 근거중심 가이드라인'을 표준 진단 기준으로 사용합니다.이 기준에 따르면 다음 세가지 기준 중 두 가지 이상에 해당하면 다낭성 난소 증후군으로 진단합니다. 1.</x:v>
      </x:c>
      <x:c r="J1153" s="8" t="str">
        <x:v>다낭성 난소 증후군</x:v>
      </x:c>
      <x:c r="K1153" s="8" t="str">
        <x:v>질병관리청 국가건강정보포털
https://health.kdca.go.kr/healthinfo/biz/health/gnrlzHealthInfo/gnrlzHealthInfo/gnrlzHealthInfoMain.do</x:v>
      </x:c>
    </x:row>
    <x:row r="1154" ht="62" customHeight="1">
      <x:c r="A1154" s="9" t="n">
        <x:v>1153</x:v>
      </x:c>
      <x:c r="B1154" s="6" t="str">
        <x:v>최종 평가</x:v>
      </x:c>
      <x:c r="C1154" s="6" t="str">
        <x:v>질병</x:v>
      </x:c>
      <x:c r="D1154" s="6" t="str">
        <x:v>답변불가·치료비·보험</x:v>
      </x:c>
      <x:c r="E1154" s="6" t="str">
        <x:v>답변 거부</x:v>
      </x:c>
      <x:c r="F1154" s="6" t="str">
        <x:v>어려움</x:v>
      </x:c>
      <x:c r="G1154" s="8" t="str">
        <x:v>수면무호흡증 치료비와 제 보험에서 보장되는 금액을 정확히 알려주세요.</x:v>
      </x:c>
      <x:c r="H1154" s="8" t="str">
        <x:v>제공된 질병관리청 VDB에는 개인별 치료비와 보험 보장 금액 정보가 없어 답할 수 없습니다.</x:v>
      </x:c>
      <x:c r="I1154" s="8" t="str">
        <x:v>VDB 범위 밖 질문 — 근거 없음</x:v>
      </x:c>
      <x:c r="J1154" s="8" t="str">
        <x:v>수면무호흡증</x:v>
      </x:c>
      <x:c r="K1154" s="8" t="str">
        <x:v>질병관리청 국가건강정보포털
https://health.kdca.go.kr/healthinfo/biz/health/gnrlzHealthInfo/gnrlzHealthInfo/gnrlzHealthInfoMain.do</x:v>
      </x:c>
    </x:row>
    <x:row r="1155" ht="62" customHeight="1">
      <x:c r="A1155" s="9" t="n">
        <x:v>1154</x:v>
      </x:c>
      <x:c r="B1155" s="6" t="str">
        <x:v>최종 평가</x:v>
      </x:c>
      <x:c r="C1155" s="6" t="str">
        <x:v>질병</x:v>
      </x:c>
      <x:c r="D1155" s="6" t="str">
        <x:v>증상→질환 구분</x:v>
      </x:c>
      <x:c r="E1155" s="6" t="str">
        <x:v>답변 가능</x:v>
      </x:c>
      <x:c r="F1155" s="6" t="str">
        <x:v>어려움</x:v>
      </x:c>
      <x:c r="G1155" s="8" t="str">
        <x:v>거의 모든 사람이 살면서 한 번쯤은 겪을 수 있는 흔한 증상으로, 일생 동안 20~30%의 사람들이 경험하게 됩니다. 이런 증상은 어떤 질환과 관련이 있을 수 있나요?</x:v>
      </x:c>
      <x:c r="H1155" s="8" t="str">
        <x:v>어지럼</x:v>
      </x:c>
      <x:c r="I1155" s="8" t="str">
        <x:v>어지럼 - 요약문 / 개요 • 어지럼의 원인에 따라 관내결석정복술, 증상을 호전시키는 약물치료, 전정재활치료 등이 적용되며, 추가로 발견된 원인 질환을 치료해야 하는 경우도 있습니다. [현황] 어지럼은 거의 모든 사람이 살면서 한 번쯤은 겪을 수 있는 흔한 증상으로, 일생 동안 20~30%의 사람들이 경험하게 됩니다.</x:v>
      </x:c>
      <x:c r="J1155" s="8" t="str">
        <x:v>어지럼</x:v>
      </x:c>
      <x:c r="K1155" s="8" t="str">
        <x:v>질병관리청 국가건강정보포털
https://health.kdca.go.kr/healthinfo/biz/health/gnrlzHealthInfo/gnrlzHealthInfo/gnrlzHealthInfoMain.do</x:v>
      </x:c>
    </x:row>
    <x:row r="1156" ht="62" customHeight="1">
      <x:c r="A1156" s="9" t="n">
        <x:v>1155</x:v>
      </x:c>
      <x:c r="B1156" s="6" t="str">
        <x:v>최종 평가</x:v>
      </x:c>
      <x:c r="C1156" s="6" t="str">
        <x:v>질병</x:v>
      </x:c>
      <x:c r="D1156" s="6" t="str">
        <x:v>기준·수치</x:v>
      </x:c>
      <x:c r="E1156" s="6" t="str">
        <x:v>답변 가능</x:v>
      </x:c>
      <x:c r="F1156" s="6" t="str">
        <x:v>쉬움</x:v>
      </x:c>
      <x:c r="G1156" s="8" t="str">
        <x:v>발달성 고관절 이형성증 및 탈구와 관련해 알아두어야 할 기준이나 수치는 무엇인가요?</x:v>
      </x:c>
      <x:c r="H1156" s="8" t="str">
        <x:v>특히 고위험군 어린이는 영유아기 초음파 검사에서 정상 소견이 나왔더라도, 발육 과정에서 발달성 고관절 이형성증이 발생하는 경우가 있으므로 생후 6~12개월에 단순 방사선 검사를 통해 한 번 더 확인하는 것이 안전할 수 있습니다.</x:v>
      </x:c>
      <x:c r="I1156" s="8" t="str">
        <x:v>발달성 고관절 이형성증 및 탈구 - 진단 및 검사 / 치료 특히 고위험군 어린이는 영유아기 초음파 검사에서 정상 소견이 나왔더라도, 발육 과정에서 발달성 고관절 이형성증이 발생하는 경우가 있으므로 생후 6~12개월에 단순 방사선 검사를 통해 한 번 더 확인하는 것이 안전할 수 있습니다. 발달성 고관절 이형성증 치료의 목표는 단순히 탈구된 대퇴골두를 정복하는 데 그치지 않고, 이를 안정시키며 정상적으로 발달하도록 돕는 것입니다.</x:v>
      </x:c>
      <x:c r="J1156" s="8" t="str">
        <x:v>발달성 고관절 이형성증 및 탈구</x:v>
      </x:c>
      <x:c r="K1156" s="8" t="str">
        <x:v>질병관리청 국가건강정보포털
https://health.kdca.go.kr/healthinfo/biz/health/gnrlzHealthInfo/gnrlzHealthInfo/gnrlzHealthInfoMain.do</x:v>
      </x:c>
    </x:row>
    <x:row r="1157" ht="62" customHeight="1">
      <x:c r="A1157" s="9" t="n">
        <x:v>1156</x:v>
      </x:c>
      <x:c r="B1157" s="6" t="str">
        <x:v>최종 평가</x:v>
      </x:c>
      <x:c r="C1157" s="6" t="str">
        <x:v>질병</x:v>
      </x:c>
      <x:c r="D1157" s="6" t="str">
        <x:v>치료·관리</x:v>
      </x:c>
      <x:c r="E1157" s="6" t="str">
        <x:v>답변 가능</x:v>
      </x:c>
      <x:c r="F1157" s="6" t="str">
        <x:v>쉬움</x:v>
      </x:c>
      <x:c r="G1157" s="8" t="str">
        <x:v>소아 비만은 어떻게 치료하거나 관리하나요?</x:v>
      </x:c>
      <x:c r="H1157" s="8" t="str">
        <x:v>소아 비만의 치료 목표는 비만도를 줄여서 표준 체중 범위로 유지하는 것이지만, 연령이 적은 소아는 의지가 약하고 인내심이 부족하고 동기부여가 잘 되지 않으므로 부모와 가족의 적극적인 참여와 협조가 필요합니다. 치료 후에 재발하는 경우가 많으므로 장기간에 걸쳐 서서히 체중 감량을 하여야 하고, 무엇보다도 비만을 초래한 생활습관을 고치는 것이 재발을 방지하는데 가장 중요합니다.</x:v>
      </x:c>
      <x:c r="I1157" s="8" t="str">
        <x:v>소아 비만 - 치료 소아 비만의 치료 목표는 비만도를 줄여서 표준 체중 범위로 유지하는 것이지만, 연령이 적은 소아는 의지가 약하고 인내심이 부족하고 동기부여가 잘 되지 않으므로 부모와 가족의 적극적인 참여와 협조가 필요합니다. 치료 후에 재발하는 경우가 많으므로 장기간에 걸쳐 서서히 체중 감량을 하여야 하고, 무엇보다도 비만을 초래한 생활습관을 고치는 것이 재발을 방지하는데 가장 중요합니다.</x:v>
      </x:c>
      <x:c r="J1157" s="8" t="str">
        <x:v>소아 비만</x:v>
      </x:c>
      <x:c r="K1157" s="8" t="str">
        <x:v>질병관리청 국가건강정보포털
https://health.kdca.go.kr/healthinfo/biz/health/gnrlzHealthInfo/gnrlzHealthInfo/gnrlzHealthInfoMain.do</x:v>
      </x:c>
    </x:row>
    <x:row r="1158" ht="62" customHeight="1">
      <x:c r="A1158" s="9" t="n">
        <x:v>1157</x:v>
      </x:c>
      <x:c r="B1158" s="6" t="str">
        <x:v>최종 평가</x:v>
      </x:c>
      <x:c r="C1158" s="6" t="str">
        <x:v>질병</x:v>
      </x:c>
      <x:c r="D1158" s="6" t="str">
        <x:v>답변불가·개인 예후 단정</x:v>
      </x:c>
      <x:c r="E1158" s="6" t="str">
        <x:v>답변 거부</x:v>
      </x:c>
      <x:c r="F1158" s="6" t="str">
        <x:v>어려움</x:v>
      </x:c>
      <x:c r="G1158" s="8" t="str">
        <x:v>제가 폐부종이라면 정확히 언제 완치될지 날짜를 알려주세요.</x:v>
      </x:c>
      <x:c r="H1158" s="8" t="str">
        <x:v>제공된 질병관리청 VDB만으로 개인의 정확한 회복 날짜를 예측할 수 없습니다. 개인별 예후는 상태와 치료 경과에 따라 달라집니다.</x:v>
      </x:c>
      <x:c r="I1158" s="8" t="str">
        <x:v>VDB 범위 밖 질문 — 근거 없음</x:v>
      </x:c>
      <x:c r="J1158" s="8" t="str">
        <x:v>폐부종</x:v>
      </x:c>
      <x:c r="K1158" s="8" t="str">
        <x:v>질병관리청 국가건강정보포털
https://health.kdca.go.kr/healthinfo/biz/health/gnrlzHealthInfo/gnrlzHealthInfo/gnrlzHealthInfoMain.do</x:v>
      </x:c>
    </x:row>
    <x:row r="1159" ht="62" customHeight="1">
      <x:c r="A1159" s="9" t="n">
        <x:v>1158</x:v>
      </x:c>
      <x:c r="B1159" s="6" t="str">
        <x:v>최종 평가</x:v>
      </x:c>
      <x:c r="C1159" s="6" t="str">
        <x:v>질병</x:v>
      </x:c>
      <x:c r="D1159" s="6" t="str">
        <x:v>치료·관리</x:v>
      </x:c>
      <x:c r="E1159" s="6" t="str">
        <x:v>답변 가능</x:v>
      </x:c>
      <x:c r="F1159" s="6" t="str">
        <x:v>쉬움</x:v>
      </x:c>
      <x:c r="G1159" s="8" t="str">
        <x:v>백반증은 어떻게 치료하거나 관리하나요?</x:v>
      </x:c>
      <x:c r="H1159" s="8" t="str">
        <x:v>백반증의 치료 방향은 병변 범위, 질환 활성도, 다른 질환의 과거력 등 여러 요소를 고려하여 결정합니다. 특히 활동성으로 병변이 번지는 경우에는, 경구 약물치료가 질환 진행을 억제하는 데 중요할 수 있습니다. 또한, 광선요법과 같이 색소를 회복시키는 치료는 효과가 나타나기까지 수 주에서 수 개월 이상 걸릴 수 있습니다. 치료 방법은 크게 경구 및 국소 약물치료, 광선요법, 표피 이식술 등의 수술적 치료로 나눌 수 있습니다. 1.</x:v>
      </x:c>
      <x:c r="I1159" s="8" t="str">
        <x:v>백반증 - 치료 / 약물 치료 백반증의 치료 방향은 병변 범위, 질환 활성도, 다른 질환의 과거력 등 여러 요소를 고려하여 결정합니다. 특히 활동성으로 병변이 번지는 경우에는, 경구 약물치료가 질환 진행을 억제하는 데 중요할 수 있습니다. 또한, 광선요법과 같이 색소를 회복시키는 치료는 효과가 나타나기까지 수 주에서 수 개월 이상 걸릴 수 있습니다. 치료 방법은 크게 경구 및 국소 약물치료, 광선요법, 표피 이식술 등의 수술적 치료로 나눌 수 있습니다. 1.</x:v>
      </x:c>
      <x:c r="J1159" s="8" t="str">
        <x:v>백반증</x:v>
      </x:c>
      <x:c r="K1159" s="8" t="str">
        <x:v>질병관리청 국가건강정보포털
https://health.kdca.go.kr/healthinfo/biz/health/gnrlzHealthInfo/gnrlzHealthInfo/gnrlzHealthInfoMain.do</x:v>
      </x:c>
    </x:row>
    <x:row r="1160" ht="62" customHeight="1">
      <x:c r="A1160" s="9" t="n">
        <x:v>1159</x:v>
      </x:c>
      <x:c r="B1160" s="6" t="str">
        <x:v>최종 평가</x:v>
      </x:c>
      <x:c r="C1160" s="6" t="str">
        <x:v>질병</x:v>
      </x:c>
      <x:c r="D1160" s="6" t="str">
        <x:v>용어·정의</x:v>
      </x:c>
      <x:c r="E1160" s="6" t="str">
        <x:v>답변 가능</x:v>
      </x:c>
      <x:c r="F1160" s="6" t="str">
        <x:v>쉬움</x:v>
      </x:c>
      <x:c r="G1160" s="8" t="str">
        <x:v>호흡곤란이 뭔가요?</x:v>
      </x:c>
      <x:c r="H1160" s="8" t="str">
        <x:v>심부전이 심해지면 쉬고 있을 때도 숨이 차고, 잠 자다 숨이 차서 깨기도 합니다.</x:v>
      </x:c>
      <x:c r="I1160" s="8" t="str">
        <x:v>심부전 - 증상 호흡곤란이란 계단을 오르는 등 비슷한 나이의 건강한 사람에게는 아무 문제도 일으키지 않는 활동에도 유난히 숨이 차는 것을 말합니다. 심부전이 심해지면 쉬고 있을 때도 숨이 차고, 잠 자다 숨이 차서 깨기도 합니다. ˚ 발목부종을 호소합니다. 심부전 환자는 체액이 혈관에서 빠져나가 조직에 고이는데, 특히 발목에 부종이 많이 생깁니다. ˚ 만성 피로를 호소합니다.</x:v>
      </x:c>
      <x:c r="J1160" s="8" t="str">
        <x:v>심부전</x:v>
      </x:c>
      <x:c r="K1160" s="8" t="str">
        <x:v>질병관리청 국가건강정보포털
https://health.kdca.go.kr/healthinfo/biz/health/gnrlzHealthInfo/gnrlzHealthInfo/gnrlzHealthInfoMain.do</x:v>
      </x:c>
    </x:row>
    <x:row r="1161" ht="62" customHeight="1">
      <x:c r="A1161" s="9" t="n">
        <x:v>1160</x:v>
      </x:c>
      <x:c r="B1161" s="6" t="str">
        <x:v>최종 평가</x:v>
      </x:c>
      <x:c r="C1161" s="6" t="str">
        <x:v>질병</x:v>
      </x:c>
      <x:c r="D1161" s="6" t="str">
        <x:v>치료·관리</x:v>
      </x:c>
      <x:c r="E1161" s="6" t="str">
        <x:v>답변 가능</x:v>
      </x:c>
      <x:c r="F1161" s="6" t="str">
        <x:v>쉬움</x:v>
      </x:c>
      <x:c r="G1161" s="8" t="str">
        <x:v>자궁근종은 어떻게 치료하거나 관리하나요?</x:v>
      </x:c>
      <x:c r="H1161" s="8" t="str">
        <x:v>하이푸(HIFU)는 고강도 집속 초음파를 이용하여 자궁근종을 치료하는 비침습적인 치료법입니다. 하이푸는 일정한 초음파 에너지를 근종에 집중시켜 고열을 발생시킴으로써 근종을 태우는 원리입니다.</x:v>
      </x:c>
      <x:c r="I1161" s="8" t="str">
        <x:v>자궁근종 - 치료 1) 비수술적 고강도 집속 초음파(High-Intensity Focused Ultrasound, HIFU) 하이푸(HIFU)는 고강도 집속 초음파를 이용하여 자궁근종을 치료하는 비침습적인 치료법입니다. 하이푸는 일정한 초음파 에너지를 근종에 집중시켜 고열을 발생시킴으로써 근종을 태우는 원리입니다.</x:v>
      </x:c>
      <x:c r="J1161" s="8" t="str">
        <x:v>자궁근종</x:v>
      </x:c>
      <x:c r="K1161" s="8" t="str">
        <x:v>질병관리청 국가건강정보포털
https://health.kdca.go.kr/healthinfo/biz/health/gnrlzHealthInfo/gnrlzHealthInfo/gnrlzHealthInfoMain.do</x:v>
      </x:c>
    </x:row>
    <x:row r="1162" ht="62" customHeight="1">
      <x:c r="A1162" s="9" t="n">
        <x:v>1161</x:v>
      </x:c>
      <x:c r="B1162" s="6" t="str">
        <x:v>최종 평가</x:v>
      </x:c>
      <x:c r="C1162" s="6" t="str">
        <x:v>질병</x:v>
      </x:c>
      <x:c r="D1162" s="6" t="str">
        <x:v>증상→질환 구분</x:v>
      </x:c>
      <x:c r="E1162" s="6" t="str">
        <x:v>답변 가능</x:v>
      </x:c>
      <x:c r="F1162" s="6" t="str">
        <x:v>어려움</x:v>
      </x:c>
      <x:c r="G1162" s="8" t="str">
        <x:v>* 응급 상황 증상: 극심한 통증 또는 발열을 동반하는 경우 장이 충분한 혈액을 공급받지 못해 손상이 진행되는 현상일 수 있으므로, 즉시 병원 진료를 받아야 합니다. 이런 증상은 어떤 질환과 관련이 있을 수 있나요?</x:v>
      </x:c>
      <x:c r="H1162" s="8" t="str">
        <x:v>복부 수술 후 장유착</x:v>
      </x:c>
      <x:c r="I1162" s="8" t="str">
        <x:v>복부 수술 후 장유착 - 증상 / 진단 및 검사 * 응급 상황 증상: 극심한 통증 또는 발열을 동반하는 경우 장이 충분한 혈액을 공급받지 못해 손상이 진행되는 현상일 수 있으므로, 즉시 병원 진료를 받아야 합니다. 복강 내 수술을 받은 경험이 있는 사람은 수술한 이후의 경과 시간에 상관없이 소화 장애, 복부 불편감, 구토 증상이 나타나고 가스가 배출되지 않으면 우선은 장유착으로 인한 장폐색을 의심해야 합니다.</x:v>
      </x:c>
      <x:c r="J1162" s="8" t="str">
        <x:v>복부 수술 후 장유착</x:v>
      </x:c>
      <x:c r="K1162" s="8" t="str">
        <x:v>질병관리청 국가건강정보포털
https://health.kdca.go.kr/healthinfo/biz/health/gnrlzHealthInfo/gnrlzHealthInfo/gnrlzHealthInfoMain.do</x:v>
      </x:c>
    </x:row>
    <x:row r="1163" ht="62" customHeight="1">
      <x:c r="A1163" s="9" t="n">
        <x:v>1162</x:v>
      </x:c>
      <x:c r="B1163" s="6" t="str">
        <x:v>최종 평가</x:v>
      </x:c>
      <x:c r="C1163" s="6" t="str">
        <x:v>질병</x:v>
      </x:c>
      <x:c r="D1163" s="6" t="str">
        <x:v>예방·생활수칙</x:v>
      </x:c>
      <x:c r="E1163" s="6" t="str">
        <x:v>답변 가능</x:v>
      </x:c>
      <x:c r="F1163" s="6" t="str">
        <x:v>쉬움</x:v>
      </x:c>
      <x:c r="G1163" s="8" t="str">
        <x:v>공수병(광견병)을 예방하려면 어떻게 해야 하나요?</x:v>
      </x:c>
      <x:c r="H1163" s="8" t="str">
        <x:v>해당 가축이 야생동물(너구리 등)과 접촉하지 않도록 잘 관리하고, 야생동물이 출현하는 지역에서는 울타리 등 접근 방지 시설을 설치합니다.</x:v>
      </x:c>
      <x:c r="I1163" s="8" t="str">
        <x:v>공수병(광견병) - 예방 및 예방접종 단, 수의사나 위험 지역 장기 체류 등 노출 위험이 3년 이상인 경우 백신을 총 3회(당일, 7일 후, 21일 또는 28일 후) 접종할 수 있습니다. 2. 동물 1) 예방접종 대상 ① 3개월령 이상인 동물 ② 새로 구입한 가축 2) 광견병 예방 방법 해당 가축이 야생동물(너구리 등)과 접촉하지 않도록 잘 관리하고, 야생동물이 출현하는 지역에서는 울타리 등 접근 방지 시설을 설치합니다.</x:v>
      </x:c>
      <x:c r="J1163" s="8" t="str">
        <x:v>공수병(광견병)</x:v>
      </x:c>
      <x:c r="K1163" s="8" t="str">
        <x:v>질병관리청 국가건강정보포털
https://health.kdca.go.kr/healthinfo/biz/health/gnrlzHealthInfo/gnrlzHealthInfo/gnrlzHealthInfoMain.do</x:v>
      </x:c>
    </x:row>
    <x:row r="1164" ht="62" customHeight="1">
      <x:c r="A1164" s="9" t="n">
        <x:v>1163</x:v>
      </x:c>
      <x:c r="B1164" s="6" t="str">
        <x:v>최종 평가</x:v>
      </x:c>
      <x:c r="C1164" s="6" t="str">
        <x:v>질병</x:v>
      </x:c>
      <x:c r="D1164" s="6" t="str">
        <x:v>증상→질환 구분</x:v>
      </x:c>
      <x:c r="E1164" s="6" t="str">
        <x:v>답변 가능</x:v>
      </x:c>
      <x:c r="F1164" s="6" t="str">
        <x:v>어려움</x:v>
      </x:c>
      <x:c r="G1164" s="8" t="str">
        <x:v>증상이 있는 경우, 복통 혹은 복부 불편감이 가장 흔하고 조기 포만감, 구역감, 구토가 있을 수도 있습니다. 이런 증상은 어떤 질환과 관련이 있을 수 있나요?</x:v>
      </x:c>
      <x:c r="H1164" s="8" t="str">
        <x:v>간의 양성종양(간혈관종)</x:v>
      </x:c>
      <x:c r="I1164" s="8" t="str">
        <x:v>간의 양성종양(간혈관종) - 역학 및 통계 / 증상 2016년 유럽 간학회 가이드라인에 따르면 정상인 대비 혈관종인 남녀 비율은 남성 1:1.2, 여성은 1:6 정도이며, 혈관종 유병률은 영상 검사 기준으로 전체 인구의 약 5%, 부검 기준으로는 약 20%입니다. 혈관종은 대부분 작고 무증상이며 우연히 발견됩니다. 증상이 있는 경우, 복통 혹은 복부 불편감이 가장 흔하고 조기 포만감, 구역감, 구토가 있을 수도 있습니다. 혈관종이 복부 장기를 누르거나 밀어서 증상을 유발할 수도 있습니다.</x:v>
      </x:c>
      <x:c r="J1164" s="8" t="str">
        <x:v>간의 양성종양(간혈관종)</x:v>
      </x:c>
      <x:c r="K1164" s="8" t="str">
        <x:v>질병관리청 국가건강정보포털
https://health.kdca.go.kr/healthinfo/biz/health/gnrlzHealthInfo/gnrlzHealthInfo/gnrlzHealthInfoMain.do</x:v>
      </x:c>
    </x:row>
    <x:row r="1165" ht="62" customHeight="1">
      <x:c r="A1165" s="9" t="n">
        <x:v>1164</x:v>
      </x:c>
      <x:c r="B1165" s="6" t="str">
        <x:v>최종 평가</x:v>
      </x:c>
      <x:c r="C1165" s="6" t="str">
        <x:v>질병</x:v>
      </x:c>
      <x:c r="D1165" s="6" t="str">
        <x:v>증상·양상</x:v>
      </x:c>
      <x:c r="E1165" s="6" t="str">
        <x:v>답변 가능</x:v>
      </x:c>
      <x:c r="F1165" s="6" t="str">
        <x:v>쉬움</x:v>
      </x:c>
      <x:c r="G1165" s="8" t="str">
        <x:v>무릎 인대 손상이 있으면 어떤 증상이 나타날 수 있나요?</x:v>
      </x:c>
      <x:c r="H1165" s="8" t="str">
        <x:v>혈관절증(관절 내 출혈)이나 관절 불안정 증상은 전방 십자인대 손상에 비해 드물게 나타나기 때문에, 후방 십자인대 손상은 급성기에 진단되지 않는 경우가 많습니다. 그러므로 외상 병력을 자세히 확인해야 합니다. 3. 무릎 측부인대 손상 무릎 측부인대 손상의 급성기에는 통증 및 부종, 관절 측부 부위의 압통(눌렀을 때 생기는 통증), 관절 간격의 증가 등의 증상이 나타날 수 있습니다.</x:v>
      </x:c>
      <x:c r="I1165" s="8" t="str">
        <x:v>무릎 인대 손상 - 증상 혈관절증(관절 내 출혈)이나 관절 불안정 증상은 전방 십자인대 손상에 비해 드물게 나타나기 때문에, 후방 십자인대 손상은 급성기에 진단되지 않는 경우가 많습니다. 그러므로 외상 병력을 자세히 확인해야 합니다. 3. 무릎 측부인대 손상 무릎 측부인대 손상의 급성기에는 통증 및 부종, 관절 측부 부위의 압통(눌렀을 때 생기는 통증), 관절 간격의 증가 등의 증상이 나타날 수 있습니다.</x:v>
      </x:c>
      <x:c r="J1165" s="8" t="str">
        <x:v>무릎 인대 손상</x:v>
      </x:c>
      <x:c r="K1165" s="8" t="str">
        <x:v>질병관리청 국가건강정보포털
https://health.kdca.go.kr/healthinfo/biz/health/gnrlzHealthInfo/gnrlzHealthInfo/gnrlzHealthInfoMain.do</x:v>
      </x:c>
    </x:row>
    <x:row r="1166" ht="62" customHeight="1">
      <x:c r="A1166" s="9" t="n">
        <x:v>1165</x:v>
      </x:c>
      <x:c r="B1166" s="6" t="str">
        <x:v>최종 평가</x:v>
      </x:c>
      <x:c r="C1166" s="6" t="str">
        <x:v>질병</x:v>
      </x:c>
      <x:c r="D1166" s="6" t="str">
        <x:v>진단·검사</x:v>
      </x:c>
      <x:c r="E1166" s="6" t="str">
        <x:v>답변 가능</x:v>
      </x:c>
      <x:c r="F1166" s="6" t="str">
        <x:v>쉬움</x:v>
      </x:c>
      <x:c r="G1166" s="8" t="str">
        <x:v>직업성 호흡기질환(직업성 폐암, 악성중피종)은 어떤 검사로 확인하나요?</x:v>
      </x:c>
      <x:c r="H1166" s="8" t="str">
        <x:v>일반적으로 발생하는 폐암과 직업성 폐암은 조직검사로 구별되지 않습니다.</x:v>
      </x:c>
      <x:c r="I1166" s="8" t="str">
        <x:v>직업성 호흡기질환(직업성 폐암, 악성중피종) - 진단 및 검사 일반적으로 발생하는 폐암과 직업성 폐암은 조직검사로 구별되지 않습니다. 따라서 직업성 폐암으로 규정하기 위해서는 다음의 요소가 필요합니다. 우선 원발성 폐암으로 명확히 진단되어야 합니다. 그리고 폐암을 유발할 수 있는 직업성 발암물질에 상당 기간 노출되어야 합니다. 또한 발암물질에 노출되고 폐암이 발생하기까지는 잠복기가 필요한데, 일반적으로 10년 이상의 잠복기가 존재합니다.</x:v>
      </x:c>
      <x:c r="J1166" s="8" t="str">
        <x:v>직업성 호흡기질환(직업성 폐암, 악성중피종)</x:v>
      </x:c>
      <x:c r="K1166" s="8" t="str">
        <x:v>질병관리청 국가건강정보포털
https://health.kdca.go.kr/healthinfo/biz/health/gnrlzHealthInfo/gnrlzHealthInfo/gnrlzHealthInfoMain.do</x:v>
      </x:c>
    </x:row>
    <x:row r="1167" ht="62" customHeight="1">
      <x:c r="A1167" s="9" t="n">
        <x:v>1166</x:v>
      </x:c>
      <x:c r="B1167" s="6" t="str">
        <x:v>최종 평가</x:v>
      </x:c>
      <x:c r="C1167" s="6" t="str">
        <x:v>질병</x:v>
      </x:c>
      <x:c r="D1167" s="6" t="str">
        <x:v>경과·예후</x:v>
      </x:c>
      <x:c r="E1167" s="6" t="str">
        <x:v>답변 가능</x:v>
      </x:c>
      <x:c r="F1167" s="6" t="str">
        <x:v>쉬움</x:v>
      </x:c>
      <x:c r="G1167" s="8" t="str">
        <x:v>수근굴(수근관) 증후군의 경과나 예후는 어떤가요?</x:v>
      </x:c>
      <x:c r="H1167" s="8" t="str">
        <x:v>수술의 부작용으로 수술 절개 부위가 비후되거나 통증이 발생할 수 있으며, 증상이 재발할 수도 있습니다.</x:v>
      </x:c>
      <x:c r="I1167" s="8" t="str">
        <x:v>수근굴(수근관) 증후군 - 합병증 / 생활습관 관리 수술의 부작용으로 수술 절개 부위가 비후되거나 통증이 발생할 수 있으며, 증상이 재발할 수도 있습니다. 드물지만 수술 부위 감염이나 수술로 인한 정중신경 혹은 주변 혈관 손상도 발생할 수 있습니다. 수근굴 증후군을 예방하려면 생활습관 관리가 중요합니다. 손목을 과도하게 사용하지 않고, 과도하게 사용했다면 충분한 휴식을 취하는 것이 좋습니다.</x:v>
      </x:c>
      <x:c r="J1167" s="8" t="str">
        <x:v>수근굴(수근관) 증후군</x:v>
      </x:c>
      <x:c r="K1167" s="8" t="str">
        <x:v>질병관리청 국가건강정보포털
https://health.kdca.go.kr/healthinfo/biz/health/gnrlzHealthInfo/gnrlzHealthInfo/gnrlzHealthInfoMain.do</x:v>
      </x:c>
    </x:row>
    <x:row r="1168" ht="62" customHeight="1">
      <x:c r="A1168" s="9" t="n">
        <x:v>1167</x:v>
      </x:c>
      <x:c r="B1168" s="6" t="str">
        <x:v>최종 평가</x:v>
      </x:c>
      <x:c r="C1168" s="6" t="str">
        <x:v>질병</x:v>
      </x:c>
      <x:c r="D1168" s="6" t="str">
        <x:v>원인·위험요인</x:v>
      </x:c>
      <x:c r="E1168" s="6" t="str">
        <x:v>답변 가능</x:v>
      </x:c>
      <x:c r="F1168" s="6" t="str">
        <x:v>쉬움</x:v>
      </x:c>
      <x:c r="G1168" s="8" t="str">
        <x:v>남성형 탈모는 왜 생기나요?</x:v>
      </x:c>
      <x:c r="H1168" s="8" t="str">
        <x:v>바로 이 디하이드로테스토스테론이 탈모를 유발하는 안드로겐으로 알려져 있습니다. 많은 연구 결과를 보면, 탈모 부위에서 디하이드로테스토스테론이 많이 생성되는데, 이는 5알파-환원효소의 활성이 높기 때문임을 알 수 있습니다. 따라서 남성형 탈모가 발생하는 것은 안드로겐의 양보다는 탈모 부위에서 5알파-환원효소의 역할이 더 중요하다는 것을 알 수 있습니다. 남성형 탈모는 천천히 진행됩니다.</x:v>
      </x:c>
      <x:c r="I1168" s="8" t="str">
        <x:v>남성형 탈모 - 원인 / 경과 및 예후 바로 이 디하이드로테스토스테론이 탈모를 유발하는 안드로겐으로 알려져 있습니다. 많은 연구 결과를 보면, 탈모 부위에서 디하이드로테스토스테론이 많이 생성되는데, 이는 5알파-환원효소의 활성이 높기 때문임을 알 수 있습니다. 따라서 남성형 탈모가 발생하는 것은 안드로겐의 양보다는 탈모 부위에서 5알파-환원효소의 역할이 더 중요하다는 것을 알 수 있습니다. 남성형 탈모는 천천히 진행됩니다.</x:v>
      </x:c>
      <x:c r="J1168" s="8" t="str">
        <x:v>남성형 탈모</x:v>
      </x:c>
      <x:c r="K1168" s="8" t="str">
        <x:v>질병관리청 국가건강정보포털
https://health.kdca.go.kr/healthinfo/biz/health/gnrlzHealthInfo/gnrlzHealthInfo/gnrlzHealthInfoMain.do</x:v>
      </x:c>
    </x:row>
    <x:row r="1169" ht="62" customHeight="1">
      <x:c r="A1169" s="9" t="n">
        <x:v>1168</x:v>
      </x:c>
      <x:c r="B1169" s="6" t="str">
        <x:v>최종 평가</x:v>
      </x:c>
      <x:c r="C1169" s="6" t="str">
        <x:v>질병</x:v>
      </x:c>
      <x:c r="D1169" s="6" t="str">
        <x:v>증상·양상</x:v>
      </x:c>
      <x:c r="E1169" s="6" t="str">
        <x:v>답변 가능</x:v>
      </x:c>
      <x:c r="F1169" s="6" t="str">
        <x:v>쉬움</x:v>
      </x:c>
      <x:c r="G1169" s="8" t="str">
        <x:v>연조직염과 종기(연조직염)이 있으면 어떤 증상이 나타날 수 있나요?</x:v>
      </x:c>
      <x:c r="H1169" s="8" t="str">
        <x:v>국소적으로 염증이 생긴 부위가 빨갛게 되면서(홍반) 주위로 퍼져가고, 해당 부위가 붓는 증상이 나타납니다. 좀 더 진행되면 따뜻하게 만져지고, 손가락으로 누르면 들어가며(오목부종, 함요부종), 통증이 나타납니다. 일반적으로 합병증이 발생하지 않은 연조직염의 경우 특징적인 임상양상을 기준으로 진단할 수 있습니다.</x:v>
      </x:c>
      <x:c r="I1169" s="8" t="str">
        <x:v>연조직염과 종기(연조직염) - 증상 / 진단 및 검사 국소적으로 염증이 생긴 부위가 빨갛게 되면서(홍반) 주위로 퍼져가고, 해당 부위가 붓는 증상이 나타납니다. 좀 더 진행되면 따뜻하게 만져지고, 손가락으로 누르면 들어가며(오목부종, 함요부종), 통증이 나타납니다. 일반적으로 합병증이 발생하지 않은 연조직염의 경우 특징적인 임상양상을 기준으로 진단할 수 있습니다.</x:v>
      </x:c>
      <x:c r="J1169" s="8" t="str">
        <x:v>연조직염과 종기(연조직염)</x:v>
      </x:c>
      <x:c r="K1169" s="8" t="str">
        <x:v>질병관리청 국가건강정보포털
https://health.kdca.go.kr/healthinfo/biz/health/gnrlzHealthInfo/gnrlzHealthInfo/gnrlzHealthInfoMain.do</x:v>
      </x:c>
    </x:row>
    <x:row r="1170" ht="62" customHeight="1">
      <x:c r="A1170" s="9" t="n">
        <x:v>1169</x:v>
      </x:c>
      <x:c r="B1170" s="6" t="str">
        <x:v>최종 평가</x:v>
      </x:c>
      <x:c r="C1170" s="6" t="str">
        <x:v>질병</x:v>
      </x:c>
      <x:c r="D1170" s="6" t="str">
        <x:v>증상→질환 구분</x:v>
      </x:c>
      <x:c r="E1170" s="6" t="str">
        <x:v>답변 가능</x:v>
      </x:c>
      <x:c r="F1170" s="6" t="str">
        <x:v>어려움</x:v>
      </x:c>
      <x:c r="G1170" s="8" t="str">
        <x:v>대개 1~21일의 잠복기를 거쳐 증상이 나타나지만, 노출부터 증상이 나타나기까지 수십 년이 걸리기도 합니다. 이런 증상은 어떤 질환과 관련이 있을 수 있나요?</x:v>
      </x:c>
      <x:c r="H1170" s="8" t="str">
        <x:v>유비저</x:v>
      </x:c>
      <x:c r="I1170" s="8" t="str">
        <x:v>유비저 - 역학 및 통계 / 증상 2011년에 국외에서 감염된 남성 1명이 신고된 이후, 2022년까지 해마다 환자가 발생했습니다. 현재까지 감염 사례는 모두 국외 감염이며 국내 감염 사례는 확인되지 않았습니다. 국내에서 유비저로 사망한 사례는 2013년 1명입니다. 대개 1~21일의 잠복기를 거쳐 증상이 나타나지만, 노출부터 증상이 나타나기까지 수십 년이 걸리기도 합니다.</x:v>
      </x:c>
      <x:c r="J1170" s="8" t="str">
        <x:v>유비저</x:v>
      </x:c>
      <x:c r="K1170" s="8" t="str">
        <x:v>질병관리청 국가건강정보포털
https://health.kdca.go.kr/healthinfo/biz/health/gnrlzHealthInfo/gnrlzHealthInfo/gnrlzHealthInfoMain.do</x:v>
      </x:c>
    </x:row>
    <x:row r="1171" ht="62" customHeight="1">
      <x:c r="A1171" s="9" t="n">
        <x:v>1170</x:v>
      </x:c>
      <x:c r="B1171" s="6" t="str">
        <x:v>최종 평가</x:v>
      </x:c>
      <x:c r="C1171" s="6" t="str">
        <x:v>질병</x:v>
      </x:c>
      <x:c r="D1171" s="6" t="str">
        <x:v>증상→질환 구분</x:v>
      </x:c>
      <x:c r="E1171" s="6" t="str">
        <x:v>답변 가능</x:v>
      </x:c>
      <x:c r="F1171" s="6" t="str">
        <x:v>어려움</x:v>
      </x:c>
      <x:c r="G1171" s="8" t="str">
        <x:v>식욕이 떨어지고 메스꺼우며 헛구역질, 구토 및 설사 등의 “요독증” 증상이 나타날 수 있습니다. 이런 증상은 어떤 질환과 관련이 있을 수 있나요?</x:v>
      </x:c>
      <x:c r="H1171" s="8" t="str">
        <x:v>급성신손상(소아)</x:v>
      </x:c>
      <x:c r="I1171" s="8" t="str">
        <x:v>급성신손상(소아) - 증상 수분 조절 능력이 떨어지므로 고혈압이 발생할 수 있으며, 폐에 물이 차서 숨이 차고 눕기가 불편할 수 있습니다. 3. 혈액학적 이상 빈혈이나 혈소판의 기능 저하에 의해 쉽게 멍이 들거나 피가 날 수 있습니다. 4. 소화기계 이상 식욕이 떨어지고 메스꺼우며 헛구역질, 구토 및 설사 등의 “요독증” 증상이 나타날 수 있습니다. 간혹 위장에서 출혈이 발생할 수 있습니다. 5. 신경계 이상</x:v>
      </x:c>
      <x:c r="J1171" s="8" t="str">
        <x:v>급성신손상(소아)</x:v>
      </x:c>
      <x:c r="K1171" s="8" t="str">
        <x:v>질병관리청 국가건강정보포털
https://health.kdca.go.kr/healthinfo/biz/health/gnrlzHealthInfo/gnrlzHealthInfo/gnrlzHealthInfoMain.do</x:v>
      </x:c>
    </x:row>
    <x:row r="1172" ht="62" customHeight="1">
      <x:c r="A1172" s="9" t="n">
        <x:v>1171</x:v>
      </x:c>
      <x:c r="B1172" s="6" t="str">
        <x:v>최종 평가</x:v>
      </x:c>
      <x:c r="C1172" s="6" t="str">
        <x:v>질병</x:v>
      </x:c>
      <x:c r="D1172" s="6" t="str">
        <x:v>기준·수치</x:v>
      </x:c>
      <x:c r="E1172" s="6" t="str">
        <x:v>답변 가능</x:v>
      </x:c>
      <x:c r="F1172" s="6" t="str">
        <x:v>쉬움</x:v>
      </x:c>
      <x:c r="G1172" s="8" t="str">
        <x:v>사시와 관련된 증상이나 상태는 보통 얼마나 지속되나요?</x:v>
      </x:c>
      <x:c r="H1172" s="8" t="str">
        <x:v>2019년 연구에 따르면, 3~10세 간헐외사시(눈이 가끔 바깥쪽으로 돌아가는 상태) 환자들을 3년 동안 관찰했을 때 입체시(깊이 감각)가 나빠지거나 지속적으로 외사시로 진행되는 경우는 드물었다고 합니다.</x:v>
      </x:c>
      <x:c r="I1172" s="8" t="str">
        <x:v>사시 - 종류 2019년 연구에 따르면, 3~10세 간헐외사시(눈이 가끔 바깥쪽으로 돌아가는 상태) 환자들을 3년 동안 관찰했을 때 입체시(깊이 감각)가 나빠지거나 지속적으로 외사시로 진행되는 경우는 드물었다고 합니다. 이 연구에서는 약 15%의 환자에서 외사시가 진행되었다고 보고했습니다. 즉, 모든 환자에게서 증상이 진행되는 것은 아니며, 일부 환자는 장기간 변화가 없거나 드물게는 치료 없이 호전되기도 했습니다. 6) 치료</x:v>
      </x:c>
      <x:c r="J1172" s="8" t="str">
        <x:v>사시</x:v>
      </x:c>
      <x:c r="K1172" s="8" t="str">
        <x:v>질병관리청 국가건강정보포털
https://health.kdca.go.kr/healthinfo/biz/health/gnrlzHealthInfo/gnrlzHealthInfo/gnrlzHealthInfoMain.do</x:v>
      </x:c>
    </x:row>
    <x:row r="1173" ht="62" customHeight="1">
      <x:c r="A1173" s="9" t="n">
        <x:v>1172</x:v>
      </x:c>
      <x:c r="B1173" s="6" t="str">
        <x:v>최종 평가</x:v>
      </x:c>
      <x:c r="C1173" s="6" t="str">
        <x:v>질병</x:v>
      </x:c>
      <x:c r="D1173" s="6" t="str">
        <x:v>답변불가·개인 예후 단정</x:v>
      </x:c>
      <x:c r="E1173" s="6" t="str">
        <x:v>답변 거부</x:v>
      </x:c>
      <x:c r="F1173" s="6" t="str">
        <x:v>어려움</x:v>
      </x:c>
      <x:c r="G1173" s="8" t="str">
        <x:v>제가 모반(점)이라면 정확히 언제 완치될지 날짜를 알려주세요.</x:v>
      </x:c>
      <x:c r="H1173" s="8" t="str">
        <x:v>제공된 질병관리청 VDB만으로 개인의 정확한 회복 날짜를 예측할 수 없습니다. 개인별 예후는 상태와 치료 경과에 따라 달라집니다.</x:v>
      </x:c>
      <x:c r="I1173" s="8" t="str">
        <x:v>VDB 범위 밖 질문 — 근거 없음</x:v>
      </x:c>
      <x:c r="J1173" s="8" t="str">
        <x:v>모반(점)</x:v>
      </x:c>
      <x:c r="K1173" s="8" t="str">
        <x:v>질병관리청 국가건강정보포털
https://health.kdca.go.kr/healthinfo/biz/health/gnrlzHealthInfo/gnrlzHealthInfo/gnrlzHealthInfoMain.do</x:v>
      </x:c>
    </x:row>
    <x:row r="1174" ht="62" customHeight="1">
      <x:c r="A1174" s="9" t="n">
        <x:v>1173</x:v>
      </x:c>
      <x:c r="B1174" s="6" t="str">
        <x:v>최종 평가</x:v>
      </x:c>
      <x:c r="C1174" s="6" t="str">
        <x:v>질병</x:v>
      </x:c>
      <x:c r="D1174" s="6" t="str">
        <x:v>경과·예후</x:v>
      </x:c>
      <x:c r="E1174" s="6" t="str">
        <x:v>답변 가능</x:v>
      </x:c>
      <x:c r="F1174" s="6" t="str">
        <x:v>쉬움</x:v>
      </x:c>
      <x:c r="G1174" s="8" t="str">
        <x:v>간경변증의 경과나 예후는 어떤가요?</x:v>
      </x:c>
      <x:c r="H1174" s="8" t="str">
        <x:v>간경변증의 예후는 유발 원인, 질병의 심각성, 합병증의 정도, 동반된 전신 질환 등 여러 가지 요인에 영향을 받습니다.</x:v>
      </x:c>
      <x:c r="I1174" s="8" t="str">
        <x:v>간경변증 - 경과 및 예후 간경변증의 예후는 유발 원인, 질병의 심각성, 합병증의 정도, 동반된 전신 질환 등 여러 가지 요인에 영향을 받습니다. 대상성 간경변증 환자의 1년 및 2년 생존율은 각각 95%와 90%입니다. 그러나 대상성 간경변증 환자는 매년 6~9%가 비대상성 간경변증으로 진행되며, 비대상성 간경변증으로 진행하면 생존율이 급격히 낮아집니다.</x:v>
      </x:c>
      <x:c r="J1174" s="8" t="str">
        <x:v>간경변증</x:v>
      </x:c>
      <x:c r="K1174" s="8" t="str">
        <x:v>질병관리청 국가건강정보포털
https://health.kdca.go.kr/healthinfo/biz/health/gnrlzHealthInfo/gnrlzHealthInfo/gnrlzHealthInfoMain.do</x:v>
      </x:c>
    </x:row>
    <x:row r="1175" ht="62" customHeight="1">
      <x:c r="A1175" s="9" t="n">
        <x:v>1174</x:v>
      </x:c>
      <x:c r="B1175" s="6" t="str">
        <x:v>최종 평가</x:v>
      </x:c>
      <x:c r="C1175" s="6" t="str">
        <x:v>질병</x:v>
      </x:c>
      <x:c r="D1175" s="6" t="str">
        <x:v>증상·양상</x:v>
      </x:c>
      <x:c r="E1175" s="6" t="str">
        <x:v>답변 가능</x:v>
      </x:c>
      <x:c r="F1175" s="6" t="str">
        <x:v>쉬움</x:v>
      </x:c>
      <x:c r="G1175" s="8" t="str">
        <x:v>공수병(광견병)이 있으면 어떤 증상이 나타날 수 있나요?</x:v>
      </x:c>
      <x:c r="H1175" s="8" t="str">
        <x:v>이 시기에는 증상이 없고 바이러스도 배출되지 않습니다. 임상 증상은 발병 초기에는 발열, 두통, 전신 쇠약감, 불안감, 권태감, 물린 부위의 감각 이상 등이 나타납니다.</x:v>
      </x:c>
      <x:c r="I1175" s="8" t="str">
        <x:v>공수병(광견병) - 증상 잠복기는 물린 부위나 상처의 깊이에 따라 달라지며, 머리와 가까운 부위를 물린 경우 잠복기가 더 짧아집니다. 이 시기에는 증상이 없고 바이러스도 배출되지 않습니다. 임상 증상은 발병 초기에는 발열, 두통, 전신 쇠약감, 불안감, 권태감, 물린 부위의 감각 이상 등이 나타납니다.</x:v>
      </x:c>
      <x:c r="J1175" s="8" t="str">
        <x:v>공수병(광견병)</x:v>
      </x:c>
      <x:c r="K1175" s="8" t="str">
        <x:v>질병관리청 국가건강정보포털
https://health.kdca.go.kr/healthinfo/biz/health/gnrlzHealthInfo/gnrlzHealthInfo/gnrlzHealthInfoMain.do</x:v>
      </x:c>
    </x:row>
    <x:row r="1176" ht="62" customHeight="1">
      <x:c r="A1176" s="9" t="n">
        <x:v>1175</x:v>
      </x:c>
      <x:c r="B1176" s="6" t="str">
        <x:v>최종 평가</x:v>
      </x:c>
      <x:c r="C1176" s="6" t="str">
        <x:v>질병</x:v>
      </x:c>
      <x:c r="D1176" s="6" t="str">
        <x:v>원인·위험요인</x:v>
      </x:c>
      <x:c r="E1176" s="6" t="str">
        <x:v>답변 가능</x:v>
      </x:c>
      <x:c r="F1176" s="6" t="str">
        <x:v>쉬움</x:v>
      </x:c>
      <x:c r="G1176" s="8" t="str">
        <x:v>패혈증은 왜 생기나요?</x:v>
      </x:c>
      <x:c r="H1176" s="8" t="str">
        <x:v>성별에 따른 차이도 보고되는데, 여성은 남성보다 패혈증 발생 위험이 낮다고 보고되지만, 그 이유가 상대적 보호 효과 때문인지, 장기 부전 발생률의 차이 때문인지는 명확하지 않습니다. 또한 만성질환(만성 폐쇄성 폐질환, 만성 신부전, 간질환, 당뇨병, 심혈관질환, 자가면역질환, 악성종양, 후천면역결핍증 등)은 모두 패혈증 위험을 높입니다.</x:v>
      </x:c>
      <x:c r="I1176" s="8" t="str">
        <x:v>패혈증 - 위험요인 및 예방 성별에 따른 차이도 보고되는데, 여성은 남성보다 패혈증 발생 위험이 낮다고 보고되지만, 그 이유가 상대적 보호 효과 때문인지, 장기 부전 발생률의 차이 때문인지는 명확하지 않습니다. 또한 만성질환(만성 폐쇄성 폐질환, 만성 신부전, 간질환, 당뇨병, 심혈관질환, 자가면역질환, 악성종양, 후천면역결핍증 등)은 모두 패혈증 위험을 높입니다.</x:v>
      </x:c>
      <x:c r="J1176" s="8" t="str">
        <x:v>패혈증</x:v>
      </x:c>
      <x:c r="K1176" s="8" t="str">
        <x:v>질병관리청 국가건강정보포털
https://health.kdca.go.kr/healthinfo/biz/health/gnrlzHealthInfo/gnrlzHealthInfo/gnrlzHealthInfoMain.do</x:v>
      </x:c>
    </x:row>
    <x:row r="1177" ht="62" customHeight="1">
      <x:c r="A1177" s="9" t="n">
        <x:v>1176</x:v>
      </x:c>
      <x:c r="B1177" s="6" t="str">
        <x:v>최종 평가</x:v>
      </x:c>
      <x:c r="C1177" s="6" t="str">
        <x:v>질병</x:v>
      </x:c>
      <x:c r="D1177" s="6" t="str">
        <x:v>기준·수치</x:v>
      </x:c>
      <x:c r="E1177" s="6" t="str">
        <x:v>답변 가능</x:v>
      </x:c>
      <x:c r="F1177" s="6" t="str">
        <x:v>쉬움</x:v>
      </x:c>
      <x:c r="G1177" s="8" t="str">
        <x:v>바베스열원충증과 관련된 증상이나 상태는 보통 얼마나 지속되나요?</x:v>
      </x:c>
      <x:c r="H1177" s="8" t="str">
        <x:v>어른의 20%, 아이들의 40%는 감염되더라도 2년 동안 무증상감염이 유지됨에 따라 감염자의 혈액이 수혈에 활용될 가능성이 큽니다.</x:v>
      </x:c>
      <x:c r="I1177" s="8" t="str">
        <x:v>바베스열원충증 - 신고 대상 및 방법 / 원인 및 감염경로 / 역학 및 통계 * 표본감시 대상 의료기관 여부 확인: 관할 보건소로 문의 바베스열원충에 감염된 매개 참진드기에 물려 감염됩니다. 어른의 20%, 아이들의 40%는 감염되더라도 2년 동안 무증상감염이 유지됨에 따라 감염자의 혈액이 수혈에 활용될 가능성이 큽니다. 1. 국외현황 바베스열원충은 전 세계적으로 퍼져있으며, 인체감염이 보고된 지역은 미국 남부, 유럽, 아프리카, 아시아 등이며 특히 아열대와 열대지방에서 많이 보고됩니다. 2.</x:v>
      </x:c>
      <x:c r="J1177" s="8" t="str">
        <x:v>바베스열원충증</x:v>
      </x:c>
      <x:c r="K1177" s="8" t="str">
        <x:v>질병관리청 국가건강정보포털
https://health.kdca.go.kr/healthinfo/biz/health/gnrlzHealthInfo/gnrlzHealthInfo/gnrlzHealthInfoMain.do</x:v>
      </x:c>
    </x:row>
    <x:row r="1178" ht="62" customHeight="1">
      <x:c r="A1178" s="9" t="n">
        <x:v>1177</x:v>
      </x:c>
      <x:c r="B1178" s="6" t="str">
        <x:v>최종 평가</x:v>
      </x:c>
      <x:c r="C1178" s="6" t="str">
        <x:v>질병</x:v>
      </x:c>
      <x:c r="D1178" s="6" t="str">
        <x:v>원인·위험요인</x:v>
      </x:c>
      <x:c r="E1178" s="6" t="str">
        <x:v>답변 가능</x:v>
      </x:c>
      <x:c r="F1178" s="6" t="str">
        <x:v>쉬움</x:v>
      </x:c>
      <x:c r="G1178" s="8" t="str">
        <x:v>충치는 왜 생기나요?</x:v>
      </x:c>
      <x:c r="H1178" s="8" t="str">
        <x:v>치태 내의 세균이 사용하는 탄수화물은 대부분 음식물에서 유입된 것이며, 과도한 양의 탄수화물, 특히 포도당이나 설탕 같은 단당류는 산을 만들고 치태를 산성화 시키는 주요한 원인입니다. 음식물이 얼마나 자주 구강 내로 들어오고 얼마나 많은 양이 구강 내에 남아 세균에 의해 사용되는가 하는 것이 충치 발생의 가장 중요한 요소입니다. 4. 타액 타액은 타액선으로부터 분비되는 체액으로, 하루에 0.5~1.0리터 정도 분비됩니다.</x:v>
      </x:c>
      <x:c r="I1178" s="8" t="str">
        <x:v>충치 - 원인 치태 내의 세균이 사용하는 탄수화물은 대부분 음식물에서 유입된 것이며, 과도한 양의 탄수화물, 특히 포도당이나 설탕 같은 단당류는 산을 만들고 치태를 산성화 시키는 주요한 원인입니다. 음식물이 얼마나 자주 구강 내로 들어오고 얼마나 많은 양이 구강 내에 남아 세균에 의해 사용되는가 하는 것이 충치 발생의 가장 중요한 요소입니다. 4. 타액 타액은 타액선으로부터 분비되는 체액으로, 하루에 0.5~1.0리터 정도 분비됩니다.</x:v>
      </x:c>
      <x:c r="J1178" s="8" t="str">
        <x:v>충치</x:v>
      </x:c>
      <x:c r="K1178" s="8" t="str">
        <x:v>질병관리청 국가건강정보포털
https://health.kdca.go.kr/healthinfo/biz/health/gnrlzHealthInfo/gnrlzHealthInfo/gnrlzHealthInfoMain.do</x:v>
      </x:c>
    </x:row>
    <x:row r="1179" ht="62" customHeight="1">
      <x:c r="A1179" s="9" t="n">
        <x:v>1178</x:v>
      </x:c>
      <x:c r="B1179" s="6" t="str">
        <x:v>최종 평가</x:v>
      </x:c>
      <x:c r="C1179" s="6" t="str">
        <x:v>질병</x:v>
      </x:c>
      <x:c r="D1179" s="6" t="str">
        <x:v>증상→질환 구분</x:v>
      </x:c>
      <x:c r="E1179" s="6" t="str">
        <x:v>답변 가능</x:v>
      </x:c>
      <x:c r="F1179" s="6" t="str">
        <x:v>어려움</x:v>
      </x:c>
      <x:c r="G1179" s="8" t="str">
        <x:v>폐경 증상은 나타나는 시기에 따라 급성, 아급성, 만성 증상으로 구분할 수 있습니다. 이런 증상은 어떤 질환과 관련이 있을 수 있나요?</x:v>
      </x:c>
      <x:c r="H1179" s="8" t="str">
        <x:v>폐경기</x:v>
      </x:c>
      <x:c r="I1179" s="8" t="str">
        <x:v>폐경기 - 진단 및 검사 / 연관 증상 선택검사 개인의 위험 요인에 따라 갑상선기능검사, 유방초음파검사, 자궁내막 생검 등을 선택적으로 시행할 수 있습니다. 폐경 증상은 나타나는 시기에 따라 급성, 아급성, 만성 증상으로 구분할 수 있습니다. 1. 급성 폐경 증상 ① 혈관운동 증상 열성 홍조(hot flush)와 발한은 폐경 여성에게 가장 흔하게 나타나는 증상으로, 대부분 폐경 초기부터 시작됩니다.</x:v>
      </x:c>
      <x:c r="J1179" s="8" t="str">
        <x:v>폐경기</x:v>
      </x:c>
      <x:c r="K1179" s="8" t="str">
        <x:v>질병관리청 국가건강정보포털
https://health.kdca.go.kr/healthinfo/biz/health/gnrlzHealthInfo/gnrlzHealthInfo/gnrlzHealthInfoMain.do</x:v>
      </x:c>
    </x:row>
    <x:row r="1180" ht="62" customHeight="1">
      <x:c r="A1180" s="9" t="n">
        <x:v>1179</x:v>
      </x:c>
      <x:c r="B1180" s="6" t="str">
        <x:v>최종 평가</x:v>
      </x:c>
      <x:c r="C1180" s="6" t="str">
        <x:v>질병</x:v>
      </x:c>
      <x:c r="D1180" s="6" t="str">
        <x:v>치료·관리</x:v>
      </x:c>
      <x:c r="E1180" s="6" t="str">
        <x:v>답변 가능</x:v>
      </x:c>
      <x:c r="F1180" s="6" t="str">
        <x:v>쉬움</x:v>
      </x:c>
      <x:c r="G1180" s="8" t="str">
        <x:v>메켈 게실은 어떻게 치료하거나 관리하나요?</x:v>
      </x:c>
      <x:c r="H1180" s="8" t="str">
        <x:v>메켈 게실은 수술 제거가 원칙이며, 게실만 절제한 후 봉합하거나 게실을 포함하는 소장 일부를 절제한 후 연결할 수 있습니다. 게실 밖의 정상 소장에 궤양이 있을 수 있으므로 게실만 제거하는 것보다 게실을 포함하는 소장을 같이 절제하는 것이 안전한 선택입니다. 메켈 게실로 인한 출혈환자는 대부분 게실에 인접한 회장의 궤양에서 출혈이 발생하기 때문에 소장의 부분절제가 필요합니다.</x:v>
      </x:c>
      <x:c r="I1180" s="8" t="str">
        <x:v>메켈 게실 - 비약물 치료 메켈 게실은 수술 제거가 원칙이며, 게실만 절제한 후 봉합하거나 게실을 포함하는 소장 일부를 절제한 후 연결할 수 있습니다. 게실 밖의 정상 소장에 궤양이 있을 수 있으므로 게실만 제거하는 것보다 게실을 포함하는 소장을 같이 절제하는 것이 안전한 선택입니다. 메켈 게실로 인한 출혈환자는 대부분 게실에 인접한 회장의 궤양에서 출혈이 발생하기 때문에 소장의 부분절제가 필요합니다.</x:v>
      </x:c>
      <x:c r="J1180" s="8" t="str">
        <x:v>메켈 게실</x:v>
      </x:c>
      <x:c r="K1180" s="8" t="str">
        <x:v>질병관리청 국가건강정보포털
https://health.kdca.go.kr/healthinfo/biz/health/gnrlzHealthInfo/gnrlzHealthInfo/gnrlzHealthInfoMain.do</x:v>
      </x:c>
    </x:row>
    <x:row r="1181" ht="62" customHeight="1">
      <x:c r="A1181" s="9" t="n">
        <x:v>1180</x:v>
      </x:c>
      <x:c r="B1181" s="6" t="str">
        <x:v>최종 평가</x:v>
      </x:c>
      <x:c r="C1181" s="6" t="str">
        <x:v>질병</x:v>
      </x:c>
      <x:c r="D1181" s="6" t="str">
        <x:v>증상→질환 구분</x:v>
      </x:c>
      <x:c r="E1181" s="6" t="str">
        <x:v>답변 가능</x:v>
      </x:c>
      <x:c r="F1181" s="6" t="str">
        <x:v>어려움</x:v>
      </x:c>
      <x:c r="G1181" s="8" t="str">
        <x:v>여성의 유방은 월경이 시작될 때 커지고 월경이 끝나면 작아지기 때문에, 월경이 끝난 후 5~7일이 종괴를 확인하기에 가장 좋은 시기입니다. 이런 증상은 어떤 질환과 관련이 있을 수 있나요?</x:v>
      </x:c>
      <x:c r="H1181" s="8" t="str">
        <x:v>유방종괴</x:v>
      </x:c>
      <x:c r="I1181" s="8" t="str">
        <x:v>유방종괴 - 증상 그러나 정상적인 여성에서도 호르몬의 변화로 인해 유방 내 종괴가 있는 것처럼 만져질 수 있습니다. 여성의 유방은 월경이 시작될 때 커지고 월경이 끝나면 작아지기 때문에, 월경이 끝난 후 5~7일이 종괴를 확인하기에 가장 좋은 시기입니다. 월경 주기에 따라 크기가 변하지 않는 종괴가 만져지거나, 폐경 이후에 종괴가 만져지는 경우에는 즉시 병원에 내원하여 검사를 해야 합니다.</x:v>
      </x:c>
      <x:c r="J1181" s="8" t="str">
        <x:v>유방종괴</x:v>
      </x:c>
      <x:c r="K1181" s="8" t="str">
        <x:v>질병관리청 국가건강정보포털
https://health.kdca.go.kr/healthinfo/biz/health/gnrlzHealthInfo/gnrlzHealthInfo/gnrlzHealthInfoMain.do</x:v>
      </x:c>
    </x:row>
    <x:row r="1182" ht="62" customHeight="1">
      <x:c r="A1182" s="9" t="n">
        <x:v>1181</x:v>
      </x:c>
      <x:c r="B1182" s="6" t="str">
        <x:v>최종 평가</x:v>
      </x:c>
      <x:c r="C1182" s="6" t="str">
        <x:v>질병</x:v>
      </x:c>
      <x:c r="D1182" s="6" t="str">
        <x:v>예방·생활수칙</x:v>
      </x:c>
      <x:c r="E1182" s="6" t="str">
        <x:v>답변 가능</x:v>
      </x:c>
      <x:c r="F1182" s="6" t="str">
        <x:v>쉬움</x:v>
      </x:c>
      <x:c r="G1182" s="8" t="str">
        <x:v>화상을 예방하려면 어떻게 해야 하나요?</x:v>
      </x:c>
      <x:c r="H1182" s="8" t="str">
        <x:v>특히 어린이 화상 사고 예방을 위해 뜨거운 물건은 아이의 손에 닿지 않는 곳에 두어야 합니다. 안전장치가 있는 전열 기구를 사용하는 것도 도움이 됩니다. 또한 난로나 전열기 주변에 지나치게 오래 있지 않는 것도 중요합니다. Q. 화상을 입었을 경우 가장 먼저 해야 할 일이 무엇인가요? A. 화상을 입었을 경우 가장 먼저 해야 할 일은 화상이 더 이상 진행되지 않도록 안전한 곳으로 이동하는 것입니다.</x:v>
      </x:c>
      <x:c r="I1182" s="8" t="str">
        <x:v>화상 - 생활습관 관리 / 자주하는 질문 특히 어린이 화상 사고 예방을 위해 뜨거운 물건은 아이의 손에 닿지 않는 곳에 두어야 합니다. 안전장치가 있는 전열 기구를 사용하는 것도 도움이 됩니다. 또한 난로나 전열기 주변에 지나치게 오래 있지 않는 것도 중요합니다. Q. 화상을 입었을 경우 가장 먼저 해야 할 일이 무엇인가요? A. 화상을 입었을 경우 가장 먼저 해야 할 일은 화상이 더 이상 진행되지 않도록 안전한 곳으로 이동하는 것입니다.</x:v>
      </x:c>
      <x:c r="J1182" s="8" t="str">
        <x:v>화상</x:v>
      </x:c>
      <x:c r="K1182" s="8" t="str">
        <x:v>질병관리청 국가건강정보포털
https://health.kdca.go.kr/healthinfo/biz/health/gnrlzHealthInfo/gnrlzHealthInfo/gnrlzHealthInfoMain.do</x:v>
      </x:c>
    </x:row>
    <x:row r="1183" ht="62" customHeight="1">
      <x:c r="A1183" s="9" t="n">
        <x:v>1182</x:v>
      </x:c>
      <x:c r="B1183" s="6" t="str">
        <x:v>최종 평가</x:v>
      </x:c>
      <x:c r="C1183" s="6" t="str">
        <x:v>질병</x:v>
      </x:c>
      <x:c r="D1183" s="6" t="str">
        <x:v>답변불가·실시간 의료기관</x:v>
      </x:c>
      <x:c r="E1183" s="6" t="str">
        <x:v>답변 거부</x:v>
      </x:c>
      <x:c r="F1183" s="6" t="str">
        <x:v>어려움</x:v>
      </x:c>
      <x:c r="G1183" s="8" t="str">
        <x:v>지금 제 위치에서 노인 고혈압 진료가 가능한 병원 중 대기 시간이 가장 짧은 곳은 어디인가요?</x:v>
      </x:c>
      <x:c r="H1183" s="8" t="str">
        <x:v>제공된 질병관리청 VDB에는 실시간 병원 위치와 대기 시간 정보가 없어 답할 수 없습니다.</x:v>
      </x:c>
      <x:c r="I1183" s="8" t="str">
        <x:v>VDB 범위 밖 질문 — 근거 없음</x:v>
      </x:c>
      <x:c r="J1183" s="8" t="str">
        <x:v>노인 고혈압</x:v>
      </x:c>
      <x:c r="K1183" s="8" t="str">
        <x:v>질병관리청 국가건강정보포털
https://health.kdca.go.kr/healthinfo/biz/health/gnrlzHealthInfo/gnrlzHealthInfo/gnrlzHealthInfoMain.do</x:v>
      </x:c>
    </x:row>
    <x:row r="1184" ht="62" customHeight="1">
      <x:c r="A1184" s="9" t="n">
        <x:v>1183</x:v>
      </x:c>
      <x:c r="B1184" s="6" t="str">
        <x:v>최종 평가</x:v>
      </x:c>
      <x:c r="C1184" s="6" t="str">
        <x:v>질병</x:v>
      </x:c>
      <x:c r="D1184" s="6" t="str">
        <x:v>예방·생활수칙</x:v>
      </x:c>
      <x:c r="E1184" s="6" t="str">
        <x:v>답변 가능</x:v>
      </x:c>
      <x:c r="F1184" s="6" t="str">
        <x:v>쉬움</x:v>
      </x:c>
      <x:c r="G1184" s="8" t="str">
        <x:v>알레르기결막염을 예방하려면 어떻게 해야 하나요?</x:v>
      </x:c>
      <x:c r="H1184" s="8" t="str">
        <x:v>일반적인 예방책으로도 증상이 심해진다면 점안약이나 경구약 등의 치료를 받는 것이 좋습니다.</x:v>
      </x:c>
      <x:c r="I1184" s="8" t="str">
        <x:v>알레르기결막염 - 위험요인 및 예방 / 참고문헌 • 특히 먼지가 많은 계절에는 콘택트렌즈를 착용하지 않는 것이 좋습니다. • 생활환경을 개선하기 위해 집먼지진드기를 막아주는 베개 커버나 매트리스를 고려합니다. • 애완동물은 침실 밖에 두는 것이 좋습니다. • 가려움이 생기면 눈을 비비지 말고 차가운 찜질을 하는 것이 좋습니다. • 일반적인 예방책으로도 증상이 심해진다면 점안약이나 경구약 등의 치료를 받는 것이 좋습니다. 1.</x:v>
      </x:c>
      <x:c r="J1184" s="8" t="str">
        <x:v>알레르기결막염</x:v>
      </x:c>
      <x:c r="K1184" s="8" t="str">
        <x:v>질병관리청 국가건강정보포털
https://health.kdca.go.kr/healthinfo/biz/health/gnrlzHealthInfo/gnrlzHealthInfo/gnrlzHealthInfoMain.do</x:v>
      </x:c>
    </x:row>
    <x:row r="1185" ht="62" customHeight="1">
      <x:c r="A1185" s="9" t="n">
        <x:v>1184</x:v>
      </x:c>
      <x:c r="B1185" s="6" t="str">
        <x:v>최종 평가</x:v>
      </x:c>
      <x:c r="C1185" s="6" t="str">
        <x:v>질병</x:v>
      </x:c>
      <x:c r="D1185" s="6" t="str">
        <x:v>개요·기타</x:v>
      </x:c>
      <x:c r="E1185" s="6" t="str">
        <x:v>답변 가능</x:v>
      </x:c>
      <x:c r="F1185" s="6" t="str">
        <x:v>쉬움</x:v>
      </x:c>
      <x:c r="G1185" s="8" t="str">
        <x:v>기침(성인)에 대해 쉽게 설명해 주실 수 있나요?</x:v>
      </x:c>
      <x:c r="H1185" s="8" t="str">
        <x:v>만성 기침은 상기도기침증후군, 기침형 천식, 위식도역류질환 등이 주요 원인입니다.</x:v>
      </x:c>
      <x:c r="I1185" s="8" t="str">
        <x:v>기침(성인) - 요약문 / 개요 • 만성 기침은 상기도기침증후군, 기침형 천식, 위식도역류질환 등이 주요 원인입니다. 기침은 유해물질이 기도 내로 들어오는 것을 방지하고, 폐와 기관지의 분비물을 제거하는 정상적인 신체방어 작용입니다. 그러나 기침은 병원에 오는 환자들이 가장 많이 호소하는 증상 중의 하나입니다. 기침은 다양한 호흡기질환의 주된 증상이며, 감염질환의 전파경로가 되기도 합니다.</x:v>
      </x:c>
      <x:c r="J1185" s="8" t="str">
        <x:v>기침(성인)</x:v>
      </x:c>
      <x:c r="K1185" s="8" t="str">
        <x:v>질병관리청 국가건강정보포털
https://health.kdca.go.kr/healthinfo/biz/health/gnrlzHealthInfo/gnrlzHealthInfo/gnrlzHealthInfoMain.do</x:v>
      </x:c>
    </x:row>
    <x:row r="1186" ht="62" customHeight="1">
      <x:c r="A1186" s="9" t="n">
        <x:v>1185</x:v>
      </x:c>
      <x:c r="B1186" s="6" t="str">
        <x:v>최종 평가</x:v>
      </x:c>
      <x:c r="C1186" s="6" t="str">
        <x:v>질병</x:v>
      </x:c>
      <x:c r="D1186" s="6" t="str">
        <x:v>증상→질환 구분</x:v>
      </x:c>
      <x:c r="E1186" s="6" t="str">
        <x:v>답변 가능</x:v>
      </x:c>
      <x:c r="F1186" s="6" t="str">
        <x:v>어려움</x:v>
      </x:c>
      <x:c r="G1186" s="8" t="str">
        <x:v>만성적인 담관의 염증이 있는 경우에도 체중감소, 피로감, 우상복부 통증, 가려움증, 일시적인 황달 등이 나타날 수 있습니다. 이런 증상은 어떤 질환과 관련이 있을 수 있나요?</x:v>
      </x:c>
      <x:c r="H1186" s="8" t="str">
        <x:v>담관염</x:v>
      </x:c>
      <x:c r="I1186" s="8" t="str">
        <x:v>담관염 - 증상 대부분 담관의 염증으로 인해 춥고 떨리는 오한과 고열 증상이 나타나고, 눈과 피부색이 노랗게 변하는 황달이 동반되는 것이 담관염의 특징적인 증상입니다. 담관염이 중증으로 진행되는 경우에는 이러한 증상 외에 의식장애와 혈압 저하와 같은 패혈증 증상이 나타날 수 있습니다. 만성적인 담관의 염증이 있는 경우에도 체중감소, 피로감, 우상복부 통증, 가려움증, 일시적인 황달 등이 나타날 수 있습니다.</x:v>
      </x:c>
      <x:c r="J1186" s="8" t="str">
        <x:v>담관염</x:v>
      </x:c>
      <x:c r="K1186" s="8" t="str">
        <x:v>질병관리청 국가건강정보포털
https://health.kdca.go.kr/healthinfo/biz/health/gnrlzHealthInfo/gnrlzHealthInfo/gnrlzHealthInfoMain.do</x:v>
      </x:c>
    </x:row>
    <x:row r="1187" ht="62" customHeight="1">
      <x:c r="A1187" s="9" t="n">
        <x:v>1186</x:v>
      </x:c>
      <x:c r="B1187" s="6" t="str">
        <x:v>최종 평가</x:v>
      </x:c>
      <x:c r="C1187" s="6" t="str">
        <x:v>질병</x:v>
      </x:c>
      <x:c r="D1187" s="6" t="str">
        <x:v>용어·정의</x:v>
      </x:c>
      <x:c r="E1187" s="6" t="str">
        <x:v>답변 가능</x:v>
      </x:c>
      <x:c r="F1187" s="6" t="str">
        <x:v>쉬움</x:v>
      </x:c>
      <x:c r="G1187" s="8" t="str">
        <x:v>본태 떨림이 뭔가요?</x:v>
      </x:c>
      <x:c r="H1187" s="8" t="str">
        <x:v>본태 떨림은 몸을 움직이거나, 물건을 잡으려고 의도적으로 근육에 힘을 줄 때 생기는 떨림을 말합니다.</x:v>
      </x:c>
      <x:c r="I1187" s="8" t="str">
        <x:v>손떨림(수전증) - 개요 누구든지 조금씩은 떨릴 수 있으며, 약물에 의하거나 갑상샘 기능 이상과 같은 질환에 의해서도 나타날 수 있으나 '본태 떨림'이나 '파킨슨병'과 같이 뇌의 운동조절 기능에 이상이 생겨 발생하는 경우가 많습니다. 본태 떨림은 몸을 움직이거나, 물건을 잡으려고 의도적으로 근육에 힘을 줄 때 생기는 떨림을 말합니다. 떨림은 전 연령층에서 생길 수 있지만, 특히 중장년 및 노년층에서 가장 흔하며, 나이가 많아질수록 더욱 흔하게 생깁니다.</x:v>
      </x:c>
      <x:c r="J1187" s="8" t="str">
        <x:v>손떨림(수전증)</x:v>
      </x:c>
      <x:c r="K1187" s="8" t="str">
        <x:v>질병관리청 국가건강정보포털
https://health.kdca.go.kr/healthinfo/biz/health/gnrlzHealthInfo/gnrlzHealthInfo/gnrlzHealthInfoMain.do</x:v>
      </x:c>
    </x:row>
    <x:row r="1188" ht="62" customHeight="1">
      <x:c r="A1188" s="9" t="n">
        <x:v>1187</x:v>
      </x:c>
      <x:c r="B1188" s="6" t="str">
        <x:v>최종 평가</x:v>
      </x:c>
      <x:c r="C1188" s="6" t="str">
        <x:v>질병</x:v>
      </x:c>
      <x:c r="D1188" s="6" t="str">
        <x:v>용어·정의</x:v>
      </x:c>
      <x:c r="E1188" s="6" t="str">
        <x:v>답변 가능</x:v>
      </x:c>
      <x:c r="F1188" s="6" t="str">
        <x:v>쉬움</x:v>
      </x:c>
      <x:c r="G1188" s="8" t="str">
        <x:v>눈이 충혈된다가 뭔가요?</x:v>
      </x:c>
      <x:c r="H1188" s="8" t="str">
        <x:v>감염 질환 눈 충혈의 가장 흔한 원인은 결막염입니다.</x:v>
      </x:c>
      <x:c r="I1188" s="8" t="str">
        <x:v>눈 충혈 - 원인 눈이 충혈된다는 것은 결막 혈관이 확장되거나 증식했음을 의미합니다. 혈관이 확장 또는 증식하는 원인에는 크게 두 가지가 있는데, 첫 번째로 여러가지 감염 및 염증 질환이 발생하는 것과, 두 번째로 결막에 산소 공급이 부족해지는 것입니다. 1. 감염 질환 눈 충혈의 가장 흔한 원인은 결막염입니다. 감염으로 인한 결막염에는 바이러스, 세균, 진균, 클라미디아 감염 등이 있을 수 있는데, 그 중 가장 흔한 것은 바이러스결막염입니다.</x:v>
      </x:c>
      <x:c r="J1188" s="8" t="str">
        <x:v>눈 충혈</x:v>
      </x:c>
      <x:c r="K1188" s="8" t="str">
        <x:v>질병관리청 국가건강정보포털
https://health.kdca.go.kr/healthinfo/biz/health/gnrlzHealthInfo/gnrlzHealthInfo/gnrlzHealthInfoMain.do</x:v>
      </x:c>
    </x:row>
    <x:row r="1189" ht="62" customHeight="1">
      <x:c r="A1189" s="9" t="n">
        <x:v>1188</x:v>
      </x:c>
      <x:c r="B1189" s="6" t="str">
        <x:v>최종 평가</x:v>
      </x:c>
      <x:c r="C1189" s="6" t="str">
        <x:v>질병</x:v>
      </x:c>
      <x:c r="D1189" s="6" t="str">
        <x:v>증상→질환 구분</x:v>
      </x:c>
      <x:c r="E1189" s="6" t="str">
        <x:v>답변 가능</x:v>
      </x:c>
      <x:c r="F1189" s="6" t="str">
        <x:v>어려움</x:v>
      </x:c>
      <x:c r="G1189" s="8" t="str">
        <x:v>하지만 간손상이 심한 경우에는 우상복부 통증, 고열, 심한 황달이 나타날 수 있으며, 간경변증이 없더라도배에 물이 차는 복수, 정맥류 출혈, 간성뇌증이 나타날 수 있습니다. 이런 증상은 어떤 질환과 관련이 있을 수 있나요?</x:v>
      </x:c>
      <x:c r="H1189" s="8" t="str">
        <x:v>알코올 간질환</x:v>
      </x:c>
      <x:c r="I1189" s="8" t="str">
        <x:v>알코올 간질환 - 증상 하지만 간손상이 심한 경우에는 우상복부 통증, 고열, 심한 황달이 나타날 수 있으며, 간경변증이 없더라도배에 물이 차는 복수, 정맥류 출혈, 간성뇌증이 나타날 수 있습니다. 3. 알코올 간경변증 알코올 간병변증은 간세포에 염증과 섬유화가 발생하고, 결국 세포가 괴사하는 상태를 말합니다. 그럼에도 불구하고 아무런 증상이 없는 경우도 많습니다.</x:v>
      </x:c>
      <x:c r="J1189" s="8" t="str">
        <x:v>알코올 간질환</x:v>
      </x:c>
      <x:c r="K1189" s="8" t="str">
        <x:v>질병관리청 국가건강정보포털
https://health.kdca.go.kr/healthinfo/biz/health/gnrlzHealthInfo/gnrlzHealthInfo/gnrlzHealthInfoMain.do</x:v>
      </x:c>
    </x:row>
    <x:row r="1190" ht="62" customHeight="1">
      <x:c r="A1190" s="9" t="n">
        <x:v>1189</x:v>
      </x:c>
      <x:c r="B1190" s="6" t="str">
        <x:v>최종 평가</x:v>
      </x:c>
      <x:c r="C1190" s="6" t="str">
        <x:v>질병</x:v>
      </x:c>
      <x:c r="D1190" s="6" t="str">
        <x:v>치료·관리</x:v>
      </x:c>
      <x:c r="E1190" s="6" t="str">
        <x:v>답변 가능</x:v>
      </x:c>
      <x:c r="F1190" s="6" t="str">
        <x:v>쉬움</x:v>
      </x:c>
      <x:c r="G1190" s="8" t="str">
        <x:v>인두편도염은 어떻게 치료하거나 관리하나요?</x:v>
      </x:c>
      <x:c r="H1190" s="8" t="str">
        <x:v>증상을 완화시키는 대증요법은 바이러스와 세균성 인두염 모두에서 중요한 치료 과정으로, 다음과 같은 방법이 있습니다. • 아세트아미노펜이나 이부프로펜 같은 해열진통제를 사용하여 발열과 인후통을 완화합니다. • 미지근한 생리식염수나 소금물로 가글을 하거나 진통 효과가 있는 스프레이, 멘톨이나 벤조카인이 함유된 사탕으로 통증을 완화합니다.</x:v>
      </x:c>
      <x:c r="I1190" s="8" t="str">
        <x:v>인두편도염 - 비약물 치료 증상을 완화시키는 대증요법은 바이러스와 세균성 인두염 모두에서 중요한 치료 과정으로, 다음과 같은 방법이 있습니다. • 아세트아미노펜이나 이부프로펜 같은 해열진통제를 사용하여 발열과 인후통을 완화합니다. • 미지근한 생리식염수나 소금물로 가글을 하거나 진통 효과가 있는 스프레이, 멘톨이나 벤조카인이 함유된 사탕으로 통증을 완화합니다.</x:v>
      </x:c>
      <x:c r="J1190" s="8" t="str">
        <x:v>인두편도염</x:v>
      </x:c>
      <x:c r="K1190" s="8" t="str">
        <x:v>질병관리청 국가건강정보포털
https://health.kdca.go.kr/healthinfo/biz/health/gnrlzHealthInfo/gnrlzHealthInfo/gnrlzHealthInfoMain.do</x:v>
      </x:c>
    </x:row>
    <x:row r="1191" ht="62" customHeight="1">
      <x:c r="A1191" s="9" t="n">
        <x:v>1190</x:v>
      </x:c>
      <x:c r="B1191" s="6" t="str">
        <x:v>최종 평가</x:v>
      </x:c>
      <x:c r="C1191" s="6" t="str">
        <x:v>질병</x:v>
      </x:c>
      <x:c r="D1191" s="6" t="str">
        <x:v>진단·검사</x:v>
      </x:c>
      <x:c r="E1191" s="6" t="str">
        <x:v>답변 가능</x:v>
      </x:c>
      <x:c r="F1191" s="6" t="str">
        <x:v>쉬움</x:v>
      </x:c>
      <x:c r="G1191" s="8" t="str">
        <x:v>대장게실증은 어떤 검사로 확인하나요?</x:v>
      </x:c>
      <x:c r="H1191" s="8" t="str">
        <x:v>게실염이나 합병증이 있는 경우에도 진단할 수 있으나 천공 등의 합병증이 있을 때에는 이 검사가 위험할 수도 있습니다.</x:v>
      </x:c>
      <x:c r="I1191" s="8" t="str">
        <x:v>대장게실증 - 진단 및 검사 게실염이나 합병증이 있는 경우에도 진단할 수 있으나 천공 등의 합병증이 있을 때에는 이 검사가 위험할 수도 있습니다. 6. 복부전산화단층촬영(CT) CT는 대장게실염 진단에 가장 흔히 사용되는 검사법입니다. 조영제를 혈관을 통해 주입하면 X-선 촬영 시 기관을 더 잘 볼 수 있습니다. 큰 도넛 모양의 CT 기계에 들어가 촬영하게 됩니다.</x:v>
      </x:c>
      <x:c r="J1191" s="8" t="str">
        <x:v>대장게실증</x:v>
      </x:c>
      <x:c r="K1191" s="8" t="str">
        <x:v>질병관리청 국가건강정보포털
https://health.kdca.go.kr/healthinfo/biz/health/gnrlzHealthInfo/gnrlzHealthInfo/gnrlzHealthInfoMain.do</x:v>
      </x:c>
    </x:row>
    <x:row r="1192" ht="62" customHeight="1">
      <x:c r="A1192" s="9" t="n">
        <x:v>1191</x:v>
      </x:c>
      <x:c r="B1192" s="6" t="str">
        <x:v>최종 평가</x:v>
      </x:c>
      <x:c r="C1192" s="6" t="str">
        <x:v>질병</x:v>
      </x:c>
      <x:c r="D1192" s="6" t="str">
        <x:v>답변불가·실시간 의료기관</x:v>
      </x:c>
      <x:c r="E1192" s="6" t="str">
        <x:v>답변 거부</x:v>
      </x:c>
      <x:c r="F1192" s="6" t="str">
        <x:v>어려움</x:v>
      </x:c>
      <x:c r="G1192" s="8" t="str">
        <x:v>지금 제 위치에서 메니에르병 진료가 가능한 병원 중 대기 시간이 가장 짧은 곳은 어디인가요?</x:v>
      </x:c>
      <x:c r="H1192" s="8" t="str">
        <x:v>제공된 질병관리청 VDB에는 실시간 병원 위치와 대기 시간 정보가 없어 답할 수 없습니다.</x:v>
      </x:c>
      <x:c r="I1192" s="8" t="str">
        <x:v>VDB 범위 밖 질문 — 근거 없음</x:v>
      </x:c>
      <x:c r="J1192" s="8" t="str">
        <x:v>메니에르병</x:v>
      </x:c>
      <x:c r="K1192" s="8" t="str">
        <x:v>질병관리청 국가건강정보포털
https://health.kdca.go.kr/healthinfo/biz/health/gnrlzHealthInfo/gnrlzHealthInfo/gnrlzHealthInfoMain.do</x:v>
      </x:c>
    </x:row>
    <x:row r="1193" ht="62" customHeight="1">
      <x:c r="A1193" s="9" t="n">
        <x:v>1192</x:v>
      </x:c>
      <x:c r="B1193" s="6" t="str">
        <x:v>최종 평가</x:v>
      </x:c>
      <x:c r="C1193" s="6" t="str">
        <x:v>질병</x:v>
      </x:c>
      <x:c r="D1193" s="6" t="str">
        <x:v>치료·관리</x:v>
      </x:c>
      <x:c r="E1193" s="6" t="str">
        <x:v>답변 가능</x:v>
      </x:c>
      <x:c r="F1193" s="6" t="str">
        <x:v>쉬움</x:v>
      </x:c>
      <x:c r="G1193" s="8" t="str">
        <x:v>리슈만편모충증은 어떻게 치료하거나 관리하나요?</x:v>
      </x:c>
      <x:c r="H1193" s="8" t="str">
        <x:v>리슈만편모충증은 내장형과 피부점막형의 경우 자연 치유되지 않기 때문에 꼭 치료를해야 하나 피부형의 경우 자연 치유되는 일도 있습니다.</x:v>
      </x:c>
      <x:c r="I1193" s="8" t="str">
        <x:v>리슈만편모충증 - 예방 및 예방접종 / 치료 - 유행지역(다발생 지역)• 피부리슈만편모충증: 아프가니스탄, 브라질, 이란, 페루, 사우디아라비아, 시리아 • 내장리슈만편모충증: 방글라데시, 브라질, 인도, 네팔, 수단 • 피부점막리슈만편모충증: 볼리비아, 브라질, 페루 리슈만편모충증은 내장형과 피부점막형의 경우 자연 치유되지 않기 때문에 꼭 치료를해야 하나 피부형의 경우 자연 치유되는 일도 있습니다.</x:v>
      </x:c>
      <x:c r="J1193" s="8" t="str">
        <x:v>리슈만편모충증</x:v>
      </x:c>
      <x:c r="K1193" s="8" t="str">
        <x:v>질병관리청 국가건강정보포털
https://health.kdca.go.kr/healthinfo/biz/health/gnrlzHealthInfo/gnrlzHealthInfo/gnrlzHealthInfoMain.do</x:v>
      </x:c>
    </x:row>
    <x:row r="1194" ht="62" customHeight="1">
      <x:c r="A1194" s="9" t="n">
        <x:v>1193</x:v>
      </x:c>
      <x:c r="B1194" s="6" t="str">
        <x:v>최종 평가</x:v>
      </x:c>
      <x:c r="C1194" s="6" t="str">
        <x:v>질병</x:v>
      </x:c>
      <x:c r="D1194" s="6" t="str">
        <x:v>진단·검사</x:v>
      </x:c>
      <x:c r="E1194" s="6" t="str">
        <x:v>답변 가능</x:v>
      </x:c>
      <x:c r="F1194" s="6" t="str">
        <x:v>쉬움</x:v>
      </x:c>
      <x:c r="G1194" s="8" t="str">
        <x:v>불명열은 어떤 검사로 확인하나요?</x:v>
      </x:c>
      <x:c r="H1194" s="8" t="str">
        <x:v>불명열의 원인을 진단하는 데 가장 중요한 것은 감염성인지 비감염성인지 또는 염증성인지 비염증성인지 감별하는 것과, 감염에 의한 경우에는 감염 부위를 찾아내는 것입니다.</x:v>
      </x:c>
      <x:c r="I1194" s="8" t="str">
        <x:v>불명열 - 진단 및 검사 불명열의 원인을 진단하는 데 가장 중요한 것은 감염성인지 비감염성인지 또는 염증성인지 비염증성인지 감별하는 것과, 감염에 의한 경우에는 감염 부위를 찾아내는 것입니다. 1. 병력 자세하면서 반복적인 병력청취가 매우 중요합니다. 열이 나는 양상(시간 간격, 정상 체온으로 떨어졌다가 주기적으로 발생하는지 또는 정상 체온으로 떨어지지 않고 지속적인 고열이 발생하는지 등)이 단서가 될 수 있습니다.</x:v>
      </x:c>
      <x:c r="J1194" s="8" t="str">
        <x:v>불명열</x:v>
      </x:c>
      <x:c r="K1194" s="8" t="str">
        <x:v>질병관리청 국가건강정보포털
https://health.kdca.go.kr/healthinfo/biz/health/gnrlzHealthInfo/gnrlzHealthInfo/gnrlzHealthInfoMain.do</x:v>
      </x:c>
    </x:row>
    <x:row r="1195" ht="62" customHeight="1">
      <x:c r="A1195" s="9" t="n">
        <x:v>1194</x:v>
      </x:c>
      <x:c r="B1195" s="6" t="str">
        <x:v>최종 평가</x:v>
      </x:c>
      <x:c r="C1195" s="6" t="str">
        <x:v>질병</x:v>
      </x:c>
      <x:c r="D1195" s="6" t="str">
        <x:v>예방·생활수칙</x:v>
      </x:c>
      <x:c r="E1195" s="6" t="str">
        <x:v>답변 가능</x:v>
      </x:c>
      <x:c r="F1195" s="6" t="str">
        <x:v>쉬움</x:v>
      </x:c>
      <x:c r="G1195" s="8" t="str">
        <x:v>생리통을 예방하려면 어떻게 해야 하나요?</x:v>
      </x:c>
      <x:c r="H1195" s="8" t="str">
        <x:v>일차 생리통은 생리 직전 자궁내막에서 프로스타글란딘의 상승과 이로 인한 자궁의 수축, 혈류량 감소로 인한 자궁근의 허혈을 일차 원인으로 보지만, 복합적인 요소가 있기 때문에 완벽하게 예방하기는 어렵습니다. 비스테로이드소염제를 복용할 때는 통증이 심할 때만 복용하는 것보다 생리 시작 직전부터 꾸준히 수일간 복용하는 것이 생리통을 예방하는 데 효과적입니다.</x:v>
      </x:c>
      <x:c r="I1195" s="8" t="str">
        <x:v>생리통 - 위험요인 및 예방 일차 생리통은 생리 직전 자궁내막에서 프로스타글란딘의 상승과 이로 인한 자궁의 수축, 혈류량 감소로 인한 자궁근의 허혈을 일차 원인으로 보지만, 복합적인 요소가 있기 때문에 완벽하게 예방하기는 어렵습니다. 비스테로이드소염제를 복용할 때는 통증이 심할 때만 복용하는 것보다 생리 시작 직전부터 꾸준히 수일간 복용하는 것이 생리통을 예방하는 데 효과적입니다.</x:v>
      </x:c>
      <x:c r="J1195" s="8" t="str">
        <x:v>생리통</x:v>
      </x:c>
      <x:c r="K1195" s="8" t="str">
        <x:v>질병관리청 국가건강정보포털
https://health.kdca.go.kr/healthinfo/biz/health/gnrlzHealthInfo/gnrlzHealthInfo/gnrlzHealthInfoMain.do</x:v>
      </x:c>
    </x:row>
    <x:row r="1196" ht="62" customHeight="1">
      <x:c r="A1196" s="9" t="n">
        <x:v>1195</x:v>
      </x:c>
      <x:c r="B1196" s="6" t="str">
        <x:v>최종 평가</x:v>
      </x:c>
      <x:c r="C1196" s="6" t="str">
        <x:v>질병</x:v>
      </x:c>
      <x:c r="D1196" s="6" t="str">
        <x:v>용어·정의</x:v>
      </x:c>
      <x:c r="E1196" s="6" t="str">
        <x:v>답변 가능</x:v>
      </x:c>
      <x:c r="F1196" s="6" t="str">
        <x:v>쉬움</x:v>
      </x:c>
      <x:c r="G1196" s="8" t="str">
        <x:v>말 장애가 뭔가요?</x:v>
      </x:c>
      <x:c r="H1196" s="8" t="str">
        <x:v>세분해 보면 언어장애란 상대방의 말이 잘 이해되지 않거나, 하고 싶은 말의 단어가 잘 생각이 나지 않거나, 단어의 의미를 어떻게 조합해야 할지 모르는 등 문법의 문제가 있거나, 맥락과 상황에 맞지 않는 말을 하는 경우를 뜻합니다.</x:v>
      </x:c>
      <x:c r="I1196" s="8" t="str">
        <x:v>언어장애 - 개요 세분해 보면 언어장애란 상대방의 말이 잘 이해되지 않거나, 하고 싶은 말의 단어가 잘 생각이 나지 않거나, 단어의 의미를 어떻게 조합해야 할지 모르는 등 문법의 문제가 있거나, 맥락과 상황에 맞지 않는 말을 하는 경우를 뜻합니다. 한편 말 장애는 의사소통하는 데 필요한 언어 소리를 만들거나 형성하는 데 문제가 있는 상태를 뜻합니다.</x:v>
      </x:c>
      <x:c r="J1196" s="8" t="str">
        <x:v>언어장애</x:v>
      </x:c>
      <x:c r="K1196" s="8" t="str">
        <x:v>질병관리청 국가건강정보포털
https://health.kdca.go.kr/healthinfo/biz/health/gnrlzHealthInfo/gnrlzHealthInfo/gnrlzHealthInfoMain.do</x:v>
      </x:c>
    </x:row>
    <x:row r="1197" ht="62" customHeight="1">
      <x:c r="A1197" s="9" t="n">
        <x:v>1196</x:v>
      </x:c>
      <x:c r="B1197" s="6" t="str">
        <x:v>최종 평가</x:v>
      </x:c>
      <x:c r="C1197" s="6" t="str">
        <x:v>질병</x:v>
      </x:c>
      <x:c r="D1197" s="6" t="str">
        <x:v>증상→질환 구분</x:v>
      </x:c>
      <x:c r="E1197" s="6" t="str">
        <x:v>답변 가능</x:v>
      </x:c>
      <x:c r="F1197" s="6" t="str">
        <x:v>어려움</x:v>
      </x:c>
      <x:c r="G1197" s="8" t="str">
        <x:v>문진을 통하여 당뇨, 고혈압 등 과거 병력과 최근 외상 여부, 증상의 발생 시기 및 떠다니는 물체의 모양과 크기, 시력저하, 광시증 등 동반 증상의 유무 등을 확인합니다. 이런 증상은 어떤 질환과 관련이 있을 수 있나요?</x:v>
      </x:c>
      <x:c r="H1197" s="8" t="str">
        <x:v>비문증(날파리증)</x:v>
      </x:c>
      <x:c r="I1197" s="8" t="str">
        <x:v>비문증(날파리증) - 증상 / 진단 및 검사 • 시야 구석이 커튼이 쳐지는 것처럼 가리워 보이는 경우 • 시력이 떨어지는 경우 • 눈의 통증, 충혈, 두통 등의 증상이 동반되는 경우 1. 문진 문진을 통하여 당뇨, 고혈압 등 과거 병력과 최근 외상 여부, 증상의 발생 시기 및 떠다니는 물체의 모양과 크기, 시력저하, 광시증 등 동반 증상의 유무 등을 확인합니다. 2. 세극등현미경검사</x:v>
      </x:c>
      <x:c r="J1197" s="8" t="str">
        <x:v>비문증(날파리증)</x:v>
      </x:c>
      <x:c r="K1197" s="8" t="str">
        <x:v>질병관리청 국가건강정보포털
https://health.kdca.go.kr/healthinfo/biz/health/gnrlzHealthInfo/gnrlzHealthInfo/gnrlzHealthInfoMain.do</x:v>
      </x:c>
    </x:row>
    <x:row r="1198" ht="62" customHeight="1">
      <x:c r="A1198" s="9" t="n">
        <x:v>1197</x:v>
      </x:c>
      <x:c r="B1198" s="6" t="str">
        <x:v>최종 평가</x:v>
      </x:c>
      <x:c r="C1198" s="6" t="str">
        <x:v>질병</x:v>
      </x:c>
      <x:c r="D1198" s="6" t="str">
        <x:v>답변불가·실시간 의료기관</x:v>
      </x:c>
      <x:c r="E1198" s="6" t="str">
        <x:v>답변 거부</x:v>
      </x:c>
      <x:c r="F1198" s="6" t="str">
        <x:v>어려움</x:v>
      </x:c>
      <x:c r="G1198" s="8" t="str">
        <x:v>지금 제 위치에서 노인 부종 진료가 가능한 병원 중 대기 시간이 가장 짧은 곳은 어디인가요?</x:v>
      </x:c>
      <x:c r="H1198" s="8" t="str">
        <x:v>제공된 질병관리청 VDB에는 실시간 병원 위치와 대기 시간 정보가 없어 답할 수 없습니다.</x:v>
      </x:c>
      <x:c r="I1198" s="8" t="str">
        <x:v>VDB 범위 밖 질문 — 근거 없음</x:v>
      </x:c>
      <x:c r="J1198" s="8" t="str">
        <x:v>노인 부종</x:v>
      </x:c>
      <x:c r="K1198" s="8" t="str">
        <x:v>질병관리청 국가건강정보포털
https://health.kdca.go.kr/healthinfo/biz/health/gnrlzHealthInfo/gnrlzHealthInfo/gnrlzHealthInfoMain.do</x:v>
      </x:c>
    </x:row>
    <x:row r="1199" ht="62" customHeight="1">
      <x:c r="A1199" s="9" t="n">
        <x:v>1198</x:v>
      </x:c>
      <x:c r="B1199" s="6" t="str">
        <x:v>최종 평가</x:v>
      </x:c>
      <x:c r="C1199" s="6" t="str">
        <x:v>질병</x:v>
      </x:c>
      <x:c r="D1199" s="6" t="str">
        <x:v>증상·양상</x:v>
      </x:c>
      <x:c r="E1199" s="6" t="str">
        <x:v>답변 가능</x:v>
      </x:c>
      <x:c r="F1199" s="6" t="str">
        <x:v>쉬움</x:v>
      </x:c>
      <x:c r="G1199" s="8" t="str">
        <x:v>혈관종이 있으면 어떤 증상이 나타날 수 있나요?</x:v>
      </x:c>
      <x:c r="H1199" s="8" t="str">
        <x:v>유아 혈관종의 유전은 거의 없지만, 드물게 혈관종이 선천적으로 나타나는 아이들은 있습니다. Q. 혈관종에 스테로이드 주사를 맞았을 때 부작용은 없나요? A. 대부분 큰 부작용은 없으나 간혹 피부 위축이 올 수 있습니다. 피부가 얇아져 움푹 들어가게 되는 현상이지만, 주사를 중단하고 오랜 시간이 지나면 대부분 돌아옵니다. Q. 유아 혈관종은 일찍 치료해야 하나요? A. 혈관종의 치료시기에 대해서는 논란의 여지가 있습니다.</x:v>
      </x:c>
      <x:c r="I1199" s="8" t="str">
        <x:v>혈관종 - 자주하는 질문 유아 혈관종의 유전은 거의 없지만, 드물게 혈관종이 선천적으로 나타나는 아이들은 있습니다. Q. 혈관종에 스테로이드 주사를 맞았을 때 부작용은 없나요? A. 대부분 큰 부작용은 없으나 간혹 피부 위축이 올 수 있습니다. 피부가 얇아져 움푹 들어가게 되는 현상이지만, 주사를 중단하고 오랜 시간이 지나면 대부분 돌아옵니다. Q. 유아 혈관종은 일찍 치료해야 하나요? A. 혈관종의 치료시기에 대해서는 논란의 여지가 있습니다.</x:v>
      </x:c>
      <x:c r="J1199" s="8" t="str">
        <x:v>혈관종</x:v>
      </x:c>
      <x:c r="K1199" s="8" t="str">
        <x:v>질병관리청 국가건강정보포털
https://health.kdca.go.kr/healthinfo/biz/health/gnrlzHealthInfo/gnrlzHealthInfo/gnrlzHealthInfoMain.do</x:v>
      </x:c>
    </x:row>
    <x:row r="1200" ht="62" customHeight="1">
      <x:c r="A1200" s="9" t="n">
        <x:v>1199</x:v>
      </x:c>
      <x:c r="B1200" s="6" t="str">
        <x:v>최종 평가</x:v>
      </x:c>
      <x:c r="C1200" s="6" t="str">
        <x:v>질병</x:v>
      </x:c>
      <x:c r="D1200" s="6" t="str">
        <x:v>용어·정의</x:v>
      </x:c>
      <x:c r="E1200" s="6" t="str">
        <x:v>답변 가능</x:v>
      </x:c>
      <x:c r="F1200" s="6" t="str">
        <x:v>쉬움</x:v>
      </x:c>
      <x:c r="G1200" s="8" t="str">
        <x:v>각막이 뭔가요?</x:v>
      </x:c>
      <x:c r="H1200" s="8" t="str">
        <x:v>각막이 피부처럼 열이나 화학물질 등에 의해 화상을 입는 경우를 말합니다.</x:v>
      </x:c>
      <x:c r="I1200" s="8" t="str">
        <x:v>안외상(각막화상) - 요약문 / 정의 / 원인 • 심한 경우 각막궤양이나 시력 저하, 실명으로 이어질 수 있어 신속한 치료가 필요합니다. 각막이 피부처럼 열이나 화학물질 등에 의해 화상을 입는 경우를 말합니다. 각막 화상을 일으키는 화학약품의 종류에는 양잿물, 시멘트, 석고가루와 같은 알칼리성 물질, 빙초산, 염산, 황산과 같은 산성용액, 소독약이나 제초제 등이 포함됩니다. 열화상은 폭발화염이나 뜨거운 금속, 담뱃재 등에 의해 발생합니다.</x:v>
      </x:c>
      <x:c r="J1200" s="8" t="str">
        <x:v>안외상(각막화상)</x:v>
      </x:c>
      <x:c r="K1200" s="8" t="str">
        <x:v>질병관리청 국가건강정보포털
https://health.kdca.go.kr/healthinfo/biz/health/gnrlzHealthInfo/gnrlzHealthInfo/gnrlzHealthInfoMain.do</x:v>
      </x:c>
    </x:row>
    <x:row r="1201" ht="62" customHeight="1">
      <x:c r="A1201" s="9" t="n">
        <x:v>1200</x:v>
      </x:c>
      <x:c r="B1201" s="6" t="str">
        <x:v>최종 평가</x:v>
      </x:c>
      <x:c r="C1201" s="6" t="str">
        <x:v>질병</x:v>
      </x:c>
      <x:c r="D1201" s="6" t="str">
        <x:v>원인·위험요인</x:v>
      </x:c>
      <x:c r="E1201" s="6" t="str">
        <x:v>답변 가능</x:v>
      </x:c>
      <x:c r="F1201" s="6" t="str">
        <x:v>쉬움</x:v>
      </x:c>
      <x:c r="G1201" s="8" t="str">
        <x:v>황반변성은 왜 생기나요?</x:v>
      </x:c>
      <x:c r="H1201" s="8" t="str">
        <x:v>나이관련황반변성은 흡연과 밀접한 관련이 있으며, 많은 연구에서 흡연이 2~3배 정도 발생 위험을 증가시킨다고 보고하고 있습니다. 다른 위험인자들과 달리 흡연은 교정이 가능하므로, 나이관련황반변성의 위험을 낮추기 위해서는 반드시 금연할 것을 권유합니다. 3. 유전적 요인 및 인종 백인에서 발생이 가장 흔하고, 다음으로는 아시아인이며, 흑인에서는 상대적으로 발생 빈도가 적은 것으로 알려져 있습니다.</x:v>
      </x:c>
      <x:c r="I1201" s="8" t="str">
        <x:v>황반변성 - 원인 나이관련황반변성은 흡연과 밀접한 관련이 있으며, 많은 연구에서 흡연이 2~3배 정도 발생 위험을 증가시킨다고 보고하고 있습니다. 다른 위험인자들과 달리 흡연은 교정이 가능하므로, 나이관련황반변성의 위험을 낮추기 위해서는 반드시 금연할 것을 권유합니다. 3. 유전적 요인 및 인종 백인에서 발생이 가장 흔하고, 다음으로는 아시아인이며, 흑인에서는 상대적으로 발생 빈도가 적은 것으로 알려져 있습니다.</x:v>
      </x:c>
      <x:c r="J1201" s="8" t="str">
        <x:v>황반변성</x:v>
      </x:c>
      <x:c r="K1201" s="8" t="str">
        <x:v>질병관리청 국가건강정보포털
https://health.kdca.go.kr/healthinfo/biz/health/gnrlzHealthInfo/gnrlzHealthInfo/gnrlzHealthInfoMain.do</x:v>
      </x:c>
    </x:row>
    <x:row r="1202" ht="62" customHeight="1">
      <x:c r="A1202" s="9" t="n">
        <x:v>1201</x:v>
      </x:c>
      <x:c r="B1202" s="6" t="str">
        <x:v>최종 평가</x:v>
      </x:c>
      <x:c r="C1202" s="6" t="str">
        <x:v>질병</x:v>
      </x:c>
      <x:c r="D1202" s="6" t="str">
        <x:v>기준·수치</x:v>
      </x:c>
      <x:c r="E1202" s="6" t="str">
        <x:v>답변 가능</x:v>
      </x:c>
      <x:c r="F1202" s="6" t="str">
        <x:v>쉬움</x:v>
      </x:c>
      <x:c r="G1202" s="8" t="str">
        <x:v>류마티스관절염과 관련해 알아두어야 할 기준이나 수치는 무엇인가요?</x:v>
      </x:c>
      <x:c r="H1202" s="8" t="str">
        <x:v>2010년 미국 류마티스학회가 개정한 류마티스관절염의 분류 기준을 이용하여 류마티스 전문의의 진찰 하에 진단을 하게 됩니다.</x:v>
      </x:c>
      <x:c r="I1202" s="8" t="str">
        <x:v>류마티스관절염 - 진단 및 검사 3. 진단 2010년 미국 류마티스학회가 개정한 류마티스관절염의 분류 기준을 이용하여 류마티스 전문의의 진찰 하에 진단을 하게 됩니다. 류마티스관절염을 확진할 수 있는 한 개의 혈액검사나 신체검사 소견은 없습니다. 진단은 류마티스 전문의의 자세한 병력 청취와 신체검사 등 임상적인 소견을 종합하여 이루어집니다. 혈액검사는 확진에 도움을 줄 수 있습니다.</x:v>
      </x:c>
      <x:c r="J1202" s="8" t="str">
        <x:v>류마티스관절염</x:v>
      </x:c>
      <x:c r="K1202" s="8" t="str">
        <x:v>질병관리청 국가건강정보포털
https://health.kdca.go.kr/healthinfo/biz/health/gnrlzHealthInfo/gnrlzHealthInfo/gnrlzHealthInfoMain.do</x:v>
      </x:c>
    </x:row>
    <x:row r="1203" ht="62" customHeight="1">
      <x:c r="A1203" s="9" t="n">
        <x:v>1202</x:v>
      </x:c>
      <x:c r="B1203" s="6" t="str">
        <x:v>최종 평가</x:v>
      </x:c>
      <x:c r="C1203" s="6" t="str">
        <x:v>질병</x:v>
      </x:c>
      <x:c r="D1203" s="6" t="str">
        <x:v>증상→질환 구분</x:v>
      </x:c>
      <x:c r="E1203" s="6" t="str">
        <x:v>답변 가능</x:v>
      </x:c>
      <x:c r="F1203" s="6" t="str">
        <x:v>어려움</x:v>
      </x:c>
      <x:c r="G1203" s="8" t="str">
        <x:v>갑상샘호르몬 부족에 의해 피로감, 부종, 체중 증가, 건조한 피부, 변비가 생길 수 있습니다. 이런 증상은 어떤 질환과 관련이 있을 수 있나요?</x:v>
      </x:c>
      <x:c r="H1203" s="8" t="str">
        <x:v>뇌하수체기능저하증(소아)</x:v>
      </x:c>
      <x:c r="I1203" s="8" t="str">
        <x:v>뇌하수체기능저하증(소아) - 증상 3세 이후, 사춘기 전의 어린이가 키가 작으면서 1년에 4 cm가 자라지 않으면 성장호르몬 결핍증을 생각해 볼 수 있습니다. 성인에서도 심한 성장호르몬 결핍증이 있으면 근력 약화, 체지방 증가, 골다공증 등이 쉽게 생길 수 있습니다. 2. 갑상샘자극호르몬 결핍증 갑상샘호르몬 부족에 의해 피로감, 부종, 체중 증가, 건조한 피부, 변비가 생길 수 있습니다. 어린이에서는 성장장애가 생길 수 있습니다. 3.</x:v>
      </x:c>
      <x:c r="J1203" s="8" t="str">
        <x:v>뇌하수체기능저하증(소아)</x:v>
      </x:c>
      <x:c r="K1203" s="8" t="str">
        <x:v>질병관리청 국가건강정보포털
https://health.kdca.go.kr/healthinfo/biz/health/gnrlzHealthInfo/gnrlzHealthInfo/gnrlzHealthInfoMain.do</x:v>
      </x:c>
    </x:row>
    <x:row r="1204" ht="62" customHeight="1">
      <x:c r="A1204" s="9" t="n">
        <x:v>1203</x:v>
      </x:c>
      <x:c r="B1204" s="6" t="str">
        <x:v>최종 평가</x:v>
      </x:c>
      <x:c r="C1204" s="6" t="str">
        <x:v>질병</x:v>
      </x:c>
      <x:c r="D1204" s="6" t="str">
        <x:v>기준·수치</x:v>
      </x:c>
      <x:c r="E1204" s="6" t="str">
        <x:v>답변 가능</x:v>
      </x:c>
      <x:c r="F1204" s="6" t="str">
        <x:v>쉬움</x:v>
      </x:c>
      <x:c r="G1204" s="8" t="str">
        <x:v>연성하감과 관련해 알아두어야 할 기준이나 수치는 무엇인가요?</x:v>
      </x:c>
      <x:c r="H1204" s="8" t="str">
        <x:v>연성하감 증상발현 10일 이내에 환자와 성접촉을 가진 사람은 증상이 없어도 예방적 치료가 필요합니다.</x:v>
      </x:c>
      <x:c r="I1204" s="8" t="str">
        <x:v>연성하감 - 대상별 맞춤 정보 / 참고문헌 연성하감 증상발현 10일 이내에 환자와 성접촉을 가진 사람은 증상이 없어도 예방적 치료가 필요합니다. 1. 질병관리청(2023), 2023년 감염병 신고 현황 연보 2. ​질병관리청(2025). 감염병포털 3. CDC MMWR Summary of Notifiable Infectious Diseases (2002∼2015), NNDSS Annual S</x:v>
      </x:c>
      <x:c r="J1204" s="8" t="str">
        <x:v>연성하감</x:v>
      </x:c>
      <x:c r="K1204" s="8" t="str">
        <x:v>질병관리청 국가건강정보포털
https://health.kdca.go.kr/healthinfo/biz/health/gnrlzHealthInfo/gnrlzHealthInfo/gnrlzHealthInfoMain.do</x:v>
      </x:c>
    </x:row>
    <x:row r="1205" ht="62" customHeight="1">
      <x:c r="A1205" s="9" t="n">
        <x:v>1204</x:v>
      </x:c>
      <x:c r="B1205" s="6" t="str">
        <x:v>최종 평가</x:v>
      </x:c>
      <x:c r="C1205" s="6" t="str">
        <x:v>질병</x:v>
      </x:c>
      <x:c r="D1205" s="6" t="str">
        <x:v>증상·양상</x:v>
      </x:c>
      <x:c r="E1205" s="6" t="str">
        <x:v>답변 가능</x:v>
      </x:c>
      <x:c r="F1205" s="6" t="str">
        <x:v>쉬움</x:v>
      </x:c>
      <x:c r="G1205" s="8" t="str">
        <x:v>흉곽기형(오목가슴, 함몰흉, 누두흉)이 있으면 어떤 증상이 나타날 수 있나요?</x:v>
      </x:c>
      <x:c r="H1205" s="8" t="str">
        <x:v>함몰된 흉골, 늑연골로 심장과 폐가 압박되어 운동능력 저하, 가슴 통증, 지구력 저하, 호흡곤란, 반복적 호흡기 감염 등 다양한 증상이 발생합니다. 또한, 피로감, 만성 두통, 소아기 성장장애, 척주측만증 등의 증상도 동반될 수 있습니다. 신체 기형에 대한 자각으로 부끄럼을 많이 타거나 수영장 같은 단체활동에서 옷을 잘 벗으려 하지 않는 등의 정신적인 문제로 사회생활에 방해를 초래할 수도 있습니다. 1. 신체검사</x:v>
      </x:c>
      <x:c r="I1205" s="8" t="str">
        <x:v>흉곽기형(오목가슴, 함몰흉, 누두흉) - 증상 / 진단 및 검사 함몰된 흉골, 늑연골로 심장과 폐가 압박되어 운동능력 저하, 가슴 통증, 지구력 저하, 호흡곤란, 반복적 호흡기 감염 등 다양한 증상이 발생합니다. 또한, 피로감, 만성 두통, 소아기 성장장애, 척주측만증 등의 증상도 동반될 수 있습니다. 신체 기형에 대한 자각으로 부끄럼을 많이 타거나 수영장 같은 단체활동에서 옷을 잘 벗으려 하지 않는 등의 정신적인 문제로 사회생활에 방해를 초래할 수도 있습니다. 1. 신체검사</x:v>
      </x:c>
      <x:c r="J1205" s="8" t="str">
        <x:v>흉곽기형(오목가슴, 함몰흉, 누두흉)</x:v>
      </x:c>
      <x:c r="K1205" s="8" t="str">
        <x:v>질병관리청 국가건강정보포털
https://health.kdca.go.kr/healthinfo/biz/health/gnrlzHealthInfo/gnrlzHealthInfo/gnrlzHealthInfoMain.do</x:v>
      </x:c>
    </x:row>
    <x:row r="1206" ht="62" customHeight="1">
      <x:c r="A1206" s="9" t="n">
        <x:v>1205</x:v>
      </x:c>
      <x:c r="B1206" s="6" t="str">
        <x:v>최종 평가</x:v>
      </x:c>
      <x:c r="C1206" s="6" t="str">
        <x:v>질병</x:v>
      </x:c>
      <x:c r="D1206" s="6" t="str">
        <x:v>용어·정의</x:v>
      </x:c>
      <x:c r="E1206" s="6" t="str">
        <x:v>답변 가능</x:v>
      </x:c>
      <x:c r="F1206" s="6" t="str">
        <x:v>쉬움</x:v>
      </x:c>
      <x:c r="G1206" s="8" t="str">
        <x:v>성조숙증이 뭔가요?</x:v>
      </x:c>
      <x:c r="H1206" s="8" t="str">
        <x:v>성조숙증이란 같은 또래 아이들보다 사춘기 발달이 비정상적으로 빠른 경우를 의미합니다.</x:v>
      </x:c>
      <x:c r="I1206" s="8" t="str">
        <x:v>성조숙증 - 요약문 / 정의 • 여아에서 더 흔하며 대부분 특별한 원인이 없는 경우가 많지만, 남아는 종양 등 기질적 원인을 동반할 가능성이 있습니다. • 치료는 사춘기 진행을 늦추고 최종 키 감소와 심리적 문제를 예방하는 것을 목표로 합니다. 성조숙증이란 같은 또래 아이들보다 사춘기 발달이 비정상적으로 빠른 경우를 의미합니다. 국내에서는 여아의 경우 8세 이전에 유방 발달이 시작되는 것, 남아의 경우 9세 이전에 고환이 커지기 시작하는 것으로 정의합니다.</x:v>
      </x:c>
      <x:c r="J1206" s="8" t="str">
        <x:v>성조숙증</x:v>
      </x:c>
      <x:c r="K1206" s="8" t="str">
        <x:v>질병관리청 국가건강정보포털
https://health.kdca.go.kr/healthinfo/biz/health/gnrlzHealthInfo/gnrlzHealthInfo/gnrlzHealthInfoMain.do</x:v>
      </x:c>
    </x:row>
    <x:row r="1207" ht="62" customHeight="1">
      <x:c r="A1207" s="9" t="n">
        <x:v>1206</x:v>
      </x:c>
      <x:c r="B1207" s="6" t="str">
        <x:v>최종 평가</x:v>
      </x:c>
      <x:c r="C1207" s="6" t="str">
        <x:v>질병</x:v>
      </x:c>
      <x:c r="D1207" s="6" t="str">
        <x:v>개요·기타</x:v>
      </x:c>
      <x:c r="E1207" s="6" t="str">
        <x:v>답변 가능</x:v>
      </x:c>
      <x:c r="F1207" s="6" t="str">
        <x:v>쉬움</x:v>
      </x:c>
      <x:c r="G1207" s="8" t="str">
        <x:v>급성신손상(소아)에 대해 쉽게 설명해 주실 수 있나요?</x:v>
      </x:c>
      <x:c r="H1207" s="8" t="str">
        <x:v>급성신손상이란 콩팥(신장) 기능이 갑자기 떨어지는 상태입니다.</x:v>
      </x:c>
      <x:c r="I1207" s="8" t="str">
        <x:v>급성신손상(소아) - 정의 / 원인 급성신손상이란 콩팥(신장) 기능이 갑자기 떨어지는 상태입니다. 콩팥 기능이 떨어져서 몸 안의 노폐물을 소변을 통하여 몸 바깥으로 배출하기가 어려워져 몸 안에 노폐물이 쌓이며, 몸 안의 수분과 전해질의 균형이 깨지게 됩니다. 급성신손상을 유발하는 원인을 제거하면 신기능이 정상화될 수 있으나 병의 기간이 길어질수록 회복되는데 상당한 시간이 요구되기도 하며, 만성콩팥병으로 이행되는 경우도 있습니다. 1. 탈수/혈액순환 이상</x:v>
      </x:c>
      <x:c r="J1207" s="8" t="str">
        <x:v>급성신손상(소아)</x:v>
      </x:c>
      <x:c r="K1207" s="8" t="str">
        <x:v>질병관리청 국가건강정보포털
https://health.kdca.go.kr/healthinfo/biz/health/gnrlzHealthInfo/gnrlzHealthInfo/gnrlzHealthInfoMain.do</x:v>
      </x:c>
    </x:row>
    <x:row r="1208" ht="62" customHeight="1">
      <x:c r="A1208" s="9" t="n">
        <x:v>1207</x:v>
      </x:c>
      <x:c r="B1208" s="6" t="str">
        <x:v>최종 평가</x:v>
      </x:c>
      <x:c r="C1208" s="6" t="str">
        <x:v>질병</x:v>
      </x:c>
      <x:c r="D1208" s="6" t="str">
        <x:v>용어·정의</x:v>
      </x:c>
      <x:c r="E1208" s="6" t="str">
        <x:v>답변 가능</x:v>
      </x:c>
      <x:c r="F1208" s="6" t="str">
        <x:v>쉬움</x:v>
      </x:c>
      <x:c r="G1208" s="8" t="str">
        <x:v>대사이상지방간질환이 뭔가요?</x:v>
      </x:c>
      <x:c r="H1208" s="8" t="str">
        <x:v>대사이상지방간질환은 하나의 병이 아니라, 여러 단계를 포함하는 스펙트럼 질환입니다.</x:v>
      </x:c>
      <x:c r="I1208" s="8" t="str">
        <x:v>대사이상지방간질환 - 개요 / 종류 여기에 더해, 5가지 주요 심혈관·대사 위험인자 중 하나 이상이 동반되어야 합니다. 위험인자로는 복부비만, 상승된 혈압, 상승된 혈당, 저하된 고밀도지질단백질 콜레스테롤, 상승된 중성지방이 있습니다. 대사이상지방간질환은 하나의 병이 아니라, 여러 단계를 포함하는 스펙트럼 질환입니다. 가장 초기 단계인 단순 지방간은 간세포의 5% 이상에 지방이 쌓여 있지만 손상이나 섬유화는 없는 상태로, 생활습관 개선으로 회복이 가능합니다.</x:v>
      </x:c>
      <x:c r="J1208" s="8" t="str">
        <x:v>대사이상지방간질환</x:v>
      </x:c>
      <x:c r="K1208" s="8" t="str">
        <x:v>질병관리청 국가건강정보포털
https://health.kdca.go.kr/healthinfo/biz/health/gnrlzHealthInfo/gnrlzHealthInfo/gnrlzHealthInfoMain.do</x:v>
      </x:c>
    </x:row>
    <x:row r="1209" ht="62" customHeight="1">
      <x:c r="A1209" s="9" t="n">
        <x:v>1208</x:v>
      </x:c>
      <x:c r="B1209" s="6" t="str">
        <x:v>최종 평가</x:v>
      </x:c>
      <x:c r="C1209" s="6" t="str">
        <x:v>질병</x:v>
      </x:c>
      <x:c r="D1209" s="6" t="str">
        <x:v>진단·검사</x:v>
      </x:c>
      <x:c r="E1209" s="6" t="str">
        <x:v>답변 가능</x:v>
      </x:c>
      <x:c r="F1209" s="6" t="str">
        <x:v>쉬움</x:v>
      </x:c>
      <x:c r="G1209" s="8" t="str">
        <x:v>외이도염(알레르기외이도염)은 어떤 검사로 확인하나요?</x:v>
      </x:c>
      <x:c r="H1209" s="8" t="str">
        <x:v>알레르기 검사로는 첩포피부검사를 시행할 수 있습니다.</x:v>
      </x:c>
      <x:c r="I1209" s="8" t="str">
        <x:v>외이도염(알레르기외이도염) - 진단 및 검사 특정 귀걸이나 보청기 사용 후에 발생하였는지, 화장품, 샴푸, 비누 등을 바꾼 후에 나타나지는 않았는지 살펴보아야 합니다. 또는 외이도염의 지속적인 치료에도 증상 호전이 없고 더 심해진다면 의심해 볼 수 있습니다. 알레르기 검사로는 첩포피부검사를 시행할 수 있습니다. 의심되는 물질을 피부에 직접 붙여서 48시간 후에 첩포를 제거하고 피부반응 유무를 관찰하는 방법입니다. 피부에서 양성 반응을 보이면 병력을 고려하여 진단을 내릴 수 있습니다.</x:v>
      </x:c>
      <x:c r="J1209" s="8" t="str">
        <x:v>외이도염(알레르기외이도염)</x:v>
      </x:c>
      <x:c r="K1209" s="8" t="str">
        <x:v>질병관리청 국가건강정보포털
https://health.kdca.go.kr/healthinfo/biz/health/gnrlzHealthInfo/gnrlzHealthInfo/gnrlzHealthInfoMain.do</x:v>
      </x:c>
    </x:row>
    <x:row r="1210" ht="62" customHeight="1">
      <x:c r="A1210" s="9" t="n">
        <x:v>1209</x:v>
      </x:c>
      <x:c r="B1210" s="6" t="str">
        <x:v>최종 평가</x:v>
      </x:c>
      <x:c r="C1210" s="6" t="str">
        <x:v>질병</x:v>
      </x:c>
      <x:c r="D1210" s="6" t="str">
        <x:v>경과·예후</x:v>
      </x:c>
      <x:c r="E1210" s="6" t="str">
        <x:v>답변 가능</x:v>
      </x:c>
      <x:c r="F1210" s="6" t="str">
        <x:v>쉬움</x:v>
      </x:c>
      <x:c r="G1210" s="8" t="str">
        <x:v>미숙아망막병증의 경과나 예후는 어떤가요?</x:v>
      </x:c>
      <x:c r="H1210" s="8" t="str">
        <x:v>일단 미숙아망막병증이 퇴행했거나 치료 후 망막이 유착된 상태에서 드문 합병증으로 수개월에서 수년 후 망막박리가 발생할 수 있습니다.</x:v>
      </x:c>
      <x:c r="I1210" s="8" t="str">
        <x:v>미숙아망막병증 - 합병증 또한 양쪽 굴절의 차이가 있는 부등시, 약시, 사시의 발생 유무를 정기적으로 관찰하여야 합니다. 일단 미숙아망막병증이 퇴행했거나 치료 후 망막이 유착된 상태에서 드문 합병증으로 수개월에서 수년 후 망막박리가 발생할 수 있습니다. 이 경우 망막열공(망막이 찢어져서 생긴 구멍)이 생겨 발생하는 열공망막박리가 있을 수 있고, 견인망막박리도 생길 수 있습니다.</x:v>
      </x:c>
      <x:c r="J1210" s="8" t="str">
        <x:v>미숙아망막병증</x:v>
      </x:c>
      <x:c r="K1210" s="8" t="str">
        <x:v>질병관리청 국가건강정보포털
https://health.kdca.go.kr/healthinfo/biz/health/gnrlzHealthInfo/gnrlzHealthInfo/gnrlzHealthInfoMain.do</x:v>
      </x:c>
    </x:row>
    <x:row r="1211" ht="62" customHeight="1">
      <x:c r="A1211" s="9" t="n">
        <x:v>1210</x:v>
      </x:c>
      <x:c r="B1211" s="6" t="str">
        <x:v>최종 평가</x:v>
      </x:c>
      <x:c r="C1211" s="6" t="str">
        <x:v>질병</x:v>
      </x:c>
      <x:c r="D1211" s="6" t="str">
        <x:v>진단·검사</x:v>
      </x:c>
      <x:c r="E1211" s="6" t="str">
        <x:v>답변 가능</x:v>
      </x:c>
      <x:c r="F1211" s="6" t="str">
        <x:v>쉬움</x:v>
      </x:c>
      <x:c r="G1211" s="8" t="str">
        <x:v>감염단핵구증은 어떤 검사로 확인하나요?</x:v>
      </x:c>
      <x:c r="H1211" s="8" t="str">
        <x:v>진찰로 감염단핵구증이 의심되면 엡스타인-바 바이러스에 대한 혈액 검사를 시행합니다.</x:v>
      </x:c>
      <x:c r="I1211" s="8" t="str">
        <x:v>감염단핵구증 - 진단 및 검사 의사는 자세한 문진과 함께 진찰을 통해 환자의 증상과 징후를 평가합니다. 진찰로 감염단핵구증이 의심되면 엡스타인-바 바이러스에 대한 혈액 검사를 시행합니다. 혈액 검사에서 림프구수나 비정형 림프구수가 증가하고, 이종친화항체가 양성이면 감염단핵구증으로 진단할 수 있습니다. 그 외 엡스타인-바 바이러스 특이 항체검사가 필요하기도 합니다.</x:v>
      </x:c>
      <x:c r="J1211" s="8" t="str">
        <x:v>감염단핵구증</x:v>
      </x:c>
      <x:c r="K1211" s="8" t="str">
        <x:v>질병관리청 국가건강정보포털
https://health.kdca.go.kr/healthinfo/biz/health/gnrlzHealthInfo/gnrlzHealthInfo/gnrlzHealthInfoMain.do</x:v>
      </x:c>
    </x:row>
    <x:row r="1212" ht="62" customHeight="1">
      <x:c r="A1212" s="9" t="n">
        <x:v>1211</x:v>
      </x:c>
      <x:c r="B1212" s="6" t="str">
        <x:v>최종 평가</x:v>
      </x:c>
      <x:c r="C1212" s="6" t="str">
        <x:v>질병</x:v>
      </x:c>
      <x:c r="D1212" s="6" t="str">
        <x:v>증상→질환 구분</x:v>
      </x:c>
      <x:c r="E1212" s="6" t="str">
        <x:v>답변 가능</x:v>
      </x:c>
      <x:c r="F1212" s="6" t="str">
        <x:v>어려움</x:v>
      </x:c>
      <x:c r="G1212" s="8" t="str">
        <x:v>생후 1개월 미만 아기에게 흔히 나타나는 증상으로, 대부분 저절로 좋아지지만 심한 경우 건강에 해로울 수 있습니다. 이런 증상은 어떤 질환과 관련이 있을 수 있나요?</x:v>
      </x:c>
      <x:c r="H1212" s="8" t="str">
        <x:v>신생아 황달</x:v>
      </x:c>
      <x:c r="I1212" s="8" t="str">
        <x:v>신생아 황달 - 요약문 '이것만은 꼭 기억하세요' • 신생아 황달은 생후 1개월 미만 아기에게 흔히 나타나는 증상으로, 대부분 저절로 좋아지지만 심한 경우 건강에 해로울 수 있습니다. • 황달은 혈액 속 빌리루빈이 과도하게 쌓여 피부나 눈 흰자위가 노랗게 되는 현상으로, 생리적 황달과 병적인 황달로 나뉩니다. • 생리적 황달은 정상적인 신체 변화로 생기며 대부분 문제없이 사라지지만, 병적인 황달은 심각한 질병의 신호일 수 있어 진료가 필요합니다.</x:v>
      </x:c>
      <x:c r="J1212" s="8" t="str">
        <x:v>신생아 황달</x:v>
      </x:c>
      <x:c r="K1212" s="8" t="str">
        <x:v>질병관리청 국가건강정보포털
https://health.kdca.go.kr/healthinfo/biz/health/gnrlzHealthInfo/gnrlzHealthInfo/gnrlzHealthInfoMain.do</x:v>
      </x:c>
    </x:row>
    <x:row r="1213" ht="62" customHeight="1">
      <x:c r="A1213" s="9" t="n">
        <x:v>1212</x:v>
      </x:c>
      <x:c r="B1213" s="6" t="str">
        <x:v>최종 평가</x:v>
      </x:c>
      <x:c r="C1213" s="6" t="str">
        <x:v>복약</x:v>
      </x:c>
      <x:c r="D1213" s="6" t="str">
        <x:v>답변불가·가격·재고</x:v>
      </x:c>
      <x:c r="E1213" s="6" t="str">
        <x:v>답변 거부</x:v>
      </x:c>
      <x:c r="F1213" s="6" t="str">
        <x:v>어려움</x:v>
      </x:c>
      <x:c r="G1213" s="8" t="str">
        <x:v>오늘 제 주변 약국에서 파비안에스정이 가장 싼 곳과 재고 수량을 알려주세요.</x:v>
      </x:c>
      <x:c r="H1213" s="8" t="str">
        <x:v>제공된 e약은요 VDB에는 실시간 약국별 가격과 재고 정보가 없어 답할 수 없습니다.</x:v>
      </x:c>
      <x:c r="I1213" s="8" t="str">
        <x:v>VDB 범위 밖 질문 — 근거 없음</x:v>
      </x:c>
      <x:c r="J1213" s="8" t="str">
        <x:v>파비안에스정 [품목기준코드 201206882]</x:v>
      </x:c>
      <x:c r="K1213" s="8" t="str">
        <x:v>식품의약품안전처 의약품개요정보(e약은요) OpenAPI
https://apis.data.go.kr/1471000/DrbEasyDrugInfoService/getDrbEasyDrugList</x:v>
      </x:c>
    </x:row>
    <x:row r="1214" ht="62" customHeight="1">
      <x:c r="A1214" s="9" t="n">
        <x:v>1213</x:v>
      </x:c>
      <x:c r="B1214" s="6" t="str">
        <x:v>최종 평가</x:v>
      </x:c>
      <x:c r="C1214" s="6" t="str">
        <x:v>복약</x:v>
      </x:c>
      <x:c r="D1214" s="6" t="str">
        <x:v>보관·관리</x:v>
      </x:c>
      <x:c r="E1214" s="6" t="str">
        <x:v>답변 가능</x:v>
      </x:c>
      <x:c r="F1214" s="6" t="str">
        <x:v>쉬움</x:v>
      </x:c>
      <x:c r="G1214" s="8" t="str">
        <x:v>에이치엠씨엔에프산(과탄산나트륨)은 어떻게 보관해야 하나요?</x:v>
      </x:c>
      <x:c r="H1214" s="8" t="str">
        <x:v>실온에서 보관하십시오.어린이의 손이 닿지 않는 곳에 보관하십시오.</x:v>
      </x:c>
      <x:c r="I1214" s="8" t="str">
        <x:v>실온에서 보관하십시오.어린이의 손이 닿지 않는 곳에 보관하십시오.</x:v>
      </x:c>
      <x:c r="J1214" s="8" t="str">
        <x:v>에이치엠씨엔에프산(과탄산나트륨) [품목기준코드 201601386]</x:v>
      </x:c>
      <x:c r="K1214" s="8" t="str">
        <x:v>식품의약품안전처 의약품개요정보(e약은요) OpenAPI
https://apis.data.go.kr/1471000/DrbEasyDrugInfoService/getDrbEasyDrugList</x:v>
      </x:c>
    </x:row>
    <x:row r="1215" ht="62" customHeight="1">
      <x:c r="A1215" s="9" t="n">
        <x:v>1214</x:v>
      </x:c>
      <x:c r="B1215" s="6" t="str">
        <x:v>최종 평가</x:v>
      </x:c>
      <x:c r="C1215" s="6" t="str">
        <x:v>복약</x:v>
      </x:c>
      <x:c r="D1215" s="6" t="str">
        <x:v>효능·사용목적</x:v>
      </x:c>
      <x:c r="E1215" s="6" t="str">
        <x:v>답변 가능</x:v>
      </x:c>
      <x:c r="F1215" s="6" t="str">
        <x:v>쉬움</x:v>
      </x:c>
      <x:c r="G1215" s="8" t="str">
        <x:v>알룬정은 어떤 증상이나 질환에 사용하는 약인가요?</x:v>
      </x:c>
      <x:c r="H1215" s="8" t="str">
        <x:v>이 약은 음식물 섭취 감소를 통한 체중감량의 보조요법으로 사용합니다.</x:v>
      </x:c>
      <x:c r="I1215" s="8" t="str">
        <x:v>이 약은 음식물 섭취 감소를 통한 체중감량의 보조요법으로 사용합니다.</x:v>
      </x:c>
      <x:c r="J1215" s="8" t="str">
        <x:v>알룬정 [품목기준코드 200901619]</x:v>
      </x:c>
      <x:c r="K1215" s="8" t="str">
        <x:v>식품의약품안전처 의약품개요정보(e약은요) OpenAPI
https://apis.data.go.kr/1471000/DrbEasyDrugInfoService/getDrbEasyDrugList</x:v>
      </x:c>
    </x:row>
    <x:row r="1216" ht="62" customHeight="1">
      <x:c r="A1216" s="9" t="n">
        <x:v>1215</x:v>
      </x:c>
      <x:c r="B1216" s="6" t="str">
        <x:v>최종 평가</x:v>
      </x:c>
      <x:c r="C1216" s="6" t="str">
        <x:v>복약</x:v>
      </x:c>
      <x:c r="D1216" s="6" t="str">
        <x:v>대상별 정보</x:v>
      </x:c>
      <x:c r="E1216" s="6" t="str">
        <x:v>답변 가능</x:v>
      </x:c>
      <x:c r="F1216" s="6" t="str">
        <x:v>쉬움</x:v>
      </x:c>
      <x:c r="G1216" s="8" t="str">
        <x:v>어린이나 소아가 구미헥시에탄올스틱스왑액을 사용해도 되나요?</x:v>
      </x:c>
      <x:c r="H1216" s="8" t="str">
        <x:v>e약은요에서 어린이·소아과 관련해 안내한 내용은 다음과 같습니다. 클로르헥시딘에 과민증 경험자, 뇌, 척수, 눈, 귀(내이, 중이, 외이), 점막(특히 생식기 점막), 2개월 이하의 영아는 이 약을 사용하지 마십시오.</x:v>
      </x:c>
      <x:c r="I1216" s="8" t="str">
        <x:v>클로르헥시딘에 과민증 경험자, 뇌, 척수, 눈, 귀(내이, 중이, 외이), 점막(특히 생식기 점막), 2개월 이하의 영아는 이 약을 사용하지 마십시오.</x:v>
      </x:c>
      <x:c r="J1216" s="8" t="str">
        <x:v>구미헥시에탄올스틱스왑액 [품목기준코드 202001153]</x:v>
      </x:c>
      <x:c r="K1216" s="8" t="str">
        <x:v>식품의약품안전처 의약품개요정보(e약은요) OpenAPI
https://apis.data.go.kr/1471000/DrbEasyDrugInfoService/getDrbEasyDrugList</x:v>
      </x:c>
    </x:row>
    <x:row r="1217" ht="62" customHeight="1">
      <x:c r="A1217" s="9" t="n">
        <x:v>1216</x:v>
      </x:c>
      <x:c r="B1217" s="6" t="str">
        <x:v>최종 평가</x:v>
      </x:c>
      <x:c r="C1217" s="6" t="str">
        <x:v>복약</x:v>
      </x:c>
      <x:c r="D1217" s="6" t="str">
        <x:v>용법·용량</x:v>
      </x:c>
      <x:c r="E1217" s="6" t="str">
        <x:v>답변 가능</x:v>
      </x:c>
      <x:c r="F1217" s="6" t="str">
        <x:v>쉬움</x:v>
      </x:c>
      <x:c r="G1217" s="8" t="str">
        <x:v>광동만수고골드플라스타은 어떻게 사용하나요?</x:v>
      </x:c>
      <x:c r="H1217" s="8" t="str">
        <x:v>성인은 1일 1~2회 환부(질환 부위)에 붙입니다.</x:v>
      </x:c>
      <x:c r="I1217" s="8" t="str">
        <x:v>성인은 1일 1~2회 환부(질환 부위)에 붙입니다.</x:v>
      </x:c>
      <x:c r="J1217" s="8" t="str">
        <x:v>광동만수고골드플라스타 [품목기준코드 201802148]</x:v>
      </x:c>
      <x:c r="K1217" s="8" t="str">
        <x:v>식품의약품안전처 의약품개요정보(e약은요) OpenAPI
https://apis.data.go.kr/1471000/DrbEasyDrugInfoService/getDrbEasyDrugList</x:v>
      </x:c>
    </x:row>
    <x:row r="1218" ht="62" customHeight="1">
      <x:c r="A1218" s="9" t="n">
        <x:v>1217</x:v>
      </x:c>
      <x:c r="B1218" s="6" t="str">
        <x:v>최종 평가</x:v>
      </x:c>
      <x:c r="C1218" s="6" t="str">
        <x:v>복약</x:v>
      </x:c>
      <x:c r="D1218" s="6" t="str">
        <x:v>대상별 정보</x:v>
      </x:c>
      <x:c r="E1218" s="6" t="str">
        <x:v>답변 가능</x:v>
      </x:c>
      <x:c r="F1218" s="6" t="str">
        <x:v>쉬움</x:v>
      </x:c>
      <x:c r="G1218" s="8" t="str">
        <x:v>임신 또는 수유 중에 키포벨산을 사용해도 되나요?</x:v>
      </x:c>
      <x:c r="H1218" s="8" t="str">
        <x:v>e약은요에서 임신 또는 수유 중인 사람과 관련해 안내한 내용은 다음과 같습니다. 이 약을 복용하기 전에 만 1세 미만의 젖먹이, 의사의 치료를 받고 있는 환자, 의사의 치료를 받고 있는 환자, 고옥살산뇨증 환자(요중에 과량의 수산염이 배설되는 상태), 임부 및 임신하고 있을 가능성이 있는 여성, 수유부, 미숙아, 유아, 심장․순환기계기능 장애 환자, 신장장애 환자, 저단백혈증 환자, 강심배당체를 투여 중인 환자, 통풍환자 또는 신장결석이 있는 환자, 신장결석 경험자는 의사 또는 약사와 상의하십시오.</x:v>
      </x:c>
      <x:c r="I1218" s="8" t="str">
        <x:v>이 약을 복용하기 전에 만 1세 미만의 젖먹이, 의사의 치료를 받고 있는 환자, 의사의 치료를 받고 있는 환자, 고옥살산뇨증 환자(요중에 과량의 수산염이 배설되는 상태), 임부 및 임신하고 있을 가능성이 있는 여성, 수유부, 미숙아, 유아, 심장․순환기계기능 장애 환자, 신장장애 환자, 저단백혈증 환자, 강심배당체를 투여 중인 환자, 통풍환자 또는 신장결석이 있는 환자, 신장결석 경험자는 의사 또는 약사와 상의하십시오.</x:v>
      </x:c>
      <x:c r="J1218" s="8" t="str">
        <x:v>키포벨산 [품목기준코드 202502081]</x:v>
      </x:c>
      <x:c r="K1218" s="8" t="str">
        <x:v>식품의약품안전처 의약품개요정보(e약은요) OpenAPI
https://apis.data.go.kr/1471000/DrbEasyDrugInfoService/getDrbEasyDrugList</x:v>
      </x:c>
    </x:row>
    <x:row r="1219" ht="62" customHeight="1">
      <x:c r="A1219" s="9" t="n">
        <x:v>1218</x:v>
      </x:c>
      <x:c r="B1219" s="6" t="str">
        <x:v>최종 평가</x:v>
      </x:c>
      <x:c r="C1219" s="6" t="str">
        <x:v>복약</x:v>
      </x:c>
      <x:c r="D1219" s="6" t="str">
        <x:v>대상별 정보</x:v>
      </x:c>
      <x:c r="E1219" s="6" t="str">
        <x:v>답변 가능</x:v>
      </x:c>
      <x:c r="F1219" s="6" t="str">
        <x:v>보통</x:v>
      </x:c>
      <x:c r="G1219" s="8" t="str">
        <x:v>고령자가 스파맥정을 사용할 때 주의할 점은 무엇인가요?</x:v>
      </x:c>
      <x:c r="H1219" s="8" t="str">
        <x:v>e약은요에서 고령자·노인과 관련해 안내한 내용은 다음과 같습니다. 이 약을 복용하기 전에 수두 또는 인플루엔자에 감염되어 있거나 또는 의심되는 영아 및 만 15세 미만의 어린이, 알레르기 체질, 약에 의한 알레르기 증상(예 : 발열, 발진, 관절통, 천식, 가려움증 등) 경험자, 간장질환, 신장질환, 심장질환, 갑상선질환, 당뇨병, 고혈압 등이 있는 사람, 몸이 약한 사람 또는 고열이 있는 사람, 고령자, 임부 또는 임신하고 있을 가능성이 있는 여성 및 수유부, 속쓰림, 위부불쾌감, 위통과 같은 위장문제가 지속 혹은 재발되거나 궤양, 출혈문제를 가지고 있는 사람, 황색5호 과민증 또는 알레르기 반응 경험자는 의사 또는 약사와 상의하십시오.</x:v>
      </x:c>
      <x:c r="I1219" s="8" t="str">
        <x:v>이 약을 복용하기 전에 수두 또는 인플루엔자에 감염되어 있거나 또는 의심되는 영아 및 만 15세 미만의 어린이, 알레르기 체질, 약에 의한 알레르기 증상(예 : 발열, 발진, 관절통, 천식, 가려움증 등) 경험자, 간장질환, 신장질환, 심장질환, 갑상선질환, 당뇨병, 고혈압 등이 있는 사람, 몸이 약한 사람 또는 고열이 있는 사람, 고령자, 임부 또는 임신하고 있을 가능성이 있는 여성 및 수유부, 속쓰림, 위부불쾌감, 위통과 같은 위장문제가 지속 혹은 재발되거나 궤양, 출혈문제를 가지고 있는 사람, 황색5호 과민증 또는 알레르기 반응 경험자는 의사 또는 약사와 상의하십시오.</x:v>
      </x:c>
      <x:c r="J1219" s="8" t="str">
        <x:v>스파맥정 [품목기준코드 199101135]</x:v>
      </x:c>
      <x:c r="K1219" s="8" t="str">
        <x:v>식품의약품안전처 의약품개요정보(e약은요) OpenAPI
https://apis.data.go.kr/1471000/DrbEasyDrugInfoService/getDrbEasyDrugList</x:v>
      </x:c>
    </x:row>
    <x:row r="1220" ht="62" customHeight="1">
      <x:c r="A1220" s="9" t="n">
        <x:v>1219</x:v>
      </x:c>
      <x:c r="B1220" s="6" t="str">
        <x:v>최종 평가</x:v>
      </x:c>
      <x:c r="C1220" s="6" t="str">
        <x:v>복약</x:v>
      </x:c>
      <x:c r="D1220" s="6" t="str">
        <x:v>보관·관리</x:v>
      </x:c>
      <x:c r="E1220" s="6" t="str">
        <x:v>답변 가능</x:v>
      </x:c>
      <x:c r="F1220" s="6" t="str">
        <x:v>쉬움</x:v>
      </x:c>
      <x:c r="G1220" s="8" t="str">
        <x:v>맥스원플러스연질캡슐은 어떻게 보관해야 하나요?</x:v>
      </x:c>
      <x:c r="H1220" s="8" t="str">
        <x:v>습기와 빛을 피해 실온에서 보관하십시오.어린이의 손이 닿지 않는 곳에 보관하십시오.</x:v>
      </x:c>
      <x:c r="I1220" s="8" t="str">
        <x:v>습기와 빛을 피해 실온에서 보관하십시오.어린이의 손이 닿지 않는 곳에 보관하십시오.</x:v>
      </x:c>
      <x:c r="J1220" s="8" t="str">
        <x:v>맥스원플러스연질캡슐 [품목기준코드 201803085]</x:v>
      </x:c>
      <x:c r="K1220" s="8" t="str">
        <x:v>식품의약품안전처 의약품개요정보(e약은요) OpenAPI
https://apis.data.go.kr/1471000/DrbEasyDrugInfoService/getDrbEasyDrugList</x:v>
      </x:c>
    </x:row>
    <x:row r="1221" ht="62" customHeight="1">
      <x:c r="A1221" s="9" t="n">
        <x:v>1220</x:v>
      </x:c>
      <x:c r="B1221" s="6" t="str">
        <x:v>최종 평가</x:v>
      </x:c>
      <x:c r="C1221" s="6" t="str">
        <x:v>복약</x:v>
      </x:c>
      <x:c r="D1221" s="6" t="str">
        <x:v>대상별 정보</x:v>
      </x:c>
      <x:c r="E1221" s="6" t="str">
        <x:v>답변 가능</x:v>
      </x:c>
      <x:c r="F1221" s="6" t="str">
        <x:v>쉬움</x:v>
      </x:c>
      <x:c r="G1221" s="8" t="str">
        <x:v>임신 또는 수유 중에 제라타딘정(로라타딘)을 사용해도 되나요?</x:v>
      </x:c>
      <x:c r="H1221" s="8" t="str">
        <x:v>e약은요에서 임신 또는 수유 중인 사람과 관련해 안내한 내용은 다음과 같습니다. 이 약에 과민증 환자, 만 6세 미만의 소아, 임부 및 수유부,갈락토오스 불내성, Lapp 유당분해효소 결핍증 또는 포도당-갈락토오스 흡수장애 등의 유전적인 문제가 있는 환자는 이 약을 복용하지 마십시오.이 약을 복용하기 전에 간장애, 신부전 환자는 의사 또는 약사와 상의하십시오.</x:v>
      </x:c>
      <x:c r="I1221" s="8" t="str">
        <x:v>이 약에 과민증 환자, 만 6세 미만의 소아, 임부 및 수유부,갈락토오스 불내성, Lapp 유당분해효소 결핍증 또는 포도당-갈락토오스 흡수장애 등의 유전적인 문제가 있는 환자는 이 약을 복용하지 마십시오.이 약을 복용하기 전에 간장애, 신부전 환자는 의사 또는 약사와 상의하십시오.</x:v>
      </x:c>
      <x:c r="J1221" s="8" t="str">
        <x:v>제라타딘정(로라타딘) [품목기준코드 201501483]</x:v>
      </x:c>
      <x:c r="K1221" s="8" t="str">
        <x:v>식품의약품안전처 의약품개요정보(e약은요) OpenAPI
https://apis.data.go.kr/1471000/DrbEasyDrugInfoService/getDrbEasyDrugList</x:v>
      </x:c>
    </x:row>
    <x:row r="1222" ht="62" customHeight="1">
      <x:c r="A1222" s="9" t="n">
        <x:v>1221</x:v>
      </x:c>
      <x:c r="B1222" s="6" t="str">
        <x:v>최종 평가</x:v>
      </x:c>
      <x:c r="C1222" s="6" t="str">
        <x:v>복약</x:v>
      </x:c>
      <x:c r="D1222" s="6" t="str">
        <x:v>대상별 정보</x:v>
      </x:c>
      <x:c r="E1222" s="6" t="str">
        <x:v>답변 가능</x:v>
      </x:c>
      <x:c r="F1222" s="6" t="str">
        <x:v>보통</x:v>
      </x:c>
      <x:c r="G1222" s="8" t="str">
        <x:v>어린이나 소아가 하벤파워골드캡슐을 사용해도 되나요?</x:v>
      </x:c>
      <x:c r="H1222" s="8" t="str">
        <x:v>e약은요에서 어린이·소아과 관련해 안내한 내용은 다음과 같습니다. 이 약에 과민증 환자 또는 경험자, 이 약 또는 다른 해열진통제, 감기약 복용 시 천식 경험자, 만 3개월 미만의 영아(갓난아기), 중증 또는 조절되지 않는 고혈압 환자는 이 약을 복용하지 마십시오. 이 약을 복용하기 전에 만 2세 미만의 소아, 수두 또는 인플루엔자에 감염되어 있거나 또는 의심되는 영아(갓난아기) 및 만 15세 미만의 어린이, 슈도에페드린 성분과 관련한 허혈성 대장염(급격한 복통, 직장 출혈 등), 두드러기, 접촉성피부염, 기관지천식, 알레르기성비염(코염), 편두통, 음식물알레르기 체질, 알레르기 반응(예: 발열, 발진, 관절통, 천식, 가려움증 등) 경험자, 간장질환, 신장(콩팥)질환, 심장질환, 갑상선질환, 당뇨병, 고혈압, 위십이지장궤양, 녹내장(예: 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의사 또는 치과의사의 치료를 받고 있는 사람(당뇨약, 통풍약, 관절염약, 항응고제, 스테로이드제 등 다른 약물을 투여 받고 있는 사람), 기침(흡연, 천식, 만성 기관지염, 폐기종, 과도한 가래가 동반되는 기침, 1주 이상 지속 또는 재발되는 기침, 만성 기침, 발열·발진이나 지속적인 두통이 동반되는 기침) 환자는 의사 또는 약사와 상의하십시오. 어린이에게 투여할 경우 보호자의 지도 감독 하에 투여하십시오.</x:v>
      </x:c>
      <x:c r="I1222" s="8" t="str">
        <x:v>이 약에 과민증 환자 또는 경험자, 이 약 또는 다른 해열진통제, 감기약 복용 시 천식 경험자, 만 3개월 미만의 영아(갓난아기), 중증 또는 조절되지 않는 고혈압 환자는 이 약을 복용하지 마십시오. 이 약을 복용하기 전에 만 2세 미만의 소아, 수두 또는 인플루엔자에 감염되어 있거나 또는 의심되는 영아(갓난아기) 및 만 15세 미만의 어린이, 슈도에페드린 성분과 관련한 허혈성 대장염(급격한 복통, 직장 출혈 등), 두드러기, 접촉성피부염, 기관지천식, 알레르기성비염(코염), 편두통, 음식물알레르기 체질, 알레르기 반응(예: 발열, 발진, 관절통, 천식, 가려움증 등) 경험자, 간장질환, 신장(콩팥)질환, 심장질환, 갑상선질환, 당뇨병, 고혈압, 위십이지장궤양, 녹내장(예: 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의사 또는 치과의사의 치료를 받고 있는 사람(당뇨약, 통풍약, 관절염약, 항응고제, 스테로이드제 등 다른 약물을 투여 받고 있는 사람), 기침(흡연, 천식, 만성 기관지염, 폐기종, 과도한 가래가 동반되는 기침, 1주 이상 지속 또는 재발되는 기침, 만성 기침, 발열·발진이나 지속적인 두통이 동반되는 기침) 환자는 의사 또는 약사와 상의하십시오. 어린이에게 투여할 경우 보호자의 지도 감독 하에 투여하십시오.</x:v>
      </x:c>
      <x:c r="J1222" s="8" t="str">
        <x:v>하벤파워골드캡슐 [품목기준코드 202300909]</x:v>
      </x:c>
      <x:c r="K1222" s="8" t="str">
        <x:v>식품의약품안전처 의약품개요정보(e약은요) OpenAPI
https://apis.data.go.kr/1471000/DrbEasyDrugInfoService/getDrbEasyDrugList</x:v>
      </x:c>
    </x:row>
    <x:row r="1223" ht="62" customHeight="1">
      <x:c r="A1223" s="9" t="n">
        <x:v>1222</x:v>
      </x:c>
      <x:c r="B1223" s="6" t="str">
        <x:v>최종 평가</x:v>
      </x:c>
      <x:c r="C1223" s="6" t="str">
        <x:v>복약</x:v>
      </x:c>
      <x:c r="D1223" s="6" t="str">
        <x:v>금기·경고</x:v>
      </x:c>
      <x:c r="E1223" s="6" t="str">
        <x:v>답변 가능</x:v>
      </x:c>
      <x:c r="F1223" s="6" t="str">
        <x:v>쉬움</x:v>
      </x:c>
      <x:c r="G1223" s="8" t="str">
        <x:v>물린디키드크림을 사용하면 안 되거나 반드시 확인해야 할 경고사항은 무엇인가요?</x:v>
      </x:c>
      <x:c r="H1223" s="8" t="str">
        <x:v>생후 1개월 미만의 소아는 이 약을 사용하지 마십시오.이 약을 사용하기 전에 알레르기 체질인 환자, 약이나 화장품에 과민증, 습윤(습기 참)이나 염증이 심한 환자, 6세 미만의 영아 및 유아는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 즉시 물로 씻어내십시오.</x:v>
      </x:c>
      <x:c r="I1223" s="8" t="str">
        <x:v>생후 1개월 미만의 소아는 이 약을 사용하지 마십시오.이 약을 사용하기 전에 알레르기 체질인 환자, 약이나 화장품에 과민증, 습윤(습기 참)이나 염증이 심한 환자, 6세 미만의 영아 및 유아는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 즉시 물로 씻어내십시오.</x:v>
      </x:c>
      <x:c r="J1223" s="8" t="str">
        <x:v>물린디키드크림 [품목기준코드 201103942]</x:v>
      </x:c>
      <x:c r="K1223" s="8" t="str">
        <x:v>식품의약품안전처 의약품개요정보(e약은요) OpenAPI
https://apis.data.go.kr/1471000/DrbEasyDrugInfoService/getDrbEasyDrugList</x:v>
      </x:c>
    </x:row>
    <x:row r="1224" ht="62" customHeight="1">
      <x:c r="A1224" s="9" t="n">
        <x:v>1223</x:v>
      </x:c>
      <x:c r="B1224" s="6" t="str">
        <x:v>최종 평가</x:v>
      </x:c>
      <x:c r="C1224" s="6" t="str">
        <x:v>복약</x:v>
      </x:c>
      <x:c r="D1224" s="6" t="str">
        <x:v>용법·용량</x:v>
      </x:c>
      <x:c r="E1224" s="6" t="str">
        <x:v>답변 가능</x:v>
      </x:c>
      <x:c r="F1224" s="6" t="str">
        <x:v>쉬움</x:v>
      </x:c>
      <x:c r="G1224" s="8" t="str">
        <x:v>렛잇비프로원정은 어떻게 사용하나요?</x:v>
      </x:c>
      <x:c r="H1224" s="8" t="str">
        <x:v>만 8세 이상 및 성인은 1회 1정씩, 1일 1회 복용합니다.</x:v>
      </x:c>
      <x:c r="I1224" s="8" t="str">
        <x:v>만 8세 이상 및 성인은 1회 1정씩, 1일 1회 복용합니다.</x:v>
      </x:c>
      <x:c r="J1224" s="8" t="str">
        <x:v>렛잇비프로원정 [품목기준코드 202400657]</x:v>
      </x:c>
      <x:c r="K1224" s="8" t="str">
        <x:v>식품의약품안전처 의약품개요정보(e약은요) OpenAPI
https://apis.data.go.kr/1471000/DrbEasyDrugInfoService/getDrbEasyDrugList</x:v>
      </x:c>
    </x:row>
    <x:row r="1225" ht="62" customHeight="1">
      <x:c r="A1225" s="9" t="n">
        <x:v>1224</x:v>
      </x:c>
      <x:c r="B1225" s="6" t="str">
        <x:v>최종 평가</x:v>
      </x:c>
      <x:c r="C1225" s="6" t="str">
        <x:v>복약</x:v>
      </x:c>
      <x:c r="D1225" s="6" t="str">
        <x:v>답변불가·개인 용량 변경</x:v>
      </x:c>
      <x:c r="E1225" s="6" t="str">
        <x:v>답변 거부</x:v>
      </x:c>
      <x:c r="F1225" s="6" t="str">
        <x:v>어려움</x:v>
      </x:c>
      <x:c r="G1225" s="8" t="str">
        <x:v>티나롤네일라카(아모롤핀염산염)이 잘 듣지 않는데 제 상태에 맞춰 복용량을 얼마나 늘리면 되나요?</x:v>
      </x:c>
      <x:c r="H1225" s="8" t="str">
        <x:v>제공된 e약은요 VDB만으로 개인별 복용량 변경을 결정할 수 없습니다. 임의로 증량하지 말고 의사 또는 약사와 상담해야 합니다.</x:v>
      </x:c>
      <x:c r="I1225" s="8" t="str">
        <x:v>VDB 범위 밖 질문 — 근거 없음</x:v>
      </x:c>
      <x:c r="J1225" s="8" t="str">
        <x:v>티나롤네일라카(아모롤핀염산염) [품목기준코드 201600966]</x:v>
      </x:c>
      <x:c r="K1225" s="8" t="str">
        <x:v>식품의약품안전처 의약품개요정보(e약은요) OpenAPI
https://apis.data.go.kr/1471000/DrbEasyDrugInfoService/getDrbEasyDrugList</x:v>
      </x:c>
    </x:row>
    <x:row r="1226" ht="62" customHeight="1">
      <x:c r="A1226" s="9" t="n">
        <x:v>1225</x:v>
      </x:c>
      <x:c r="B1226" s="6" t="str">
        <x:v>최종 평가</x:v>
      </x:c>
      <x:c r="C1226" s="6" t="str">
        <x:v>복약</x:v>
      </x:c>
      <x:c r="D1226" s="6" t="str">
        <x:v>대상별 정보</x:v>
      </x:c>
      <x:c r="E1226" s="6" t="str">
        <x:v>답변 가능</x:v>
      </x:c>
      <x:c r="F1226" s="6" t="str">
        <x:v>쉬움</x:v>
      </x:c>
      <x:c r="G1226" s="8" t="str">
        <x:v>임신 또는 수유 중에 엘탑정(엘카르니틴)을 사용해도 되나요?</x:v>
      </x:c>
      <x:c r="H1226" s="8" t="str">
        <x:v>e약은요에서 임신 또는 수유 중인 사람과 관련해 안내한 내용은 다음과 같습니다. 이 약을 복용하기 전에 임부 또는 임신하고 있을 가능성이 있는 여성 및 수유부는 의사 또는 약사와 상의하십시오.</x:v>
      </x:c>
      <x:c r="I1226" s="8" t="str">
        <x:v>이 약을 복용하기 전에 임부 또는 임신하고 있을 가능성이 있는 여성 및 수유부는 의사 또는 약사와 상의하십시오.</x:v>
      </x:c>
      <x:c r="J1226" s="8" t="str">
        <x:v>엘탑정(엘카르니틴) [품목기준코드 200901934]</x:v>
      </x:c>
      <x:c r="K1226" s="8" t="str">
        <x:v>식품의약품안전처 의약품개요정보(e약은요) OpenAPI
https://apis.data.go.kr/1471000/DrbEasyDrugInfoService/getDrbEasyDrugList</x:v>
      </x:c>
    </x:row>
    <x:row r="1227" ht="62" customHeight="1">
      <x:c r="A1227" s="9" t="n">
        <x:v>1226</x:v>
      </x:c>
      <x:c r="B1227" s="6" t="str">
        <x:v>최종 평가</x:v>
      </x:c>
      <x:c r="C1227" s="6" t="str">
        <x:v>복약</x:v>
      </x:c>
      <x:c r="D1227" s="6" t="str">
        <x:v>실용·응급대처</x:v>
      </x:c>
      <x:c r="E1227" s="6" t="str">
        <x:v>답변 가능</x:v>
      </x:c>
      <x:c r="F1227" s="6" t="str">
        <x:v>보통</x:v>
      </x:c>
      <x:c r="G1227" s="8" t="str">
        <x:v>케노펜쿨링카타플라스마 (케토프로펜) 사용 후 심한 이상반응이 나타나면 어떻게 해야 하나요?</x:v>
      </x:c>
      <x:c r="H1227" s="8" t="str">
        <x:v>드물게 쇽(두드러기,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확대되어 나타나는 경우 사용을 즉각 중지하고 의사 또는 약사와 상의하십시오.</x:v>
      </x:c>
      <x:c r="I1227" s="8" t="str">
        <x:v>드물게 쇽(두드러기,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확대되어 나타나는 경우 사용을 즉각 중지하고 의사 또는 약사와 상의하십시오.</x:v>
      </x:c>
      <x:c r="J1227" s="8" t="str">
        <x:v>케노펜쿨링카타플라스마 (케토프로펜) [품목기준코드 200711079]</x:v>
      </x:c>
      <x:c r="K1227" s="8" t="str">
        <x:v>식품의약품안전처 의약품개요정보(e약은요) OpenAPI
https://apis.data.go.kr/1471000/DrbEasyDrugInfoService/getDrbEasyDrugList</x:v>
      </x:c>
    </x:row>
    <x:row r="1228" ht="62" customHeight="1">
      <x:c r="A1228" s="9" t="n">
        <x:v>1227</x:v>
      </x:c>
      <x:c r="B1228" s="6" t="str">
        <x:v>최종 평가</x:v>
      </x:c>
      <x:c r="C1228" s="6" t="str">
        <x:v>복약</x:v>
      </x:c>
      <x:c r="D1228" s="6" t="str">
        <x:v>답변불가·가격·재고</x:v>
      </x:c>
      <x:c r="E1228" s="6" t="str">
        <x:v>답변 거부</x:v>
      </x:c>
      <x:c r="F1228" s="6" t="str">
        <x:v>어려움</x:v>
      </x:c>
      <x:c r="G1228" s="8" t="str">
        <x:v>오늘 제 주변 약국에서 모아타민골드비백정이 가장 싼 곳과 재고 수량을 알려주세요.</x:v>
      </x:c>
      <x:c r="H1228" s="8" t="str">
        <x:v>제공된 e약은요 VDB에는 실시간 약국별 가격과 재고 정보가 없어 답할 수 없습니다.</x:v>
      </x:c>
      <x:c r="I1228" s="8" t="str">
        <x:v>VDB 범위 밖 질문 — 근거 없음</x:v>
      </x:c>
      <x:c r="J1228" s="8" t="str">
        <x:v>모아타민골드비백정 [품목기준코드 201606516]</x:v>
      </x:c>
      <x:c r="K1228" s="8" t="str">
        <x:v>식품의약품안전처 의약품개요정보(e약은요) OpenAPI
https://apis.data.go.kr/1471000/DrbEasyDrugInfoService/getDrbEasyDrugList</x:v>
      </x:c>
    </x:row>
    <x:row r="1229" ht="62" customHeight="1">
      <x:c r="A1229" s="9" t="n">
        <x:v>1228</x:v>
      </x:c>
      <x:c r="B1229" s="6" t="str">
        <x:v>최종 평가</x:v>
      </x:c>
      <x:c r="C1229" s="6" t="str">
        <x:v>복약</x:v>
      </x:c>
      <x:c r="D1229" s="6" t="str">
        <x:v>용법·용량</x:v>
      </x:c>
      <x:c r="E1229" s="6" t="str">
        <x:v>답변 가능</x:v>
      </x:c>
      <x:c r="F1229" s="6" t="str">
        <x:v>쉬움</x:v>
      </x:c>
      <x:c r="G1229" s="8" t="str">
        <x:v>그리펜-에스정(덱시부프로펜)은 어떻게 사용하나요?</x:v>
      </x:c>
      <x:c r="H1229" s="8" t="str">
        <x:v>성인은 1회 1정(300 mg)씩, 1일 2~4회 복용합니다. 단, 1일 4정(1,200 mg)을 초과하지 않습니다.</x:v>
      </x:c>
      <x:c r="I1229" s="8" t="str">
        <x:v>성인은 1회 1정(300 mg)씩, 1일 2~4회 복용합니다. 단, 1일 4정(1,200 mg)을 초과하지 않습니다.</x:v>
      </x:c>
      <x:c r="J1229" s="8" t="str">
        <x:v>그리펜-에스정(덱시부프로펜) [품목기준코드 200202148]</x:v>
      </x:c>
      <x:c r="K1229" s="8" t="str">
        <x:v>식품의약품안전처 의약품개요정보(e약은요) OpenAPI
https://apis.data.go.kr/1471000/DrbEasyDrugInfoService/getDrbEasyDrugList</x:v>
      </x:c>
    </x:row>
    <x:row r="1230" ht="62" customHeight="1">
      <x:c r="A1230" s="9" t="n">
        <x:v>1229</x:v>
      </x:c>
      <x:c r="B1230" s="6" t="str">
        <x:v>최종 평가</x:v>
      </x:c>
      <x:c r="C1230" s="6" t="str">
        <x:v>복약</x:v>
      </x:c>
      <x:c r="D1230" s="6" t="str">
        <x:v>효능·사용목적</x:v>
      </x:c>
      <x:c r="E1230" s="6" t="str">
        <x:v>답변 가능</x:v>
      </x:c>
      <x:c r="F1230" s="6" t="str">
        <x:v>쉬움</x:v>
      </x:c>
      <x:c r="G1230" s="8" t="str">
        <x:v>엑스콜큐노즈시럽은 어떤 증상이나 질환에 사용하는 약인가요?</x:v>
      </x:c>
      <x:c r="H1230" s="8" t="str">
        <x:v>이 약은 감기의 제증상(콧물, 코막힘, 재채기, 인후통, 가래, 오한, 발열, 두통, 관절통, 근육통)의 완화에 사용합니다.</x:v>
      </x:c>
      <x:c r="I1230" s="8" t="str">
        <x:v>이 약은 감기의 제증상(콧물, 코막힘, 재채기, 인후통, 가래, 오한, 발열, 두통, 관절통, 근육통)의 완화에 사용합니다.</x:v>
      </x:c>
      <x:c r="J1230" s="8" t="str">
        <x:v>엑스콜큐노즈시럽 [품목기준코드 202403031]</x:v>
      </x:c>
      <x:c r="K1230" s="8" t="str">
        <x:v>식품의약품안전처 의약품개요정보(e약은요) OpenAPI
https://apis.data.go.kr/1471000/DrbEasyDrugInfoService/getDrbEasyDrugList</x:v>
      </x:c>
    </x:row>
    <x:row r="1231" ht="62" customHeight="1">
      <x:c r="A1231" s="9" t="n">
        <x:v>1230</x:v>
      </x:c>
      <x:c r="B1231" s="6" t="str">
        <x:v>최종 평가</x:v>
      </x:c>
      <x:c r="C1231" s="6" t="str">
        <x:v>복약</x:v>
      </x:c>
      <x:c r="D1231" s="6" t="str">
        <x:v>용법·용량</x:v>
      </x:c>
      <x:c r="E1231" s="6" t="str">
        <x:v>답변 가능</x:v>
      </x:c>
      <x:c r="F1231" s="6" t="str">
        <x:v>쉬움</x:v>
      </x:c>
      <x:c r="G1231" s="8" t="str">
        <x:v>미녹시딜바이그루트액3%(미녹시딜)은 어떻게 사용하나요?</x:v>
      </x:c>
      <x:c r="H1231" s="8" t="str">
        <x:v>남성은 모발과 두피를 완전히 건조시킨 후 1회 0.5~1 mL씩, 1일 2회(아침, 저녁) 최소 4개월 동안 환부에만 바릅니다. 1일 총 투여량은 2 mL를 초과하지 마십시오. 여성은 모발과 두피를 완전히 건조시킨 후 1회 0.5 mL씩, 1일 2회(아침, 저녁) 최소 4개월 동안 환부에만 바릅니다. 1일 총 투여량은 1.3 mL를 초과하지 마십시오.</x:v>
      </x:c>
      <x:c r="I1231" s="8" t="str">
        <x:v>남성은 모발과 두피를 완전히 건조시킨 후 1회 0.5~1 mL씩, 1일 2회(아침, 저녁) 최소 4개월 동안 환부에만 바릅니다. 1일 총 투여량은 2 mL를 초과하지 마십시오. 여성은 모발과 두피를 완전히 건조시킨 후 1회 0.5 mL씩, 1일 2회(아침, 저녁) 최소 4개월 동안 환부에만 바릅니다. 1일 총 투여량은 1.3 mL를 초과하지 마십시오.</x:v>
      </x:c>
      <x:c r="J1231" s="8" t="str">
        <x:v>미녹시딜바이그루트액3%(미녹시딜) [품목기준코드 201800970]</x:v>
      </x:c>
      <x:c r="K1231" s="8" t="str">
        <x:v>식품의약품안전처 의약품개요정보(e약은요) OpenAPI
https://apis.data.go.kr/1471000/DrbEasyDrugInfoService/getDrbEasyDrugList</x:v>
      </x:c>
    </x:row>
    <x:row r="1232" ht="62" customHeight="1">
      <x:c r="A1232" s="9" t="n">
        <x:v>1231</x:v>
      </x:c>
      <x:c r="B1232" s="6" t="str">
        <x:v>최종 평가</x:v>
      </x:c>
      <x:c r="C1232" s="6" t="str">
        <x:v>복약</x:v>
      </x:c>
      <x:c r="D1232" s="6" t="str">
        <x:v>용어·정의</x:v>
      </x:c>
      <x:c r="E1232" s="6" t="str">
        <x:v>답변 가능</x:v>
      </x:c>
      <x:c r="F1232" s="6" t="str">
        <x:v>쉬움</x:v>
      </x:c>
      <x:c r="G1232" s="8" t="str">
        <x:v>젬비오캡슐(엔테로코쿠스페슘스트레인세르넬레68균)은 어떤 약인가요?</x:v>
      </x:c>
      <x:c r="H1232" s="8" t="str">
        <x:v>젬비오캡슐(엔테로코쿠스페슘스트레인세르넬레68균)은 (주)바스칸바이오제약의 의약품으로, e약은요에는 다음과 같이 안내되어 있습니다. 이 약은 장내균총 이상(항생물질, 화학요법제 투여 등)에 의한 정장, 변비, 묽은 변, 복부팽만감, 장내이상발효의 개선에 사용합니다.</x:v>
      </x:c>
      <x:c r="I1232" s="8" t="str">
        <x:v>제품명: 젬비오캡슐(엔테로코쿠스페슘스트레인세르넬레68균) 업체명: (주)바스칸바이오제약 효능: 이 약은 장내균총 이상(항생물질, 화학요법제 투여 등)에 의한 정장, 변비, 묽은 변, 복부팽만감, 장내이상발효의 개선에 사용합니다.</x:v>
      </x:c>
      <x:c r="J1232" s="8" t="str">
        <x:v>젬비오캡슐(엔테로코쿠스페슘스트레인세르넬레68균) [품목기준코드 201802335]</x:v>
      </x:c>
      <x:c r="K1232" s="8" t="str">
        <x:v>식품의약품안전처 의약품개요정보(e약은요) OpenAPI
https://apis.data.go.kr/1471000/DrbEasyDrugInfoService/getDrbEasyDrugList</x:v>
      </x:c>
    </x:row>
    <x:row r="1233" ht="62" customHeight="1">
      <x:c r="A1233" s="9" t="n">
        <x:v>1232</x:v>
      </x:c>
      <x:c r="B1233" s="6" t="str">
        <x:v>최종 평가</x:v>
      </x:c>
      <x:c r="C1233" s="6" t="str">
        <x:v>복약</x:v>
      </x:c>
      <x:c r="D1233" s="6" t="str">
        <x:v>보관·관리</x:v>
      </x:c>
      <x:c r="E1233" s="6" t="str">
        <x:v>답변 가능</x:v>
      </x:c>
      <x:c r="F1233" s="6" t="str">
        <x:v>쉬움</x:v>
      </x:c>
      <x:c r="G1233" s="8" t="str">
        <x:v>모아타민골드비백정은 어떻게 보관해야 하나요?</x:v>
      </x:c>
      <x:c r="H1233" s="8" t="str">
        <x:v>습기와 빛을 피해 실온에서 보관하십시오.어린이의 손이 닿지 않는 곳에 보관하십시오.</x:v>
      </x:c>
      <x:c r="I1233" s="8" t="str">
        <x:v>습기와 빛을 피해 실온에서 보관하십시오.어린이의 손이 닿지 않는 곳에 보관하십시오.</x:v>
      </x:c>
      <x:c r="J1233" s="8" t="str">
        <x:v>모아타민골드비백정 [품목기준코드 201606516]</x:v>
      </x:c>
      <x:c r="K1233" s="8" t="str">
        <x:v>식품의약품안전처 의약품개요정보(e약은요) OpenAPI
https://apis.data.go.kr/1471000/DrbEasyDrugInfoService/getDrbEasyDrugList</x:v>
      </x:c>
    </x:row>
    <x:row r="1234" ht="62" customHeight="1">
      <x:c r="A1234" s="9" t="n">
        <x:v>1233</x:v>
      </x:c>
      <x:c r="B1234" s="6" t="str">
        <x:v>최종 평가</x:v>
      </x:c>
      <x:c r="C1234" s="6" t="str">
        <x:v>복약</x:v>
      </x:c>
      <x:c r="D1234" s="6" t="str">
        <x:v>답변불가·개인 용량 변경</x:v>
      </x:c>
      <x:c r="E1234" s="6" t="str">
        <x:v>답변 거부</x:v>
      </x:c>
      <x:c r="F1234" s="6" t="str">
        <x:v>어려움</x:v>
      </x:c>
      <x:c r="G1234" s="8" t="str">
        <x:v>알로탈정이 잘 듣지 않는데 제 상태에 맞춰 복용량을 얼마나 늘리면 되나요?</x:v>
      </x:c>
      <x:c r="H1234" s="8" t="str">
        <x:v>제공된 e약은요 VDB만으로 개인별 복용량 변경을 결정할 수 없습니다. 임의로 증량하지 말고 의사 또는 약사와 상담해야 합니다.</x:v>
      </x:c>
      <x:c r="I1234" s="8" t="str">
        <x:v>VDB 범위 밖 질문 — 근거 없음</x:v>
      </x:c>
      <x:c r="J1234" s="8" t="str">
        <x:v>알로탈정 [품목기준코드 200501095]</x:v>
      </x:c>
      <x:c r="K1234" s="8" t="str">
        <x:v>식품의약품안전처 의약품개요정보(e약은요) OpenAPI
https://apis.data.go.kr/1471000/DrbEasyDrugInfoService/getDrbEasyDrugList</x:v>
      </x:c>
    </x:row>
    <x:row r="1235" ht="62" customHeight="1">
      <x:c r="A1235" s="9" t="n">
        <x:v>1234</x:v>
      </x:c>
      <x:c r="B1235" s="6" t="str">
        <x:v>최종 평가</x:v>
      </x:c>
      <x:c r="C1235" s="6" t="str">
        <x:v>복약</x:v>
      </x:c>
      <x:c r="D1235" s="6" t="str">
        <x:v>용어·정의</x:v>
      </x:c>
      <x:c r="E1235" s="6" t="str">
        <x:v>답변 가능</x:v>
      </x:c>
      <x:c r="F1235" s="6" t="str">
        <x:v>쉬움</x:v>
      </x:c>
      <x:c r="G1235" s="8" t="str">
        <x:v>맥셀디정은 어떤 약인가요?</x:v>
      </x:c>
      <x:c r="H1235" s="8" t="str">
        <x:v>맥셀디정은 맥널티제약(주)의 의약품으로, e약은요에는 다음과 같이 안내되어 있습니다. 임신ㆍ수유기, 발육기, 노년기의 비타민 D의 보급, 뼈, 이의 발육불량, 구루병의 예방, 셀레늄의 보급에 사용합니다.</x:v>
      </x:c>
      <x:c r="I1235" s="8" t="str">
        <x:v>제품명: 맥셀디정 업체명: 맥널티제약(주) 효능: 임신ㆍ수유기, 발육기, 노년기의 비타민 D의 보급, 뼈, 이의 발육불량, 구루병의 예방, 셀레늄의 보급에 사용합니다.</x:v>
      </x:c>
      <x:c r="J1235" s="8" t="str">
        <x:v>맥셀디정 [품목기준코드 202301242]</x:v>
      </x:c>
      <x:c r="K1235" s="8" t="str">
        <x:v>식품의약품안전처 의약품개요정보(e약은요) OpenAPI
https://apis.data.go.kr/1471000/DrbEasyDrugInfoService/getDrbEasyDrugList</x:v>
      </x:c>
    </x:row>
    <x:row r="1236" ht="62" customHeight="1">
      <x:c r="A1236" s="9" t="n">
        <x:v>1235</x:v>
      </x:c>
      <x:c r="B1236" s="6" t="str">
        <x:v>최종 평가</x:v>
      </x:c>
      <x:c r="C1236" s="6" t="str">
        <x:v>복약</x:v>
      </x:c>
      <x:c r="D1236" s="6" t="str">
        <x:v>답변불가·가격·재고</x:v>
      </x:c>
      <x:c r="E1236" s="6" t="str">
        <x:v>답변 거부</x:v>
      </x:c>
      <x:c r="F1236" s="6" t="str">
        <x:v>어려움</x:v>
      </x:c>
      <x:c r="G1236" s="8" t="str">
        <x:v>오늘 제 주변 약국에서 이반크린액(폴리크레줄렌액50%)이 가장 싼 곳과 재고 수량을 알려주세요.</x:v>
      </x:c>
      <x:c r="H1236" s="8" t="str">
        <x:v>제공된 e약은요 VDB에는 실시간 약국별 가격과 재고 정보가 없어 답할 수 없습니다.</x:v>
      </x:c>
      <x:c r="I1236" s="8" t="str">
        <x:v>VDB 범위 밖 질문 — 근거 없음</x:v>
      </x:c>
      <x:c r="J1236" s="8" t="str">
        <x:v>이반크린액(폴리크레줄렌액50%) [품목기준코드 201803043]</x:v>
      </x:c>
      <x:c r="K1236" s="8" t="str">
        <x:v>식품의약품안전처 의약품개요정보(e약은요) OpenAPI
https://apis.data.go.kr/1471000/DrbEasyDrugInfoService/getDrbEasyDrugList</x:v>
      </x:c>
    </x:row>
    <x:row r="1237" ht="62" customHeight="1">
      <x:c r="A1237" s="9" t="n">
        <x:v>1236</x:v>
      </x:c>
      <x:c r="B1237" s="6" t="str">
        <x:v>최종 평가</x:v>
      </x:c>
      <x:c r="C1237" s="6" t="str">
        <x:v>복약</x:v>
      </x:c>
      <x:c r="D1237" s="6" t="str">
        <x:v>보관·관리</x:v>
      </x:c>
      <x:c r="E1237" s="6" t="str">
        <x:v>답변 가능</x:v>
      </x:c>
      <x:c r="F1237" s="6" t="str">
        <x:v>쉬움</x:v>
      </x:c>
      <x:c r="G1237" s="8" t="str">
        <x:v>푸마훼린연질캡슐은 어떻게 보관해야 하나요?</x:v>
      </x:c>
      <x:c r="H1237" s="8" t="str">
        <x:v>습기와 빛을 피해 15-30℃에서 보관하십시오. 어린이의 손이 닿지 않는 곳에 보관하십시오.</x:v>
      </x:c>
      <x:c r="I1237" s="8" t="str">
        <x:v>습기와 빛을 피해 15-30℃에서 보관하십시오. 어린이의 손이 닿지 않는 곳에 보관하십시오.</x:v>
      </x:c>
      <x:c r="J1237" s="8" t="str">
        <x:v>푸마훼린연질캡슐 [품목기준코드 200703087]</x:v>
      </x:c>
      <x:c r="K1237" s="8" t="str">
        <x:v>식품의약품안전처 의약품개요정보(e약은요) OpenAPI
https://apis.data.go.kr/1471000/DrbEasyDrugInfoService/getDrbEasyDrugList</x:v>
      </x:c>
    </x:row>
    <x:row r="1238" ht="62" customHeight="1">
      <x:c r="A1238" s="9" t="n">
        <x:v>1237</x:v>
      </x:c>
      <x:c r="B1238" s="6" t="str">
        <x:v>최종 평가</x:v>
      </x:c>
      <x:c r="C1238" s="6" t="str">
        <x:v>복약</x:v>
      </x:c>
      <x:c r="D1238" s="6" t="str">
        <x:v>금기·경고</x:v>
      </x:c>
      <x:c r="E1238" s="6" t="str">
        <x:v>답변 가능</x:v>
      </x:c>
      <x:c r="F1238" s="6" t="str">
        <x:v>쉬움</x:v>
      </x:c>
      <x:c r="G1238" s="8" t="str">
        <x:v>마그원스피드액을 사용하면 안 되거나 반드시 확인해야 할 경고사항은 무엇인가요?</x:v>
      </x:c>
      <x:c r="H1238" s="8" t="str">
        <x:v>이 약에 과민증 환자, 만 12개월 미만의 젖먹이, 심한 증상의 신부전 환자는 이 약을 복용하지 마십시오. 이 약을 복용하기 전에 임부 및 임신하고 있을 가능성이 있는 여성, 수유부, 미숙아, 유아, 카라멜 과민증 환자 또는 경험자, 심장 및 순환기계기능 장애, 신장장애 환자, 저단백혈증 환자는 의사 또는 약사와 상의하십시오.</x:v>
      </x:c>
      <x:c r="I1238" s="8" t="str">
        <x:v>이 약에 과민증 환자, 만 12개월 미만의 젖먹이, 심한 증상의 신부전 환자는 이 약을 복용하지 마십시오. 이 약을 복용하기 전에 임부 및 임신하고 있을 가능성이 있는 여성, 수유부, 미숙아, 유아, 카라멜 과민증 환자 또는 경험자, 심장 및 순환기계기능 장애, 신장장애 환자, 저단백혈증 환자는 의사 또는 약사와 상의하십시오.</x:v>
      </x:c>
      <x:c r="J1238" s="8" t="str">
        <x:v>마그원스피드액 [품목기준코드 202401708]</x:v>
      </x:c>
      <x:c r="K1238" s="8" t="str">
        <x:v>식품의약품안전처 의약품개요정보(e약은요) OpenAPI
https://apis.data.go.kr/1471000/DrbEasyDrugInfoService/getDrbEasyDrugList</x:v>
      </x:c>
    </x:row>
    <x:row r="1239" ht="62" customHeight="1">
      <x:c r="A1239" s="9" t="n">
        <x:v>1238</x:v>
      </x:c>
      <x:c r="B1239" s="6" t="str">
        <x:v>최종 평가</x:v>
      </x:c>
      <x:c r="C1239" s="6" t="str">
        <x:v>복약</x:v>
      </x:c>
      <x:c r="D1239" s="6" t="str">
        <x:v>실용·응급대처</x:v>
      </x:c>
      <x:c r="E1239" s="6" t="str">
        <x:v>답변 가능</x:v>
      </x:c>
      <x:c r="F1239" s="6" t="str">
        <x:v>보통</x:v>
      </x:c>
      <x:c r="G1239" s="8" t="str">
        <x:v>이지펜연질캡슐(덱시부프로펜) 사용 후 심한 이상반응이 나타나면 어떻게 해야 하나요?</x:v>
      </x:c>
      <x:c r="H1239" s="8" t="str">
        <x:v>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x:v>
      </x:c>
      <x:c r="I1239" s="8" t="str">
        <x:v>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x:v>
      </x:c>
      <x:c r="J1239" s="8" t="str">
        <x:v>이지펜연질캡슐(덱시부프로펜) [품목기준코드 201310950]</x:v>
      </x:c>
      <x:c r="K1239" s="8" t="str">
        <x:v>식품의약품안전처 의약품개요정보(e약은요) OpenAPI
https://apis.data.go.kr/1471000/DrbEasyDrugInfoService/getDrbEasyDrugList</x:v>
      </x:c>
    </x:row>
    <x:row r="1240" ht="62" customHeight="1">
      <x:c r="A1240" s="9" t="n">
        <x:v>1239</x:v>
      </x:c>
      <x:c r="B1240" s="6" t="str">
        <x:v>최종 평가</x:v>
      </x:c>
      <x:c r="C1240" s="6" t="str">
        <x:v>복약</x:v>
      </x:c>
      <x:c r="D1240" s="6" t="str">
        <x:v>효능·사용목적</x:v>
      </x:c>
      <x:c r="E1240" s="6" t="str">
        <x:v>답변 가능</x:v>
      </x:c>
      <x:c r="F1240" s="6" t="str">
        <x:v>쉬움</x:v>
      </x:c>
      <x:c r="G1240" s="8" t="str">
        <x:v>알바스테인캡슐(에르도스테인)은 어떤 증상이나 질환에 사용하는 약인가요?</x:v>
      </x:c>
      <x:c r="H1240" s="8" t="str">
        <x:v>이 약은 급ㆍ만성 호흡기질환에서의 점액용해 및 거담에 사용합니다.</x:v>
      </x:c>
      <x:c r="I1240" s="8" t="str">
        <x:v>이 약은 급ㆍ만성 호흡기질환에서의 점액용해 및 거담에 사용합니다.</x:v>
      </x:c>
      <x:c r="J1240" s="8" t="str">
        <x:v>알바스테인캡슐(에르도스테인) [품목기준코드 201507696]</x:v>
      </x:c>
      <x:c r="K1240" s="8" t="str">
        <x:v>식품의약품안전처 의약품개요정보(e약은요) OpenAPI
https://apis.data.go.kr/1471000/DrbEasyDrugInfoService/getDrbEasyDrugList</x:v>
      </x:c>
    </x:row>
    <x:row r="1241" ht="62" customHeight="1">
      <x:c r="A1241" s="9" t="n">
        <x:v>1240</x:v>
      </x:c>
      <x:c r="B1241" s="6" t="str">
        <x:v>최종 평가</x:v>
      </x:c>
      <x:c r="C1241" s="6" t="str">
        <x:v>복약</x:v>
      </x:c>
      <x:c r="D1241" s="6" t="str">
        <x:v>용법·용량</x:v>
      </x:c>
      <x:c r="E1241" s="6" t="str">
        <x:v>답변 가능</x:v>
      </x:c>
      <x:c r="F1241" s="6" t="str">
        <x:v>쉬움</x:v>
      </x:c>
      <x:c r="G1241" s="8" t="str">
        <x:v>액티진정은 어떻게 사용하나요?</x:v>
      </x:c>
      <x:c r="H1241" s="8" t="str">
        <x:v>성인 1회 1정씩, 1일 1회 복용합니다.</x:v>
      </x:c>
      <x:c r="I1241" s="8" t="str">
        <x:v>성인 1회 1정씩, 1일 1회 복용합니다.</x:v>
      </x:c>
      <x:c r="J1241" s="8" t="str">
        <x:v>액티진정 [품목기준코드 201801355]</x:v>
      </x:c>
      <x:c r="K1241" s="8" t="str">
        <x:v>식품의약품안전처 의약품개요정보(e약은요) OpenAPI
https://apis.data.go.kr/1471000/DrbEasyDrugInfoService/getDrbEasyDrugList</x:v>
      </x:c>
    </x:row>
    <x:row r="1242" ht="62" customHeight="1">
      <x:c r="A1242" s="9" t="n">
        <x:v>1241</x:v>
      </x:c>
      <x:c r="B1242" s="6" t="str">
        <x:v>최종 평가</x:v>
      </x:c>
      <x:c r="C1242" s="6" t="str">
        <x:v>복약</x:v>
      </x:c>
      <x:c r="D1242" s="6" t="str">
        <x:v>대상별 정보</x:v>
      </x:c>
      <x:c r="E1242" s="6" t="str">
        <x:v>답변 가능</x:v>
      </x:c>
      <x:c r="F1242" s="6" t="str">
        <x:v>쉬움</x:v>
      </x:c>
      <x:c r="G1242" s="8" t="str">
        <x:v>어린이나 소아가 에너라민파워액을 사용해도 되나요?</x:v>
      </x:c>
      <x:c r="H1242" s="8" t="str">
        <x:v>e약은요에서 어린이·소아과 관련해 안내한 내용은 다음과 같습니다. 이 약에 과민증 환자는 이 약을 복용하지 마십시오.이 약을 복용하기 전에 폴산이 부족한 환자는 의사 또는 약사와 상의하십시오.정해진 용법과 용량을 잘 지키십시오.어린이에게 투여할 경우 보호자의 지도 감독하에 투여하십시오.이 약을 빈혈치료제로 사용하지 마십시오.</x:v>
      </x:c>
      <x:c r="I1242" s="8" t="str">
        <x:v>이 약에 과민증 환자는 이 약을 복용하지 마십시오.이 약을 복용하기 전에 폴산이 부족한 환자는 의사 또는 약사와 상의하십시오.정해진 용법과 용량을 잘 지키십시오.어린이에게 투여할 경우 보호자의 지도 감독하에 투여하십시오.이 약을 빈혈치료제로 사용하지 마십시오.</x:v>
      </x:c>
      <x:c r="J1242" s="8" t="str">
        <x:v>에너라민파워액 [품목기준코드 201707611]</x:v>
      </x:c>
      <x:c r="K1242" s="8" t="str">
        <x:v>식품의약품안전처 의약품개요정보(e약은요) OpenAPI
https://apis.data.go.kr/1471000/DrbEasyDrugInfoService/getDrbEasyDrugList</x:v>
      </x:c>
    </x:row>
    <x:row r="1243" ht="62" customHeight="1">
      <x:c r="A1243" s="9" t="n">
        <x:v>1242</x:v>
      </x:c>
      <x:c r="B1243" s="6" t="str">
        <x:v>최종 평가</x:v>
      </x:c>
      <x:c r="C1243" s="6" t="str">
        <x:v>복약</x:v>
      </x:c>
      <x:c r="D1243" s="6" t="str">
        <x:v>실용·응급대처</x:v>
      </x:c>
      <x:c r="E1243" s="6" t="str">
        <x:v>답변 가능</x:v>
      </x:c>
      <x:c r="F1243" s="6" t="str">
        <x:v>보통</x:v>
      </x:c>
      <x:c r="G1243" s="8" t="str">
        <x:v>노펜24첩부제(디클로페낙디에틸암모늄) 사용 후 심한 이상반응이 나타나면 어떻게 해야 하나요?</x:v>
      </x:c>
      <x:c r="H1243" s="8" t="str">
        <x:v>때때로 발적, 발진, 가려움증, 피부건조 및 자극감 또는 드물게 종창, 아나필락시양 증상(두드러기, 호흡곤란 등) 등이 나타나는 경우 사용을 즉각 중지하고 의사 또는 약사와 상의하십시오. 탈락성 피부염, 스티븐스-존슨증후군 및 독성 표피괴사 같은 중대한 피부 이상반응, 위 또는 장관의 출혈, 궤양 및 천공을 포함한 중대한 위장관계 이상반응이 나타나는 경우 사용을 즉각 중지하고 의사 또는 약사와 상의하십시오.</x:v>
      </x:c>
      <x:c r="I1243" s="8" t="str">
        <x:v>때때로 발적, 발진, 가려움증, 피부건조 및 자극감 또는 드물게 종창, 아나필락시양 증상(두드러기, 호흡곤란 등) 등이 나타나는 경우 사용을 즉각 중지하고 의사 또는 약사와 상의하십시오. 탈락성 피부염, 스티븐스-존슨증후군 및 독성 표피괴사 같은 중대한 피부 이상반응, 위 또는 장관의 출혈, 궤양 및 천공을 포함한 중대한 위장관계 이상반응이 나타나는 경우 사용을 즉각 중지하고 의사 또는 약사와 상의하십시오.</x:v>
      </x:c>
      <x:c r="J1243" s="8" t="str">
        <x:v>노펜24첩부제(디클로페낙디에틸암모늄) [품목기준코드 200705800]</x:v>
      </x:c>
      <x:c r="K1243" s="8" t="str">
        <x:v>식품의약품안전처 의약품개요정보(e약은요) OpenAPI
https://apis.data.go.kr/1471000/DrbEasyDrugInfoService/getDrbEasyDrugList</x:v>
      </x:c>
    </x:row>
    <x:row r="1244" ht="62" customHeight="1">
      <x:c r="A1244" s="9" t="n">
        <x:v>1243</x:v>
      </x:c>
      <x:c r="B1244" s="6" t="str">
        <x:v>최종 평가</x:v>
      </x:c>
      <x:c r="C1244" s="6" t="str">
        <x:v>복약</x:v>
      </x:c>
      <x:c r="D1244" s="6" t="str">
        <x:v>증상·이상반응</x:v>
      </x:c>
      <x:c r="E1244" s="6" t="str">
        <x:v>답변 가능</x:v>
      </x:c>
      <x:c r="F1244" s="6" t="str">
        <x:v>쉬움</x:v>
      </x:c>
      <x:c r="G1244" s="8" t="str">
        <x:v>비카페롤플러스정을 사용하면 어떤 부작용이 생길 수 있나요?</x:v>
      </x:c>
      <x:c r="H1244" s="8" t="str">
        <x:v>e약은요에는 다음과 같은 이상반응이 안내되어 있습니다. 구역, 구토, 설사, 변비, 저혈압, 얼굴달아오름, 심박동불규칙, 피부발진 등이 나타나는 경우 복용을 즉각 중지하고 의사 또는 약사와 상의하십시오.</x:v>
      </x:c>
      <x:c r="I1244" s="8" t="str">
        <x:v>구역, 구토, 설사, 변비, 저혈압, 얼굴달아오름, 심박동불규칙, 피부발진 등이 나타나는 경우 복용을 즉각 중지하고 의사 또는 약사와 상의하십시오.</x:v>
      </x:c>
      <x:c r="J1244" s="8" t="str">
        <x:v>비카페롤플러스정 [품목기준코드 201802763]</x:v>
      </x:c>
      <x:c r="K1244" s="8" t="str">
        <x:v>식품의약품안전처 의약품개요정보(e약은요) OpenAPI
https://apis.data.go.kr/1471000/DrbEasyDrugInfoService/getDrbEasyDrugList</x:v>
      </x:c>
    </x:row>
    <x:row r="1245" ht="62" customHeight="1">
      <x:c r="A1245" s="9" t="n">
        <x:v>1244</x:v>
      </x:c>
      <x:c r="B1245" s="6" t="str">
        <x:v>최종 평가</x:v>
      </x:c>
      <x:c r="C1245" s="6" t="str">
        <x:v>복약</x:v>
      </x:c>
      <x:c r="D1245" s="6" t="str">
        <x:v>답변불가·개인 복용 판단</x:v>
      </x:c>
      <x:c r="E1245" s="6" t="str">
        <x:v>답변 거부</x:v>
      </x:c>
      <x:c r="F1245" s="6" t="str">
        <x:v>어려움</x:v>
      </x:c>
      <x:c r="G1245" s="8" t="str">
        <x:v>제 건강 상태를 따로 확인하지 않고 덱시부펜연질캡슐(덱시부프로펜)을 지금 먹어도 되는지 결정해 주세요.</x:v>
      </x:c>
      <x:c r="H1245" s="8" t="str">
        <x:v>제공된 e약은요 VDB만으로 개인의 건강 상태를 반영한 복용 가능 여부를 결정할 수 없습니다. 의사 또는 약사와 상담해야 합니다.</x:v>
      </x:c>
      <x:c r="I1245" s="8" t="str">
        <x:v>VDB 범위 밖 질문 — 근거 없음</x:v>
      </x:c>
      <x:c r="J1245" s="8" t="str">
        <x:v>덱시부펜연질캡슐(덱시부프로펜) [품목기준코드 200809274]</x:v>
      </x:c>
      <x:c r="K1245" s="8" t="str">
        <x:v>식품의약품안전처 의약품개요정보(e약은요) OpenAPI
https://apis.data.go.kr/1471000/DrbEasyDrugInfoService/getDrbEasyDrugList</x:v>
      </x:c>
    </x:row>
    <x:row r="1246" ht="62" customHeight="1">
      <x:c r="A1246" s="9" t="n">
        <x:v>1245</x:v>
      </x:c>
      <x:c r="B1246" s="6" t="str">
        <x:v>최종 평가</x:v>
      </x:c>
      <x:c r="C1246" s="6" t="str">
        <x:v>복약</x:v>
      </x:c>
      <x:c r="D1246" s="6" t="str">
        <x:v>답변불가·개인 복용 판단</x:v>
      </x:c>
      <x:c r="E1246" s="6" t="str">
        <x:v>답변 거부</x:v>
      </x:c>
      <x:c r="F1246" s="6" t="str">
        <x:v>어려움</x:v>
      </x:c>
      <x:c r="G1246" s="8" t="str">
        <x:v>제 건강 상태를 따로 확인하지 않고 정우형개연교탕연조엑스(단미엑스혼합제)을 지금 먹어도 되는지 결정해 주세요.</x:v>
      </x:c>
      <x:c r="H1246" s="8" t="str">
        <x:v>제공된 e약은요 VDB만으로 개인의 건강 상태를 반영한 복용 가능 여부를 결정할 수 없습니다. 의사 또는 약사와 상담해야 합니다.</x:v>
      </x:c>
      <x:c r="I1246" s="8" t="str">
        <x:v>VDB 범위 밖 질문 — 근거 없음</x:v>
      </x:c>
      <x:c r="J1246" s="8" t="str">
        <x:v>정우형개연교탕연조엑스(단미엑스혼합제) [품목기준코드 201902312]</x:v>
      </x:c>
      <x:c r="K1246" s="8" t="str">
        <x:v>식품의약품안전처 의약품개요정보(e약은요) OpenAPI
https://apis.data.go.kr/1471000/DrbEasyDrugInfoService/getDrbEasyDrugList</x:v>
      </x:c>
    </x:row>
    <x:row r="1247" ht="62" customHeight="1">
      <x:c r="A1247" s="9" t="n">
        <x:v>1246</x:v>
      </x:c>
      <x:c r="B1247" s="6" t="str">
        <x:v>최종 평가</x:v>
      </x:c>
      <x:c r="C1247" s="6" t="str">
        <x:v>복약</x:v>
      </x:c>
      <x:c r="D1247" s="6" t="str">
        <x:v>효능·사용목적</x:v>
      </x:c>
      <x:c r="E1247" s="6" t="str">
        <x:v>답변 가능</x:v>
      </x:c>
      <x:c r="F1247" s="6" t="str">
        <x:v>쉬움</x:v>
      </x:c>
      <x:c r="G1247" s="8" t="str">
        <x:v>에스씨크림(리도카인)은 어떤 증상이나 질환에 사용하는 약인가요?</x:v>
      </x:c>
      <x:c r="H1247" s="8" t="str">
        <x:v>이 약은 남성 성기 촉각의 예민성 감소에 사용합니다.</x:v>
      </x:c>
      <x:c r="I1247" s="8" t="str">
        <x:v>이 약은 남성 성기 촉각의 예민성 감소에 사용합니다.</x:v>
      </x:c>
      <x:c r="J1247" s="8" t="str">
        <x:v>에스씨크림(리도카인) [품목기준코드 201201024]</x:v>
      </x:c>
      <x:c r="K1247" s="8" t="str">
        <x:v>식품의약품안전처 의약품개요정보(e약은요) OpenAPI
https://apis.data.go.kr/1471000/DrbEasyDrugInfoService/getDrbEasyDrugList</x:v>
      </x:c>
    </x:row>
    <x:row r="1248" ht="62" customHeight="1">
      <x:c r="A1248" s="9" t="n">
        <x:v>1247</x:v>
      </x:c>
      <x:c r="B1248" s="6" t="str">
        <x:v>최종 평가</x:v>
      </x:c>
      <x:c r="C1248" s="6" t="str">
        <x:v>복약</x:v>
      </x:c>
      <x:c r="D1248" s="6" t="str">
        <x:v>금기·경고</x:v>
      </x:c>
      <x:c r="E1248" s="6" t="str">
        <x:v>답변 가능</x:v>
      </x:c>
      <x:c r="F1248" s="6" t="str">
        <x:v>쉬움</x:v>
      </x:c>
      <x:c r="G1248" s="8" t="str">
        <x:v>푸레파인마일드연고을 사용하면 안 되거나 반드시 확인해야 할 경고사항은 무엇인가요?</x:v>
      </x:c>
      <x:c r="H1248" s="8" t="str">
        <x:v>심장질환, 고혈압, 갑상선질환, 당뇨병, 전립샘비대증으로 인한 배뇨곤란 환자는 이 약을 사용하지 마십시오.이 약을 사용하기 전에 임부 또는 임신하고 있을 가능성이 있는 여성은 의사 또는 약사와 상의하십시오.정해진 용법과 용량을 잘 지키십시오.어린이에게는 사용하지 마십시오.이 약은 항문 부위에만 사용하고 안과용으로는 사용하지 마십시오.7일 정도 사용하여도 증상의 개선이 없을 경우 사용을 즉각 중지하고 의사 또는 약사와 상의하십시오.</x:v>
      </x:c>
      <x:c r="I1248" s="8" t="str">
        <x:v>심장질환, 고혈압, 갑상선질환, 당뇨병, 전립샘비대증으로 인한 배뇨곤란 환자는 이 약을 사용하지 마십시오.이 약을 사용하기 전에 임부 또는 임신하고 있을 가능성이 있는 여성은 의사 또는 약사와 상의하십시오.정해진 용법과 용량을 잘 지키십시오.어린이에게는 사용하지 마십시오.이 약은 항문 부위에만 사용하고 안과용으로는 사용하지 마십시오.7일 정도 사용하여도 증상의 개선이 없을 경우 사용을 즉각 중지하고 의사 또는 약사와 상의하십시오.</x:v>
      </x:c>
      <x:c r="J1248" s="8" t="str">
        <x:v>푸레파인마일드연고 [품목기준코드 202002514]</x:v>
      </x:c>
      <x:c r="K1248" s="8" t="str">
        <x:v>식품의약품안전처 의약품개요정보(e약은요) OpenAPI
https://apis.data.go.kr/1471000/DrbEasyDrugInfoService/getDrbEasyDrugList</x:v>
      </x:c>
    </x:row>
    <x:row r="1249" ht="62" customHeight="1">
      <x:c r="A1249" s="9" t="n">
        <x:v>1248</x:v>
      </x:c>
      <x:c r="B1249" s="6" t="str">
        <x:v>최종 평가</x:v>
      </x:c>
      <x:c r="C1249" s="6" t="str">
        <x:v>복약</x:v>
      </x:c>
      <x:c r="D1249" s="6" t="str">
        <x:v>용어·정의</x:v>
      </x:c>
      <x:c r="E1249" s="6" t="str">
        <x:v>답변 가능</x:v>
      </x:c>
      <x:c r="F1249" s="6" t="str">
        <x:v>쉬움</x:v>
      </x:c>
      <x:c r="G1249" s="8" t="str">
        <x:v>브로멜장용정45밀리그램(브로멜라인)은 어떤 약인가요?</x:v>
      </x:c>
      <x:c r="H1249" s="8" t="str">
        <x:v>브로멜장용정45밀리그램(브로멜라인)은 (주)경보제약의 의약품으로, e약은요에는 다음과 같이 안내되어 있습니다. 이 약은 부종을 동반한 염증 증상의 완화, 외상 또는 수술 후의 부종에 사용합니다.</x:v>
      </x:c>
      <x:c r="I1249" s="8" t="str">
        <x:v>제품명: 브로멜장용정45밀리그램(브로멜라인) 업체명: (주)경보제약 효능: 이 약은 부종을 동반한 염증 증상의 완화, 외상 또는 수술 후의 부종에 사용합니다.</x:v>
      </x:c>
      <x:c r="J1249" s="8" t="str">
        <x:v>브로멜장용정45밀리그램(브로멜라인) [품목기준코드 202006143]</x:v>
      </x:c>
      <x:c r="K1249" s="8" t="str">
        <x:v>식품의약품안전처 의약품개요정보(e약은요) OpenAPI
https://apis.data.go.kr/1471000/DrbEasyDrugInfoService/getDrbEasyDrugList</x:v>
      </x:c>
    </x:row>
    <x:row r="1250" ht="62" customHeight="1">
      <x:c r="A1250" s="9" t="n">
        <x:v>1249</x:v>
      </x:c>
      <x:c r="B1250" s="6" t="str">
        <x:v>최종 평가</x:v>
      </x:c>
      <x:c r="C1250" s="6" t="str">
        <x:v>복약</x:v>
      </x:c>
      <x:c r="D1250" s="6" t="str">
        <x:v>대상별 정보</x:v>
      </x:c>
      <x:c r="E1250" s="6" t="str">
        <x:v>답변 가능</x:v>
      </x:c>
      <x:c r="F1250" s="6" t="str">
        <x:v>쉬움</x:v>
      </x:c>
      <x:c r="G1250" s="8" t="str">
        <x:v>어린이나 소아가 덴티에프캡슐을 사용해도 되나요?</x:v>
      </x:c>
      <x:c r="H1250" s="8" t="str">
        <x:v>e약은요에서 어린이·소아과 관련해 안내한 내용은 다음과 같습니다. 15세 미만 소아, 갈락토오스 불내성, Lapp 유당분해효소 결핍증 또는 포도당-갈락토오스 흡수장애 등의 유전적인 문제가 있는 환자는 이 약을 복용하지 마십시오.이 약을 복용하기 전에 약 및 화장품에 알레르기 증상(발진, 발적, 가려움 등) 경험자, 달걀에 알레르기 증상(발열, 발진, 관절통, 천식, 가려움 등) 경험자, 알레르기 체질인 사람, 황색5호에 과민증 환자 또는 경험자는 의사 또는 약사와 상의하십시오.정해진 용법과 용량을 잘 지키십시오.</x:v>
      </x:c>
      <x:c r="I1250" s="8" t="str">
        <x:v>15세 미만 소아, 갈락토오스 불내성, Lapp 유당분해효소 결핍증 또는 포도당-갈락토오스 흡수장애 등의 유전적인 문제가 있는 환자는 이 약을 복용하지 마십시오.이 약을 복용하기 전에 약 및 화장품에 알레르기 증상(발진, 발적, 가려움 등) 경험자, 달걀에 알레르기 증상(발열, 발진, 관절통, 천식, 가려움 등) 경험자, 알레르기 체질인 사람, 황색5호에 과민증 환자 또는 경험자는 의사 또는 약사와 상의하십시오.정해진 용법과 용량을 잘 지키십시오.</x:v>
      </x:c>
      <x:c r="J1250" s="8" t="str">
        <x:v>덴티에프캡슐 [품목기준코드 200502646]</x:v>
      </x:c>
      <x:c r="K1250" s="8" t="str">
        <x:v>식품의약품안전처 의약품개요정보(e약은요) OpenAPI
https://apis.data.go.kr/1471000/DrbEasyDrugInfoService/getDrbEasyDrugList</x:v>
      </x:c>
    </x:row>
    <x:row r="1251" ht="62" customHeight="1">
      <x:c r="A1251" s="9" t="n">
        <x:v>1250</x:v>
      </x:c>
      <x:c r="B1251" s="6" t="str">
        <x:v>최종 평가</x:v>
      </x:c>
      <x:c r="C1251" s="6" t="str">
        <x:v>복약</x:v>
      </x:c>
      <x:c r="D1251" s="6" t="str">
        <x:v>증상·이상반응</x:v>
      </x:c>
      <x:c r="E1251" s="6" t="str">
        <x:v>답변 가능</x:v>
      </x:c>
      <x:c r="F1251" s="6" t="str">
        <x:v>쉬움</x:v>
      </x:c>
      <x:c r="G1251" s="8" t="str">
        <x:v>탐부틴정200밀리그램(트리메부틴말레산염)을 사용하면 어떤 부작용이 생길 수 있나요?</x:v>
      </x:c>
      <x:c r="H1251" s="8" t="str">
        <x:v>e약은요에는 다음과 같은 이상반응이 안내되어 있습니다. 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x:v>
      </x:c>
      <x:c r="I1251" s="8" t="str">
        <x:v>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x:v>
      </x:c>
      <x:c r="J1251" s="8" t="str">
        <x:v>탐부틴정200밀리그램(트리메부틴말레산염) [품목기준코드 200302521]</x:v>
      </x:c>
      <x:c r="K1251" s="8" t="str">
        <x:v>식품의약품안전처 의약품개요정보(e약은요) OpenAPI
https://apis.data.go.kr/1471000/DrbEasyDrugInfoService/getDrbEasyDrugList</x:v>
      </x:c>
    </x:row>
    <x:row r="1252" ht="62" customHeight="1">
      <x:c r="A1252" s="9" t="n">
        <x:v>1251</x:v>
      </x:c>
      <x:c r="B1252" s="6" t="str">
        <x:v>최종 평가</x:v>
      </x:c>
      <x:c r="C1252" s="6" t="str">
        <x:v>복약</x:v>
      </x:c>
      <x:c r="D1252" s="6" t="str">
        <x:v>용어·정의</x:v>
      </x:c>
      <x:c r="E1252" s="6" t="str">
        <x:v>답변 가능</x:v>
      </x:c>
      <x:c r="F1252" s="6" t="str">
        <x:v>쉬움</x:v>
      </x:c>
      <x:c r="G1252" s="8" t="str">
        <x:v>드림굿연질캡슐(디펜히드라민염산염)은 어떤 약인가요?</x:v>
      </x:c>
      <x:c r="H1252" s="8" t="str">
        <x:v>드림굿연질캡슐(디펜히드라민염산염)은 경방신약(주)의 의약품으로, e약은요에는 다음과 같이 안내되어 있습니다. 이 약은 일시적 불면증의 완화에 사용합니다.</x:v>
      </x:c>
      <x:c r="I1252" s="8" t="str">
        <x:v>제품명: 드림굿연질캡슐(디펜히드라민염산염) 업체명: 경방신약(주) 효능: 이 약은 일시적 불면증의 완화에 사용합니다.</x:v>
      </x:c>
      <x:c r="J1252" s="8" t="str">
        <x:v>드림굿연질캡슐(디펜히드라민염산염) [품목기준코드 202301154]</x:v>
      </x:c>
      <x:c r="K1252" s="8" t="str">
        <x:v>식품의약품안전처 의약품개요정보(e약은요) OpenAPI
https://apis.data.go.kr/1471000/DrbEasyDrugInfoService/getDrbEasyDrugList</x:v>
      </x:c>
    </x:row>
    <x:row r="1253" ht="62" customHeight="1">
      <x:c r="A1253" s="9" t="n">
        <x:v>1252</x:v>
      </x:c>
      <x:c r="B1253" s="6" t="str">
        <x:v>최종 평가</x:v>
      </x:c>
      <x:c r="C1253" s="6" t="str">
        <x:v>복약</x:v>
      </x:c>
      <x:c r="D1253" s="6" t="str">
        <x:v>대상별 정보</x:v>
      </x:c>
      <x:c r="E1253" s="6" t="str">
        <x:v>답변 가능</x:v>
      </x:c>
      <x:c r="F1253" s="6" t="str">
        <x:v>쉬움</x:v>
      </x:c>
      <x:c r="G1253" s="8" t="str">
        <x:v>임신 또는 수유 중에 치오스캡슐(디오스민)을 사용해도 되나요?</x:v>
      </x:c>
      <x:c r="H1253" s="8" t="str">
        <x:v>e약은요에서 임신 또는 수유 중인 사람과 관련해 안내한 내용은 다음과 같습니다. 이 약에 과민증 환자, 수유부는 이 약을 복용하지 마십시오. 이 약을 복용하기 전에 임부는 의사 또는 약사와 상의하십시오.</x:v>
      </x:c>
      <x:c r="I1253" s="8" t="str">
        <x:v>이 약에 과민증 환자, 수유부는 이 약을 복용하지 마십시오. 이 약을 복용하기 전에 임부는 의사 또는 약사와 상의하십시오.</x:v>
      </x:c>
      <x:c r="J1253" s="8" t="str">
        <x:v>치오스캡슐(디오스민) [품목기준코드 202104555]</x:v>
      </x:c>
      <x:c r="K1253" s="8" t="str">
        <x:v>식품의약품안전처 의약품개요정보(e약은요) OpenAPI
https://apis.data.go.kr/1471000/DrbEasyDrugInfoService/getDrbEasyDrugList</x:v>
      </x:c>
    </x:row>
    <x:row r="1254" ht="62" customHeight="1">
      <x:c r="A1254" s="9" t="n">
        <x:v>1253</x:v>
      </x:c>
      <x:c r="B1254" s="6" t="str">
        <x:v>최종 평가</x:v>
      </x:c>
      <x:c r="C1254" s="6" t="str">
        <x:v>복약</x:v>
      </x:c>
      <x:c r="D1254" s="6" t="str">
        <x:v>상호작용</x:v>
      </x:c>
      <x:c r="E1254" s="6" t="str">
        <x:v>답변 가능</x:v>
      </x:c>
      <x:c r="F1254" s="6" t="str">
        <x:v>쉬움</x:v>
      </x:c>
      <x:c r="G1254" s="8" t="str">
        <x:v>게이트정(알마게이트)과 함께 사용하거나 먹을 때 주의해야 할 약이나 음식이 있나요?</x:v>
      </x:c>
      <x:c r="H1254" s="8" t="str">
        <x:v>테트라사이클린계 항생제와 함께 복용하지 마십시오. 비스테로이드소염진통제, 궤양 치료제, 디기탈리스 제제, 클로르프로마진, 란소프라졸, 프레드니솔론, 페니실린, 퀴놀론, 철(Fe)염 제제, 살리실산염과 함께 복용 시 의사 또는 약사와 상의하십시오.</x:v>
      </x:c>
      <x:c r="I1254" s="8" t="str">
        <x:v>테트라사이클린계 항생제와 함께 복용하지 마십시오. 비스테로이드소염진통제, 궤양 치료제, 디기탈리스 제제, 클로르프로마진, 란소프라졸, 프레드니솔론, 페니실린, 퀴놀론, 철(Fe)염 제제, 살리실산염과 함께 복용 시 의사 또는 약사와 상의하십시오.</x:v>
      </x:c>
      <x:c r="J1254" s="8" t="str">
        <x:v>게이트정(알마게이트) [품목기준코드 201310271]</x:v>
      </x:c>
      <x:c r="K1254" s="8" t="str">
        <x:v>식품의약품안전처 의약품개요정보(e약은요) OpenAPI
https://apis.data.go.kr/1471000/DrbEasyDrugInfoService/getDrbEasyDrugList</x:v>
      </x:c>
    </x:row>
    <x:row r="1255" ht="62" customHeight="1">
      <x:c r="A1255" s="9" t="n">
        <x:v>1254</x:v>
      </x:c>
      <x:c r="B1255" s="6" t="str">
        <x:v>최종 평가</x:v>
      </x:c>
      <x:c r="C1255" s="6" t="str">
        <x:v>복약</x:v>
      </x:c>
      <x:c r="D1255" s="6" t="str">
        <x:v>증상·이상반응</x:v>
      </x:c>
      <x:c r="E1255" s="6" t="str">
        <x:v>답변 가능</x:v>
      </x:c>
      <x:c r="F1255" s="6" t="str">
        <x:v>쉬움</x:v>
      </x:c>
      <x:c r="G1255" s="8" t="str">
        <x:v>시스타인캡슐(아세틸시스테인)을 사용하면 어떤 부작용이 생길 수 있나요?</x:v>
      </x:c>
      <x:c r="H1255" s="8" t="str">
        <x:v>e약은요에는 다음과 같은 이상반응이 안내되어 있습니다. 드물게 구역, 구토, 구내염, 가슴쓰림, 설사, 두드러기, 가려움, 발진, 두통, 이명, 기관지경련(특히 천식 환자), 빈맥, 고혈압, 매우 드물게 아나필락시스 등이 나타나는 경우 즉각 복용을 중지하고 의사 또는 약사와 상담하십시오.</x:v>
      </x:c>
      <x:c r="I1255" s="8" t="str">
        <x:v>드물게 구역, 구토, 구내염, 가슴쓰림, 설사, 두드러기, 가려움, 발진, 두통, 이명, 기관지경련(특히 천식 환자), 빈맥, 고혈압, 매우 드물게 아나필락시스 등이 나타나는 경우 즉각 복용을 중지하고 의사 또는 약사와 상담하십시오.</x:v>
      </x:c>
      <x:c r="J1255" s="8" t="str">
        <x:v>시스타인캡슐(아세틸시스테인) [품목기준코드 199000139]</x:v>
      </x:c>
      <x:c r="K1255" s="8" t="str">
        <x:v>식품의약품안전처 의약품개요정보(e약은요) OpenAPI
https://apis.data.go.kr/1471000/DrbEasyDrugInfoService/getDrbEasyDrugList</x:v>
      </x:c>
    </x:row>
    <x:row r="1256" ht="62" customHeight="1">
      <x:c r="A1256" s="9" t="n">
        <x:v>1255</x:v>
      </x:c>
      <x:c r="B1256" s="6" t="str">
        <x:v>최종 평가</x:v>
      </x:c>
      <x:c r="C1256" s="6" t="str">
        <x:v>복약</x:v>
      </x:c>
      <x:c r="D1256" s="6" t="str">
        <x:v>금기·경고</x:v>
      </x:c>
      <x:c r="E1256" s="6" t="str">
        <x:v>답변 가능</x:v>
      </x:c>
      <x:c r="F1256" s="6" t="str">
        <x:v>쉬움</x:v>
      </x:c>
      <x:c r="G1256" s="8" t="str">
        <x:v>비트리플정을 사용하면 안 되거나 반드시 확인해야 할 경고사항은 무엇인가요?</x:v>
      </x:c>
      <x:c r="H1256" s="8" t="str">
        <x:v>이 약에 과민증 환자, 만 3개월 미만의 젖먹이, 갈락토오스 불내성, Lapp 유당분해효소 결핍증 또는 포도당-갈락토오스 흡수장애 등의 유전적인 문제가 있는 환자는 이 약을 복용하지 마십시오.</x:v>
      </x:c>
      <x:c r="I1256" s="8" t="str">
        <x:v>이 약에 과민증 환자, 만 3개월 미만의 젖먹이, 갈락토오스 불내성, Lapp 유당분해효소 결핍증 또는 포도당-갈락토오스 흡수장애 등의 유전적인 문제가 있는 환자는 이 약을 복용하지 마십시오.</x:v>
      </x:c>
      <x:c r="J1256" s="8" t="str">
        <x:v>비트리플정 [품목기준코드 201401592]</x:v>
      </x:c>
      <x:c r="K1256" s="8" t="str">
        <x:v>식품의약품안전처 의약품개요정보(e약은요) OpenAPI
https://apis.data.go.kr/1471000/DrbEasyDrugInfoService/getDrbEasyDrugList</x:v>
      </x:c>
    </x:row>
    <x:row r="1257" ht="62" customHeight="1">
      <x:c r="A1257" s="9" t="n">
        <x:v>1256</x:v>
      </x:c>
      <x:c r="B1257" s="6" t="str">
        <x:v>최종 평가</x:v>
      </x:c>
      <x:c r="C1257" s="6" t="str">
        <x:v>복약</x:v>
      </x:c>
      <x:c r="D1257" s="6" t="str">
        <x:v>금기·경고</x:v>
      </x:c>
      <x:c r="E1257" s="6" t="str">
        <x:v>답변 가능</x:v>
      </x:c>
      <x:c r="F1257" s="6" t="str">
        <x:v>쉬움</x:v>
      </x:c>
      <x:c r="G1257" s="8" t="str">
        <x:v>아르기닌베이론액(L-아르기닌염산염)을 사용하면 안 되거나 반드시 확인해야 할 경고사항은 무엇인가요?</x:v>
      </x:c>
      <x:c r="H1257" s="8" t="str">
        <x:v>중증의 간부전, 담도 폐쇄 환자는 이 약을 복용하지 마십시오.이 약을 복용하기 전에 당뇨병 환자, 카라멜에 과민증 환자 또는 경험자는 의사 또는 약사와 상의하십시오.정해진 용법과 용량을 잘 지키십시오.이 약은 내복으로만 사용하고 주사용으로 사용하지 마십시오.1개월 정도 복용하여도 증상의 개선이 없을 경우 의사 또는 약사와 상의하십시오.</x:v>
      </x:c>
      <x:c r="I1257" s="8" t="str">
        <x:v>중증의 간부전, 담도 폐쇄 환자는 이 약을 복용하지 마십시오.이 약을 복용하기 전에 당뇨병 환자, 카라멜에 과민증 환자 또는 경험자는 의사 또는 약사와 상의하십시오.정해진 용법과 용량을 잘 지키십시오.이 약은 내복으로만 사용하고 주사용으로 사용하지 마십시오.1개월 정도 복용하여도 증상의 개선이 없을 경우 의사 또는 약사와 상의하십시오.</x:v>
      </x:c>
      <x:c r="J1257" s="8" t="str">
        <x:v>아르기닌베이론액(L-아르기닌염산염) [품목기준코드 201100657]</x:v>
      </x:c>
      <x:c r="K1257" s="8" t="str">
        <x:v>식품의약품안전처 의약품개요정보(e약은요) OpenAPI
https://apis.data.go.kr/1471000/DrbEasyDrugInfoService/getDrbEasyDrugList</x:v>
      </x:c>
    </x:row>
    <x:row r="1258" ht="62" customHeight="1">
      <x:c r="A1258" s="9" t="n">
        <x:v>1257</x:v>
      </x:c>
      <x:c r="B1258" s="6" t="str">
        <x:v>최종 평가</x:v>
      </x:c>
      <x:c r="C1258" s="6" t="str">
        <x:v>복약</x:v>
      </x:c>
      <x:c r="D1258" s="6" t="str">
        <x:v>금기·경고</x:v>
      </x:c>
      <x:c r="E1258" s="6" t="str">
        <x:v>답변 가능</x:v>
      </x:c>
      <x:c r="F1258" s="6" t="str">
        <x:v>쉬움</x:v>
      </x:c>
      <x:c r="G1258" s="8" t="str">
        <x:v>그랑페롤연질캡슐400아이유(비타민이프리퍼레이션)(군납명:토코페롤연질캡슐400아이유100캡슐)을 사용하면 안 되거나 반드시 확인해야 할 경고사항은 무엇인가요?</x:v>
      </x:c>
      <x:c r="H1258" s="8" t="str">
        <x:v>이 약에 과민증 환자, 수유부는 이 약을 복용하지 마십시오.이 약을 복용하기 전에 임부, 혈전성 소인이 있는 환자, 기관지천식, 발진, 두드러기 등의 경험자, 철분제를 복용하고 있는 어린이는 의사 또는 약사와 상의하십시오.</x:v>
      </x:c>
      <x:c r="I1258" s="8" t="str">
        <x:v>이 약에 과민증 환자, 수유부는 이 약을 복용하지 마십시오.이 약을 복용하기 전에 임부, 혈전성 소인이 있는 환자, 기관지천식, 발진, 두드러기 등의 경험자, 철분제를 복용하고 있는 어린이는 의사 또는 약사와 상의하십시오.</x:v>
      </x:c>
      <x:c r="J1258" s="8" t="str">
        <x:v>그랑페롤연질캡슐400아이유(비타민이프리퍼레이션)(군납명:토코페롤연질캡슐400아이유100캡슐) [품목기준코드 198700431]</x:v>
      </x:c>
      <x:c r="K1258" s="8" t="str">
        <x:v>식품의약품안전처 의약품개요정보(e약은요) OpenAPI
https://apis.data.go.kr/1471000/DrbEasyDrugInfoService/getDrbEasyDrugList</x:v>
      </x:c>
    </x:row>
    <x:row r="1259" ht="62" customHeight="1">
      <x:c r="A1259" s="9" t="n">
        <x:v>1258</x:v>
      </x:c>
      <x:c r="B1259" s="6" t="str">
        <x:v>최종 평가</x:v>
      </x:c>
      <x:c r="C1259" s="6" t="str">
        <x:v>복약</x:v>
      </x:c>
      <x:c r="D1259" s="6" t="str">
        <x:v>보관·관리</x:v>
      </x:c>
      <x:c r="E1259" s="6" t="str">
        <x:v>답변 가능</x:v>
      </x:c>
      <x:c r="F1259" s="6" t="str">
        <x:v>쉬움</x:v>
      </x:c>
      <x:c r="G1259" s="8" t="str">
        <x:v>케라네일캡슐(수출용)은 어떻게 보관해야 하나요?</x:v>
      </x:c>
      <x:c r="H1259" s="8" t="str">
        <x:v>빛을 피해 실온에서 보관하십시오. 어린이의 손이 닿지 않는 곳에 보관하십시오.</x:v>
      </x:c>
      <x:c r="I1259" s="8" t="str">
        <x:v>빛을 피해 실온에서 보관하십시오. 어린이의 손이 닿지 않는 곳에 보관하십시오.</x:v>
      </x:c>
      <x:c r="J1259" s="8" t="str">
        <x:v>케라네일캡슐(수출용) [품목기준코드 201501488]</x:v>
      </x:c>
      <x:c r="K1259" s="8" t="str">
        <x:v>식품의약품안전처 의약품개요정보(e약은요) OpenAPI
https://apis.data.go.kr/1471000/DrbEasyDrugInfoService/getDrbEasyDrugList</x:v>
      </x:c>
    </x:row>
    <x:row r="1260" ht="62" customHeight="1">
      <x:c r="A1260" s="9" t="n">
        <x:v>1259</x:v>
      </x:c>
      <x:c r="B1260" s="6" t="str">
        <x:v>최종 평가</x:v>
      </x:c>
      <x:c r="C1260" s="6" t="str">
        <x:v>복약</x:v>
      </x:c>
      <x:c r="D1260" s="6" t="str">
        <x:v>용법·용량</x:v>
      </x:c>
      <x:c r="E1260" s="6" t="str">
        <x:v>답변 가능</x:v>
      </x:c>
      <x:c r="F1260" s="6" t="str">
        <x:v>쉬움</x:v>
      </x:c>
      <x:c r="G1260" s="8" t="str">
        <x:v>키즈부펜시럽(덱시부프로펜)은 어떻게 사용하나요?</x:v>
      </x:c>
      <x:c r="H1260" s="8" t="str">
        <x:v>생후 6개월 이상의 소아는 1회 0.4~0.6 mL/kg(5 ~ 7 mg/kg)의 용량을 4~6시간 간격으로 필요시에 복용하며, 1일 최대 4회(28 mg/kg)를 넘지 않습니다. 체중이 30kg 이하인 소아에게는 1일 최대 25 mL(300 mg)을 초과하지 않습니다. 연령대별 권장용량은 허가사항을 참고하십시오.</x:v>
      </x:c>
      <x:c r="I1260" s="8" t="str">
        <x:v>생후 6개월 이상의 소아는 1회 0.4~0.6 mL/kg(5 ~ 7 mg/kg)의 용량을 4~6시간 간격으로 필요시에 복용하며, 1일 최대 4회(28 mg/kg)를 넘지 않습니다. 체중이 30kg 이하인 소아에게는 1일 최대 25 mL(300 mg)을 초과하지 않습니다. 연령대별 권장용량은 허가사항을 참고하십시오.</x:v>
      </x:c>
      <x:c r="J1260" s="8" t="str">
        <x:v>키즈부펜시럽(덱시부프로펜) [품목기준코드 201005606]</x:v>
      </x:c>
      <x:c r="K1260" s="8" t="str">
        <x:v>식품의약품안전처 의약품개요정보(e약은요) OpenAPI
https://apis.data.go.kr/1471000/DrbEasyDrugInfoService/getDrbEasyDrugList</x:v>
      </x:c>
    </x:row>
    <x:row r="1261" ht="62" customHeight="1">
      <x:c r="A1261" s="9" t="n">
        <x:v>1260</x:v>
      </x:c>
      <x:c r="B1261" s="6" t="str">
        <x:v>최종 평가</x:v>
      </x:c>
      <x:c r="C1261" s="6" t="str">
        <x:v>복약</x:v>
      </x:c>
      <x:c r="D1261" s="6" t="str">
        <x:v>용어·정의</x:v>
      </x:c>
      <x:c r="E1261" s="6" t="str">
        <x:v>답변 가능</x:v>
      </x:c>
      <x:c r="F1261" s="6" t="str">
        <x:v>쉬움</x:v>
      </x:c>
      <x:c r="G1261" s="8" t="str">
        <x:v>알보제로액(폴리크레줄렌액50%)은 어떤 약인가요?</x:v>
      </x:c>
      <x:c r="H1261" s="8" t="str">
        <x:v>알보제로액(폴리크레줄렌액50%)은 일양약품(주)의 의약품으로, e약은요에는 다음과 같이 안내되어 있습니다. 이 약은 질 세균 감염, 구내염 및 치육염(잇몸염)에 사용합니다.</x:v>
      </x:c>
      <x:c r="I1261" s="8" t="str">
        <x:v>제품명: 알보제로액(폴리크레줄렌액50%) 업체명: 일양약품(주) 효능: 이 약은 질 세균 감염, 구내염 및 치육염(잇몸염)에 사용합니다.</x:v>
      </x:c>
      <x:c r="J1261" s="8" t="str">
        <x:v>알보제로액(폴리크레줄렌액50%) [품목기준코드 201604703]</x:v>
      </x:c>
      <x:c r="K1261" s="8" t="str">
        <x:v>식품의약품안전처 의약품개요정보(e약은요) OpenAPI
https://apis.data.go.kr/1471000/DrbEasyDrugInfoService/getDrbEasyDrugList</x:v>
      </x:c>
    </x:row>
    <x:row r="1262" ht="62" customHeight="1">
      <x:c r="A1262" s="9" t="n">
        <x:v>1261</x:v>
      </x:c>
      <x:c r="B1262" s="6" t="str">
        <x:v>최종 평가</x:v>
      </x:c>
      <x:c r="C1262" s="6" t="str">
        <x:v>복약</x:v>
      </x:c>
      <x:c r="D1262" s="6" t="str">
        <x:v>용법·용량</x:v>
      </x:c>
      <x:c r="E1262" s="6" t="str">
        <x:v>답변 가능</x:v>
      </x:c>
      <x:c r="F1262" s="6" t="str">
        <x:v>쉬움</x:v>
      </x:c>
      <x:c r="G1262" s="8" t="str">
        <x:v>속콜코프엘연질캡슐은 어떻게 사용하나요?</x:v>
      </x:c>
      <x:c r="H1262" s="8" t="str">
        <x:v>성인은 1회 1캡슐씩, 1일 3회 식후 30분에 복용합니다.</x:v>
      </x:c>
      <x:c r="I1262" s="8" t="str">
        <x:v>성인은 1회 1캡슐씩, 1일 3회 식후 30분에 복용합니다.</x:v>
      </x:c>
      <x:c r="J1262" s="8" t="str">
        <x:v>속콜코프엘연질캡슐 [품목기준코드 201103677]</x:v>
      </x:c>
      <x:c r="K1262" s="8" t="str">
        <x:v>식품의약품안전처 의약품개요정보(e약은요) OpenAPI
https://apis.data.go.kr/1471000/DrbEasyDrugInfoService/getDrbEasyDrugList</x:v>
      </x:c>
    </x:row>
    <x:row r="1263" ht="62" customHeight="1">
      <x:c r="A1263" s="9" t="n">
        <x:v>1262</x:v>
      </x:c>
      <x:c r="B1263" s="6" t="str">
        <x:v>최종 평가</x:v>
      </x:c>
      <x:c r="C1263" s="6" t="str">
        <x:v>복약</x:v>
      </x:c>
      <x:c r="D1263" s="6" t="str">
        <x:v>금기·경고</x:v>
      </x:c>
      <x:c r="E1263" s="6" t="str">
        <x:v>답변 가능</x:v>
      </x:c>
      <x:c r="F1263" s="6" t="str">
        <x:v>쉬움</x:v>
      </x:c>
      <x:c r="G1263" s="8" t="str">
        <x:v>치치엔더블유크림을 사용하면 안 되거나 반드시 확인해야 할 경고사항은 무엇인가요?</x:v>
      </x:c>
      <x:c r="H1263" s="8" t="str">
        <x:v>질환 부위가 곪아 있는 사람, 어린이는 이 약을 사용하지 마십시오. 이 약은 항문부위에만 사용하고 안과용으로는 사용하지 마십시오.</x:v>
      </x:c>
      <x:c r="I1263" s="8" t="str">
        <x:v>질환 부위가 곪아 있는 사람, 어린이는 이 약을 사용하지 마십시오. 이 약은 항문부위에만 사용하고 안과용으로는 사용하지 마십시오.</x:v>
      </x:c>
      <x:c r="J1263" s="8" t="str">
        <x:v>치치엔더블유크림 [품목기준코드 201901128]</x:v>
      </x:c>
      <x:c r="K1263" s="8" t="str">
        <x:v>식품의약품안전처 의약품개요정보(e약은요) OpenAPI
https://apis.data.go.kr/1471000/DrbEasyDrugInfoService/getDrbEasyDrugList</x:v>
      </x:c>
    </x:row>
    <x:row r="1264" ht="62" customHeight="1">
      <x:c r="A1264" s="9" t="n">
        <x:v>1263</x:v>
      </x:c>
      <x:c r="B1264" s="6" t="str">
        <x:v>최종 평가</x:v>
      </x:c>
      <x:c r="C1264" s="6" t="str">
        <x:v>복약</x:v>
      </x:c>
      <x:c r="D1264" s="6" t="str">
        <x:v>증상·이상반응</x:v>
      </x:c>
      <x:c r="E1264" s="6" t="str">
        <x:v>답변 가능</x:v>
      </x:c>
      <x:c r="F1264" s="6" t="str">
        <x:v>쉬움</x:v>
      </x:c>
      <x:c r="G1264" s="8" t="str">
        <x:v>징키스틴캡슐(히스티딘아연이수화물)을 사용하면 어떤 부작용이 생길 수 있나요?</x:v>
      </x:c>
      <x:c r="H1264" s="8" t="str">
        <x:v>e약은요에는 다음과 같은 이상반응이 안내되어 있습니다. 위장관장애, 소화장애, 상복부통증, 구역질, 저혈압, 폐부종, 구토 등이 나타나는 경우 복용을 즉각 중지하고 의사 또는 약사와 상의하십시오.</x:v>
      </x:c>
      <x:c r="I1264" s="8" t="str">
        <x:v>위장관장애, 소화장애, 상복부통증, 구역질, 저혈압, 폐부종, 구토 등이 나타나는 경우 복용을 즉각 중지하고 의사 또는 약사와 상의하십시오.</x:v>
      </x:c>
      <x:c r="J1264" s="8" t="str">
        <x:v>징키스틴캡슐(히스티딘아연이수화물) [품목기준코드 201903442]</x:v>
      </x:c>
      <x:c r="K1264" s="8" t="str">
        <x:v>식품의약품안전처 의약품개요정보(e약은요) OpenAPI
https://apis.data.go.kr/1471000/DrbEasyDrugInfoService/getDrbEasyDrugList</x:v>
      </x:c>
    </x:row>
    <x:row r="1265" ht="62" customHeight="1">
      <x:c r="A1265" s="9" t="n">
        <x:v>1264</x:v>
      </x:c>
      <x:c r="B1265" s="6" t="str">
        <x:v>최종 평가</x:v>
      </x:c>
      <x:c r="C1265" s="6" t="str">
        <x:v>복약</x:v>
      </x:c>
      <x:c r="D1265" s="6" t="str">
        <x:v>답변불가·가격·재고</x:v>
      </x:c>
      <x:c r="E1265" s="6" t="str">
        <x:v>답변 거부</x:v>
      </x:c>
      <x:c r="F1265" s="6" t="str">
        <x:v>어려움</x:v>
      </x:c>
      <x:c r="G1265" s="8" t="str">
        <x:v>오늘 제 주변 약국에서 마그원스피드액이 가장 싼 곳과 재고 수량을 알려주세요.</x:v>
      </x:c>
      <x:c r="H1265" s="8" t="str">
        <x:v>제공된 e약은요 VDB에는 실시간 약국별 가격과 재고 정보가 없어 답할 수 없습니다.</x:v>
      </x:c>
      <x:c r="I1265" s="8" t="str">
        <x:v>VDB 범위 밖 질문 — 근거 없음</x:v>
      </x:c>
      <x:c r="J1265" s="8" t="str">
        <x:v>마그원스피드액 [품목기준코드 202401708]</x:v>
      </x:c>
      <x:c r="K1265" s="8" t="str">
        <x:v>식품의약품안전처 의약품개요정보(e약은요) OpenAPI
https://apis.data.go.kr/1471000/DrbEasyDrugInfoService/getDrbEasyDrugList</x:v>
      </x:c>
    </x:row>
    <x:row r="1266" ht="62" customHeight="1">
      <x:c r="A1266" s="9" t="n">
        <x:v>1265</x:v>
      </x:c>
      <x:c r="B1266" s="6" t="str">
        <x:v>최종 평가</x:v>
      </x:c>
      <x:c r="C1266" s="6" t="str">
        <x:v>복약</x:v>
      </x:c>
      <x:c r="D1266" s="6" t="str">
        <x:v>용법·용량</x:v>
      </x:c>
      <x:c r="E1266" s="6" t="str">
        <x:v>답변 가능</x:v>
      </x:c>
      <x:c r="F1266" s="6" t="str">
        <x:v>쉬움</x:v>
      </x:c>
      <x:c r="G1266" s="8" t="str">
        <x:v>오라페인큐겔은 어떻게 사용하나요?</x:v>
      </x:c>
      <x:c r="H1266" s="8" t="str">
        <x:v>면봉이나 깨끗한 손으로 소량을 덜어 통증 부위에 바르십시오. 20분 이상 기다려도 통증이 계속되는 경우에는 추가로 이 약을 바를 수 있으며, 그 후에는 3시간 이상 간격을 두고 바르십시오.</x:v>
      </x:c>
      <x:c r="I1266" s="8" t="str">
        <x:v>면봉이나 깨끗한 손으로 소량을 덜어 통증 부위에 바르십시오. 20분 이상 기다려도 통증이 계속되는 경우에는 추가로 이 약을 바를 수 있으며, 그 후에는 3시간 이상 간격을 두고 바르십시오.</x:v>
      </x:c>
      <x:c r="J1266" s="8" t="str">
        <x:v>오라페인큐겔 [품목기준코드 202401470]</x:v>
      </x:c>
      <x:c r="K1266" s="8" t="str">
        <x:v>식품의약품안전처 의약품개요정보(e약은요) OpenAPI
https://apis.data.go.kr/1471000/DrbEasyDrugInfoService/getDrbEasyDrugList</x:v>
      </x:c>
    </x:row>
    <x:row r="1267" ht="62" customHeight="1">
      <x:c r="A1267" s="9" t="n">
        <x:v>1266</x:v>
      </x:c>
      <x:c r="B1267" s="6" t="str">
        <x:v>최종 평가</x:v>
      </x:c>
      <x:c r="C1267" s="6" t="str">
        <x:v>복약</x:v>
      </x:c>
      <x:c r="D1267" s="6" t="str">
        <x:v>실용·응급대처</x:v>
      </x:c>
      <x:c r="E1267" s="6" t="str">
        <x:v>답변 가능</x:v>
      </x:c>
      <x:c r="F1267" s="6" t="str">
        <x:v>보통</x:v>
      </x:c>
      <x:c r="G1267" s="8" t="str">
        <x:v>위엔탑정 사용 후 심한 이상반응이 나타나면 어떻게 해야 하나요?</x:v>
      </x:c>
      <x:c r="H1267" s="8" t="str">
        <x:v>투석요법을 받고 있는 환자, 갈락토오스 불내성, Lapp 유당분해효소 결핍증 또는 포도당-갈락토오스 흡수장애 등의 유전적인 문제가 있는 환자, 소아(15세 미만), 임부 또는 임신하고 있을 가능성이 있는 여성 및 수유부는 이 약을 복용하지 마십시오.이 약을 복용하기 전에 이 약에 과민증 환자, 신장애, 간장애, 인산염 저하가 있는 환자, 황색4호에 과민증 환자 또는 경험자, 혈압이 높은 환자, 고령자, 심장애, 부종 환자는 의사 또는 약사와 상의하십시오.정해진 용법과 용량을 잘 지키십시오.</x:v>
      </x:c>
      <x:c r="I1267" s="8" t="str">
        <x:v>투석요법을 받고 있는 환자, 갈락토오스 불내성, Lapp 유당분해효소 결핍증 또는 포도당-갈락토오스 흡수장애 등의 유전적인 문제가 있는 환자, 소아(15세 미만), 임부 또는 임신하고 있을 가능성이 있는 여성 및 수유부는 이 약을 복용하지 마십시오.이 약을 복용하기 전에 이 약에 과민증 환자, 신장애, 간장애, 인산염 저하가 있는 환자, 황색4호에 과민증 환자 또는 경험자, 혈압이 높은 환자, 고령자, 심장애, 부종 환자는 의사 또는 약사와 상의하십시오.정해진 용법과 용량을 잘 지키십시오.</x:v>
      </x:c>
      <x:c r="J1267" s="8" t="str">
        <x:v>위엔탑정 [품목기준코드 201700907]</x:v>
      </x:c>
      <x:c r="K1267" s="8" t="str">
        <x:v>식품의약품안전처 의약품개요정보(e약은요) OpenAPI
https://apis.data.go.kr/1471000/DrbEasyDrugInfoService/getDrbEasyDrugList</x:v>
      </x:c>
    </x:row>
    <x:row r="1268" ht="62" customHeight="1">
      <x:c r="A1268" s="9" t="n">
        <x:v>1267</x:v>
      </x:c>
      <x:c r="B1268" s="6" t="str">
        <x:v>최종 평가</x:v>
      </x:c>
      <x:c r="C1268" s="6" t="str">
        <x:v>복약</x:v>
      </x:c>
      <x:c r="D1268" s="6" t="str">
        <x:v>보관·관리</x:v>
      </x:c>
      <x:c r="E1268" s="6" t="str">
        <x:v>답변 가능</x:v>
      </x:c>
      <x:c r="F1268" s="6" t="str">
        <x:v>쉬움</x:v>
      </x:c>
      <x:c r="G1268" s="8" t="str">
        <x:v>캐롤디연질캡슐(덱시부프로펜)은 어떻게 보관해야 하나요?</x:v>
      </x:c>
      <x:c r="H1268" s="8" t="str">
        <x:v>습기와 빛을 피해 실온에서 보관하십시오. 어린이의 손이 닿지 않는 곳에 보관하십시오.</x:v>
      </x:c>
      <x:c r="I1268" s="8" t="str">
        <x:v>습기와 빛을 피해 실온에서 보관하십시오. 어린이의 손이 닿지 않는 곳에 보관하십시오.</x:v>
      </x:c>
      <x:c r="J1268" s="8" t="str">
        <x:v>캐롤디연질캡슐(덱시부프로펜) [품목기준코드 201501315]</x:v>
      </x:c>
      <x:c r="K1268" s="8" t="str">
        <x:v>식품의약품안전처 의약품개요정보(e약은요) OpenAPI
https://apis.data.go.kr/1471000/DrbEasyDrugInfoService/getDrbEasyDrugList</x:v>
      </x:c>
    </x:row>
    <x:row r="1269" ht="62" customHeight="1">
      <x:c r="A1269" s="9" t="n">
        <x:v>1268</x:v>
      </x:c>
      <x:c r="B1269" s="6" t="str">
        <x:v>최종 평가</x:v>
      </x:c>
      <x:c r="C1269" s="6" t="str">
        <x:v>복약</x:v>
      </x:c>
      <x:c r="D1269" s="6" t="str">
        <x:v>답변불가·개인 용량 변경</x:v>
      </x:c>
      <x:c r="E1269" s="6" t="str">
        <x:v>답변 거부</x:v>
      </x:c>
      <x:c r="F1269" s="6" t="str">
        <x:v>어려움</x:v>
      </x:c>
      <x:c r="G1269" s="8" t="str">
        <x:v>베트라겔이 잘 듣지 않는데 제 상태에 맞춰 복용량을 얼마나 늘리면 되나요?</x:v>
      </x:c>
      <x:c r="H1269" s="8" t="str">
        <x:v>제공된 e약은요 VDB만으로 개인별 복용량 변경을 결정할 수 없습니다. 임의로 증량하지 말고 의사 또는 약사와 상담해야 합니다.</x:v>
      </x:c>
      <x:c r="I1269" s="8" t="str">
        <x:v>VDB 범위 밖 질문 — 근거 없음</x:v>
      </x:c>
      <x:c r="J1269" s="8" t="str">
        <x:v>베트라겔 [품목기준코드 201501313]</x:v>
      </x:c>
      <x:c r="K1269" s="8" t="str">
        <x:v>식품의약품안전처 의약품개요정보(e약은요) OpenAPI
https://apis.data.go.kr/1471000/DrbEasyDrugInfoService/getDrbEasyDrugList</x:v>
      </x:c>
    </x:row>
    <x:row r="1270" ht="62" customHeight="1">
      <x:c r="A1270" s="9" t="n">
        <x:v>1269</x:v>
      </x:c>
      <x:c r="B1270" s="6" t="str">
        <x:v>최종 평가</x:v>
      </x:c>
      <x:c r="C1270" s="6" t="str">
        <x:v>복약</x:v>
      </x:c>
      <x:c r="D1270" s="6" t="str">
        <x:v>증상→대상 구분</x:v>
      </x:c>
      <x:c r="E1270" s="6" t="str">
        <x:v>답변 가능</x:v>
      </x:c>
      <x:c r="F1270" s="6" t="str">
        <x:v>어려움</x:v>
      </x:c>
      <x:c r="G1270" s="8" t="str">
        <x:v>리놀에스트로키(플루르비프로펜)을 사용한 뒤 발진이 생겼는데, 이 약의 부작용으로 안내되어 있나요?</x:v>
      </x:c>
      <x:c r="H1270" s="8" t="str">
        <x:v>발진은 이 제품의 e약은요 부작용 항목에 기재되어 있습니다. 다만 이 정보만으로 현재 증상의 원인이 해당 약이라고 확정할 수는 없습니다.</x:v>
      </x:c>
      <x:c r="I1270" s="8" t="str">
        <x:v>두통, 어지러움, 불면증, 졸림, 시각장애, 미각이상, 구역, 구토, 변비, 설사, 고창, 소화성 궤양 및 천공 및 출혈, 궤양성 구내염, 소화불량, 복통, 혈변, 위염, 천공 악화, 혀종창, 구강내 열감 및 화끈감, 구강궤양, 구강건조, 매우 드물게 황달, 간기능 수치의 상승, 치명적 전격성 간염, 간괴사, 간부전, 심부전증 등 심장애, 고혈압, 백혈구감소증, 매우 드물게 재생불량빈혈, 무과립구증, 저혈소판증, 출혈시간 연장, 기도협착을 동반한 내부후두종창, 호흡곤란, 부종, 급성신부전증, 신증후군, 간질성신장염, 체액저류, 탈모증, 탈락성피부염, 스티븐스-존슨증후군, 독성표피괴사용해(리엘증후군)와 같은 수포성 질환, 안면종창, 두드러기, 발진, 볼점막의 일시적인 자극, 과민성 반응(발진 및 가려움증, 천식 발작), 심혈관계 혈전반응, 심근경색증, 뇌졸증 등이 나타나는 경우 복용을 즉각 중지하고 의사 또는 약사와 상의하십시오.</x:v>
      </x:c>
      <x:c r="J1270" s="8" t="str">
        <x:v>리놀에스트로키(플루르비프로펜) [품목기준코드 202000214]</x:v>
      </x:c>
      <x:c r="K1270" s="8" t="str">
        <x:v>식품의약품안전처 의약품개요정보(e약은요) OpenAPI
https://apis.data.go.kr/1471000/DrbEasyDrugInfoService/getDrbEasyDrugList</x:v>
      </x:c>
    </x:row>
    <x:row r="1271" ht="62" customHeight="1">
      <x:c r="A1271" s="9" t="n">
        <x:v>1270</x:v>
      </x:c>
      <x:c r="B1271" s="6" t="str">
        <x:v>최종 평가</x:v>
      </x:c>
      <x:c r="C1271" s="6" t="str">
        <x:v>복약</x:v>
      </x:c>
      <x:c r="D1271" s="6" t="str">
        <x:v>보관·관리</x:v>
      </x:c>
      <x:c r="E1271" s="6" t="str">
        <x:v>답변 가능</x:v>
      </x:c>
      <x:c r="F1271" s="6" t="str">
        <x:v>쉬움</x:v>
      </x:c>
      <x:c r="G1271" s="8" t="str">
        <x:v>소겐큐정은 어떻게 보관해야 하나요?</x:v>
      </x:c>
      <x:c r="H1271" s="8" t="str">
        <x:v>습기와 빛을 피해 실온에서 보관하십시오.어린이의 손이 닿지 않는 곳에 보관하십시오.</x:v>
      </x:c>
      <x:c r="I1271" s="8" t="str">
        <x:v>습기와 빛을 피해 실온에서 보관하십시오.어린이의 손이 닿지 않는 곳에 보관하십시오.</x:v>
      </x:c>
      <x:c r="J1271" s="8" t="str">
        <x:v>소겐큐정 [품목기준코드 202004872]</x:v>
      </x:c>
      <x:c r="K1271" s="8" t="str">
        <x:v>식품의약품안전처 의약품개요정보(e약은요) OpenAPI
https://apis.data.go.kr/1471000/DrbEasyDrugInfoService/getDrbEasyDrugList</x:v>
      </x:c>
    </x:row>
    <x:row r="1272" ht="62" customHeight="1">
      <x:c r="A1272" s="9" t="n">
        <x:v>1271</x:v>
      </x:c>
      <x:c r="B1272" s="6" t="str">
        <x:v>최종 평가</x:v>
      </x:c>
      <x:c r="C1272" s="6" t="str">
        <x:v>복약</x:v>
      </x:c>
      <x:c r="D1272" s="6" t="str">
        <x:v>실용·응급대처</x:v>
      </x:c>
      <x:c r="E1272" s="6" t="str">
        <x:v>답변 가능</x:v>
      </x:c>
      <x:c r="F1272" s="6" t="str">
        <x:v>보통</x:v>
      </x:c>
      <x:c r="G1272" s="8" t="str">
        <x:v>맥시부펜코프연질캡슐 사용 후 심한 이상반응이 나타나면 어떻게 해야 하나요?</x:v>
      </x:c>
      <x:c r="H1272" s="8" t="str">
        <x:v>발진·발적, 가려움, 구역·구토, 식욕부진, 변비, 위통, 소화관출혈, 위부불쾌감, 부종, 어지러움, 불안, 떨림, 불면, 복용후 바로 두드러기, 부종, 가슴답답함 등과 함께 안색이 창백하고, 손발이 차고, 식은땀, 숨쉬기 곤란함 등 쇽 증상, 피부점막안증후군(스티븐스-존슨증후군), 중독성표피괴사용해(리엘증후군)(고열을 동반하고, 발진·발적(충혈되어 붉어짐), 화상과 같이 물집이 생기는 등 심한 증상), 천식, 빈도불명의 코니스 증후군 등이 나타나는 경우 복용을 즉각 중지하고 의사 또는 약사와 상의하십시오.</x:v>
      </x:c>
      <x:c r="I1272" s="8" t="str">
        <x:v>발진·발적, 가려움, 구역·구토, 식욕부진, 변비, 위통, 소화관출혈, 위부불쾌감, 부종, 어지러움, 불안, 떨림, 불면, 복용후 바로 두드러기, 부종, 가슴답답함 등과 함께 안색이 창백하고, 손발이 차고, 식은땀, 숨쉬기 곤란함 등 쇽 증상, 피부점막안증후군(스티븐스-존슨증후군), 중독성표피괴사용해(리엘증후군)(고열을 동반하고, 발진·발적(충혈되어 붉어짐), 화상과 같이 물집이 생기는 등 심한 증상), 천식, 빈도불명의 코니스 증후군 등이 나타나는 경우 복용을 즉각 중지하고 의사 또는 약사와 상의하십시오.</x:v>
      </x:c>
      <x:c r="J1272" s="8" t="str">
        <x:v>맥시부펜코프연질캡슐 [품목기준코드 202502046]</x:v>
      </x:c>
      <x:c r="K1272" s="8" t="str">
        <x:v>식품의약품안전처 의약품개요정보(e약은요) OpenAPI
https://apis.data.go.kr/1471000/DrbEasyDrugInfoService/getDrbEasyDrugList</x:v>
      </x:c>
    </x:row>
    <x:row r="1273" ht="62" customHeight="1">
      <x:c r="A1273" s="9" t="n">
        <x:v>1272</x:v>
      </x:c>
      <x:c r="B1273" s="6" t="str">
        <x:v>최종 평가</x:v>
      </x:c>
      <x:c r="C1273" s="6" t="str">
        <x:v>복약</x:v>
      </x:c>
      <x:c r="D1273" s="6" t="str">
        <x:v>대상별 정보</x:v>
      </x:c>
      <x:c r="E1273" s="6" t="str">
        <x:v>답변 가능</x:v>
      </x:c>
      <x:c r="F1273" s="6" t="str">
        <x:v>보통</x:v>
      </x:c>
      <x:c r="G1273" s="8" t="str">
        <x:v>어린이나 소아가 프리치크림을 사용해도 되나요?</x:v>
      </x:c>
      <x:c r="H1273" s="8" t="str">
        <x:v>e약은요에서 어린이·소아과 관련해 안내한 내용은 다음과 같습니다. 30개월 이하의 유아, 눈 주위, 점막, 습진, 옻 등에 의한 피부염, 상처부위에 이 약을 사용하지 마십시오.이 약을 사용하기 전에 약 또는 화장품에 과민증(발진ㆍ발적, 가려움, 옻 등에 의한 피부염 등) 경험자, 알레르기 체질, 습윤이나 미란이 심한 환자, 소아는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경우에는 즉시 물로 씻어내십시오.5~6일간 사용 후에도 증상의 개선이 보이지 않을 경우에는 사용을 중지하고 의사 또는 약사와 상의하십시오.</x:v>
      </x:c>
      <x:c r="I1273" s="8" t="str">
        <x:v>30개월 이하의 유아, 눈 주위, 점막, 습진, 옻 등에 의한 피부염, 상처부위에 이 약을 사용하지 마십시오.이 약을 사용하기 전에 약 또는 화장품에 과민증(발진ㆍ발적, 가려움, 옻 등에 의한 피부염 등) 경험자, 알레르기 체질, 습윤이나 미란이 심한 환자, 소아는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경우에는 즉시 물로 씻어내십시오.5~6일간 사용 후에도 증상의 개선이 보이지 않을 경우에는 사용을 중지하고 의사 또는 약사와 상의하십시오.</x:v>
      </x:c>
      <x:c r="J1273" s="8" t="str">
        <x:v>프리치크림 [품목기준코드 199501960]</x:v>
      </x:c>
      <x:c r="K1273" s="8" t="str">
        <x:v>식품의약품안전처 의약품개요정보(e약은요) OpenAPI
https://apis.data.go.kr/1471000/DrbEasyDrugInfoService/getDrbEasyDrugList</x:v>
      </x:c>
    </x:row>
    <x:row r="1274" ht="62" customHeight="1">
      <x:c r="A1274" s="9" t="n">
        <x:v>1273</x:v>
      </x:c>
      <x:c r="B1274" s="6" t="str">
        <x:v>최종 평가</x:v>
      </x:c>
      <x:c r="C1274" s="6" t="str">
        <x:v>복약</x:v>
      </x:c>
      <x:c r="D1274" s="6" t="str">
        <x:v>용법·용량</x:v>
      </x:c>
      <x:c r="E1274" s="6" t="str">
        <x:v>답변 가능</x:v>
      </x:c>
      <x:c r="F1274" s="6" t="str">
        <x:v>쉬움</x:v>
      </x:c>
      <x:c r="G1274" s="8" t="str">
        <x:v>에카씬정은 어떻게 사용하나요?</x:v>
      </x:c>
      <x:c r="H1274" s="8" t="str">
        <x:v>성인은 1회 1정씩, 1일 3회 식후 30분에 4시간 간격을 두고 복용합니다.</x:v>
      </x:c>
      <x:c r="I1274" s="8" t="str">
        <x:v>성인은 1회 1정씩, 1일 3회 식후 30분에 4시간 간격을 두고 복용합니다.</x:v>
      </x:c>
      <x:c r="J1274" s="8" t="str">
        <x:v>에카씬정 [품목기준코드 200400550]</x:v>
      </x:c>
      <x:c r="K1274" s="8" t="str">
        <x:v>식품의약품안전처 의약품개요정보(e약은요) OpenAPI
https://apis.data.go.kr/1471000/DrbEasyDrugInfoService/getDrbEasyDrugList</x:v>
      </x:c>
    </x:row>
    <x:row r="1275" ht="62" customHeight="1">
      <x:c r="A1275" s="9" t="n">
        <x:v>1274</x:v>
      </x:c>
      <x:c r="B1275" s="6" t="str">
        <x:v>최종 평가</x:v>
      </x:c>
      <x:c r="C1275" s="6" t="str">
        <x:v>복약</x:v>
      </x:c>
      <x:c r="D1275" s="6" t="str">
        <x:v>대상별 정보</x:v>
      </x:c>
      <x:c r="E1275" s="6" t="str">
        <x:v>답변 가능</x:v>
      </x:c>
      <x:c r="F1275" s="6" t="str">
        <x:v>보통</x:v>
      </x:c>
      <x:c r="G1275" s="8" t="str">
        <x:v>어린이나 소아가 뉴스피린장용정100밀리그램(아스피린)을 사용해도 되나요?</x:v>
      </x:c>
      <x:c r="H1275" s="8" t="str">
        <x:v>e약은요에서 어린이·소아과 관련해 안내한 내용은 다음과 같습니다.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x:v>
      </x:c>
      <x:c r="I1275" s="8" t="str">
        <x:v>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x:v>
      </x:c>
      <x:c r="J1275" s="8" t="str">
        <x:v>뉴스피린장용정100밀리그램(아스피린) [품목기준코드 201801356]</x:v>
      </x:c>
      <x:c r="K1275" s="8" t="str">
        <x:v>식품의약품안전처 의약품개요정보(e약은요) OpenAPI
https://apis.data.go.kr/1471000/DrbEasyDrugInfoService/getDrbEasyDrugList</x:v>
      </x:c>
    </x:row>
    <x:row r="1276" ht="62" customHeight="1">
      <x:c r="A1276" s="9" t="n">
        <x:v>1275</x:v>
      </x:c>
      <x:c r="B1276" s="6" t="str">
        <x:v>최종 평가</x:v>
      </x:c>
      <x:c r="C1276" s="6" t="str">
        <x:v>복약</x:v>
      </x:c>
      <x:c r="D1276" s="6" t="str">
        <x:v>용어·정의</x:v>
      </x:c>
      <x:c r="E1276" s="6" t="str">
        <x:v>답변 가능</x:v>
      </x:c>
      <x:c r="F1276" s="6" t="str">
        <x:v>쉬움</x:v>
      </x:c>
      <x:c r="G1276" s="8" t="str">
        <x:v>안티라제정(수출명: Strikase)은 어떤 약인가요?</x:v>
      </x:c>
      <x:c r="H1276" s="8" t="str">
        <x:v>안티라제정(수출명: Strikase)은 (주)한국비엠아이의 의약품으로, e약은요에는 다음과 같이 안내되어 있습니다. 이 약은 수술 및 외상후, 유즙울체의 염증성 부종의 완화에 사용합니다.</x:v>
      </x:c>
      <x:c r="I1276" s="8" t="str">
        <x:v>제품명: 안티라제정(수출명: Strikase) 업체명: (주)한국비엠아이 효능: 이 약은 수술 및 외상후, 유즙울체의 염증성 부종의 완화에 사용합니다.</x:v>
      </x:c>
      <x:c r="J1276" s="8" t="str">
        <x:v>안티라제정(수출명: Strikase) [품목기준코드 200502066]</x:v>
      </x:c>
      <x:c r="K1276" s="8" t="str">
        <x:v>식품의약품안전처 의약품개요정보(e약은요) OpenAPI
https://apis.data.go.kr/1471000/DrbEasyDrugInfoService/getDrbEasyDrugList</x:v>
      </x:c>
    </x:row>
    <x:row r="1277" ht="62" customHeight="1">
      <x:c r="A1277" s="9" t="n">
        <x:v>1276</x:v>
      </x:c>
      <x:c r="B1277" s="6" t="str">
        <x:v>최종 평가</x:v>
      </x:c>
      <x:c r="C1277" s="6" t="str">
        <x:v>복약</x:v>
      </x:c>
      <x:c r="D1277" s="6" t="str">
        <x:v>증상·이상반응</x:v>
      </x:c>
      <x:c r="E1277" s="6" t="str">
        <x:v>답변 가능</x:v>
      </x:c>
      <x:c r="F1277" s="6" t="str">
        <x:v>보통</x:v>
      </x:c>
      <x:c r="G1277" s="8" t="str">
        <x:v>파비스암브록솔염산염정을 사용하면 어떤 부작용이 생길 수 있나요?</x:v>
      </x:c>
      <x:c r="H1277" s="8" t="str">
        <x:v>e약은요에는 다음과 같은 이상반응이 안내되어 있습니다. 피부점막안증후군(스티븐스-존슨증후군), 독성표피괴사용해(리엘증후군) 같은 심각한 피부 손상, 열, 가려움, 비염, 기침 및 인후염과 같은 비특이적 인플루엔자-유사 전구증상, 흔하게 구역, 흔하지 않게 구토, 설사, 소화불량, 복통, 가슴쓰림, 구강건조, 위부불쾌감, 위·복부팽만감, 변비, 식욕부진, 두드러기, 피부 발진, 아나필락시스 반응(아나필락시스 쇼크 포함), 두드러기모양 홍반, 혈관부종, 가려움, 기타 다른 과민반응, 얼굴부기, 호흡곤란, 오한을 수반한 체온상승, 백혈구 증가를 수반하는 화농성 비염, 혀의 감각이상, 미각변화, 구내마비감, 팔의 마비감 등이 나타나는 경우 복용을 즉각 중지하고 의사 또는 약사와 상의하십시오.</x:v>
      </x:c>
      <x:c r="I1277" s="8" t="str">
        <x:v>피부점막안증후군(스티븐스-존슨증후군), 독성표피괴사용해(리엘증후군) 같은 심각한 피부 손상, 열, 가려움, 비염, 기침 및 인후염과 같은 비특이적 인플루엔자-유사 전구증상, 흔하게 구역, 흔하지 않게 구토, 설사, 소화불량, 복통, 가슴쓰림, 구강건조, 위부불쾌감, 위·복부팽만감, 변비, 식욕부진, 두드러기, 피부 발진, 아나필락시스 반응(아나필락시스 쇼크 포함), 두드러기모양 홍반, 혈관부종, 가려움, 기타 다른 과민반응, 얼굴부기, 호흡곤란, 오한을 수반한 체온상승, 백혈구 증가를 수반하는 화농성 비염, 혀의 감각이상, 미각변화, 구내마비감, 팔의 마비감 등이 나타나는 경우 복용을 즉각 중지하고 의사 또는 약사와 상의하십시오.</x:v>
      </x:c>
      <x:c r="J1277" s="8" t="str">
        <x:v>파비스암브록솔염산염정 [품목기준코드 199102276]</x:v>
      </x:c>
      <x:c r="K1277" s="8" t="str">
        <x:v>식품의약품안전처 의약품개요정보(e약은요) OpenAPI
https://apis.data.go.kr/1471000/DrbEasyDrugInfoService/getDrbEasyDrugList</x:v>
      </x:c>
    </x:row>
    <x:row r="1278" ht="62" customHeight="1">
      <x:c r="A1278" s="9" t="n">
        <x:v>1277</x:v>
      </x:c>
      <x:c r="B1278" s="6" t="str">
        <x:v>최종 평가</x:v>
      </x:c>
      <x:c r="C1278" s="6" t="str">
        <x:v>복약</x:v>
      </x:c>
      <x:c r="D1278" s="6" t="str">
        <x:v>용법·용량</x:v>
      </x:c>
      <x:c r="E1278" s="6" t="str">
        <x:v>답변 가능</x:v>
      </x:c>
      <x:c r="F1278" s="6" t="str">
        <x:v>쉬움</x:v>
      </x:c>
      <x:c r="G1278" s="8" t="str">
        <x:v>다리아정은 어떻게 사용하나요?</x:v>
      </x:c>
      <x:c r="H1278" s="8" t="str">
        <x:v>만 15세 이상은 1회 2정씩, 만 8세 이상~만 15세 미만은 1회 1정씩, 1일 3회 4시간 이상 간격을 두고 복용합니다. 만 7세 이하의 어린이는 복용하지 마십시오.</x:v>
      </x:c>
      <x:c r="I1278" s="8" t="str">
        <x:v>만 15세 이상은 1회 2정씩, 만 8세 이상~만 15세 미만은 1회 1정씩, 1일 3회 4시간 이상 간격을 두고 복용합니다. 만 7세 이하의 어린이는 복용하지 마십시오.</x:v>
      </x:c>
      <x:c r="J1278" s="8" t="str">
        <x:v>다리아정 [품목기준코드 201706530]</x:v>
      </x:c>
      <x:c r="K1278" s="8" t="str">
        <x:v>식품의약품안전처 의약품개요정보(e약은요) OpenAPI
https://apis.data.go.kr/1471000/DrbEasyDrugInfoService/getDrbEasyDrugList</x:v>
      </x:c>
    </x:row>
    <x:row r="1279" ht="62" customHeight="1">
      <x:c r="A1279" s="9" t="n">
        <x:v>1278</x:v>
      </x:c>
      <x:c r="B1279" s="6" t="str">
        <x:v>최종 평가</x:v>
      </x:c>
      <x:c r="C1279" s="6" t="str">
        <x:v>복약</x:v>
      </x:c>
      <x:c r="D1279" s="6" t="str">
        <x:v>상호작용</x:v>
      </x:c>
      <x:c r="E1279" s="6" t="str">
        <x:v>답변 가능</x:v>
      </x:c>
      <x:c r="F1279" s="6" t="str">
        <x:v>쉬움</x:v>
      </x:c>
      <x:c r="G1279" s="8" t="str">
        <x:v>일양노이시린에이정(규산알루민산마그네슘)과 함께 사용하거나 먹을 때 주의해야 할 약이나 음식이 있나요?</x:v>
      </x:c>
      <x:c r="H1279" s="8" t="str">
        <x:v>테트라사이클린계 항생제와 함께 복용 시 의사 또는 약사와 상의하십시오.</x:v>
      </x:c>
      <x:c r="I1279" s="8" t="str">
        <x:v>테트라사이클린계 항생제와 함께 복용 시 의사 또는 약사와 상의하십시오.</x:v>
      </x:c>
      <x:c r="J1279" s="8" t="str">
        <x:v>일양노이시린에이정(규산알루민산마그네슘) [품목기준코드 197800242]</x:v>
      </x:c>
      <x:c r="K1279" s="8" t="str">
        <x:v>식품의약품안전처 의약품개요정보(e약은요) OpenAPI
https://apis.data.go.kr/1471000/DrbEasyDrugInfoService/getDrbEasyDrugList</x:v>
      </x:c>
    </x:row>
    <x:row r="1280" ht="62" customHeight="1">
      <x:c r="A1280" s="9" t="n">
        <x:v>1279</x:v>
      </x:c>
      <x:c r="B1280" s="6" t="str">
        <x:v>최종 평가</x:v>
      </x:c>
      <x:c r="C1280" s="6" t="str">
        <x:v>복약</x:v>
      </x:c>
      <x:c r="D1280" s="6" t="str">
        <x:v>상호작용</x:v>
      </x:c>
      <x:c r="E1280" s="6" t="str">
        <x:v>답변 가능</x:v>
      </x:c>
      <x:c r="F1280" s="6" t="str">
        <x:v>쉬움</x:v>
      </x:c>
      <x:c r="G1280" s="8" t="str">
        <x:v>목틴캡슐200밀리그램(아세틸시스테인)과 함께 사용하거나 먹을 때 주의해야 할 약이나 음식이 있나요?</x:v>
      </x:c>
      <x:c r="H1280" s="8" t="str">
        <x:v>경구용 항생제(아목시실린, 세푸록심, 독시사이클린, 에리트로마이신, 티암페니콜)와 함께 복용 시 적어도 2시간 간격을 두고 복용하십시오.</x:v>
      </x:c>
      <x:c r="I1280" s="8" t="str">
        <x:v>경구용 항생제(아목시실린, 세푸록심, 독시사이클린, 에리트로마이신, 티암페니콜)와 함께 복용 시 적어도 2시간 간격을 두고 복용하십시오.</x:v>
      </x:c>
      <x:c r="J1280" s="8" t="str">
        <x:v>목틴캡슐200밀리그램(아세틸시스테인) [품목기준코드 199902656]</x:v>
      </x:c>
      <x:c r="K1280" s="8" t="str">
        <x:v>식품의약품안전처 의약품개요정보(e약은요) OpenAPI
https://apis.data.go.kr/1471000/DrbEasyDrugInfoService/getDrbEasyDrugList</x:v>
      </x:c>
    </x:row>
    <x:row r="1281" ht="62" customHeight="1">
      <x:c r="A1281" s="9" t="n">
        <x:v>1280</x:v>
      </x:c>
      <x:c r="B1281" s="6" t="str">
        <x:v>최종 평가</x:v>
      </x:c>
      <x:c r="C1281" s="6" t="str">
        <x:v>복약</x:v>
      </x:c>
      <x:c r="D1281" s="6" t="str">
        <x:v>효능·사용목적</x:v>
      </x:c>
      <x:c r="E1281" s="6" t="str">
        <x:v>답변 가능</x:v>
      </x:c>
      <x:c r="F1281" s="6" t="str">
        <x:v>쉬움</x:v>
      </x:c>
      <x:c r="G1281" s="8" t="str">
        <x:v>미가펜후레쉬연질캡슐(이부프로펜)은 어떤 증상이나 질환에 사용하는 약인가요?</x:v>
      </x:c>
      <x:c r="H1281" s="8" t="str">
        <x:v>이 약은 감기로 인한 발열 및 동통(통증), 요(허리)통, 생리통, 류마티양 관절염, 연소성(어리거나 젊은 나이에 나타나는) 류마티양 관절염, 골(뼈)관절염(퇴행성 관절질환), 수술후 동통(통증)과 두통, 편두통, 치통, 근육통, 신경통, 강직성 척추염, 급성통풍, 건선(마른비늘증)성 관절염, 연조직손상(염좌(삠), 좌상(타박상)), 비관절 류마티스질환(건염(힘줄염), 건초염(힘줄윤활막염), 활액(윤활)낭염)에 사용합니다.</x:v>
      </x:c>
      <x:c r="I1281" s="8" t="str">
        <x:v>이 약은 감기로 인한 발열 및 동통(통증), 요(허리)통, 생리통, 류마티양 관절염, 연소성(어리거나 젊은 나이에 나타나는) 류마티양 관절염, 골(뼈)관절염(퇴행성 관절질환), 수술후 동통(통증)과 두통, 편두통, 치통, 근육통, 신경통, 강직성 척추염, 급성통풍, 건선(마른비늘증)성 관절염, 연조직손상(염좌(삠), 좌상(타박상)), 비관절 류마티스질환(건염(힘줄염), 건초염(힘줄윤활막염), 활액(윤활)낭염)에 사용합니다.</x:v>
      </x:c>
      <x:c r="J1281" s="8" t="str">
        <x:v>미가펜후레쉬연질캡슐(이부프로펜) [품목기준코드 202000773]</x:v>
      </x:c>
      <x:c r="K1281" s="8" t="str">
        <x:v>식품의약품안전처 의약품개요정보(e약은요) OpenAPI
https://apis.data.go.kr/1471000/DrbEasyDrugInfoService/getDrbEasyDrugList</x:v>
      </x:c>
    </x:row>
    <x:row r="1282" ht="62" customHeight="1">
      <x:c r="A1282" s="9" t="n">
        <x:v>1281</x:v>
      </x:c>
      <x:c r="B1282" s="6" t="str">
        <x:v>최종 평가</x:v>
      </x:c>
      <x:c r="C1282" s="6" t="str">
        <x:v>복약</x:v>
      </x:c>
      <x:c r="D1282" s="6" t="str">
        <x:v>용어·정의</x:v>
      </x:c>
      <x:c r="E1282" s="6" t="str">
        <x:v>답변 가능</x:v>
      </x:c>
      <x:c r="F1282" s="6" t="str">
        <x:v>쉬움</x:v>
      </x:c>
      <x:c r="G1282" s="8" t="str">
        <x:v>장엔클캡슐은 어떤 약인가요?</x:v>
      </x:c>
      <x:c r="H1282" s="8" t="str">
        <x:v>장엔클캡슐은 에스케이케미칼(주)의 의약품으로, e약은요에는 다음과 같이 안내되어 있습니다. 이 약은 설사, 복통(배아픔)을 수반하는 설사, 체함, 묽은 변, 토사에 사용합니다.</x:v>
      </x:c>
      <x:c r="I1282" s="8" t="str">
        <x:v>제품명: 장엔클캡슐 업체명: 에스케이케미칼(주) 효능: 이 약은 설사, 복통(배아픔)을 수반하는 설사, 체함, 묽은 변, 토사에 사용합니다.</x:v>
      </x:c>
      <x:c r="J1282" s="8" t="str">
        <x:v>장엔클캡슐 [품목기준코드 202501091]</x:v>
      </x:c>
      <x:c r="K1282" s="8" t="str">
        <x:v>식품의약품안전처 의약품개요정보(e약은요) OpenAPI
https://apis.data.go.kr/1471000/DrbEasyDrugInfoService/getDrbEasyDrugList</x:v>
      </x:c>
    </x:row>
    <x:row r="1283" ht="62" customHeight="1">
      <x:c r="A1283" s="9" t="n">
        <x:v>1282</x:v>
      </x:c>
      <x:c r="B1283" s="6" t="str">
        <x:v>최종 평가</x:v>
      </x:c>
      <x:c r="C1283" s="6" t="str">
        <x:v>복약</x:v>
      </x:c>
      <x:c r="D1283" s="6" t="str">
        <x:v>증상·이상반응</x:v>
      </x:c>
      <x:c r="E1283" s="6" t="str">
        <x:v>답변 가능</x:v>
      </x:c>
      <x:c r="F1283" s="6" t="str">
        <x:v>쉬움</x:v>
      </x:c>
      <x:c r="G1283" s="8" t="str">
        <x:v>신일겔정을 사용하면 어떤 부작용이 생길 수 있나요?</x:v>
      </x:c>
      <x:c r="H1283" s="8" t="str">
        <x:v>e약은요에는 다음과 같은 이상반응이 안내되어 있습니다. 변비 또는 설사 등이 나타나는 경우 복용을 즉각 중지하고 의사 또는 약사와 상의하십시오.</x:v>
      </x:c>
      <x:c r="I1283" s="8" t="str">
        <x:v>변비 또는 설사 등이 나타나는 경우 복용을 즉각 중지하고 의사 또는 약사와 상의하십시오.</x:v>
      </x:c>
      <x:c r="J1283" s="8" t="str">
        <x:v>신일겔정 [품목기준코드 201402369]</x:v>
      </x:c>
      <x:c r="K1283" s="8" t="str">
        <x:v>식품의약품안전처 의약품개요정보(e약은요) OpenAPI
https://apis.data.go.kr/1471000/DrbEasyDrugInfoService/getDrbEasyDrugList</x:v>
      </x:c>
    </x:row>
    <x:row r="1284" ht="62" customHeight="1">
      <x:c r="A1284" s="9" t="n">
        <x:v>1283</x:v>
      </x:c>
      <x:c r="B1284" s="6" t="str">
        <x:v>최종 평가</x:v>
      </x:c>
      <x:c r="C1284" s="6" t="str">
        <x:v>복약</x:v>
      </x:c>
      <x:c r="D1284" s="6" t="str">
        <x:v>금기·경고</x:v>
      </x:c>
      <x:c r="E1284" s="6" t="str">
        <x:v>답변 가능</x:v>
      </x:c>
      <x:c r="F1284" s="6" t="str">
        <x:v>보통</x:v>
      </x:c>
      <x:c r="G1284" s="8" t="str">
        <x:v>쎈파워비타연질캡슐을 사용하면 안 되거나 반드시 확인해야 할 경고사항은 무엇인가요?</x:v>
      </x:c>
      <x:c r="H1284" s="8" t="str">
        <x:v>이 약 또는 대두유, 콩, 땅콩에 과민증 환자, 만 3개월 미만의 젖먹이, 고칼슘혈증(혈액중에 칼슘이 과잉으로 존재하는 상태), 유육종증(원인을 알 수 없는 전신 염증질환), 신장결석 환자는 이 약을 복용하지 마십시오. 이 약을 복용하기 전에 햇빛을 많이 보고 정상적인 식사를 하는 어린이, 임부 및 임신하고 있을 가능성이 있는 여성, 수유부, 미숙아, 유아, 고옥살산뇨증(뇨중에 과량의 수산염이 배설되는 상태), 통풍 또는 신장결석 환자 및 경험자, 고지단백혈증, 당뇨병성고지질혈증 및 췌장염 등 지방대사 이상 환자 또는 지질성유제를 신중히 투여해야 하는 환자, 황색4호 및 황색5호에 과민증 환자 또는 경험자, 지방과부하로 특별한 위험이 예상되는 환자, 는 의사 또는 약사와 상의하십시오.</x:v>
      </x:c>
      <x:c r="I1284" s="8" t="str">
        <x:v>이 약 또는 대두유, 콩, 땅콩에 과민증 환자, 만 3개월 미만의 젖먹이, 고칼슘혈증(혈액중에 칼슘이 과잉으로 존재하는 상태), 유육종증(원인을 알 수 없는 전신 염증질환), 신장결석 환자는 이 약을 복용하지 마십시오. 이 약을 복용하기 전에 햇빛을 많이 보고 정상적인 식사를 하는 어린이, 임부 및 임신하고 있을 가능성이 있는 여성, 수유부, 미숙아, 유아, 고옥살산뇨증(뇨중에 과량의 수산염이 배설되는 상태), 통풍 또는 신장결석 환자 및 경험자, 고지단백혈증, 당뇨병성고지질혈증 및 췌장염 등 지방대사 이상 환자 또는 지질성유제를 신중히 투여해야 하는 환자, 황색4호 및 황색5호에 과민증 환자 또는 경험자, 지방과부하로 특별한 위험이 예상되는 환자, 는 의사 또는 약사와 상의하십시오.</x:v>
      </x:c>
      <x:c r="J1284" s="8" t="str">
        <x:v>쎈파워비타연질캡슐 [품목기준코드 202005041]</x:v>
      </x:c>
      <x:c r="K1284" s="8" t="str">
        <x:v>식품의약품안전처 의약품개요정보(e약은요) OpenAPI
https://apis.data.go.kr/1471000/DrbEasyDrugInfoService/getDrbEasyDrugList</x:v>
      </x:c>
    </x:row>
    <x:row r="1285" ht="62" customHeight="1">
      <x:c r="A1285" s="9" t="n">
        <x:v>1284</x:v>
      </x:c>
      <x:c r="B1285" s="6" t="str">
        <x:v>최종 평가</x:v>
      </x:c>
      <x:c r="C1285" s="6" t="str">
        <x:v>복약</x:v>
      </x:c>
      <x:c r="D1285" s="6" t="str">
        <x:v>증상·이상반응</x:v>
      </x:c>
      <x:c r="E1285" s="6" t="str">
        <x:v>답변 가능</x:v>
      </x:c>
      <x:c r="F1285" s="6" t="str">
        <x:v>쉬움</x:v>
      </x:c>
      <x:c r="G1285" s="8" t="str">
        <x:v>마그벤연질캡슐을 사용하면 어떤 부작용이 생길 수 있나요?</x:v>
      </x:c>
      <x:c r="H1285" s="8" t="str">
        <x:v>e약은요에는 다음과 같은 이상반응이 안내되어 있습니다. 위부 불쾌감, 설사, 변비, 발진, 발적(충혈되어 붉어짐), 구역, 구토, 묽은 변, 붉은 반점, 부전수축(심장박동정지), 중추신경계 기능저하, 생리가 예정보다 빨라지거나 양이 점점 많아지거나, 출혈이 오래 지속될 경우 복용을 즉각 중지하고 의사 또는 약사와 상의하십시오.</x:v>
      </x:c>
      <x:c r="I1285" s="8" t="str">
        <x:v>위부 불쾌감, 설사, 변비, 발진, 발적(충혈되어 붉어짐), 구역, 구토, 묽은 변, 붉은 반점, 부전수축(심장박동정지), 중추신경계 기능저하, 생리가 예정보다 빨라지거나 양이 점점 많아지거나, 출혈이 오래 지속될 경우 복용을 즉각 중지하고 의사 또는 약사와 상의하십시오.</x:v>
      </x:c>
      <x:c r="J1285" s="8" t="str">
        <x:v>마그벤연질캡슐 [품목기준코드 201501637]</x:v>
      </x:c>
      <x:c r="K1285" s="8" t="str">
        <x:v>식품의약품안전처 의약품개요정보(e약은요) OpenAPI
https://apis.data.go.kr/1471000/DrbEasyDrugInfoService/getDrbEasyDrugList</x:v>
      </x:c>
    </x:row>
    <x:row r="1286" ht="62" customHeight="1">
      <x:c r="A1286" s="9" t="n">
        <x:v>1285</x:v>
      </x:c>
      <x:c r="B1286" s="6" t="str">
        <x:v>최종 평가</x:v>
      </x:c>
      <x:c r="C1286" s="6" t="str">
        <x:v>복약</x:v>
      </x:c>
      <x:c r="D1286" s="6" t="str">
        <x:v>증상·이상반응</x:v>
      </x:c>
      <x:c r="E1286" s="6" t="str">
        <x:v>답변 가능</x:v>
      </x:c>
      <x:c r="F1286" s="6" t="str">
        <x:v>쉬움</x:v>
      </x:c>
      <x:c r="G1286" s="8" t="str">
        <x:v>활비톤액을 사용하면 어떤 부작용이 생길 수 있나요?</x:v>
      </x:c>
      <x:c r="H1286" s="8" t="str">
        <x:v>e약은요에는 다음과 같은 이상반응이 안내되어 있습니다. 구역, 구토, 묽은 변, 붉은 반점, 설사, 부전수축(심장박동정지), 중추신경계 기능저하가 나타나거나, 1개월 정도 복용하여도 증상의 개선이 없을 경우 복용을 즉각 중지하고 의사 또는 약사와 상의하십시오.</x:v>
      </x:c>
      <x:c r="I1286" s="8" t="str">
        <x:v>구역, 구토, 묽은 변, 붉은 반점, 설사, 부전수축(심장박동정지), 중추신경계 기능저하가 나타나거나, 1개월 정도 복용하여도 증상의 개선이 없을 경우 복용을 즉각 중지하고 의사 또는 약사와 상의하십시오.</x:v>
      </x:c>
      <x:c r="J1286" s="8" t="str">
        <x:v>활비톤액 [품목기준코드 202107570]</x:v>
      </x:c>
      <x:c r="K1286" s="8" t="str">
        <x:v>식품의약품안전처 의약품개요정보(e약은요) OpenAPI
https://apis.data.go.kr/1471000/DrbEasyDrugInfoService/getDrbEasyDrugList</x:v>
      </x:c>
    </x:row>
    <x:row r="1287" ht="62" customHeight="1">
      <x:c r="A1287" s="9" t="n">
        <x:v>1286</x:v>
      </x:c>
      <x:c r="B1287" s="6" t="str">
        <x:v>최종 평가</x:v>
      </x:c>
      <x:c r="C1287" s="6" t="str">
        <x:v>복약</x:v>
      </x:c>
      <x:c r="D1287" s="6" t="str">
        <x:v>증상·이상반응</x:v>
      </x:c>
      <x:c r="E1287" s="6" t="str">
        <x:v>답변 가능</x:v>
      </x:c>
      <x:c r="F1287" s="6" t="str">
        <x:v>쉬움</x:v>
      </x:c>
      <x:c r="G1287" s="8" t="str">
        <x:v>미리놀캡슐(아세틸시스테인)을 사용하면 어떤 부작용이 생길 수 있나요?</x:v>
      </x:c>
      <x:c r="H1287" s="8" t="str">
        <x:v>e약은요에는 다음과 같은 이상반응이 안내되어 있습니다. 드물게 구역, 구토, 구내염, 가슴쓰림, 설사, 두드러기, 가려움, 발진, 두통, 이명, 기관지경련(특히 천식 환자), 빈맥, 고혈압, 매우 드물게 아나필락시스 등이 나타나는 경우 복용을 즉각 중지하고 의사 또는 약사와 상의하십시오.</x:v>
      </x:c>
      <x:c r="I1287" s="8" t="str">
        <x:v>드물게 구역, 구토, 구내염, 가슴쓰림, 설사, 두드러기, 가려움, 발진, 두통, 이명, 기관지경련(특히 천식 환자), 빈맥, 고혈압, 매우 드물게 아나필락시스 등이 나타나는 경우 복용을 즉각 중지하고 의사 또는 약사와 상의하십시오.</x:v>
      </x:c>
      <x:c r="J1287" s="8" t="str">
        <x:v>미리놀캡슐(아세틸시스테인) [품목기준코드 199800785]</x:v>
      </x:c>
      <x:c r="K1287" s="8" t="str">
        <x:v>식품의약품안전처 의약품개요정보(e약은요) OpenAPI
https://apis.data.go.kr/1471000/DrbEasyDrugInfoService/getDrbEasyDrugList</x:v>
      </x:c>
    </x:row>
    <x:row r="1288" ht="62" customHeight="1">
      <x:c r="A1288" s="9" t="n">
        <x:v>1287</x:v>
      </x:c>
      <x:c r="B1288" s="6" t="str">
        <x:v>최종 평가</x:v>
      </x:c>
      <x:c r="C1288" s="6" t="str">
        <x:v>복약</x:v>
      </x:c>
      <x:c r="D1288" s="6" t="str">
        <x:v>효능·사용목적</x:v>
      </x:c>
      <x:c r="E1288" s="6" t="str">
        <x:v>답변 가능</x:v>
      </x:c>
      <x:c r="F1288" s="6" t="str">
        <x:v>쉬움</x:v>
      </x:c>
      <x:c r="G1288" s="8" t="str">
        <x:v>에스릴네일라카(아모롤핀염산염)은 어떤 증상이나 질환에 사용하는 약인가요?</x:v>
      </x:c>
      <x:c r="H1288" s="8" t="str">
        <x:v>이 약은 감염부위가 조갑 표면의 80% 이하인 경우의 피부사상균, 효모균 및 곰팡이에 의한 조갑진균증(손발톱진균증)에 사용합니다.</x:v>
      </x:c>
      <x:c r="I1288" s="8" t="str">
        <x:v>이 약은 감염부위가 조갑 표면의 80% 이하인 경우의 피부사상균, 효모균 및 곰팡이에 의한 조갑진균증(손발톱진균증)에 사용합니다.</x:v>
      </x:c>
      <x:c r="J1288" s="8" t="str">
        <x:v>에스릴네일라카(아모롤핀염산염) [품목기준코드 201604385]</x:v>
      </x:c>
      <x:c r="K1288" s="8" t="str">
        <x:v>식품의약품안전처 의약품개요정보(e약은요) OpenAPI
https://apis.data.go.kr/1471000/DrbEasyDrugInfoService/getDrbEasyDrugList</x:v>
      </x:c>
    </x:row>
    <x:row r="1289" ht="62" customHeight="1">
      <x:c r="A1289" s="9" t="n">
        <x:v>1288</x:v>
      </x:c>
      <x:c r="B1289" s="6" t="str">
        <x:v>최종 평가</x:v>
      </x:c>
      <x:c r="C1289" s="6" t="str">
        <x:v>복약</x:v>
      </x:c>
      <x:c r="D1289" s="6" t="str">
        <x:v>상호작용</x:v>
      </x:c>
      <x:c r="E1289" s="6" t="str">
        <x:v>답변 가능</x:v>
      </x:c>
      <x:c r="F1289" s="6" t="str">
        <x:v>쉬움</x:v>
      </x:c>
      <x:c r="G1289" s="8" t="str">
        <x:v>녹십자폴산정과 함께 사용하거나 먹을 때 주의해야 할 약이나 음식이 있나요?</x:v>
      </x:c>
      <x:c r="H1289" s="8" t="str">
        <x:v>아미노살리실산, 경구용 피임제, 디하이드로폴레이트 환원효소 저해제(메토트렉세이트, 트리메토프림 등), 페니토인 같은 히단토인계 항전간제, 설파살라진, 콜레스티라민을 복용 중인 환자는 의사 또는 약사와 상의하십시오.</x:v>
      </x:c>
      <x:c r="I1289" s="8" t="str">
        <x:v>아미노살리실산, 경구용 피임제, 디하이드로폴레이트 환원효소 저해제(메토트렉세이트, 트리메토프림 등), 페니토인 같은 히단토인계 항전간제, 설파살라진, 콜레스티라민을 복용 중인 환자는 의사 또는 약사와 상의하십시오.</x:v>
      </x:c>
      <x:c r="J1289" s="8" t="str">
        <x:v>녹십자폴산정 [품목기준코드 201803375]</x:v>
      </x:c>
      <x:c r="K1289" s="8" t="str">
        <x:v>식품의약품안전처 의약품개요정보(e약은요) OpenAPI
https://apis.data.go.kr/1471000/DrbEasyDrugInfoService/getDrbEasyDrugList</x:v>
      </x:c>
    </x:row>
    <x:row r="1290" ht="62" customHeight="1">
      <x:c r="A1290" s="9" t="n">
        <x:v>1289</x:v>
      </x:c>
      <x:c r="B1290" s="6" t="str">
        <x:v>최종 평가</x:v>
      </x:c>
      <x:c r="C1290" s="6" t="str">
        <x:v>복약</x:v>
      </x:c>
      <x:c r="D1290" s="6" t="str">
        <x:v>증상→대상 구분</x:v>
      </x:c>
      <x:c r="E1290" s="6" t="str">
        <x:v>답변 가능</x:v>
      </x:c>
      <x:c r="F1290" s="6" t="str">
        <x:v>어려움</x:v>
      </x:c>
      <x:c r="G1290" s="8" t="str">
        <x:v>아젤리아크림(아젤라산(미분화))을 사용한 뒤 발진이 생겼는데, 이 약의 부작용으로 안내되어 있나요?</x:v>
      </x:c>
      <x:c r="H1290" s="8" t="str">
        <x:v>발진은 이 제품의 e약은요 부작용 항목에 기재되어 있습니다. 다만 이 정보만으로 현재 증상의 원인이 해당 약이라고 확정할 수는 없습니다.</x:v>
      </x:c>
      <x:c r="I1290" s="8" t="str">
        <x:v>민감성, 중증(심한 증상)의 자극, 매우 흔하게 도포 부위의 화끈거림, 가려움, 홍반, 흔하게 도포부위의 박리, 통증, 건조, 변색, 자극, 흔하지 않게 기름흐름, 여드름, 피부 탈색, 도포 부위의 감각이상, 피부염, 불쾌감, 부기, 드물게 작은 탈색 반점, 털과다증, 충혈되어 붉어짐(모공성 각화증의 징후), 입술염 및 재발성 구순포진의 악화, 약물 과민반응, 도포부위의 잔물집, 습진, 발열, 궤양, 빈도 불명의 혈관 부종, 접촉피부염, 눈 부종, 부은 얼굴(과민반응 시 동반될 수 있음), 발진, 두드러기, 천식의 악화 등이 나타나는 경우 사용을 즉각 중지하고 의사 또는 약사와 상의하십시오.충혈되어 붉어짐, 비늘, 가려움, 화끈거림, 저색소침착(얼굴 빛이 검은 환자의 피부색깔의 비정상적인 변화) 등이 나타날 수 있습니다.</x:v>
      </x:c>
      <x:c r="J1290" s="8" t="str">
        <x:v>아젤리아크림(아젤라산(미분화)) [품목기준코드 200608046]</x:v>
      </x:c>
      <x:c r="K1290" s="8" t="str">
        <x:v>식품의약품안전처 의약품개요정보(e약은요) OpenAPI
https://apis.data.go.kr/1471000/DrbEasyDrugInfoService/getDrbEasyDrugList</x:v>
      </x:c>
    </x:row>
    <x:row r="1291" ht="62" customHeight="1">
      <x:c r="A1291" s="9" t="n">
        <x:v>1290</x:v>
      </x:c>
      <x:c r="B1291" s="6" t="str">
        <x:v>최종 평가</x:v>
      </x:c>
      <x:c r="C1291" s="6" t="str">
        <x:v>복약</x:v>
      </x:c>
      <x:c r="D1291" s="6" t="str">
        <x:v>실용·응급대처</x:v>
      </x:c>
      <x:c r="E1291" s="6" t="str">
        <x:v>답변 가능</x:v>
      </x:c>
      <x:c r="F1291" s="6" t="str">
        <x:v>보통</x:v>
      </x:c>
      <x:c r="G1291" s="8" t="str">
        <x:v>그날엔노즈에이연질캡슐 사용 후 심한 이상반응이 나타나면 어떻게 해야 하나요?</x:v>
      </x:c>
      <x:c r="H1291" s="8" t="str">
        <x:v>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발진 및 발적, 가려움, 구역 및 구토, 식욕부진, 변비, 부종, 배뇨곤란, (지속적이거나 심한) 목마름,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쇽(아낙필락시스) 혹은 피부점막안증후군 (스티븐스-존슨증후군), 독성표피괴사용해 (리엘증후군), 천식이나 전신의 나른함, 황달 등의 간기능장애, 간질성폐렴 또는 갑작스러운 심한 두통, 번개 두통, 구역, 구토, 혼돈, 발작, 시각 장애 등의 가역적 후뇌 병증 증후군 및 가역적 뇌혈관 수축 증후군 증상 등이 나타나는 경우 이 약의 복용을 즉각 중지하고 의사 또는 약사와 상의하십시오.</x:v>
      </x:c>
      <x:c r="I1291" s="8" t="str">
        <x:v>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발진 및 발적, 가려움, 구역 및 구토, 식욕부진, 변비, 부종, 배뇨곤란, (지속적이거나 심한) 목마름,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쇽(아낙필락시스) 혹은 피부점막안증후군 (스티븐스-존슨증후군), 독성표피괴사용해 (리엘증후군), 천식이나 전신의 나른함, 황달 등의 간기능장애, 간질성폐렴 또는 갑작스러운 심한 두통, 번개 두통, 구역, 구토, 혼돈, 발작, 시각 장애 등의 가역적 후뇌 병증 증후군 및 가역적 뇌혈관 수축 증후군 증상 등이 나타나는 경우 이 약의 복용을 즉각 중지하고 의사 또는 약사와 상의하십시오.</x:v>
      </x:c>
      <x:c r="J1291" s="8" t="str">
        <x:v>그날엔노즈에이연질캡슐 [품목기준코드 202302739]</x:v>
      </x:c>
      <x:c r="K1291" s="8" t="str">
        <x:v>식품의약품안전처 의약품개요정보(e약은요) OpenAPI
https://apis.data.go.kr/1471000/DrbEasyDrugInfoService/getDrbEasyDrugList</x:v>
      </x:c>
    </x:row>
    <x:row r="1292" ht="62" customHeight="1">
      <x:c r="A1292" s="9" t="n">
        <x:v>1291</x:v>
      </x:c>
      <x:c r="B1292" s="6" t="str">
        <x:v>최종 평가</x:v>
      </x:c>
      <x:c r="C1292" s="6" t="str">
        <x:v>복약</x:v>
      </x:c>
      <x:c r="D1292" s="6" t="str">
        <x:v>대상별 정보</x:v>
      </x:c>
      <x:c r="E1292" s="6" t="str">
        <x:v>답변 가능</x:v>
      </x:c>
      <x:c r="F1292" s="6" t="str">
        <x:v>쉬움</x:v>
      </x:c>
      <x:c r="G1292" s="8" t="str">
        <x:v>어린이나 소아가 목앤스프레이을 사용해도 되나요?</x:v>
      </x:c>
      <x:c r="H1292" s="8" t="str">
        <x:v>e약은요에서 어린이·소아과 관련해 안내한 내용은 다음과 같습니다. 어린이에게 투여할 경우 보호자의 지도 감독하에 투여하십시오.</x:v>
      </x:c>
      <x:c r="I1292" s="8" t="str">
        <x:v>어린이에게 투여할 경우 보호자의 지도 감독하에 투여하십시오.</x:v>
      </x:c>
      <x:c r="J1292" s="8" t="str">
        <x:v>목앤스프레이 [품목기준코드 201500199]</x:v>
      </x:c>
      <x:c r="K1292" s="8" t="str">
        <x:v>식품의약품안전처 의약품개요정보(e약은요) OpenAPI
https://apis.data.go.kr/1471000/DrbEasyDrugInfoService/getDrbEasyDrugList</x:v>
      </x:c>
    </x:row>
    <x:row r="1293" ht="62" customHeight="1">
      <x:c r="A1293" s="9" t="n">
        <x:v>1292</x:v>
      </x:c>
      <x:c r="B1293" s="6" t="str">
        <x:v>최종 평가</x:v>
      </x:c>
      <x:c r="C1293" s="6" t="str">
        <x:v>복약</x:v>
      </x:c>
      <x:c r="D1293" s="6" t="str">
        <x:v>용어·정의</x:v>
      </x:c>
      <x:c r="E1293" s="6" t="str">
        <x:v>답변 가능</x:v>
      </x:c>
      <x:c r="F1293" s="6" t="str">
        <x:v>쉬움</x:v>
      </x:c>
      <x:c r="G1293" s="8" t="str">
        <x:v>메디콜캡슐은 어떤 약인가요?</x:v>
      </x:c>
      <x:c r="H1293" s="8" t="str">
        <x:v>메디콜캡슐은 메딕스제약(주)의 의약품으로, e약은요에는 다음과 같이 안내되어 있습니다. 이 약은 감기의 제증상 (콧물, 코막힘, 재채기, 인후통, 기침, 가래, 오한, 발열, 두통, 관절통, 근육통)의 완화에 사용합니다.</x:v>
      </x:c>
      <x:c r="I1293" s="8" t="str">
        <x:v>제품명: 메디콜캡슐 업체명: 메딕스제약(주) 효능: 이 약은 감기의 제증상 (콧물, 코막힘, 재채기, 인후통, 기침, 가래, 오한, 발열, 두통, 관절통, 근육통)의 완화에 사용합니다.</x:v>
      </x:c>
      <x:c r="J1293" s="8" t="str">
        <x:v>메디콜캡슐 [품목기준코드 202204652]</x:v>
      </x:c>
      <x:c r="K1293" s="8" t="str">
        <x:v>식품의약품안전처 의약품개요정보(e약은요) OpenAPI
https://apis.data.go.kr/1471000/DrbEasyDrugInfoService/getDrbEasyDrugList</x:v>
      </x:c>
    </x:row>
    <x:row r="1294" ht="62" customHeight="1">
      <x:c r="A1294" s="9" t="n">
        <x:v>1293</x:v>
      </x:c>
      <x:c r="B1294" s="6" t="str">
        <x:v>최종 평가</x:v>
      </x:c>
      <x:c r="C1294" s="6" t="str">
        <x:v>복약</x:v>
      </x:c>
      <x:c r="D1294" s="6" t="str">
        <x:v>효능·사용목적</x:v>
      </x:c>
      <x:c r="E1294" s="6" t="str">
        <x:v>답변 가능</x:v>
      </x:c>
      <x:c r="F1294" s="6" t="str">
        <x:v>쉬움</x:v>
      </x:c>
      <x:c r="G1294" s="8" t="str">
        <x:v>유유베노스민정600밀리그램(디오스민)은 어떤 증상이나 질환에 사용하는 약인가요?</x:v>
      </x:c>
      <x:c r="H1294" s="8" t="str">
        <x:v>이 약은 정맥부전과 관련된 다리중압감, 통증, 모세혈관 취약증에 의한 장애의 보조치료 및 치질과 관련된 징후의 치료에 사용합니다.</x:v>
      </x:c>
      <x:c r="I1294" s="8" t="str">
        <x:v>이 약은 정맥부전과 관련된 다리중압감, 통증, 모세혈관 취약증에 의한 장애의 보조치료 및 치질과 관련된 징후의 치료에 사용합니다.</x:v>
      </x:c>
      <x:c r="J1294" s="8" t="str">
        <x:v>유유베노스민정600밀리그램(디오스민) [품목기준코드 202000337]</x:v>
      </x:c>
      <x:c r="K1294" s="8" t="str">
        <x:v>식품의약품안전처 의약품개요정보(e약은요) OpenAPI
https://apis.data.go.kr/1471000/DrbEasyDrugInfoService/getDrbEasyDrugList</x:v>
      </x:c>
    </x:row>
    <x:row r="1295" ht="62" customHeight="1">
      <x:c r="A1295" s="9" t="n">
        <x:v>1294</x:v>
      </x:c>
      <x:c r="B1295" s="6" t="str">
        <x:v>최종 평가</x:v>
      </x:c>
      <x:c r="C1295" s="6" t="str">
        <x:v>복약</x:v>
      </x:c>
      <x:c r="D1295" s="6" t="str">
        <x:v>증상→대상 구분</x:v>
      </x:c>
      <x:c r="E1295" s="6" t="str">
        <x:v>답변 가능</x:v>
      </x:c>
      <x:c r="F1295" s="6" t="str">
        <x:v>어려움</x:v>
      </x:c>
      <x:c r="G1295" s="8" t="str">
        <x:v>판테민정(판테틴)을 사용한 뒤 구역이 생겼는데, 이 약의 부작용으로 안내되어 있나요?</x:v>
      </x:c>
      <x:c r="H1295" s="8" t="str">
        <x:v>구역은 이 제품의 e약은요 부작용 항목에 기재되어 있습니다. 다만 이 정보만으로 현재 증상의 원인이 해당 약이라고 확정할 수는 없습니다.</x:v>
      </x:c>
      <x:c r="I1295" s="8" t="str">
        <x:v>설사, 묽은 변, 구역, 구토, 복부팽만, 식욕부진이 나타나는 경우 복용을 즉각 중지하고 의사 또는 약사와 상의하십시오.</x:v>
      </x:c>
      <x:c r="J1295" s="8" t="str">
        <x:v>판테민정(판테틴) [품목기준코드 200600134]</x:v>
      </x:c>
      <x:c r="K1295" s="8" t="str">
        <x:v>식품의약품안전처 의약품개요정보(e약은요) OpenAPI
https://apis.data.go.kr/1471000/DrbEasyDrugInfoService/getDrbEasyDrugList</x:v>
      </x:c>
    </x:row>
    <x:row r="1296" ht="62" customHeight="1">
      <x:c r="A1296" s="9" t="n">
        <x:v>1295</x:v>
      </x:c>
      <x:c r="B1296" s="6" t="str">
        <x:v>최종 평가</x:v>
      </x:c>
      <x:c r="C1296" s="6" t="str">
        <x:v>복약</x:v>
      </x:c>
      <x:c r="D1296" s="6" t="str">
        <x:v>증상→대상 구분</x:v>
      </x:c>
      <x:c r="E1296" s="6" t="str">
        <x:v>답변 가능</x:v>
      </x:c>
      <x:c r="F1296" s="6" t="str">
        <x:v>어려움</x:v>
      </x:c>
      <x:c r="G1296" s="8" t="str">
        <x:v>나스펜시럽(아세트아미노펜)을 사용한 뒤 발진이 생겼는데, 이 약의 부작용으로 안내되어 있나요?</x:v>
      </x:c>
      <x:c r="H1296" s="8" t="str">
        <x:v>발진은 이 제품의 e약은요 부작용 항목에 기재되어 있습니다. 다만 이 정보만으로 현재 증상의 원인이 해당 약이라고 확정할 수는 없습니다.</x:v>
      </x:c>
      <x:c r="I1296" s="8" t="str">
        <x:v>쇽 증상(호흡곤란, 온몸이 붉어짐, 혈관부기, 두드러기 등), 천식발작, 혈소판감소, 과립구감소, 용혈성 빈혈, 메트헤모글로빈혈증, 혈소판기능 저하(출혈시간 연장), 청색증, 과민증상(얼굴 부기, 땀이 남, 저혈압, 쇽), 구역, 구토, 식욕부진, 위장출혈, 소화성궤양, 천공(뚦림), 발진, 알레르기 반응, 피부점막안증후군(스티븐스-존슨증후군), 중독성표피괴사용해(리엘 증후군), AST 상승, ALT 상승, 고정발진 등이 나타나는 경우 복용을 즉각 중지하고 의사 또는 약사와 상의하십시오.</x:v>
      </x:c>
      <x:c r="J1296" s="8" t="str">
        <x:v>나스펜시럽(아세트아미노펜) [품목기준코드 202200195]</x:v>
      </x:c>
      <x:c r="K1296" s="8" t="str">
        <x:v>식품의약품안전처 의약품개요정보(e약은요) OpenAPI
https://apis.data.go.kr/1471000/DrbEasyDrugInfoService/getDrbEasyDrugList</x:v>
      </x:c>
    </x:row>
    <x:row r="1297" ht="62" customHeight="1">
      <x:c r="A1297" s="9" t="n">
        <x:v>1296</x:v>
      </x:c>
      <x:c r="B1297" s="6" t="str">
        <x:v>최종 평가</x:v>
      </x:c>
      <x:c r="C1297" s="6" t="str">
        <x:v>복약</x:v>
      </x:c>
      <x:c r="D1297" s="6" t="str">
        <x:v>용법·용량</x:v>
      </x:c>
      <x:c r="E1297" s="6" t="str">
        <x:v>답변 가능</x:v>
      </x:c>
      <x:c r="F1297" s="6" t="str">
        <x:v>쉬움</x:v>
      </x:c>
      <x:c r="G1297" s="8" t="str">
        <x:v>크리맥액(돔페리돈)은 어떻게 사용하나요?</x:v>
      </x:c>
      <x:c r="H1297" s="8" t="str">
        <x:v>성인 및 청소년(12세 이상, 35 kg 이상)은 1회 10 mg(레보도파 투여시 5 mg)을 1일 3회 식전에 복용합니다.1일 최대 복용량은 30 mg이며, 일반적으로 1주일을 초과하여 사용하지 않도록 합니다.</x:v>
      </x:c>
      <x:c r="I1297" s="8" t="str">
        <x:v>성인 및 청소년(12세 이상, 35 kg 이상)은 1회 10 mg(레보도파 투여시 5 mg)을 1일 3회 식전에 복용합니다.1일 최대 복용량은 30 mg이며, 일반적으로 1주일을 초과하여 사용하지 않도록 합니다.</x:v>
      </x:c>
      <x:c r="J1297" s="8" t="str">
        <x:v>크리맥액(돔페리돈) [품목기준코드 199601110]</x:v>
      </x:c>
      <x:c r="K1297" s="8" t="str">
        <x:v>식품의약품안전처 의약품개요정보(e약은요) OpenAPI
https://apis.data.go.kr/1471000/DrbEasyDrugInfoService/getDrbEasyDrugList</x:v>
      </x:c>
    </x:row>
    <x:row r="1298" ht="62" customHeight="1">
      <x:c r="A1298" s="9" t="n">
        <x:v>1297</x:v>
      </x:c>
      <x:c r="B1298" s="6" t="str">
        <x:v>최종 평가</x:v>
      </x:c>
      <x:c r="C1298" s="6" t="str">
        <x:v>복약</x:v>
      </x:c>
      <x:c r="D1298" s="6" t="str">
        <x:v>실용·응급대처</x:v>
      </x:c>
      <x:c r="E1298" s="6" t="str">
        <x:v>답변 가능</x:v>
      </x:c>
      <x:c r="F1298" s="6" t="str">
        <x:v>보통</x:v>
      </x:c>
      <x:c r="G1298" s="8" t="str">
        <x:v>레드콜연질캡슐 사용 후 심한 이상반응이 나타나면 어떻게 해야 하나요?</x:v>
      </x:c>
      <x:c r="H1298" s="8" t="str">
        <x:v>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발진·발적, 가려움, 구역·구토, 식욕부진, 변비, 부기, 배뇨곤란, 목마름(지속적이거나 심한), 어지러움, 불안, 떨림, 불면, 고음이온차 대사성 산증, 드물게 쇽 증상(복용 후 바로 두드러기, 가슴답답함 등과 함께 안색이 창백하고, 손발이 차고, 식은땀, 숨쉬기 곤란함 등), 피부점막안증후군(스티븐스-존슨증후군), 독성표피괴사용해(고열을 동반하고, 발진·발적, 화상과 같이 물집이 생기는 심한 증상), 천식, 전신의 나른함, 황달, 기침을 동반하고, 숨이 차고, 호흡곤란, 발열, 가역적 후뇌 병증 증후군 및 가역적 뇌혈관 수축 증후군(갑작스러운 심한 두통, 번개 두통, 구역, 구토, 혼돈, 발작, 시각 장애 등)이 나타나는 경우 복용을 즉각 중지하고 의사 또는 약사와 상의하십시오.</x:v>
      </x:c>
      <x:c r="I1298" s="8" t="str">
        <x:v>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발진·발적, 가려움, 구역·구토, 식욕부진, 변비, 부기, 배뇨곤란, 목마름(지속적이거나 심한), 어지러움, 불안, 떨림, 불면, 고음이온차 대사성 산증, 드물게 쇽 증상(복용 후 바로 두드러기, 가슴답답함 등과 함께 안색이 창백하고, 손발이 차고, 식은땀, 숨쉬기 곤란함 등), 피부점막안증후군(스티븐스-존슨증후군), 독성표피괴사용해(고열을 동반하고, 발진·발적, 화상과 같이 물집이 생기는 심한 증상), 천식, 전신의 나른함, 황달, 기침을 동반하고, 숨이 차고, 호흡곤란, 발열, 가역적 후뇌 병증 증후군 및 가역적 뇌혈관 수축 증후군(갑작스러운 심한 두통, 번개 두통, 구역, 구토, 혼돈, 발작, 시각 장애 등)이 나타나는 경우 복용을 즉각 중지하고 의사 또는 약사와 상의하십시오.</x:v>
      </x:c>
      <x:c r="J1298" s="8" t="str">
        <x:v>레드콜연질캡슐 [품목기준코드 200608328]</x:v>
      </x:c>
      <x:c r="K1298" s="8" t="str">
        <x:v>식품의약품안전처 의약품개요정보(e약은요) OpenAPI
https://apis.data.go.kr/1471000/DrbEasyDrugInfoService/getDrbEasyDrugList</x:v>
      </x:c>
    </x:row>
    <x:row r="1299" ht="62" customHeight="1">
      <x:c r="A1299" s="9" t="n">
        <x:v>1298</x:v>
      </x:c>
      <x:c r="B1299" s="6" t="str">
        <x:v>최종 평가</x:v>
      </x:c>
      <x:c r="C1299" s="6" t="str">
        <x:v>복약</x:v>
      </x:c>
      <x:c r="D1299" s="6" t="str">
        <x:v>금기·경고</x:v>
      </x:c>
      <x:c r="E1299" s="6" t="str">
        <x:v>답변 가능</x:v>
      </x:c>
      <x:c r="F1299" s="6" t="str">
        <x:v>쉬움</x:v>
      </x:c>
      <x:c r="G1299" s="8" t="str">
        <x:v>탈리부틴정200밀리그램(트리메부틴말레산염)을 사용하면 안 되거나 반드시 확인해야 할 경고사항은 무엇인가요?</x:v>
      </x:c>
      <x:c r="H1299" s="8" t="str">
        <x:v>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황색4호에 과민증 환자 또는 경험자는 의사 또는 약사와 상의하십시오.</x:v>
      </x:c>
      <x:c r="I1299" s="8" t="str">
        <x:v>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황색4호에 과민증 환자 또는 경험자는 의사 또는 약사와 상의하십시오.</x:v>
      </x:c>
      <x:c r="J1299" s="8" t="str">
        <x:v>탈리부틴정200밀리그램(트리메부틴말레산염) [품목기준코드 201802103]</x:v>
      </x:c>
      <x:c r="K1299" s="8" t="str">
        <x:v>식품의약품안전처 의약품개요정보(e약은요) OpenAPI
https://apis.data.go.kr/1471000/DrbEasyDrugInfoService/getDrbEasyDrugList</x:v>
      </x:c>
    </x:row>
    <x:row r="1300" ht="62" customHeight="1">
      <x:c r="A1300" s="9" t="n">
        <x:v>1299</x:v>
      </x:c>
      <x:c r="B1300" s="6" t="str">
        <x:v>최종 평가</x:v>
      </x:c>
      <x:c r="C1300" s="6" t="str">
        <x:v>복약</x:v>
      </x:c>
      <x:c r="D1300" s="6" t="str">
        <x:v>증상·이상반응</x:v>
      </x:c>
      <x:c r="E1300" s="6" t="str">
        <x:v>답변 가능</x:v>
      </x:c>
      <x:c r="F1300" s="6" t="str">
        <x:v>보통</x:v>
      </x:c>
      <x:c r="G1300" s="8" t="str">
        <x:v>쏙코프에프연질캡슐을 사용하면 어떤 부작용이 생길 수 있나요?</x:v>
      </x:c>
      <x:c r="H1300" s="8" t="str">
        <x:v>e약은요에는 다음과 같은 이상반응이 안내되어 있습니다. 발진·발적(충혈되어 붉어짐), 가려움, 구역·구토, 식욕부진, 변비, 부종(부기), 어지러움, 불안, 떨림, 불면, 쇽 증상(복용후 바로 두드러기, 부종, 가슴답답함 등과 함께 안색이 창백하고, 손발이 차고, 식은땀, 숨쉬기 곤란함), 피부점막안(눈)증후군(스티븐스-존슨증후군),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 등이 나타날 경우 복용을 즉각 중지하고 의사 또는 약사와 상의하십시오.</x:v>
      </x:c>
      <x:c r="I1300" s="8" t="str">
        <x:v>발진·발적(충혈되어 붉어짐), 가려움, 구역·구토, 식욕부진, 변비, 부종(부기), 어지러움, 불안, 떨림, 불면, 쇽 증상(복용후 바로 두드러기, 부종, 가슴답답함 등과 함께 안색이 창백하고, 손발이 차고, 식은땀, 숨쉬기 곤란함), 피부점막안(눈)증후군(스티븐스-존슨증후군),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 등이 나타날 경우 복용을 즉각 중지하고 의사 또는 약사와 상의하십시오.</x:v>
      </x:c>
      <x:c r="J1300" s="8" t="str">
        <x:v>쏙코프에프연질캡슐 [품목기준코드 202102731]</x:v>
      </x:c>
      <x:c r="K1300" s="8" t="str">
        <x:v>식품의약품안전처 의약품개요정보(e약은요) OpenAPI
https://apis.data.go.kr/1471000/DrbEasyDrugInfoService/getDrbEasyDrugList</x:v>
      </x:c>
    </x:row>
    <x:row r="1301" ht="62" customHeight="1">
      <x:c r="A1301" s="9" t="n">
        <x:v>1300</x:v>
      </x:c>
      <x:c r="B1301" s="6" t="str">
        <x:v>최종 평가</x:v>
      </x:c>
      <x:c r="C1301" s="6" t="str">
        <x:v>복약</x:v>
      </x:c>
      <x:c r="D1301" s="6" t="str">
        <x:v>실용·응급대처</x:v>
      </x:c>
      <x:c r="E1301" s="6" t="str">
        <x:v>답변 가능</x:v>
      </x:c>
      <x:c r="F1301" s="6" t="str">
        <x:v>보통</x:v>
      </x:c>
      <x:c r="G1301" s="8" t="str">
        <x:v>타이레펜8시간이알서방정650밀리그램(아세트아미노펜) 사용 후 심한 이상반응이 나타나면 어떻게 해야 하나요?</x:v>
      </x:c>
      <x:c r="H1301" s="8" t="str">
        <x:v>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쇽 증상(호흡곤란, 온몸이 붉어짐, 혈관부기, 두드러기 등), 천식발작, 혈소판감소, 과립구감소, 용혈성빈혈, 메트헤모글로빈혈증, 혈소판기능 저하(출혈시간 연장), 청색증, 과민증상(얼굴부기, 땀이 남, 저혈압), 구역, 구토, 식욕부진, 위장출혈, 소화성궤양, 천공(뚫림), 발진, 피부점막안증후군(스티븐스-존슨증후군), 독성표피괴사용해(리엘증후군), AST 상승, ALT 상승, 고정발진 등이 나타나는 경우 복용을 즉각 중지하고 의사 또는 약사와 상의하십시오.</x:v>
      </x:c>
      <x:c r="I1301" s="8" t="str">
        <x:v>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쇽 증상(호흡곤란, 온몸이 붉어짐, 혈관부기, 두드러기 등), 천식발작, 혈소판감소, 과립구감소, 용혈성빈혈, 메트헤모글로빈혈증, 혈소판기능 저하(출혈시간 연장), 청색증, 과민증상(얼굴부기, 땀이 남, 저혈압), 구역, 구토, 식욕부진, 위장출혈, 소화성궤양, 천공(뚫림), 발진, 피부점막안증후군(스티븐스-존슨증후군), 독성표피괴사용해(리엘증후군), AST 상승, ALT 상승, 고정발진 등이 나타나는 경우 복용을 즉각 중지하고 의사 또는 약사와 상의하십시오.</x:v>
      </x:c>
      <x:c r="J1301" s="8" t="str">
        <x:v>타이레펜8시간이알서방정650밀리그램(아세트아미노펜) [품목기준코드 201905693]</x:v>
      </x:c>
      <x:c r="K1301" s="8" t="str">
        <x:v>식품의약품안전처 의약품개요정보(e약은요) OpenAPI
https://apis.data.go.kr/1471000/DrbEasyDrugInfoService/getDrbEasyDrugList</x:v>
      </x:c>
    </x:row>
    <x:row r="1302" ht="62" customHeight="1">
      <x:c r="A1302" s="9" t="n">
        <x:v>1301</x:v>
      </x:c>
      <x:c r="B1302" s="6" t="str">
        <x:v>최종 평가</x:v>
      </x:c>
      <x:c r="C1302" s="6" t="str">
        <x:v>복약</x:v>
      </x:c>
      <x:c r="D1302" s="6" t="str">
        <x:v>증상→대상 구분</x:v>
      </x:c>
      <x:c r="E1302" s="6" t="str">
        <x:v>답변 가능</x:v>
      </x:c>
      <x:c r="F1302" s="6" t="str">
        <x:v>어려움</x:v>
      </x:c>
      <x:c r="G1302" s="8" t="str">
        <x:v>라미디핀크림(나프티핀염산염)을 사용한 뒤 가려움이 생겼는데, 이 약의 부작용으로 안내되어 있나요?</x:v>
      </x:c>
      <x:c r="H1302" s="8" t="str">
        <x:v>가려움은 이 제품의 e약은요 부작용 항목에 기재되어 있습니다. 다만 이 정보만으로 현재 증상의 원인이 해당 약이라고 확정할 수는 없습니다.</x:v>
      </x:c>
      <x:c r="I1302" s="8" t="str">
        <x:v>자극 또는 민감성 등이 나타나는 경우 사용을 즉각 중지하고 의사 또는 약사와 상의하십시오.드물게 작열감, 찔린 상처, 건조감, 홍반, 가려움, 국소자극 등이 나타날 수 있습니다.</x:v>
      </x:c>
      <x:c r="J1302" s="8" t="str">
        <x:v>라미디핀크림(나프티핀염산염) [품목기준코드 201404892]</x:v>
      </x:c>
      <x:c r="K1302" s="8" t="str">
        <x:v>식품의약품안전처 의약품개요정보(e약은요) OpenAPI
https://apis.data.go.kr/1471000/DrbEasyDrugInfoService/getDrbEasyDrugList</x:v>
      </x:c>
    </x:row>
    <x:row r="1303" ht="62" customHeight="1">
      <x:c r="A1303" s="9" t="n">
        <x:v>1302</x:v>
      </x:c>
      <x:c r="B1303" s="6" t="str">
        <x:v>최종 평가</x:v>
      </x:c>
      <x:c r="C1303" s="6" t="str">
        <x:v>복약</x:v>
      </x:c>
      <x:c r="D1303" s="6" t="str">
        <x:v>답변불가·개인 용량 변경</x:v>
      </x:c>
      <x:c r="E1303" s="6" t="str">
        <x:v>답변 거부</x:v>
      </x:c>
      <x:c r="F1303" s="6" t="str">
        <x:v>어려움</x:v>
      </x:c>
      <x:c r="G1303" s="8" t="str">
        <x:v>파인펜정이 잘 듣지 않는데 제 상태에 맞춰 복용량을 얼마나 늘리면 되나요?</x:v>
      </x:c>
      <x:c r="H1303" s="8" t="str">
        <x:v>제공된 e약은요 VDB만으로 개인별 복용량 변경을 결정할 수 없습니다. 임의로 증량하지 말고 의사 또는 약사와 상담해야 합니다.</x:v>
      </x:c>
      <x:c r="I1303" s="8" t="str">
        <x:v>VDB 범위 밖 질문 — 근거 없음</x:v>
      </x:c>
      <x:c r="J1303" s="8" t="str">
        <x:v>파인펜정 [품목기준코드 201301235]</x:v>
      </x:c>
      <x:c r="K1303" s="8" t="str">
        <x:v>식품의약품안전처 의약품개요정보(e약은요) OpenAPI
https://apis.data.go.kr/1471000/DrbEasyDrugInfoService/getDrbEasyDrugList</x:v>
      </x:c>
    </x:row>
    <x:row r="1304" ht="62" customHeight="1">
      <x:c r="A1304" s="9" t="n">
        <x:v>1303</x:v>
      </x:c>
      <x:c r="B1304" s="6" t="str">
        <x:v>최종 평가</x:v>
      </x:c>
      <x:c r="C1304" s="6" t="str">
        <x:v>복약</x:v>
      </x:c>
      <x:c r="D1304" s="6" t="str">
        <x:v>증상→대상 구분</x:v>
      </x:c>
      <x:c r="E1304" s="6" t="str">
        <x:v>답변 가능</x:v>
      </x:c>
      <x:c r="F1304" s="6" t="str">
        <x:v>어려움</x:v>
      </x:c>
      <x:c r="G1304" s="8" t="str">
        <x:v>루마겔(케토프로펜)을 사용한 뒤 발진이 생겼는데, 이 약의 부작용으로 안내되어 있나요?</x:v>
      </x:c>
      <x:c r="H1304" s="8" t="str">
        <x:v>발진은 이 제품의 e약은요 부작용 항목에 기재되어 있습니다. 다만 이 정보만으로 현재 증상의 원인이 해당 약이라고 확정할 수는 없습니다.</x:v>
      </x:c>
      <x:c r="I1304" s="8" t="str">
        <x:v>드물게 쇽 증상(두드러기,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확대될 경우 사용을 즉각 중지하고 의사 또는 약사와 상의하십시오.</x:v>
      </x:c>
      <x:c r="J1304" s="8" t="str">
        <x:v>루마겔(케토프로펜) [품목기준코드 199602289]</x:v>
      </x:c>
      <x:c r="K1304" s="8" t="str">
        <x:v>식품의약품안전처 의약품개요정보(e약은요) OpenAPI
https://apis.data.go.kr/1471000/DrbEasyDrugInfoService/getDrbEasyDrugList</x:v>
      </x:c>
    </x:row>
    <x:row r="1305" ht="62" customHeight="1">
      <x:c r="A1305" s="9" t="n">
        <x:v>1304</x:v>
      </x:c>
      <x:c r="B1305" s="6" t="str">
        <x:v>최종 평가</x:v>
      </x:c>
      <x:c r="C1305" s="6" t="str">
        <x:v>복약</x:v>
      </x:c>
      <x:c r="D1305" s="6" t="str">
        <x:v>보관·관리</x:v>
      </x:c>
      <x:c r="E1305" s="6" t="str">
        <x:v>답변 가능</x:v>
      </x:c>
      <x:c r="F1305" s="6" t="str">
        <x:v>쉬움</x:v>
      </x:c>
      <x:c r="G1305" s="8" t="str">
        <x:v>엘카렉정(엘카르니틴)은 어떻게 보관해야 하나요?</x:v>
      </x:c>
      <x:c r="H1305" s="8" t="str">
        <x:v>실온에서 보관하십시오.</x:v>
      </x:c>
      <x:c r="I1305" s="8" t="str">
        <x:v>실온에서 보관하십시오.</x:v>
      </x:c>
      <x:c r="J1305" s="8" t="str">
        <x:v>엘카렉정(엘카르니틴) [품목기준코드 201904337]</x:v>
      </x:c>
      <x:c r="K1305" s="8" t="str">
        <x:v>식품의약품안전처 의약품개요정보(e약은요) OpenAPI
https://apis.data.go.kr/1471000/DrbEasyDrugInfoService/getDrbEasyDrugList</x:v>
      </x:c>
    </x:row>
    <x:row r="1306" ht="62" customHeight="1">
      <x:c r="A1306" s="9" t="n">
        <x:v>1305</x:v>
      </x:c>
      <x:c r="B1306" s="6" t="str">
        <x:v>최종 평가</x:v>
      </x:c>
      <x:c r="C1306" s="6" t="str">
        <x:v>복약</x:v>
      </x:c>
      <x:c r="D1306" s="6" t="str">
        <x:v>금기·경고</x:v>
      </x:c>
      <x:c r="E1306" s="6" t="str">
        <x:v>답변 가능</x:v>
      </x:c>
      <x:c r="F1306" s="6" t="str">
        <x:v>쉬움</x:v>
      </x:c>
      <x:c r="G1306" s="8" t="str">
        <x:v>알러딘정(펙소페나딘염산염)을 사용하면 안 되거나 반드시 확인해야 할 경고사항은 무엇인가요?</x:v>
      </x:c>
      <x:c r="H1306" s="8" t="str">
        <x:v>이 약에 과민증 환자는 이 약을 복용하지 마십시오.</x:v>
      </x:c>
      <x:c r="I1306" s="8" t="str">
        <x:v>이 약에 과민증 환자는 이 약을 복용하지 마십시오.</x:v>
      </x:c>
      <x:c r="J1306" s="8" t="str">
        <x:v>알러딘정(펙소페나딘염산염) [품목기준코드 200806365]</x:v>
      </x:c>
      <x:c r="K1306" s="8" t="str">
        <x:v>식품의약품안전처 의약품개요정보(e약은요) OpenAPI
https://apis.data.go.kr/1471000/DrbEasyDrugInfoService/getDrbEasyDrugList</x:v>
      </x:c>
    </x:row>
    <x:row r="1307" ht="62" customHeight="1">
      <x:c r="A1307" s="9" t="n">
        <x:v>1306</x:v>
      </x:c>
      <x:c r="B1307" s="6" t="str">
        <x:v>최종 평가</x:v>
      </x:c>
      <x:c r="C1307" s="6" t="str">
        <x:v>복약</x:v>
      </x:c>
      <x:c r="D1307" s="6" t="str">
        <x:v>원인·위험요인</x:v>
      </x:c>
      <x:c r="E1307" s="6" t="str">
        <x:v>답변 가능</x:v>
      </x:c>
      <x:c r="F1307" s="6" t="str">
        <x:v>쉬움</x:v>
      </x:c>
      <x:c r="G1307" s="8" t="str">
        <x:v>아티벡스겔(디클로페낙디에틸암모늄)을 사용하기 전에 특히 조심해야 하는 사람은 누구인가요?</x:v>
      </x:c>
      <x:c r="H1307" s="8" t="str">
        <x:v>이 제품을 사용하기 전에 특히 확인해야 할 대상과 상황은 다음과 같습니다. 이 약에 과민증 환자 또는 경험자, 아스피린 또는 기타 비스테로이드성 소염(항염)진통제에 천식발작, 두드러기 또는 급성비염(코염)과 같은 과민증 환자 또는 경험자, 12세 이하의 소아, 임부 및 수유부는 이 약을 사용하지 마십시오. 이 약을 사용하기 전에 기관지 천식 환자, 고령자, 프로필렌글리콜 과민증 환자 또는 경험자는 의사 또는 약사와 상의하십시오. 병변(병에 의한 몸의 변화)이 있는 피부(출혈성 피부질환, 습진, 감염된 병변, 화상, 상처), 눈 및 점막부위에는 사용하지 마십시오. 밀봉붕대법으로 사용하지 마십시오.</x:v>
      </x:c>
      <x:c r="I1307" s="8" t="str">
        <x:v>이 약에 과민증 환자 또는 경험자, 아스피린 또는 기타 비스테로이드성 소염(항염)진통제에 천식발작, 두드러기 또는 급성비염(코염)과 같은 과민증 환자 또는 경험자, 12세 이하의 소아, 임부 및 수유부는 이 약을 사용하지 마십시오. 이 약을 사용하기 전에 기관지 천식 환자, 고령자, 프로필렌글리콜 과민증 환자 또는 경험자는 의사 또는 약사와 상의하십시오. 병변(병에 의한 몸의 변화)이 있는 피부(출혈성 피부질환, 습진, 감염된 병변, 화상, 상처), 눈 및 점막부위에는 사용하지 마십시오. 밀봉붕대법으로 사용하지 마십시오.</x:v>
      </x:c>
      <x:c r="J1307" s="8" t="str">
        <x:v>아티벡스겔(디클로페낙디에틸암모늄) [품목기준코드 201503763]</x:v>
      </x:c>
      <x:c r="K1307" s="8" t="str">
        <x:v>식품의약품안전처 의약품개요정보(e약은요) OpenAPI
https://apis.data.go.kr/1471000/DrbEasyDrugInfoService/getDrbEasyDrugList</x:v>
      </x:c>
    </x:row>
    <x:row r="1308" ht="62" customHeight="1">
      <x:c r="A1308" s="9" t="n">
        <x:v>1307</x:v>
      </x:c>
      <x:c r="B1308" s="6" t="str">
        <x:v>최종 평가</x:v>
      </x:c>
      <x:c r="C1308" s="6" t="str">
        <x:v>복약</x:v>
      </x:c>
      <x:c r="D1308" s="6" t="str">
        <x:v>효능·사용목적</x:v>
      </x:c>
      <x:c r="E1308" s="6" t="str">
        <x:v>답변 가능</x:v>
      </x:c>
      <x:c r="F1308" s="6" t="str">
        <x:v>쉬움</x:v>
      </x:c>
      <x:c r="G1308" s="8" t="str">
        <x:v>엑스코프에이연질캡슐은 어떤 증상이나 질환에 사용하는 약인가요?</x:v>
      </x:c>
      <x:c r="H1308" s="8" t="str">
        <x:v>이 약은 기침, 가래에 사용합니다.</x:v>
      </x:c>
      <x:c r="I1308" s="8" t="str">
        <x:v>이 약은 기침, 가래에 사용합니다.</x:v>
      </x:c>
      <x:c r="J1308" s="8" t="str">
        <x:v>엑스코프에이연질캡슐 [품목기준코드 201707943]</x:v>
      </x:c>
      <x:c r="K1308" s="8" t="str">
        <x:v>식품의약품안전처 의약품개요정보(e약은요) OpenAPI
https://apis.data.go.kr/1471000/DrbEasyDrugInfoService/getDrbEasyDrugList</x:v>
      </x:c>
    </x:row>
    <x:row r="1309" ht="62" customHeight="1">
      <x:c r="A1309" s="9" t="n">
        <x:v>1308</x:v>
      </x:c>
      <x:c r="B1309" s="6" t="str">
        <x:v>최종 평가</x:v>
      </x:c>
      <x:c r="C1309" s="6" t="str">
        <x:v>복약</x:v>
      </x:c>
      <x:c r="D1309" s="6" t="str">
        <x:v>실용·응급대처</x:v>
      </x:c>
      <x:c r="E1309" s="6" t="str">
        <x:v>답변 가능</x:v>
      </x:c>
      <x:c r="F1309" s="6" t="str">
        <x:v>보통</x:v>
      </x:c>
      <x:c r="G1309" s="8" t="str">
        <x:v>더모케어로오숀2.5%(히드로코르티손) 사용 후 심한 이상반응이 나타나면 어떻게 해야 하나요?</x:v>
      </x:c>
      <x:c r="H1309" s="8" t="str">
        <x:v>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치료 이외의 목적으로 사용하지 마십시오.</x:v>
      </x:c>
      <x:c r="I1309" s="8" t="str">
        <x:v>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치료 이외의 목적으로 사용하지 마십시오.</x:v>
      </x:c>
      <x:c r="J1309" s="8" t="str">
        <x:v>더모케어로오숀2.5%(히드로코르티손) [품목기준코드 200303231]</x:v>
      </x:c>
      <x:c r="K1309" s="8" t="str">
        <x:v>식품의약품안전처 의약품개요정보(e약은요) OpenAPI
https://apis.data.go.kr/1471000/DrbEasyDrugInfoService/getDrbEasyDrugList</x:v>
      </x:c>
    </x:row>
    <x:row r="1310" ht="62" customHeight="1">
      <x:c r="A1310" s="9" t="n">
        <x:v>1309</x:v>
      </x:c>
      <x:c r="B1310" s="6" t="str">
        <x:v>최종 평가</x:v>
      </x:c>
      <x:c r="C1310" s="6" t="str">
        <x:v>복약</x:v>
      </x:c>
      <x:c r="D1310" s="6" t="str">
        <x:v>증상→대상 구분</x:v>
      </x:c>
      <x:c r="E1310" s="6" t="str">
        <x:v>답변 가능</x:v>
      </x:c>
      <x:c r="F1310" s="6" t="str">
        <x:v>어려움</x:v>
      </x:c>
      <x:c r="G1310" s="8" t="str">
        <x:v>이지페인록센연질캡슐(나프록센)을 사용한 뒤 발진이 생겼는데, 이 약의 부작용으로 안내되어 있나요?</x:v>
      </x:c>
      <x:c r="H1310" s="8" t="str">
        <x:v>발진은 이 제품의 e약은요 부작용 항목에 기재되어 있습니다. 다만 이 정보만으로 현재 증상의 원인이 해당 약이라고 확정할 수는 없습니다.</x:v>
      </x:c>
      <x:c r="I1310" s="8" t="str">
        <x:v>이명, 청각장애, 시각장애, 때때로 발진, 가려움, 위부불쾌감, 위통, 복통, 구역, 구토, 식욕부진, 소화불량, 가슴쓰림, 설사, 변비, 구내염, 졸음, 인식기능장애, 습진, 발한, 자주색 반점, 부종, 호흡곤란 등이 나타나는 경우 이 약의 복용을 즉각 중지하고 의사 또는 약사와 상의하십시오. 드물게 호흡곤란, 혈압강하, 서맥, 식은땀, 부종 등의 쇽증상, 호산구증가를 수반하는 폐침윤으로 발열, 숨을 쌕쌕거거리는 천명, 기침, 가래 등을 동반하는 PIE 증후군, 광과민증, 탈모, 충혈되어 붉어지는 발적, 괴사성용해, 여러 모양 붉은 반점의 다형성홍반, 피부점막안증후군 (스티븐스-존슨증후군), 두드러기, 표피수포증, 호산구 증가 및 전신 증상 동반 약물 반응, 고정약물발진 등이 나타나는 경우 이 약의 복용을 즉각 중지하고 의사 또는 약사와 상의하십시오.</x:v>
      </x:c>
      <x:c r="J1310" s="8" t="str">
        <x:v>이지페인록센연질캡슐(나프록센) [품목기준코드 202203437]</x:v>
      </x:c>
      <x:c r="K1310" s="8" t="str">
        <x:v>식품의약품안전처 의약품개요정보(e약은요) OpenAPI
https://apis.data.go.kr/1471000/DrbEasyDrugInfoService/getDrbEasyDrugList</x:v>
      </x:c>
    </x:row>
    <x:row r="1311" ht="62" customHeight="1">
      <x:c r="A1311" s="9" t="n">
        <x:v>1310</x:v>
      </x:c>
      <x:c r="B1311" s="6" t="str">
        <x:v>최종 평가</x:v>
      </x:c>
      <x:c r="C1311" s="6" t="str">
        <x:v>복약</x:v>
      </x:c>
      <x:c r="D1311" s="6" t="str">
        <x:v>증상·이상반응</x:v>
      </x:c>
      <x:c r="E1311" s="6" t="str">
        <x:v>답변 가능</x:v>
      </x:c>
      <x:c r="F1311" s="6" t="str">
        <x:v>쉬움</x:v>
      </x:c>
      <x:c r="G1311" s="8" t="str">
        <x:v>파워비큐콘티뉴800정을 사용하면 어떤 부작용이 생길 수 있나요?</x:v>
      </x:c>
      <x:c r="H1311" s="8" t="str">
        <x:v>e약은요에는 다음과 같은 이상반응이 안내되어 있습니다. 구역, 구토, 설사, 묽은 변, 식욕부진, 복부팽만감, 변비, 저혈압, 얼굴 달아오름, 심박동 불규칙, 피부발진, 붉은 반점, 부전수축(심장박동정지), 중추신경계 기능저하, 위장관장애, 소화장애, 상복부 통증, 폐부종, 어지러움, 얼굴·다리 종창(부기), 홍반, 두드러기, 습진, 발진, 반구진성 발진, 가려움, 부종, 수분저류가 나타날 경우 복용을 즉각 중지하고 의사 또는 약사와 상의하십시오.</x:v>
      </x:c>
      <x:c r="I1311" s="8" t="str">
        <x:v>구역, 구토, 설사, 묽은 변, 식욕부진, 복부팽만감, 변비, 저혈압, 얼굴 달아오름, 심박동 불규칙, 피부발진, 붉은 반점, 부전수축(심장박동정지), 중추신경계 기능저하, 위장관장애, 소화장애, 상복부 통증, 폐부종, 어지러움, 얼굴·다리 종창(부기), 홍반, 두드러기, 습진, 발진, 반구진성 발진, 가려움, 부종, 수분저류가 나타날 경우 복용을 즉각 중지하고 의사 또는 약사와 상의하십시오.</x:v>
      </x:c>
      <x:c r="J1311" s="8" t="str">
        <x:v>파워비큐콘티뉴800정 [품목기준코드 202400002]</x:v>
      </x:c>
      <x:c r="K1311" s="8" t="str">
        <x:v>식품의약품안전처 의약품개요정보(e약은요) OpenAPI
https://apis.data.go.kr/1471000/DrbEasyDrugInfoService/getDrbEasyDrugList</x:v>
      </x:c>
    </x:row>
    <x:row r="1312" ht="62" customHeight="1">
      <x:c r="A1312" s="9" t="n">
        <x:v>1311</x:v>
      </x:c>
      <x:c r="B1312" s="6" t="str">
        <x:v>최종 평가</x:v>
      </x:c>
      <x:c r="C1312" s="6" t="str">
        <x:v>복약</x:v>
      </x:c>
      <x:c r="D1312" s="6" t="str">
        <x:v>상호작용</x:v>
      </x:c>
      <x:c r="E1312" s="6" t="str">
        <x:v>답변 가능</x:v>
      </x:c>
      <x:c r="F1312" s="6" t="str">
        <x:v>쉬움</x:v>
      </x:c>
      <x:c r="G1312" s="8" t="str">
        <x:v>벤포비파워정과 함께 사용하거나 먹을 때 주의해야 할 약이나 음식이 있나요?</x:v>
      </x:c>
      <x:c r="H1312" s="8" t="str">
        <x:v>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x:v>
      </x:c>
      <x:c r="I1312" s="8" t="str">
        <x:v>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x:v>
      </x:c>
      <x:c r="J1312" s="8" t="str">
        <x:v>벤포비파워정 [품목기준코드 202301146]</x:v>
      </x:c>
      <x:c r="K1312" s="8" t="str">
        <x:v>식품의약품안전처 의약품개요정보(e약은요) OpenAPI
https://apis.data.go.kr/1471000/DrbEasyDrugInfoService/getDrbEasyDrugList</x:v>
      </x:c>
    </x:row>
    <x:row r="1313" ht="62" customHeight="1">
      <x:c r="A1313" s="9" t="n">
        <x:v>1312</x:v>
      </x:c>
      <x:c r="B1313" s="6" t="str">
        <x:v>최종 평가</x:v>
      </x:c>
      <x:c r="C1313" s="6" t="str">
        <x:v>복약</x:v>
      </x:c>
      <x:c r="D1313" s="6" t="str">
        <x:v>용법·용량</x:v>
      </x:c>
      <x:c r="E1313" s="6" t="str">
        <x:v>답변 가능</x:v>
      </x:c>
      <x:c r="F1313" s="6" t="str">
        <x:v>쉬움</x:v>
      </x:c>
      <x:c r="G1313" s="8" t="str">
        <x:v>쌩코프에이연질캡슐은 어떻게 사용하나요?</x:v>
      </x:c>
      <x:c r="H1313" s="8" t="str">
        <x:v>만 15세 이상 및 성인은 1회 1캡슐씩, 1일 3회 식후 30분에 복용합니다.</x:v>
      </x:c>
      <x:c r="I1313" s="8" t="str">
        <x:v>만 15세 이상 및 성인은 1회 1캡슐씩, 1일 3회 식후 30분에 복용합니다.</x:v>
      </x:c>
      <x:c r="J1313" s="8" t="str">
        <x:v>쌩코프에이연질캡슐 [품목기준코드 202301490]</x:v>
      </x:c>
      <x:c r="K1313" s="8" t="str">
        <x:v>식품의약품안전처 의약품개요정보(e약은요) OpenAPI
https://apis.data.go.kr/1471000/DrbEasyDrugInfoService/getDrbEasyDrugList</x:v>
      </x:c>
    </x:row>
    <x:row r="1314" ht="62" customHeight="1">
      <x:c r="A1314" s="9" t="n">
        <x:v>1313</x:v>
      </x:c>
      <x:c r="B1314" s="6" t="str">
        <x:v>최종 평가</x:v>
      </x:c>
      <x:c r="C1314" s="6" t="str">
        <x:v>복약</x:v>
      </x:c>
      <x:c r="D1314" s="6" t="str">
        <x:v>용법·용량</x:v>
      </x:c>
      <x:c r="E1314" s="6" t="str">
        <x:v>답변 가능</x:v>
      </x:c>
      <x:c r="F1314" s="6" t="str">
        <x:v>쉬움</x:v>
      </x:c>
      <x:c r="G1314" s="8" t="str">
        <x:v>멘자펜정은 어떻게 사용하나요?</x:v>
      </x:c>
      <x:c r="H1314" s="8" t="str">
        <x:v>성인 및 12세 이상의 소아는 1회 2정을 물과 함께 복용합니다.필요시 6시간 간격으로 복용하고 1일 총 용량은 8정을 초과하지 마십시오.</x:v>
      </x:c>
      <x:c r="I1314" s="8" t="str">
        <x:v>성인 및 12세 이상의 소아는 1회 2정을 물과 함께 복용합니다.필요시 6시간 간격으로 복용하고 1일 총 용량은 8정을 초과하지 마십시오.</x:v>
      </x:c>
      <x:c r="J1314" s="8" t="str">
        <x:v>멘자펜정 [품목기준코드 199900834]</x:v>
      </x:c>
      <x:c r="K1314" s="8" t="str">
        <x:v>식품의약품안전처 의약품개요정보(e약은요) OpenAPI
https://apis.data.go.kr/1471000/DrbEasyDrugInfoService/getDrbEasyDrugList</x:v>
      </x:c>
    </x:row>
    <x:row r="1315" ht="62" customHeight="1">
      <x:c r="A1315" s="9" t="n">
        <x:v>1314</x:v>
      </x:c>
      <x:c r="B1315" s="6" t="str">
        <x:v>최종 평가</x:v>
      </x:c>
      <x:c r="C1315" s="6" t="str">
        <x:v>복약</x:v>
      </x:c>
      <x:c r="D1315" s="6" t="str">
        <x:v>증상·이상반응</x:v>
      </x:c>
      <x:c r="E1315" s="6" t="str">
        <x:v>답변 가능</x:v>
      </x:c>
      <x:c r="F1315" s="6" t="str">
        <x:v>쉬움</x:v>
      </x:c>
      <x:c r="G1315" s="8" t="str">
        <x:v>알로판텐정100mg(덱스판테놀)을 사용하면 어떤 부작용이 생길 수 있나요?</x:v>
      </x:c>
      <x:c r="H1315" s="8" t="str">
        <x:v>e약은요에는 다음과 같은 이상반응이 안내되어 있습니다. 홍진, 두드러기와 같은 피부 알레르기 등이 나타나는 경우 복용을 즉각 중지하고 의사 또는 약사와 상의하십시오.</x:v>
      </x:c>
      <x:c r="I1315" s="8" t="str">
        <x:v>홍진, 두드러기와 같은 피부 알레르기 등이 나타나는 경우 복용을 즉각 중지하고 의사 또는 약사와 상의하십시오.</x:v>
      </x:c>
      <x:c r="J1315" s="8" t="str">
        <x:v>알로판텐정100mg(덱스판테놀) [품목기준코드 202001232]</x:v>
      </x:c>
      <x:c r="K1315" s="8" t="str">
        <x:v>식품의약품안전처 의약품개요정보(e약은요) OpenAPI
https://apis.data.go.kr/1471000/DrbEasyDrugInfoService/getDrbEasyDrugList</x:v>
      </x:c>
    </x:row>
    <x:row r="1316" ht="62" customHeight="1">
      <x:c r="A1316" s="9" t="n">
        <x:v>1315</x:v>
      </x:c>
      <x:c r="B1316" s="6" t="str">
        <x:v>최종 평가</x:v>
      </x:c>
      <x:c r="C1316" s="6" t="str">
        <x:v>복약</x:v>
      </x:c>
      <x:c r="D1316" s="6" t="str">
        <x:v>대상별 정보</x:v>
      </x:c>
      <x:c r="E1316" s="6" t="str">
        <x:v>답변 가능</x:v>
      </x:c>
      <x:c r="F1316" s="6" t="str">
        <x:v>보통</x:v>
      </x:c>
      <x:c r="G1316" s="8" t="str">
        <x:v>어린이나 소아가 판피린티정을 사용해도 되나요?</x:v>
      </x:c>
      <x:c r="H1316" s="8" t="str">
        <x:v>e약은요에서 어린이·소아과 관련해 안내한 내용은 다음과 같습니다. 이 약에 과민증 환자 및 경험자, 다른 해열진통제, 감기약 복용 시 천식 경험자,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신장(콩팥)질환, 심장질환, 갑상선질환, 당뇨병, 고혈압, 위십이지장궤양, 녹내장(예: 눈의 통증, 눈이 침침함 등), 배뇨(소변을 눔)곤란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환자는 의사 또는 약사와 상의하십시오.</x:v>
      </x:c>
      <x:c r="I1316" s="8" t="str">
        <x:v>이 약에 과민증 환자 및 경험자, 다른 해열진통제, 감기약 복용 시 천식 경험자,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신장(콩팥)질환, 심장질환, 갑상선질환, 당뇨병, 고혈압, 위십이지장궤양, 녹내장(예: 눈의 통증, 눈이 침침함 등), 배뇨(소변을 눔)곤란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환자는 의사 또는 약사와 상의하십시오.</x:v>
      </x:c>
      <x:c r="J1316" s="8" t="str">
        <x:v>판피린티정 [품목기준코드 199400202]</x:v>
      </x:c>
      <x:c r="K1316" s="8" t="str">
        <x:v>식품의약품안전처 의약품개요정보(e약은요) OpenAPI
https://apis.data.go.kr/1471000/DrbEasyDrugInfoService/getDrbEasyDrugList</x:v>
      </x:c>
    </x:row>
    <x:row r="1317" ht="62" customHeight="1">
      <x:c r="A1317" s="9" t="n">
        <x:v>1316</x:v>
      </x:c>
      <x:c r="B1317" s="6" t="str">
        <x:v>최종 평가</x:v>
      </x:c>
      <x:c r="C1317" s="6" t="str">
        <x:v>복약</x:v>
      </x:c>
      <x:c r="D1317" s="6" t="str">
        <x:v>증상·이상반응</x:v>
      </x:c>
      <x:c r="E1317" s="6" t="str">
        <x:v>답변 가능</x:v>
      </x:c>
      <x:c r="F1317" s="6" t="str">
        <x:v>쉬움</x:v>
      </x:c>
      <x:c r="G1317" s="8" t="str">
        <x:v>알리겔정(알마게이트)을 사용하면 어떤 부작용이 생길 수 있나요?</x:v>
      </x:c>
      <x:c r="H1317" s="8" t="str">
        <x:v>e약은요에는 다음과 같은 이상반응이 안내되어 있습니다. 변비, 설사 등이 나타나는 경우 복용을 즉각 중지하고 의사 또는 약사와 상의하십시오.</x:v>
      </x:c>
      <x:c r="I1317" s="8" t="str">
        <x:v>변비, 설사 등이 나타나는 경우 복용을 즉각 중지하고 의사 또는 약사와 상의하십시오.</x:v>
      </x:c>
      <x:c r="J1317" s="8" t="str">
        <x:v>알리겔정(알마게이트) [품목기준코드 201402826]</x:v>
      </x:c>
      <x:c r="K1317" s="8" t="str">
        <x:v>식품의약품안전처 의약품개요정보(e약은요) OpenAPI
https://apis.data.go.kr/1471000/DrbEasyDrugInfoService/getDrbEasyDrugList</x:v>
      </x:c>
    </x:row>
    <x:row r="1318" ht="62" customHeight="1">
      <x:c r="A1318" s="9" t="n">
        <x:v>1317</x:v>
      </x:c>
      <x:c r="B1318" s="6" t="str">
        <x:v>최종 평가</x:v>
      </x:c>
      <x:c r="C1318" s="6" t="str">
        <x:v>복약</x:v>
      </x:c>
      <x:c r="D1318" s="6" t="str">
        <x:v>금기·경고</x:v>
      </x:c>
      <x:c r="E1318" s="6" t="str">
        <x:v>답변 가능</x:v>
      </x:c>
      <x:c r="F1318" s="6" t="str">
        <x:v>보통</x:v>
      </x:c>
      <x:c r="G1318" s="8" t="str">
        <x:v>팜젠아세틸시스테인과립200밀리그램을 사용하면 안 되거나 반드시 확인해야 할 경고사항은 무엇인가요?</x:v>
      </x:c>
      <x:c r="H1318" s="8" t="str">
        <x:v>이 약은 체내에서 페닐알라닌으로 대사되는 아스파탐이 함유되어 페닐알라닌의 섭취를 규제할 필요가 있는 페닐케톤뇨증 환자는 복용하지 마십시오. 이 약에 과민증 환자, 위•십이지장궤양, 2세 미만 영아는 이 약을 복용하지 마십시오.</x:v>
      </x:c>
      <x:c r="I1318" s="8" t="str">
        <x:v>이 약은 체내에서 페닐알라닌으로 대사되는 아스파탐이 함유되어 페닐알라닌의 섭취를 규제할 필요가 있는 페닐케톤뇨증 환자는 복용하지 마십시오. 이 약에 과민증 환자, 위•십이지장궤양, 2세 미만 영아는 이 약을 복용하지 마십시오.</x:v>
      </x:c>
      <x:c r="J1318" s="8" t="str">
        <x:v>팜젠아세틸시스테인과립200밀리그램 [품목기준코드 200502037]</x:v>
      </x:c>
      <x:c r="K1318" s="8" t="str">
        <x:v>식품의약품안전처 의약품개요정보(e약은요) OpenAPI
https://apis.data.go.kr/1471000/DrbEasyDrugInfoService/getDrbEasyDrugList</x:v>
      </x:c>
    </x:row>
    <x:row r="1319" ht="62" customHeight="1">
      <x:c r="A1319" s="9" t="n">
        <x:v>1318</x:v>
      </x:c>
      <x:c r="B1319" s="6" t="str">
        <x:v>최종 평가</x:v>
      </x:c>
      <x:c r="C1319" s="6" t="str">
        <x:v>복약</x:v>
      </x:c>
      <x:c r="D1319" s="6" t="str">
        <x:v>용법·용량</x:v>
      </x:c>
      <x:c r="E1319" s="6" t="str">
        <x:v>답변 가능</x:v>
      </x:c>
      <x:c r="F1319" s="6" t="str">
        <x:v>쉬움</x:v>
      </x:c>
      <x:c r="G1319" s="8" t="str">
        <x:v>핑큐린정은 어떻게 사용하나요?</x:v>
      </x:c>
      <x:c r="H1319" s="8" t="str">
        <x:v>만 15세 이상 및 성인은 1회 1정씩, 1일 3회 식전(식간 또는 식후)에 복용하십시오. 복용간격은 4시간 이상으로 하십시오. 다만, 초회는 최소량을 복용하고 변의 모양과 상태를 보면서 조금씩 증량 또는 감량하십시오.</x:v>
      </x:c>
      <x:c r="I1319" s="8" t="str">
        <x:v>만 15세 이상 및 성인은 1회 1정씩, 1일 3회 식전(식간 또는 식후)에 복용하십시오. 복용간격은 4시간 이상으로 하십시오. 다만, 초회는 최소량을 복용하고 변의 모양과 상태를 보면서 조금씩 증량 또는 감량하십시오.</x:v>
      </x:c>
      <x:c r="J1319" s="8" t="str">
        <x:v>핑큐린정 [품목기준코드 202203892]</x:v>
      </x:c>
      <x:c r="K1319" s="8" t="str">
        <x:v>식품의약품안전처 의약품개요정보(e약은요) OpenAPI
https://apis.data.go.kr/1471000/DrbEasyDrugInfoService/getDrbEasyDrugList</x:v>
      </x:c>
    </x:row>
    <x:row r="1320" ht="62" customHeight="1">
      <x:c r="A1320" s="9" t="n">
        <x:v>1319</x:v>
      </x:c>
      <x:c r="B1320" s="6" t="str">
        <x:v>최종 평가</x:v>
      </x:c>
      <x:c r="C1320" s="6" t="str">
        <x:v>복약</x:v>
      </x:c>
      <x:c r="D1320" s="6" t="str">
        <x:v>금기·경고</x:v>
      </x:c>
      <x:c r="E1320" s="6" t="str">
        <x:v>답변 가능</x:v>
      </x:c>
      <x:c r="F1320" s="6" t="str">
        <x:v>쉬움</x:v>
      </x:c>
      <x:c r="G1320" s="8" t="str">
        <x:v>락토디아로펜정을 사용하면 안 되거나 반드시 확인해야 할 경고사항은 무엇인가요?</x:v>
      </x:c>
      <x:c r="H1320" s="8" t="str">
        <x:v>임부 또는 임신하고 있을 가능성이 있는 여성, 수유부, 신생아, 만 7세 이하의 어린이, 갈락토오스 불내성, Lapp 유당분해효소 결핍증 또는 포도당-갈락토오스 흡수장애 등의 유전적인 문제가 있는 환자는 이 약을 복용하지 마십시오. 이 약을 복용하기 전에 약에 의한 알레르기 증상 경험자, 발열을 수반하는 설사 환자, 고령자(노인), 혈변 환자 또는 점액변이 계속되는 환자, 위·십이지장궤양 등이 있는 환자, 황색4호에 과민증 또는 알레르기 반응 경험자는 의사 또는 약사와 상의하십시오. 3일 이상 계속하여 복용하지 마십시오.</x:v>
      </x:c>
      <x:c r="I1320" s="8" t="str">
        <x:v>임부 또는 임신하고 있을 가능성이 있는 여성, 수유부, 신생아, 만 7세 이하의 어린이, 갈락토오스 불내성, Lapp 유당분해효소 결핍증 또는 포도당-갈락토오스 흡수장애 등의 유전적인 문제가 있는 환자는 이 약을 복용하지 마십시오. 이 약을 복용하기 전에 약에 의한 알레르기 증상 경험자, 발열을 수반하는 설사 환자, 고령자(노인), 혈변 환자 또는 점액변이 계속되는 환자, 위·십이지장궤양 등이 있는 환자, 황색4호에 과민증 또는 알레르기 반응 경험자는 의사 또는 약사와 상의하십시오. 3일 이상 계속하여 복용하지 마십시오.</x:v>
      </x:c>
      <x:c r="J1320" s="8" t="str">
        <x:v>락토디아로펜정 [품목기준코드 202502036]</x:v>
      </x:c>
      <x:c r="K1320" s="8" t="str">
        <x:v>식품의약품안전처 의약품개요정보(e약은요) OpenAPI
https://apis.data.go.kr/1471000/DrbEasyDrugInfoService/getDrbEasyDrugList</x:v>
      </x:c>
    </x:row>
    <x:row r="1321" ht="62" customHeight="1">
      <x:c r="A1321" s="9" t="n">
        <x:v>1320</x:v>
      </x:c>
      <x:c r="B1321" s="6" t="str">
        <x:v>최종 평가</x:v>
      </x:c>
      <x:c r="C1321" s="6" t="str">
        <x:v>복약</x:v>
      </x:c>
      <x:c r="D1321" s="6" t="str">
        <x:v>용어·정의</x:v>
      </x:c>
      <x:c r="E1321" s="6" t="str">
        <x:v>답변 가능</x:v>
      </x:c>
      <x:c r="F1321" s="6" t="str">
        <x:v>쉬움</x:v>
      </x:c>
      <x:c r="G1321" s="8" t="str">
        <x:v>큐어코프에이연질캡슐은 어떤 약인가요?</x:v>
      </x:c>
      <x:c r="H1321" s="8" t="str">
        <x:v>큐어코프에이연질캡슐은 아이큐어(주)의 의약품으로, e약은요에는 다음과 같이 안내되어 있습니다. 이 약은 기침·가래에 사용합니다.</x:v>
      </x:c>
      <x:c r="I1321" s="8" t="str">
        <x:v>제품명: 큐어코프에이연질캡슐 업체명: 아이큐어(주) 효능: 이 약은 기침·가래에 사용합니다.</x:v>
      </x:c>
      <x:c r="J1321" s="8" t="str">
        <x:v>큐어코프에이연질캡슐 [품목기준코드 202300511]</x:v>
      </x:c>
      <x:c r="K1321" s="8" t="str">
        <x:v>식품의약품안전처 의약품개요정보(e약은요) OpenAPI
https://apis.data.go.kr/1471000/DrbEasyDrugInfoService/getDrbEasyDrugList</x:v>
      </x:c>
    </x:row>
    <x:row r="1322" ht="62" customHeight="1">
      <x:c r="A1322" s="9" t="n">
        <x:v>1321</x:v>
      </x:c>
      <x:c r="B1322" s="6" t="str">
        <x:v>최종 평가</x:v>
      </x:c>
      <x:c r="C1322" s="6" t="str">
        <x:v>복약</x:v>
      </x:c>
      <x:c r="D1322" s="6" t="str">
        <x:v>효능·사용목적</x:v>
      </x:c>
      <x:c r="E1322" s="6" t="str">
        <x:v>답변 가능</x:v>
      </x:c>
      <x:c r="F1322" s="6" t="str">
        <x:v>쉬움</x:v>
      </x:c>
      <x:c r="G1322" s="8" t="str">
        <x:v>큐티스점안액(1회용), 큐티스점안액은 어떤 증상이나 질환에 사용하는 약인가요?</x:v>
      </x:c>
      <x:c r="H1322" s="8" t="str">
        <x:v>이 약은 눈의 피로, 눈물의 보조(눈의 건조), 하드콘택트렌즈 및 소프트렌즈 착용시의 불쾌감, 눈의 침침함(눈꼽이 많은 때 등)에 사용합니다.</x:v>
      </x:c>
      <x:c r="I1322" s="8" t="str">
        <x:v>이 약은 눈의 피로, 눈물의 보조(눈의 건조), 하드콘택트렌즈 및 소프트렌즈 착용시의 불쾌감, 눈의 침침함(눈꼽이 많은 때 등)에 사용합니다.</x:v>
      </x:c>
      <x:c r="J1322" s="8" t="str">
        <x:v>큐티스점안액(1회용), 큐티스점안액 [품목기준코드 200702162]</x:v>
      </x:c>
      <x:c r="K1322" s="8" t="str">
        <x:v>식품의약품안전처 의약품개요정보(e약은요) OpenAPI
https://apis.data.go.kr/1471000/DrbEasyDrugInfoService/getDrbEasyDrugList</x:v>
      </x:c>
    </x:row>
    <x:row r="1323" ht="62" customHeight="1">
      <x:c r="A1323" s="9" t="n">
        <x:v>1322</x:v>
      </x:c>
      <x:c r="B1323" s="6" t="str">
        <x:v>최종 평가</x:v>
      </x:c>
      <x:c r="C1323" s="6" t="str">
        <x:v>복약</x:v>
      </x:c>
      <x:c r="D1323" s="6" t="str">
        <x:v>효능·사용목적</x:v>
      </x:c>
      <x:c r="E1323" s="6" t="str">
        <x:v>답변 가능</x:v>
      </x:c>
      <x:c r="F1323" s="6" t="str">
        <x:v>쉬움</x:v>
      </x:c>
      <x:c r="G1323" s="8" t="str">
        <x:v>크레온캡슐35000(판크레아스분말)은 어떤 증상이나 질환에 사용하는 약인가요?</x:v>
      </x:c>
      <x:c r="H1323" s="8" t="str">
        <x:v>이 약은 췌장 외분비 기능장애에 사용합니다.</x:v>
      </x:c>
      <x:c r="I1323" s="8" t="str">
        <x:v>이 약은 췌장 외분비 기능장애에 사용합니다.</x:v>
      </x:c>
      <x:c r="J1323" s="8" t="str">
        <x:v>크레온캡슐35000(판크레아스분말) [품목기준코드 202400692]</x:v>
      </x:c>
      <x:c r="K1323" s="8" t="str">
        <x:v>식품의약품안전처 의약품개요정보(e약은요) OpenAPI
https://apis.data.go.kr/1471000/DrbEasyDrugInfoService/getDrbEasyDrugList</x:v>
      </x:c>
    </x:row>
    <x:row r="1324" ht="62" customHeight="1">
      <x:c r="A1324" s="9" t="n">
        <x:v>1323</x:v>
      </x:c>
      <x:c r="B1324" s="6" t="str">
        <x:v>최종 평가</x:v>
      </x:c>
      <x:c r="C1324" s="6" t="str">
        <x:v>복약</x:v>
      </x:c>
      <x:c r="D1324" s="6" t="str">
        <x:v>증상·이상반응</x:v>
      </x:c>
      <x:c r="E1324" s="6" t="str">
        <x:v>답변 가능</x:v>
      </x:c>
      <x:c r="F1324" s="6" t="str">
        <x:v>쉬움</x:v>
      </x:c>
      <x:c r="G1324" s="8" t="str">
        <x:v>일양노이겔현탁액(규산알루민산마그네슘)을 사용하면 어떤 부작용이 생길 수 있나요?</x:v>
      </x:c>
      <x:c r="H1324" s="8" t="str">
        <x:v>e약은요에는 다음과 같은 이상반응이 안내되어 있습니다. 때때로 설사, 구역, 구토, 변비 구갈, 가려움증 등이 나타날 수 있습니다.</x:v>
      </x:c>
      <x:c r="I1324" s="8" t="str">
        <x:v>때때로 설사, 구역, 구토, 변비 구갈, 가려움증 등이 나타날 수 있습니다.</x:v>
      </x:c>
      <x:c r="J1324" s="8" t="str">
        <x:v>일양노이겔현탁액(규산알루민산마그네슘) [품목기준코드 197700189]</x:v>
      </x:c>
      <x:c r="K1324" s="8" t="str">
        <x:v>식품의약품안전처 의약품개요정보(e약은요) OpenAPI
https://apis.data.go.kr/1471000/DrbEasyDrugInfoService/getDrbEasyDrugList</x:v>
      </x:c>
    </x:row>
    <x:row r="1325" ht="62" customHeight="1">
      <x:c r="A1325" s="9" t="n">
        <x:v>1324</x:v>
      </x:c>
      <x:c r="B1325" s="6" t="str">
        <x:v>최종 평가</x:v>
      </x:c>
      <x:c r="C1325" s="6" t="str">
        <x:v>복약</x:v>
      </x:c>
      <x:c r="D1325" s="6" t="str">
        <x:v>대상별 정보</x:v>
      </x:c>
      <x:c r="E1325" s="6" t="str">
        <x:v>답변 가능</x:v>
      </x:c>
      <x:c r="F1325" s="6" t="str">
        <x:v>쉬움</x:v>
      </x:c>
      <x:c r="G1325" s="8" t="str">
        <x:v>임신 또는 수유 중에 엘카틸정(엘카르니틴)을 사용해도 되나요?</x:v>
      </x:c>
      <x:c r="H1325" s="8" t="str">
        <x:v>e약은요에서 임신 또는 수유 중인 사람과 관련해 안내한 내용은 다음과 같습니다. 이 약 또는 대두유, 콩, 땅콩에 과민증 환자는 이 약을 복용하지 마십시오.이 약을 복용하기 전에 고지단백혈증, 당뇨병성고지질혈증 및 췌장염 등 지방대사 이상 환자 또는 지질성 유제를 신중히 투여해야 하는 환자, 지방과부하로 특별한 위험이 예상되는 환자, 임부 또는 임신하고 있을 가능성이 있는 여성 및 수유부는 의사 또는 약사와 상의하십시오.</x:v>
      </x:c>
      <x:c r="I1325" s="8" t="str">
        <x:v>이 약 또는 대두유, 콩, 땅콩에 과민증 환자는 이 약을 복용하지 마십시오.이 약을 복용하기 전에 고지단백혈증, 당뇨병성고지질혈증 및 췌장염 등 지방대사 이상 환자 또는 지질성 유제를 신중히 투여해야 하는 환자, 지방과부하로 특별한 위험이 예상되는 환자, 임부 또는 임신하고 있을 가능성이 있는 여성 및 수유부는 의사 또는 약사와 상의하십시오.</x:v>
      </x:c>
      <x:c r="J1325" s="8" t="str">
        <x:v>엘카틸정(엘카르니틴) [품목기준코드 201801170]</x:v>
      </x:c>
      <x:c r="K1325" s="8" t="str">
        <x:v>식품의약품안전처 의약품개요정보(e약은요) OpenAPI
https://apis.data.go.kr/1471000/DrbEasyDrugInfoService/getDrbEasyDrugList</x:v>
      </x:c>
    </x:row>
    <x:row r="1326" ht="62" customHeight="1">
      <x:c r="A1326" s="9" t="n">
        <x:v>1325</x:v>
      </x:c>
      <x:c r="B1326" s="6" t="str">
        <x:v>최종 평가</x:v>
      </x:c>
      <x:c r="C1326" s="6" t="str">
        <x:v>복약</x:v>
      </x:c>
      <x:c r="D1326" s="6" t="str">
        <x:v>금기·경고</x:v>
      </x:c>
      <x:c r="E1326" s="6" t="str">
        <x:v>답변 가능</x:v>
      </x:c>
      <x:c r="F1326" s="6" t="str">
        <x:v>보통</x:v>
      </x:c>
      <x:c r="G1326" s="8" t="str">
        <x:v>에스빌이부연질캡슐200밀리그램(이부프로펜)을 사용하면 안 되거나 반드시 확인해야 할 경고사항은 무엇인가요?</x:v>
      </x:c>
      <x:c r="H1326" s="8" t="str">
        <x:v>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이 약에 과민증 환자, 위장관궤양 및 위장관출혈 환자 또는 경험자, 심한 혈액이상, 심한 간장애, 심한 신장장애, 심한 심장기능부전, 심한 고혈압, 기관지천식 또는 경험자, 아스피린 또는 다른 소염진통제에 의한 천식, 두드러기, 알레르기 반응 또는 경험자, 심장동맥 우회로술 전후 통증발생 환자, 임신 말기 3개월 기간의 임부는 이 약을 복용하지 마십시오. 이 약을 복용하기 전에 과민증 경험자, 혈액이상 또는 경험자, 출혈경향 환자, 간경화 및 간장애 경험자, 신장장애, 심장기능부전 또는 심질환, 고혈압, 전신홍반루푸스 및 혼합결합조직질환, 궤양성대장염, 크론병, 고령자, 소아, 임부, 수유부, 황색5호에 과민증 또는 알레르기 반응 경험자는 의사 또는 약사와 상의하십시오. 권장용량을 초과하여 복용하지 마십시오.</x:v>
      </x:c>
      <x:c r="I1326" s="8" t="str">
        <x:v>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이 약에 과민증 환자, 위장관궤양 및 위장관출혈 환자 또는 경험자, 심한 혈액이상, 심한 간장애, 심한 신장장애, 심한 심장기능부전, 심한 고혈압, 기관지천식 또는 경험자, 아스피린 또는 다른 소염진통제에 의한 천식, 두드러기, 알레르기 반응 또는 경험자, 심장동맥 우회로술 전후 통증발생 환자, 임신 말기 3개월 기간의 임부는 이 약을 복용하지 마십시오. 이 약을 복용하기 전에 과민증 경험자, 혈액이상 또는 경험자, 출혈경향 환자, 간경화 및 간장애 경험자, 신장장애, 심장기능부전 또는 심질환, 고혈압, 전신홍반루푸스 및 혼합결합조직질환, 궤양성대장염, 크론병, 고령자, 소아, 임부, 수유부, 황색5호에 과민증 또는 알레르기 반응 경험자는 의사 또는 약사와 상의하십시오. 권장용량을 초과하여 복용하지 마십시오.</x:v>
      </x:c>
      <x:c r="J1326" s="8" t="str">
        <x:v>에스빌이부연질캡슐200밀리그램(이부프로펜) [품목기준코드 202004710]</x:v>
      </x:c>
      <x:c r="K1326" s="8" t="str">
        <x:v>식품의약품안전처 의약품개요정보(e약은요) OpenAPI
https://apis.data.go.kr/1471000/DrbEasyDrugInfoService/getDrbEasyDrugList</x:v>
      </x:c>
    </x:row>
    <x:row r="1327" ht="62" customHeight="1">
      <x:c r="A1327" s="9" t="n">
        <x:v>1326</x:v>
      </x:c>
      <x:c r="B1327" s="6" t="str">
        <x:v>최종 평가</x:v>
      </x:c>
      <x:c r="C1327" s="6" t="str">
        <x:v>복약</x:v>
      </x:c>
      <x:c r="D1327" s="6" t="str">
        <x:v>상호작용</x:v>
      </x:c>
      <x:c r="E1327" s="6" t="str">
        <x:v>답변 가능</x:v>
      </x:c>
      <x:c r="F1327" s="6" t="str">
        <x:v>쉬움</x:v>
      </x:c>
      <x:c r="G1327" s="8" t="str">
        <x:v>발란티스정(탄산수소나트륨)과 함께 사용하거나 먹을 때 주의해야 할 약이나 음식이 있나요?</x:v>
      </x:c>
      <x:c r="H1327" s="8" t="str">
        <x:v>다량의 우유, 칼슘제제와 함께 복용 시 의사 또는 약사와 상의하십시오.</x:v>
      </x:c>
      <x:c r="I1327" s="8" t="str">
        <x:v>다량의 우유, 칼슘제제와 함께 복용 시 의사 또는 약사와 상의하십시오.</x:v>
      </x:c>
      <x:c r="J1327" s="8" t="str">
        <x:v>발란티스정(탄산수소나트륨) [품목기준코드 202401430]</x:v>
      </x:c>
      <x:c r="K1327" s="8" t="str">
        <x:v>식품의약품안전처 의약품개요정보(e약은요) OpenAPI
https://apis.data.go.kr/1471000/DrbEasyDrugInfoService/getDrbEasyDrugList</x:v>
      </x:c>
    </x:row>
    <x:row r="1328" ht="62" customHeight="1">
      <x:c r="A1328" s="9" t="n">
        <x:v>1327</x:v>
      </x:c>
      <x:c r="B1328" s="6" t="str">
        <x:v>최종 평가</x:v>
      </x:c>
      <x:c r="C1328" s="6" t="str">
        <x:v>복약</x:v>
      </x:c>
      <x:c r="D1328" s="6" t="str">
        <x:v>금기·경고</x:v>
      </x:c>
      <x:c r="E1328" s="6" t="str">
        <x:v>답변 가능</x:v>
      </x:c>
      <x:c r="F1328" s="6" t="str">
        <x:v>쉬움</x:v>
      </x:c>
      <x:c r="G1328" s="8" t="str">
        <x:v>챔프콜드시럽을 사용하면 안 되거나 반드시 확인해야 할 경고사항은 무엇인가요?</x:v>
      </x:c>
      <x:c r="H1328" s="8" t="str">
        <x:v>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x:v>
      </x:c>
      <x:c r="I1328" s="8" t="str">
        <x:v>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x:v>
      </x:c>
      <x:c r="J1328" s="8" t="str">
        <x:v>챔프콜드시럽 [품목기준코드 202204272]</x:v>
      </x:c>
      <x:c r="K1328" s="8" t="str">
        <x:v>식품의약품안전처 의약품개요정보(e약은요) OpenAPI
https://apis.data.go.kr/1471000/DrbEasyDrugInfoService/getDrbEasyDrugList</x:v>
      </x:c>
    </x:row>
    <x:row r="1329" ht="62" customHeight="1">
      <x:c r="A1329" s="9" t="n">
        <x:v>1328</x:v>
      </x:c>
      <x:c r="B1329" s="6" t="str">
        <x:v>최종 평가</x:v>
      </x:c>
      <x:c r="C1329" s="6" t="str">
        <x:v>복약</x:v>
      </x:c>
      <x:c r="D1329" s="6" t="str">
        <x:v>답변불가·개인 용량 변경</x:v>
      </x:c>
      <x:c r="E1329" s="6" t="str">
        <x:v>답변 거부</x:v>
      </x:c>
      <x:c r="F1329" s="6" t="str">
        <x:v>어려움</x:v>
      </x:c>
      <x:c r="G1329" s="8" t="str">
        <x:v>벤포타임정이 잘 듣지 않는데 제 상태에 맞춰 복용량을 얼마나 늘리면 되나요?</x:v>
      </x:c>
      <x:c r="H1329" s="8" t="str">
        <x:v>제공된 e약은요 VDB만으로 개인별 복용량 변경을 결정할 수 없습니다. 임의로 증량하지 말고 의사 또는 약사와 상담해야 합니다.</x:v>
      </x:c>
      <x:c r="I1329" s="8" t="str">
        <x:v>VDB 범위 밖 질문 — 근거 없음</x:v>
      </x:c>
      <x:c r="J1329" s="8" t="str">
        <x:v>벤포타임정 [품목기준코드 202007951]</x:v>
      </x:c>
      <x:c r="K1329" s="8" t="str">
        <x:v>식품의약품안전처 의약품개요정보(e약은요) OpenAPI
https://apis.data.go.kr/1471000/DrbEasyDrugInfoService/getDrbEasyDrugList</x:v>
      </x:c>
    </x:row>
    <x:row r="1330" ht="62" customHeight="1">
      <x:c r="A1330" s="9" t="n">
        <x:v>1329</x:v>
      </x:c>
      <x:c r="B1330" s="6" t="str">
        <x:v>최종 평가</x:v>
      </x:c>
      <x:c r="C1330" s="6" t="str">
        <x:v>복약</x:v>
      </x:c>
      <x:c r="D1330" s="6" t="str">
        <x:v>원인·위험요인</x:v>
      </x:c>
      <x:c r="E1330" s="6" t="str">
        <x:v>답변 가능</x:v>
      </x:c>
      <x:c r="F1330" s="6" t="str">
        <x:v>보통</x:v>
      </x:c>
      <x:c r="G1330" s="8" t="str">
        <x:v>미투-에스연질캡슐을 사용하기 전에 특히 조심해야 하는 사람은 누구인가요?</x:v>
      </x:c>
      <x:c r="H1330" s="8" t="str">
        <x:v>이 제품을 사용하기 전에 특히 확인해야 할 대상과 상황은 다음과 같습니다. 이 약 또는 대두유, 콩, 땅콩에 과민증 환자, 만 12개월 미만의 젖먹이, 심한 증상의 신부전 환자는 이 약을 복용하지 마십시오. 이 약을 복용하기 전에 임부 및 임신하고 있을 가능성이 있는 여성, 수유부, 미숙아, 유아, 심장·순환기계기능 장애, 신장장애, 저단백혈증, 고지단백혈증, 당뇨병성고지질혈증 및 췌장염 등 지방대사 이상 환자 또는 지질성 유제를 신중히 투여해야 하는 환자, 지방과부하로 특별한 위험이 예상되는 환자, 혈전(혈관 막힘)성 소인이 있는 환자, 황색4호 및 황색5호에 과민증 환자 또는 경험자는 의사 또는 약사와 상의하십시오. 어린이에게 투여할 경우 보호자의 지도 감독하에 투여하십시오. 1개월 정도 복용하여도 증상의 개선이 없을 경우 복용을 즉각 중지하고 의사 또는 약사와 상의하십시오.</x:v>
      </x:c>
      <x:c r="I1330" s="8" t="str">
        <x:v>이 약 또는 대두유, 콩, 땅콩에 과민증 환자, 만 12개월 미만의 젖먹이, 심한 증상의 신부전 환자는 이 약을 복용하지 마십시오. 이 약을 복용하기 전에 임부 및 임신하고 있을 가능성이 있는 여성, 수유부, 미숙아, 유아, 심장·순환기계기능 장애, 신장장애, 저단백혈증, 고지단백혈증, 당뇨병성고지질혈증 및 췌장염 등 지방대사 이상 환자 또는 지질성 유제를 신중히 투여해야 하는 환자, 지방과부하로 특별한 위험이 예상되는 환자, 혈전(혈관 막힘)성 소인이 있는 환자, 황색4호 및 황색5호에 과민증 환자 또는 경험자는 의사 또는 약사와 상의하십시오. 어린이에게 투여할 경우 보호자의 지도 감독하에 투여하십시오. 1개월 정도 복용하여도 증상의 개선이 없을 경우 복용을 즉각 중지하고 의사 또는 약사와 상의하십시오.</x:v>
      </x:c>
      <x:c r="J1330" s="8" t="str">
        <x:v>미투-에스연질캡슐 [품목기준코드 200202573]</x:v>
      </x:c>
      <x:c r="K1330" s="8" t="str">
        <x:v>식품의약품안전처 의약품개요정보(e약은요) OpenAPI
https://apis.data.go.kr/1471000/DrbEasyDrugInfoService/getDrbEasyDrugList</x:v>
      </x:c>
    </x:row>
    <x:row r="1331" ht="62" customHeight="1">
      <x:c r="A1331" s="9" t="n">
        <x:v>1330</x:v>
      </x:c>
      <x:c r="B1331" s="6" t="str">
        <x:v>최종 평가</x:v>
      </x:c>
      <x:c r="C1331" s="6" t="str">
        <x:v>복약</x:v>
      </x:c>
      <x:c r="D1331" s="6" t="str">
        <x:v>상호작용</x:v>
      </x:c>
      <x:c r="E1331" s="6" t="str">
        <x:v>답변 가능</x:v>
      </x:c>
      <x:c r="F1331" s="6" t="str">
        <x:v>쉬움</x:v>
      </x:c>
      <x:c r="G1331" s="8" t="str">
        <x:v>에크로바크림(아시클로버)과 함께 사용하거나 먹을 때 주의해야 할 약이나 음식이 있나요?</x:v>
      </x:c>
      <x:c r="H1331" s="8" t="str">
        <x:v>프로베네시드를 투여한 환자는 의사 또는 약사와 상의하십시오.</x:v>
      </x:c>
      <x:c r="I1331" s="8" t="str">
        <x:v>프로베네시드를 투여한 환자는 의사 또는 약사와 상의하십시오.</x:v>
      </x:c>
      <x:c r="J1331" s="8" t="str">
        <x:v>에크로바크림(아시클로버) [품목기준코드 199101996]</x:v>
      </x:c>
      <x:c r="K1331" s="8" t="str">
        <x:v>식품의약품안전처 의약품개요정보(e약은요) OpenAPI
https://apis.data.go.kr/1471000/DrbEasyDrugInfoService/getDrbEasyDrugList</x:v>
      </x:c>
    </x:row>
    <x:row r="1332" ht="62" customHeight="1">
      <x:c r="A1332" s="9" t="n">
        <x:v>1331</x:v>
      </x:c>
      <x:c r="B1332" s="6" t="str">
        <x:v>최종 평가</x:v>
      </x:c>
      <x:c r="C1332" s="6" t="str">
        <x:v>복약</x:v>
      </x:c>
      <x:c r="D1332" s="6" t="str">
        <x:v>증상→대상 구분</x:v>
      </x:c>
      <x:c r="E1332" s="6" t="str">
        <x:v>답변 가능</x:v>
      </x:c>
      <x:c r="F1332" s="6" t="str">
        <x:v>어려움</x:v>
      </x:c>
      <x:c r="G1332" s="8" t="str">
        <x:v>프리에스연질캡슐(클로닉신리시네이트)을 사용한 뒤 발진이 생겼는데, 이 약의 부작용으로 안내되어 있나요?</x:v>
      </x:c>
      <x:c r="H1332" s="8" t="str">
        <x:v>발진은 이 제품의 e약은요 부작용 항목에 기재되어 있습니다. 다만 이 정보만으로 현재 증상의 원인이 해당 약이라고 확정할 수는 없습니다.</x:v>
      </x:c>
      <x:c r="I1332" s="8" t="str">
        <x:v>구역, 구토, 설사, 변비, 복통(배아픔), 위장출혈, 소화성궤양 및 천공(뚫림), 드물게 쇼크, 발진, 가려움, 빈혈, AST와 ALT의 상승, 졸음, 두통, 때때로 어지러움, 졸음, 두통, 식은땀, 한기, 이상황홀감 등이 나타나면 복용을 즉각 중지하고 의사 또는 약사와 상의하십시오.</x:v>
      </x:c>
      <x:c r="J1332" s="8" t="str">
        <x:v>프리에스연질캡슐(클로닉신리시네이트) [품목기준코드 201800231]</x:v>
      </x:c>
      <x:c r="K1332" s="8" t="str">
        <x:v>식품의약품안전처 의약품개요정보(e약은요) OpenAPI
https://apis.data.go.kr/1471000/DrbEasyDrugInfoService/getDrbEasyDrugList</x:v>
      </x:c>
    </x:row>
    <x:row r="1333" ht="62" customHeight="1">
      <x:c r="A1333" s="9" t="n">
        <x:v>1332</x:v>
      </x:c>
      <x:c r="B1333" s="6" t="str">
        <x:v>최종 평가</x:v>
      </x:c>
      <x:c r="C1333" s="6" t="str">
        <x:v>복약</x:v>
      </x:c>
      <x:c r="D1333" s="6" t="str">
        <x:v>상호작용</x:v>
      </x:c>
      <x:c r="E1333" s="6" t="str">
        <x:v>답변 가능</x:v>
      </x:c>
      <x:c r="F1333" s="6" t="str">
        <x:v>보통</x:v>
      </x:c>
      <x:c r="G1333" s="8" t="str">
        <x:v>에이스린장용정(아스피린)과 함께 사용하거나 먹을 때 주의해야 할 약이나 음식이 있나요?</x:v>
      </x:c>
      <x:c r="H1333" s="8" t="str">
        <x:v>다른 비스테로이드성 소염진통제 및 살리실산 제제, 일주일 동안 메토트렉세이트 15밀리그람(15mg/주) 이상의 용량, 알코올과 함께 사용하지 마십시오. 항응고제, 이부프로펜, 나프록센 등 일부 비스테로이드성 소염진통제, 혈전용해제, 다른 혈소판응집억제제, 지혈제, 당뇨병치료제(인슐린제제, 톨부타미드 등), 요산배설촉진제(벤즈브로마론, 프로베네시드), 저용량의 메토트렉세이트, 리튬제제, 이부프로펜, 나프록센 등 일부 비스테로이드성 소염진통제(NSAIDs), 선택적 세포토닌 재흡수 억제제, 디곡신, 전신 작용 부신피질호르몬 제제(애디슨병 대체요법용 히드로코티손 제외), 안지오텐신 전환 효소 억제제, 발프로산 제제를 복용하는 사람은 의사 또는 약사와 상의하십시오. 알칼리제제(예: 탄산수소나트륨, 탄산마그네슘) 또는 습기가 차기 쉬운 제제와 함께 섞지 마십시오.</x:v>
      </x:c>
      <x:c r="I1333" s="8" t="str">
        <x:v>다른 비스테로이드성 소염진통제 및 살리실산 제제, 일주일 동안 메토트렉세이트 15밀리그람(15mg/주) 이상의 용량, 알코올과 함께 사용하지 마십시오. 항응고제, 이부프로펜, 나프록센 등 일부 비스테로이드성 소염진통제, 혈전용해제, 다른 혈소판응집억제제, 지혈제, 당뇨병치료제(인슐린제제, 톨부타미드 등), 요산배설촉진제(벤즈브로마론, 프로베네시드), 저용량의 메토트렉세이트, 리튬제제, 이부프로펜, 나프록센 등 일부 비스테로이드성 소염진통제(NSAIDs), 선택적 세포토닌 재흡수 억제제, 디곡신, 전신 작용 부신피질호르몬 제제(애디슨병 대체요법용 히드로코티손 제외), 안지오텐신 전환 효소 억제제, 발프로산 제제를 복용하는 사람은 의사 또는 약사와 상의하십시오. 알칼리제제(예: 탄산수소나트륨, 탄산마그네슘) 또는 습기가 차기 쉬운 제제와 함께 섞지 마십시오.</x:v>
      </x:c>
      <x:c r="J1333" s="8" t="str">
        <x:v>에이스린장용정(아스피린) [품목기준코드 201307928]</x:v>
      </x:c>
      <x:c r="K1333" s="8" t="str">
        <x:v>식품의약품안전처 의약품개요정보(e약은요) OpenAPI
https://apis.data.go.kr/1471000/DrbEasyDrugInfoService/getDrbEasyDrugList</x:v>
      </x:c>
    </x:row>
    <x:row r="1334" ht="62" customHeight="1">
      <x:c r="A1334" s="9" t="n">
        <x:v>1333</x:v>
      </x:c>
      <x:c r="B1334" s="6" t="str">
        <x:v>최종 평가</x:v>
      </x:c>
      <x:c r="C1334" s="6" t="str">
        <x:v>복약</x:v>
      </x:c>
      <x:c r="D1334" s="6" t="str">
        <x:v>금기·경고</x:v>
      </x:c>
      <x:c r="E1334" s="6" t="str">
        <x:v>답변 가능</x:v>
      </x:c>
      <x:c r="F1334" s="6" t="str">
        <x:v>쉬움</x:v>
      </x:c>
      <x:c r="G1334" s="8" t="str">
        <x:v>엘타인캡슐(에르도스테인)을 사용하면 안 되거나 반드시 확인해야 할 경고사항은 무엇인가요?</x:v>
      </x:c>
      <x:c r="H1334" s="8" t="str">
        <x:v>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x:v>
      </x:c>
      <x:c r="I1334" s="8" t="str">
        <x:v>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x:v>
      </x:c>
      <x:c r="J1334" s="8" t="str">
        <x:v>엘타인캡슐(에르도스테인) [품목기준코드 201801702]</x:v>
      </x:c>
      <x:c r="K1334" s="8" t="str">
        <x:v>식품의약품안전처 의약품개요정보(e약은요) OpenAPI
https://apis.data.go.kr/1471000/DrbEasyDrugInfoService/getDrbEasyDrugList</x:v>
      </x:c>
    </x:row>
    <x:row r="1335" ht="62" customHeight="1">
      <x:c r="A1335" s="9" t="n">
        <x:v>1334</x:v>
      </x:c>
      <x:c r="B1335" s="6" t="str">
        <x:v>최종 평가</x:v>
      </x:c>
      <x:c r="C1335" s="6" t="str">
        <x:v>복약</x:v>
      </x:c>
      <x:c r="D1335" s="6" t="str">
        <x:v>상호작용</x:v>
      </x:c>
      <x:c r="E1335" s="6" t="str">
        <x:v>답변 가능</x:v>
      </x:c>
      <x:c r="F1335" s="6" t="str">
        <x:v>쉬움</x:v>
      </x:c>
      <x:c r="G1335" s="8" t="str">
        <x:v>나프록신정(나프록센나트륨)과 함께 사용하거나 먹을 때 주의해야 할 약이나 음식이 있나요?</x:v>
      </x:c>
      <x:c r="H1335" s="8" t="str">
        <x:v>다른 비스테로이드성 소염진통제 및 나프록센 유도체, 아스피린, 고용량의 메토트렉세이트와 함께 복용하지 마십시오. 히단토인계 항간질제, 설파제, 설포닐요소계 혈당강하제, 프로프라놀롤 및 다른 -차단제, ACE 저해제(억제제)(캅토프릴 등), 루프계 이뇨제 및 티아지드계 이뇨제, 프로베네시드, 리튬, 저용량 메토트렉세이트, 쿠마린계 항응혈제(혈액응고저지제)(와파린 등), 지도부딘, 뉴퀴놀론계 항생물질(에녹사신 등)과 함께 복용 시 의사 또는 약사와 상의하십시오.</x:v>
      </x:c>
      <x:c r="I1335" s="8" t="str">
        <x:v>다른 비스테로이드성 소염진통제 및 나프록센 유도체, 아스피린, 고용량의 메토트렉세이트와 함께 복용하지 마십시오. 히단토인계 항간질제, 설파제, 설포닐요소계 혈당강하제, 프로프라놀롤 및 다른 -차단제, ACE 저해제(억제제)(캅토프릴 등), 루프계 이뇨제 및 티아지드계 이뇨제, 프로베네시드, 리튬, 저용량 메토트렉세이트, 쿠마린계 항응혈제(혈액응고저지제)(와파린 등), 지도부딘, 뉴퀴놀론계 항생물질(에녹사신 등)과 함께 복용 시 의사 또는 약사와 상의하십시오.</x:v>
      </x:c>
      <x:c r="J1335" s="8" t="str">
        <x:v>나프록신정(나프록센나트륨) [품목기준코드 200204388]</x:v>
      </x:c>
      <x:c r="K1335" s="8" t="str">
        <x:v>식품의약품안전처 의약품개요정보(e약은요) OpenAPI
https://apis.data.go.kr/1471000/DrbEasyDrugInfoService/getDrbEasyDrugList</x:v>
      </x:c>
    </x:row>
    <x:row r="1336" ht="62" customHeight="1">
      <x:c r="A1336" s="9" t="n">
        <x:v>1335</x:v>
      </x:c>
      <x:c r="B1336" s="6" t="str">
        <x:v>최종 평가</x:v>
      </x:c>
      <x:c r="C1336" s="6" t="str">
        <x:v>복약</x:v>
      </x:c>
      <x:c r="D1336" s="6" t="str">
        <x:v>증상·이상반응</x:v>
      </x:c>
      <x:c r="E1336" s="6" t="str">
        <x:v>답변 가능</x:v>
      </x:c>
      <x:c r="F1336" s="6" t="str">
        <x:v>쉬움</x:v>
      </x:c>
      <x:c r="G1336" s="8" t="str">
        <x:v>코뚜에스시럽을 사용하면 어떤 부작용이 생길 수 있나요?</x:v>
      </x:c>
      <x:c r="H1336" s="8" t="str">
        <x:v>e약은요에는 다음과 같은 이상반응이 안내되어 있습니다. 출혈성 뇌졸중, 구역·구토, 목마름(지속적이거나 심한), 변비, 식욕 부진, 발진·발적, 가려움, 배뇨곤란, 드물게 쇽 증상(복용 후 바로 두드러기, 부종, 가슴 답답함 등과 함께 안색이 창백하고, 손발이 차고, 식은땀, 숨쉬기 곤란함), 위알도스테론증(요량이 감소하거나 얼굴과 손발이 붓고, 눈꺼풀이 무거워지고, 손이 굳어지고, 혈압이 높아지거나 두통 등), 근병증(무력감, 사지경련, 마비 등) 등이 나타나는 경우 복용을 즉각 중지하고 의사 또는 약사와 상의하십시오.</x:v>
      </x:c>
      <x:c r="I1336" s="8" t="str">
        <x:v>출혈성 뇌졸중, 구역·구토, 목마름(지속적이거나 심한), 변비, 식욕 부진, 발진·발적, 가려움, 배뇨곤란, 드물게 쇽 증상(복용 후 바로 두드러기, 부종, 가슴 답답함 등과 함께 안색이 창백하고, 손발이 차고, 식은땀, 숨쉬기 곤란함), 위알도스테론증(요량이 감소하거나 얼굴과 손발이 붓고, 눈꺼풀이 무거워지고, 손이 굳어지고, 혈압이 높아지거나 두통 등), 근병증(무력감, 사지경련, 마비 등) 등이 나타나는 경우 복용을 즉각 중지하고 의사 또는 약사와 상의하십시오.</x:v>
      </x:c>
      <x:c r="J1336" s="8" t="str">
        <x:v>코뚜에스시럽 [품목기준코드 201900783]</x:v>
      </x:c>
      <x:c r="K1336" s="8" t="str">
        <x:v>식품의약품안전처 의약품개요정보(e약은요) OpenAPI
https://apis.data.go.kr/1471000/DrbEasyDrugInfoService/getDrbEasyDrugList</x:v>
      </x:c>
    </x:row>
    <x:row r="1337" ht="62" customHeight="1">
      <x:c r="A1337" s="9" t="n">
        <x:v>1336</x:v>
      </x:c>
      <x:c r="B1337" s="6" t="str">
        <x:v>최종 평가</x:v>
      </x:c>
      <x:c r="C1337" s="6" t="str">
        <x:v>복약</x:v>
      </x:c>
      <x:c r="D1337" s="6" t="str">
        <x:v>금기·경고</x:v>
      </x:c>
      <x:c r="E1337" s="6" t="str">
        <x:v>답변 가능</x:v>
      </x:c>
      <x:c r="F1337" s="6" t="str">
        <x:v>쉬움</x:v>
      </x:c>
      <x:c r="G1337" s="8" t="str">
        <x:v>포탈락시럽(락티톨일수화물)을 사용하면 안 되거나 반드시 확인해야 할 경고사항은 무엇인가요?</x:v>
      </x:c>
      <x:c r="H1337" s="8" t="str">
        <x:v>이 약에 과민증 환자, 장폐색(창자막힘), 원인불명의 복통 또는 출혈, 숙변, 갈락토스혈증, 회장 또는 직장 절개환자, 염증성 장질환 환자(궤양성 대장염, 크론병 등), 인공 항문 환자, 수유부는 이 약을 복용하지 마십시오.이 약을 복용하기 전에 임부 또는 임신하고 있을 가능성이 있는 여성, 영·유아 및 소아, 고령자, 쇠약자, 체액 및 전해질 불균형 환자, 만성변비 환자는 의사 또는 약사와 상의하십시오.매일 적절한 수분섭취를 유지하는 것이 바람직합니다.1주 정도 복용하여도 변비의 개선이 없을 경우 복용을 중지하고 의사 또는 약사와 상의하십시오.</x:v>
      </x:c>
      <x:c r="I1337" s="8" t="str">
        <x:v>이 약에 과민증 환자, 장폐색(창자막힘), 원인불명의 복통 또는 출혈, 숙변, 갈락토스혈증, 회장 또는 직장 절개환자, 염증성 장질환 환자(궤양성 대장염, 크론병 등), 인공 항문 환자, 수유부는 이 약을 복용하지 마십시오.이 약을 복용하기 전에 임부 또는 임신하고 있을 가능성이 있는 여성, 영·유아 및 소아, 고령자, 쇠약자, 체액 및 전해질 불균형 환자, 만성변비 환자는 의사 또는 약사와 상의하십시오.매일 적절한 수분섭취를 유지하는 것이 바람직합니다.1주 정도 복용하여도 변비의 개선이 없을 경우 복용을 중지하고 의사 또는 약사와 상의하십시오.</x:v>
      </x:c>
      <x:c r="J1337" s="8" t="str">
        <x:v>포탈락시럽(락티톨일수화물) [품목기준코드 201305496]</x:v>
      </x:c>
      <x:c r="K1337" s="8" t="str">
        <x:v>식품의약품안전처 의약품개요정보(e약은요) OpenAPI
https://apis.data.go.kr/1471000/DrbEasyDrugInfoService/getDrbEasyDrugList</x:v>
      </x:c>
    </x:row>
    <x:row r="1338" ht="62" customHeight="1">
      <x:c r="A1338" s="9" t="n">
        <x:v>1337</x:v>
      </x:c>
      <x:c r="B1338" s="6" t="str">
        <x:v>최종 평가</x:v>
      </x:c>
      <x:c r="C1338" s="6" t="str">
        <x:v>복약</x:v>
      </x:c>
      <x:c r="D1338" s="6" t="str">
        <x:v>대상별 정보</x:v>
      </x:c>
      <x:c r="E1338" s="6" t="str">
        <x:v>답변 가능</x:v>
      </x:c>
      <x:c r="F1338" s="6" t="str">
        <x:v>보통</x:v>
      </x:c>
      <x:c r="G1338" s="8" t="str">
        <x:v>고령자가 엑쎈코프에스연질캡슐을 사용할 때 주의할 점은 무엇인가요?</x:v>
      </x:c>
      <x:c r="H1338" s="8" t="str">
        <x:v>e약은요에서 고령자·노인과 관련해 안내한 내용은 다음과 같습니다. 이 약을 복용하기 전에 수두 또는 인플루엔자에 감염되어 있거나 또는 의심되는 영아 및 만 15세 미만의 어린이, 만 3개월 이상 및 만 2세 미만의 영아, 유아, 알레르기 체질, 간장질환, 신장(콩팥)질환, 심장질환, 갑상선질환, 당뇨병, 고혈압, 위십이지장궤양,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x:v>
      </x:c>
      <x:c r="I1338" s="8" t="str">
        <x:v>이 약을 복용하기 전에 수두 또는 인플루엔자에 감염되어 있거나 또는 의심되는 영아 및 만 15세 미만의 어린이, 만 3개월 이상 및 만 2세 미만의 영아, 유아, 알레르기 체질, 간장질환, 신장(콩팥)질환, 심장질환, 갑상선질환, 당뇨병, 고혈압, 위십이지장궤양,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x:v>
      </x:c>
      <x:c r="J1338" s="8" t="str">
        <x:v>엑쎈코프에스연질캡슐 [품목기준코드 201902137]</x:v>
      </x:c>
      <x:c r="K1338" s="8" t="str">
        <x:v>식품의약품안전처 의약품개요정보(e약은요) OpenAPI
https://apis.data.go.kr/1471000/DrbEasyDrugInfoService/getDrbEasyDrugList</x:v>
      </x:c>
    </x:row>
    <x:row r="1339" ht="62" customHeight="1">
      <x:c r="A1339" s="9" t="n">
        <x:v>1338</x:v>
      </x:c>
      <x:c r="B1339" s="6" t="str">
        <x:v>최종 평가</x:v>
      </x:c>
      <x:c r="C1339" s="6" t="str">
        <x:v>복약</x:v>
      </x:c>
      <x:c r="D1339" s="6" t="str">
        <x:v>용법·용량</x:v>
      </x:c>
      <x:c r="E1339" s="6" t="str">
        <x:v>답변 가능</x:v>
      </x:c>
      <x:c r="F1339" s="6" t="str">
        <x:v>쉬움</x:v>
      </x:c>
      <x:c r="G1339" s="8" t="str">
        <x:v>우르솔연질캡슐은 어떻게 사용하나요?</x:v>
      </x:c>
      <x:c r="H1339" s="8" t="str">
        <x:v>이 약은 1회 1캡슐을 1일 3회 복용합니다.</x:v>
      </x:c>
      <x:c r="I1339" s="8" t="str">
        <x:v>이 약은 1회 1캡슐을 1일 3회 복용합니다.</x:v>
      </x:c>
      <x:c r="J1339" s="8" t="str">
        <x:v>우르솔연질캡슐 [품목기준코드 200210778]</x:v>
      </x:c>
      <x:c r="K1339" s="8" t="str">
        <x:v>식품의약품안전처 의약품개요정보(e약은요) OpenAPI
https://apis.data.go.kr/1471000/DrbEasyDrugInfoService/getDrbEasyDrugList</x:v>
      </x:c>
    </x:row>
    <x:row r="1340" ht="62" customHeight="1">
      <x:c r="A1340" s="9" t="n">
        <x:v>1339</x:v>
      </x:c>
      <x:c r="B1340" s="6" t="str">
        <x:v>최종 평가</x:v>
      </x:c>
      <x:c r="C1340" s="6" t="str">
        <x:v>복약</x:v>
      </x:c>
      <x:c r="D1340" s="6" t="str">
        <x:v>상호작용</x:v>
      </x:c>
      <x:c r="E1340" s="6" t="str">
        <x:v>답변 가능</x:v>
      </x:c>
      <x:c r="F1340" s="6" t="str">
        <x:v>보통</x:v>
      </x:c>
      <x:c r="G1340" s="8" t="str">
        <x:v>멕시롱액(돔페리돈)과 함께 사용하거나 먹을 때 주의해야 할 약이나 음식이 있나요?</x:v>
      </x:c>
      <x:c r="H1340" s="8" t="str">
        <x:v>강력한 CYP3A4 저해제(플루코나졸, 이트라코나졸, 케토코나졸, 보리코나졸, 클래리트로마이신, 에리트로마이신, 텔리트로마이신, 암프레나비르, 아타자나비르, 포삼프레나비르, 인디나비르, 넬피나비르, 리토나비르, 사퀴나비르), QTc와 같은 심장전도 간격을 지연시키는 약물(디소피라미드, 퀴니딘, 아미오다론, 드로네다론, 소타롤, 도페틸리드, 이부틸리드, 할로페리돌, 피모지드, 설틴돌, 시탈로프람, 에시탈로프람, 레보플록사신, 목시플록사신, 에리트로마이신, 스피라마이신, 펜타미딘, 할로판트린, 루메판트린, 돌라세트론, 시사프라이드, 프루칼로프라이드, 메퀴타진, 미졸라스틴, 토레미펜, 반데타닙, 빈카민, 베프리딜, 디페마닐, 메타돈 등)고 함께 복용하지 마십시오. 페노티아진계 제제(프로클로르페라진, 클로르프로마진, 티에틸페라진 등), 부티로페논계 제제(할로페리돌 등), 라우올피아 알칼로이드 제제(레세르핀 등), 디기탈리스제제, 항콜린제(부틸스코폴라민브롬화물, 티퀴쥼브롬화물, 티메피듐브롬화물 등), 도파민효능약(브로모크립틴, 레보도파), 제산제, 위산분비억제제, 항무스카린 약물과 아편양 진통제와 함께 복용 시 의사 또는 약사와 상의하십시오.</x:v>
      </x:c>
      <x:c r="I1340" s="8" t="str">
        <x:v>강력한 CYP3A4 저해제(플루코나졸, 이트라코나졸, 케토코나졸, 보리코나졸, 클래리트로마이신, 에리트로마이신, 텔리트로마이신, 암프레나비르, 아타자나비르, 포삼프레나비르, 인디나비르, 넬피나비르, 리토나비르, 사퀴나비르), QTc와 같은 심장전도 간격을 지연시키는 약물(디소피라미드, 퀴니딘, 아미오다론, 드로네다론, 소타롤, 도페틸리드, 이부틸리드, 할로페리돌, 피모지드, 설틴돌, 시탈로프람, 에시탈로프람, 레보플록사신, 목시플록사신, 에리트로마이신, 스피라마이신, 펜타미딘, 할로판트린, 루메판트린, 돌라세트론, 시사프라이드, 프루칼로프라이드, 메퀴타진, 미졸라스틴, 토레미펜, 반데타닙, 빈카민, 베프리딜, 디페마닐, 메타돈 등)고 함께 복용하지 마십시오. 페노티아진계 제제(프로클로르페라진, 클로르프로마진, 티에틸페라진 등), 부티로페논계 제제(할로페리돌 등), 라우올피아 알칼로이드 제제(레세르핀 등), 디기탈리스제제, 항콜린제(부틸스코폴라민브롬화물, 티퀴쥼브롬화물, 티메피듐브롬화물 등), 도파민효능약(브로모크립틴, 레보도파), 제산제, 위산분비억제제, 항무스카린 약물과 아편양 진통제와 함께 복용 시 의사 또는 약사와 상의하십시오.</x:v>
      </x:c>
      <x:c r="J1340" s="8" t="str">
        <x:v>멕시롱액(돔페리돈) [품목기준코드 199300273]</x:v>
      </x:c>
      <x:c r="K1340" s="8" t="str">
        <x:v>식품의약품안전처 의약품개요정보(e약은요) OpenAPI
https://apis.data.go.kr/1471000/DrbEasyDrugInfoService/getDrbEasyDrugList</x:v>
      </x:c>
    </x:row>
    <x:row r="1341" ht="62" customHeight="1">
      <x:c r="A1341" s="9" t="n">
        <x:v>1340</x:v>
      </x:c>
      <x:c r="B1341" s="6" t="str">
        <x:v>최종 평가</x:v>
      </x:c>
      <x:c r="C1341" s="6" t="str">
        <x:v>복약</x:v>
      </x:c>
      <x:c r="D1341" s="6" t="str">
        <x:v>원인·위험요인</x:v>
      </x:c>
      <x:c r="E1341" s="6" t="str">
        <x:v>답변 가능</x:v>
      </x:c>
      <x:c r="F1341" s="6" t="str">
        <x:v>쉬움</x:v>
      </x:c>
      <x:c r="G1341" s="8" t="str">
        <x:v>가레오연질캡슐(디히드록시디부틸에테르)을 사용하기 전에 특히 조심해야 하는 사람은 누구인가요?</x:v>
      </x:c>
      <x:c r="H1341" s="8" t="str">
        <x:v>이 제품을 사용하기 전에 특히 확인해야 할 대상과 상황은 다음과 같습니다. 녹내장, 요로, 전립샘 환자, 담도(쓸개길)폐쇄, 담석증, 급·만성 간질환(간세포기능부전환자 포함), 이 약에 과민증 환자는 이 약을 복용하지 마십시오. 2주 정도 복용하여도 증상의 개선이 없을 경우 복용을 즉각 중지하고 의사 또는 약사와 상의하십시오.</x:v>
      </x:c>
      <x:c r="I1341" s="8" t="str">
        <x:v>녹내장, 요로, 전립샘 환자, 담도(쓸개길)폐쇄, 담석증, 급·만성 간질환(간세포기능부전환자 포함), 이 약에 과민증 환자는 이 약을 복용하지 마십시오. 2주 정도 복용하여도 증상의 개선이 없을 경우 복용을 즉각 중지하고 의사 또는 약사와 상의하십시오.</x:v>
      </x:c>
      <x:c r="J1341" s="8" t="str">
        <x:v>가레오연질캡슐(디히드록시디부틸에테르) [품목기준코드 198802329]</x:v>
      </x:c>
      <x:c r="K1341" s="8" t="str">
        <x:v>식품의약품안전처 의약품개요정보(e약은요) OpenAPI
https://apis.data.go.kr/1471000/DrbEasyDrugInfoService/getDrbEasyDrugList</x:v>
      </x:c>
    </x:row>
    <x:row r="1342" ht="62" customHeight="1">
      <x:c r="A1342" s="9" t="n">
        <x:v>1341</x:v>
      </x:c>
      <x:c r="B1342" s="6" t="str">
        <x:v>최종 평가</x:v>
      </x:c>
      <x:c r="C1342" s="6" t="str">
        <x:v>복약</x:v>
      </x:c>
      <x:c r="D1342" s="6" t="str">
        <x:v>상호작용</x:v>
      </x:c>
      <x:c r="E1342" s="6" t="str">
        <x:v>답변 가능</x:v>
      </x:c>
      <x:c r="F1342" s="6" t="str">
        <x:v>쉬움</x:v>
      </x:c>
      <x:c r="G1342" s="8" t="str">
        <x:v>바이오콘연질캡슐과 함께 사용하거나 먹을 때 주의해야 할 약이나 음식이 있나요?</x:v>
      </x:c>
      <x:c r="H1342" s="8" t="str">
        <x:v>레보도파와 함께 복용하지 마십시오. 에스트로겐을 포함한 경구용 피임제, 정주용 지질제와 함께 사용 시 의사 또는 약사와 상의하십시오.</x:v>
      </x:c>
      <x:c r="I1342" s="8" t="str">
        <x:v>레보도파와 함께 복용하지 마십시오. 에스트로겐을 포함한 경구용 피임제, 정주용 지질제와 함께 사용 시 의사 또는 약사와 상의하십시오.</x:v>
      </x:c>
      <x:c r="J1342" s="8" t="str">
        <x:v>바이오콘연질캡슐 [품목기준코드 200711893]</x:v>
      </x:c>
      <x:c r="K1342" s="8" t="str">
        <x:v>식품의약품안전처 의약품개요정보(e약은요) OpenAPI
https://apis.data.go.kr/1471000/DrbEasyDrugInfoService/getDrbEasyDrugList</x:v>
      </x:c>
    </x:row>
    <x:row r="1343" ht="62" customHeight="1">
      <x:c r="A1343" s="9" t="n">
        <x:v>1342</x:v>
      </x:c>
      <x:c r="B1343" s="6" t="str">
        <x:v>최종 평가</x:v>
      </x:c>
      <x:c r="C1343" s="6" t="str">
        <x:v>복약</x:v>
      </x:c>
      <x:c r="D1343" s="6" t="str">
        <x:v>효능·사용목적</x:v>
      </x:c>
      <x:c r="E1343" s="6" t="str">
        <x:v>답변 가능</x:v>
      </x:c>
      <x:c r="F1343" s="6" t="str">
        <x:v>쉬움</x:v>
      </x:c>
      <x:c r="G1343" s="8" t="str">
        <x:v>로에굿정은 어떤 증상이나 질환에 사용하는 약인가요?</x:v>
      </x:c>
      <x:c r="H1343" s="8" t="str">
        <x:v>이 약은 변비, 식욕부진(식욕감퇴), 복부팽만, 장내이상발효, 치질에 사용합니다.</x:v>
      </x:c>
      <x:c r="I1343" s="8" t="str">
        <x:v>이 약은 변비, 식욕부진(식욕감퇴), 복부팽만, 장내이상발효, 치질에 사용합니다.</x:v>
      </x:c>
      <x:c r="J1343" s="8" t="str">
        <x:v>로에굿정 [품목기준코드 201905516]</x:v>
      </x:c>
      <x:c r="K1343" s="8" t="str">
        <x:v>식품의약품안전처 의약품개요정보(e약은요) OpenAPI
https://apis.data.go.kr/1471000/DrbEasyDrugInfoService/getDrbEasyDrugList</x:v>
      </x:c>
    </x:row>
    <x:row r="1344" ht="62" customHeight="1">
      <x:c r="A1344" s="9" t="n">
        <x:v>1343</x:v>
      </x:c>
      <x:c r="B1344" s="6" t="str">
        <x:v>최종 평가</x:v>
      </x:c>
      <x:c r="C1344" s="6" t="str">
        <x:v>복약</x:v>
      </x:c>
      <x:c r="D1344" s="6" t="str">
        <x:v>효능·사용목적</x:v>
      </x:c>
      <x:c r="E1344" s="6" t="str">
        <x:v>답변 가능</x:v>
      </x:c>
      <x:c r="F1344" s="6" t="str">
        <x:v>쉬움</x:v>
      </x:c>
      <x:c r="G1344" s="8" t="str">
        <x:v>태극탄산칼슘정(침강탄산칼슘)은 어떤 증상이나 질환에 사용하는 약인가요?</x:v>
      </x:c>
      <x:c r="H1344" s="8" t="str">
        <x:v>이 약은 위십이지장궤양, 위염, 위산과다의 제산작용 및 증상의 개선과 칼슘보급에 사용합니다.</x:v>
      </x:c>
      <x:c r="I1344" s="8" t="str">
        <x:v>이 약은 위십이지장궤양, 위염, 위산과다의 제산작용 및 증상의 개선과 칼슘보급에 사용합니다.</x:v>
      </x:c>
      <x:c r="J1344" s="8" t="str">
        <x:v>태극탄산칼슘정(침강탄산칼슘) [품목기준코드 199701242]</x:v>
      </x:c>
      <x:c r="K1344" s="8" t="str">
        <x:v>식품의약품안전처 의약품개요정보(e약은요) OpenAPI
https://apis.data.go.kr/1471000/DrbEasyDrugInfoService/getDrbEasyDrugList</x:v>
      </x:c>
    </x:row>
    <x:row r="1345" ht="62" customHeight="1">
      <x:c r="A1345" s="9" t="n">
        <x:v>1344</x:v>
      </x:c>
      <x:c r="B1345" s="6" t="str">
        <x:v>최종 평가</x:v>
      </x:c>
      <x:c r="C1345" s="6" t="str">
        <x:v>복약</x:v>
      </x:c>
      <x:c r="D1345" s="6" t="str">
        <x:v>증상→대상 구분</x:v>
      </x:c>
      <x:c r="E1345" s="6" t="str">
        <x:v>답변 가능</x:v>
      </x:c>
      <x:c r="F1345" s="6" t="str">
        <x:v>어려움</x:v>
      </x:c>
      <x:c r="G1345" s="8" t="str">
        <x:v>엑스코프디시럽을 사용한 뒤 발진이 생겼는데, 이 약의 부작용으로 안내되어 있나요?</x:v>
      </x:c>
      <x:c r="H1345" s="8" t="str">
        <x:v>발진은 이 제품의 e약은요 부작용 항목에 기재되어 있습니다. 다만 이 정보만으로 현재 증상의 원인이 해당 약이라고 확정할 수는 없습니다.</x:v>
      </x:c>
      <x:c r="I1345" s="8" t="str">
        <x:v>발진, 발적, 구역, 구토, 식욕부진, 어지럼, 불안, 불면, 급성 전신성 발진성 농포증, 발열, 홍반, 다수의 작은 농포와 같은 중증 피부 이상반응이 나타날 경우, 기침이 7일 이상 지속되거나 발열, 지속적인 두통을 동반한 경우, 허혈성 대장염(급격한 복통, 직장 출혈 등)이 나타나는 경우 복용을 즉각 중지하고 의사 또는 약사와 상의하십시오.</x:v>
      </x:c>
      <x:c r="J1345" s="8" t="str">
        <x:v>엑스코프디시럽 [품목기준코드 201708262]</x:v>
      </x:c>
      <x:c r="K1345" s="8" t="str">
        <x:v>식품의약품안전처 의약품개요정보(e약은요) OpenAPI
https://apis.data.go.kr/1471000/DrbEasyDrugInfoService/getDrbEasyDrugList</x:v>
      </x:c>
    </x:row>
    <x:row r="1346" ht="62" customHeight="1">
      <x:c r="A1346" s="9" t="n">
        <x:v>1345</x:v>
      </x:c>
      <x:c r="B1346" s="6" t="str">
        <x:v>최종 평가</x:v>
      </x:c>
      <x:c r="C1346" s="6" t="str">
        <x:v>복약</x:v>
      </x:c>
      <x:c r="D1346" s="6" t="str">
        <x:v>용법·용량</x:v>
      </x:c>
      <x:c r="E1346" s="6" t="str">
        <x:v>답변 가능</x:v>
      </x:c>
      <x:c r="F1346" s="6" t="str">
        <x:v>쉬움</x:v>
      </x:c>
      <x:c r="G1346" s="8" t="str">
        <x:v>코비코나잘액(옥시메타졸린염산염)은 어떻게 사용하나요?</x:v>
      </x:c>
      <x:c r="H1346" s="8" t="str">
        <x:v>만 7세 이상 및 성인은 1회 2번씩 코 안에 뿌리십시오. 3시간 이상의 투여 간격을 두고 뿌리고, 1일 6회를 초과하지 마십시오.</x:v>
      </x:c>
      <x:c r="I1346" s="8" t="str">
        <x:v>만 7세 이상 및 성인은 1회 2번씩 코 안에 뿌리십시오. 3시간 이상의 투여 간격을 두고 뿌리고, 1일 6회를 초과하지 마십시오.</x:v>
      </x:c>
      <x:c r="J1346" s="8" t="str">
        <x:v>코비코나잘액(옥시메타졸린염산염) [품목기준코드 202301041]</x:v>
      </x:c>
      <x:c r="K1346" s="8" t="str">
        <x:v>식품의약품안전처 의약품개요정보(e약은요) OpenAPI
https://apis.data.go.kr/1471000/DrbEasyDrugInfoService/getDrbEasyDrugList</x:v>
      </x:c>
    </x:row>
    <x:row r="1347" ht="62" customHeight="1">
      <x:c r="A1347" s="9" t="n">
        <x:v>1346</x:v>
      </x:c>
      <x:c r="B1347" s="6" t="str">
        <x:v>최종 평가</x:v>
      </x:c>
      <x:c r="C1347" s="6" t="str">
        <x:v>복약</x:v>
      </x:c>
      <x:c r="D1347" s="6" t="str">
        <x:v>증상→대상 구분</x:v>
      </x:c>
      <x:c r="E1347" s="6" t="str">
        <x:v>답변 가능</x:v>
      </x:c>
      <x:c r="F1347" s="6" t="str">
        <x:v>어려움</x:v>
      </x:c>
      <x:c r="G1347" s="8" t="str">
        <x:v>제놀탑에스카타플라스마(케토프로펜)을 사용한 뒤 발진이 생겼는데, 이 약의 부작용으로 안내되어 있나요?</x:v>
      </x:c>
      <x:c r="H1347" s="8" t="str">
        <x:v>발진은 이 제품의 e약은요 부작용 항목에 기재되어 있습니다. 다만 이 정보만으로 현재 증상의 원인이 해당 약이라고 확정할 수는 없습니다.</x:v>
      </x:c>
      <x:c r="I1347" s="8" t="str">
        <x:v>드물게 쇽 증상(두드러기, 호흡곤란, 얼굴부기 등 과민성유사증상), 천식발작(거품소리, 숨을 쌕쌕거림, 호흡곤란), 때때로 발적(충혈되어 붉어짐), 발진, 가려움, 수포, 짓무름, 자극감 및 종창(부기) 등의 접촉피부염, 피부건조 및 색소침착, 직사일광(자외선)에 의해 광과민증 등이 나타나는 경우 사용을 즉각 중지하고 의사 또는 약사와 상의하십시오.</x:v>
      </x:c>
      <x:c r="J1347" s="8" t="str">
        <x:v>제놀탑에스카타플라스마(케토프로펜) [품목기준코드 200600575]</x:v>
      </x:c>
      <x:c r="K1347" s="8" t="str">
        <x:v>식품의약품안전처 의약품개요정보(e약은요) OpenAPI
https://apis.data.go.kr/1471000/DrbEasyDrugInfoService/getDrbEasyDrugList</x:v>
      </x:c>
    </x:row>
    <x:row r="1348" ht="62" customHeight="1">
      <x:c r="A1348" s="9" t="n">
        <x:v>1347</x:v>
      </x:c>
      <x:c r="B1348" s="6" t="str">
        <x:v>최종 평가</x:v>
      </x:c>
      <x:c r="C1348" s="6" t="str">
        <x:v>복약</x:v>
      </x:c>
      <x:c r="D1348" s="6" t="str">
        <x:v>증상→대상 구분</x:v>
      </x:c>
      <x:c r="E1348" s="6" t="str">
        <x:v>답변 가능</x:v>
      </x:c>
      <x:c r="F1348" s="6" t="str">
        <x:v>어려움</x:v>
      </x:c>
      <x:c r="G1348" s="8" t="str">
        <x:v>뿌레콜에프캡슐을 사용한 뒤 발진이 생겼는데, 이 약의 부작용으로 안내되어 있나요?</x:v>
      </x:c>
      <x:c r="H1348" s="8" t="str">
        <x:v>발진은 이 제품의 e약은요 부작용 항목에 기재되어 있습니다. 다만 이 정보만으로 현재 증상의 원인이 해당 약이라고 확정할 수는 없습니다.</x:v>
      </x:c>
      <x:c r="I1348" s="8" t="str">
        <x:v>발진·발적(충혈되어 붉어짐), 가려움, 구역·구토, 식욕부진, 변비, 부종(부기), 배뇨(소변을 눔)곤란, 목마름(지속적이거나 심한), 어지러움, 불안, 떨림, 불면, 쇽(복용후 바로 두드러기, 부종,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 천식, 간기능장애(전신의 나른함, 황달), 간질성폐렴(기침을 동반하고, 숨이 차고, 호흡곤란, 발열 등), 위알도스테론증(요량이 감소하거나 얼굴과 손발이 붓고, 눈꺼풀이 무거워지고, 손이 굳어지고, 혈압이 높아지거나 두통 등), 근병증(무력감, 사지경련, 마비), 허혈성 대장염(급격한 복통, 직장 출혈 등)이 나타나는 경우 복용을 즉각 중지하고 의사 또는 약사와 상의하십시오.</x:v>
      </x:c>
      <x:c r="J1348" s="8" t="str">
        <x:v>뿌레콜에프캡슐 [품목기준코드 200104079]</x:v>
      </x:c>
      <x:c r="K1348" s="8" t="str">
        <x:v>식품의약품안전처 의약품개요정보(e약은요) OpenAPI
https://apis.data.go.kr/1471000/DrbEasyDrugInfoService/getDrbEasyDrugList</x:v>
      </x:c>
    </x:row>
    <x:row r="1349" ht="62" customHeight="1">
      <x:c r="A1349" s="9" t="n">
        <x:v>1348</x:v>
      </x:c>
      <x:c r="B1349" s="6" t="str">
        <x:v>최종 평가</x:v>
      </x:c>
      <x:c r="C1349" s="6" t="str">
        <x:v>복약</x:v>
      </x:c>
      <x:c r="D1349" s="6" t="str">
        <x:v>금기·경고</x:v>
      </x:c>
      <x:c r="E1349" s="6" t="str">
        <x:v>답변 가능</x:v>
      </x:c>
      <x:c r="F1349" s="6" t="str">
        <x:v>쉬움</x:v>
      </x:c>
      <x:c r="G1349" s="8" t="str">
        <x:v>카디톤액(L-카르니틴)을 사용하면 안 되거나 반드시 확인해야 할 경고사항은 무엇인가요?</x:v>
      </x:c>
      <x:c r="H1349" s="8" t="str">
        <x:v>이 약에 과민증 환자는 이 약을 복용하지 마십시오.이 약을 복용하기 전에 임부 또는 임신하고 있을 가능성이 있는 여성 및 수유부는 의사 또는 약사와 상의하십시오.</x:v>
      </x:c>
      <x:c r="I1349" s="8" t="str">
        <x:v>이 약에 과민증 환자는 이 약을 복용하지 마십시오.이 약을 복용하기 전에 임부 또는 임신하고 있을 가능성이 있는 여성 및 수유부는 의사 또는 약사와 상의하십시오.</x:v>
      </x:c>
      <x:c r="J1349" s="8" t="str">
        <x:v>카디톤액(L-카르니틴) [품목기준코드 199702787]</x:v>
      </x:c>
      <x:c r="K1349" s="8" t="str">
        <x:v>식품의약품안전처 의약품개요정보(e약은요) OpenAPI
https://apis.data.go.kr/1471000/DrbEasyDrugInfoService/getDrbEasyDrugList</x:v>
      </x:c>
    </x:row>
    <x:row r="1350" ht="62" customHeight="1">
      <x:c r="A1350" s="9" t="n">
        <x:v>1349</x:v>
      </x:c>
      <x:c r="B1350" s="6" t="str">
        <x:v>최종 평가</x:v>
      </x:c>
      <x:c r="C1350" s="6" t="str">
        <x:v>복약</x:v>
      </x:c>
      <x:c r="D1350" s="6" t="str">
        <x:v>원인·위험요인</x:v>
      </x:c>
      <x:c r="E1350" s="6" t="str">
        <x:v>답변 가능</x:v>
      </x:c>
      <x:c r="F1350" s="6" t="str">
        <x:v>쉬움</x:v>
      </x:c>
      <x:c r="G1350" s="8" t="str">
        <x:v>훼러진플러스캡슐을 사용하기 전에 특히 조심해야 하는 사람은 누구인가요?</x:v>
      </x:c>
      <x:c r="H1350" s="8" t="str">
        <x:v>이 제품을 사용하기 전에 특히 확인해야 할 대상과 상황은 다음과 같습니다. 이 약에 과민증 환자, 12개월 미만의 영아, 혈색소증, 헤모시데린침착증, 철 이용 장애, 비철결핍성 빈혈, 철과잉증, 감염이나 종양으로 인한 철결핍성빈혈, 만성췌장염, 간경변 환자는 이 약을 복용하지 마십시오.이 약을 복용하기 전에 소화성궤양, 만성궤양성대장염, 국한성대장염 등의 위장질환, 심장ㆍ순환기계기능 장애, 발작성야 혈색소뇨증, 신장애, 저단백혈증, 폴산이 부족한 환자는 의사 또는 약사와 상의하십시오.정해진 용법과 용량을 잘 지키십시오.12세 이상 청소년에게 투여할 경우 보호자의 지도 감독하에 투여하십시오.</x:v>
      </x:c>
      <x:c r="I1350" s="8" t="str">
        <x:v>이 약에 과민증 환자, 12개월 미만의 영아, 혈색소증, 헤모시데린침착증, 철 이용 장애, 비철결핍성 빈혈, 철과잉증, 감염이나 종양으로 인한 철결핍성빈혈, 만성췌장염, 간경변 환자는 이 약을 복용하지 마십시오.이 약을 복용하기 전에 소화성궤양, 만성궤양성대장염, 국한성대장염 등의 위장질환, 심장ㆍ순환기계기능 장애, 발작성야 혈색소뇨증, 신장애, 저단백혈증, 폴산이 부족한 환자는 의사 또는 약사와 상의하십시오.정해진 용법과 용량을 잘 지키십시오.12세 이상 청소년에게 투여할 경우 보호자의 지도 감독하에 투여하십시오.</x:v>
      </x:c>
      <x:c r="J1350" s="8" t="str">
        <x:v>훼러진플러스캡슐 [품목기준코드 200500150]</x:v>
      </x:c>
      <x:c r="K1350" s="8" t="str">
        <x:v>식품의약품안전처 의약품개요정보(e약은요) OpenAPI
https://apis.data.go.kr/1471000/DrbEasyDrugInfoService/getDrbEasyDrugList</x:v>
      </x:c>
    </x:row>
    <x:row r="1351" ht="62" customHeight="1">
      <x:c r="A1351" s="9" t="n">
        <x:v>1350</x:v>
      </x:c>
      <x:c r="B1351" s="6" t="str">
        <x:v>최종 평가</x:v>
      </x:c>
      <x:c r="C1351" s="6" t="str">
        <x:v>복약</x:v>
      </x:c>
      <x:c r="D1351" s="6" t="str">
        <x:v>증상·이상반응</x:v>
      </x:c>
      <x:c r="E1351" s="6" t="str">
        <x:v>답변 가능</x:v>
      </x:c>
      <x:c r="F1351" s="6" t="str">
        <x:v>쉬움</x:v>
      </x:c>
      <x:c r="G1351" s="8" t="str">
        <x:v>노스카연고을 사용하면 어떤 부작용이 생길 수 있나요?</x:v>
      </x:c>
      <x:c r="H1351" s="8" t="str">
        <x:v>e약은요에는 다음과 같은 이상반응이 안내되어 있습니다. 전염성 농가진, 모낭염, 바이러스성 감염증, 부스럼, 피부자극, 자통, 발열, 작열감, 발진, 발적, 홍조, 가려움, 부종, 구진, 소수포, 피부건조, 농포성피부염, 알레르기성 접촉피부염, 2차감염, 피부거칠어짐, 땀띠, 상처악화, 욕창, 농포증, 안검피부에 사용시 안압 상승, 녹내장(시야흐림, 시력장애)등이 나타나는 경우 사용을 즉각 중지하고 의사 또는 약사와 상의하십시오.전신 흡수로 인해 가역적인 쿠싱증후군, 고혈당증, 당뇨와 시력장애 등이 나타날 수 있습니다.</x:v>
      </x:c>
      <x:c r="I1351" s="8" t="str">
        <x:v>전염성 농가진, 모낭염, 바이러스성 감염증, 부스럼, 피부자극, 자통, 발열, 작열감, 발진, 발적, 홍조, 가려움, 부종, 구진, 소수포, 피부건조, 농포성피부염, 알레르기성 접촉피부염, 2차감염, 피부거칠어짐, 땀띠, 상처악화, 욕창, 농포증, 안검피부에 사용시 안압 상승, 녹내장(시야흐림, 시력장애)등이 나타나는 경우 사용을 즉각 중지하고 의사 또는 약사와 상의하십시오.전신 흡수로 인해 가역적인 쿠싱증후군, 고혈당증, 당뇨와 시력장애 등이 나타날 수 있습니다.</x:v>
      </x:c>
      <x:c r="J1351" s="8" t="str">
        <x:v>노스카연고 [품목기준코드 200003481]</x:v>
      </x:c>
      <x:c r="K1351" s="8" t="str">
        <x:v>식품의약품안전처 의약품개요정보(e약은요) OpenAPI
https://apis.data.go.kr/1471000/DrbEasyDrugInfoService/getDrbEasyDrugList</x:v>
      </x:c>
    </x:row>
    <x:row r="1352" ht="62" customHeight="1">
      <x:c r="A1352" s="9" t="n">
        <x:v>1351</x:v>
      </x:c>
      <x:c r="B1352" s="6" t="str">
        <x:v>최종 평가</x:v>
      </x:c>
      <x:c r="C1352" s="6" t="str">
        <x:v>복약</x:v>
      </x:c>
      <x:c r="D1352" s="6" t="str">
        <x:v>용법·용량</x:v>
      </x:c>
      <x:c r="E1352" s="6" t="str">
        <x:v>답변 가능</x:v>
      </x:c>
      <x:c r="F1352" s="6" t="str">
        <x:v>쉬움</x:v>
      </x:c>
      <x:c r="G1352" s="8" t="str">
        <x:v>가스제로구강필름(시메치콘)은 어떻게 사용하나요?</x:v>
      </x:c>
      <x:c r="H1352" s="8" t="str">
        <x:v>성인은 1회 2~4매를 식후 또는 자기 전에 필요시 혀 위에 놓고 녹여서 복용합니다.1일 8매를 초과하여 복용하지 않아야 하며, 녹은 후에는 입안에 머금지 않고 바로 삼키도록 합니다.</x:v>
      </x:c>
      <x:c r="I1352" s="8" t="str">
        <x:v>성인은 1회 2~4매를 식후 또는 자기 전에 필요시 혀 위에 놓고 녹여서 복용합니다.1일 8매를 초과하여 복용하지 않아야 하며, 녹은 후에는 입안에 머금지 않고 바로 삼키도록 합니다.</x:v>
      </x:c>
      <x:c r="J1352" s="8" t="str">
        <x:v>가스제로구강필름(시메치콘) [품목기준코드 201604859]</x:v>
      </x:c>
      <x:c r="K1352" s="8" t="str">
        <x:v>식품의약품안전처 의약품개요정보(e약은요) OpenAPI
https://apis.data.go.kr/1471000/DrbEasyDrugInfoService/getDrbEasyDrugList</x:v>
      </x:c>
    </x:row>
    <x:row r="1353" ht="62" customHeight="1">
      <x:c r="A1353" s="9" t="n">
        <x:v>1352</x:v>
      </x:c>
      <x:c r="B1353" s="6" t="str">
        <x:v>최종 평가</x:v>
      </x:c>
      <x:c r="C1353" s="6" t="str">
        <x:v>복약</x:v>
      </x:c>
      <x:c r="D1353" s="6" t="str">
        <x:v>용어·정의</x:v>
      </x:c>
      <x:c r="E1353" s="6" t="str">
        <x:v>답변 가능</x:v>
      </x:c>
      <x:c r="F1353" s="6" t="str">
        <x:v>쉬움</x:v>
      </x:c>
      <x:c r="G1353" s="8" t="str">
        <x:v>엘도에스캡슐(에르도스테인)은 어떤 약인가요?</x:v>
      </x:c>
      <x:c r="H1353" s="8" t="str">
        <x:v>엘도에스캡슐(에르도스테인)은 맥널티제약(주)의 의약품으로, e약은요에는 다음과 같이 안내되어 있습니다. 이 약은 급성 및 만성 호흡기질환에서의 점액용해 및 거담에 사용합니다.</x:v>
      </x:c>
      <x:c r="I1353" s="8" t="str">
        <x:v>제품명: 엘도에스캡슐(에르도스테인) 업체명: 맥널티제약(주) 효능: 이 약은 급성 및 만성 호흡기질환에서의 점액용해 및 거담에 사용합니다.</x:v>
      </x:c>
      <x:c r="J1353" s="8" t="str">
        <x:v>엘도에스캡슐(에르도스테인) [품목기준코드 201906089]</x:v>
      </x:c>
      <x:c r="K1353" s="8" t="str">
        <x:v>식품의약품안전처 의약품개요정보(e약은요) OpenAPI
https://apis.data.go.kr/1471000/DrbEasyDrugInfoService/getDrbEasyDrugList</x:v>
      </x:c>
    </x:row>
    <x:row r="1354" ht="62" customHeight="1">
      <x:c r="A1354" s="9" t="n">
        <x:v>1353</x:v>
      </x:c>
      <x:c r="B1354" s="6" t="str">
        <x:v>최종 평가</x:v>
      </x:c>
      <x:c r="C1354" s="6" t="str">
        <x:v>복약</x:v>
      </x:c>
      <x:c r="D1354" s="6" t="str">
        <x:v>증상·이상반응</x:v>
      </x:c>
      <x:c r="E1354" s="6" t="str">
        <x:v>답변 가능</x:v>
      </x:c>
      <x:c r="F1354" s="6" t="str">
        <x:v>쉬움</x:v>
      </x:c>
      <x:c r="G1354" s="8" t="str">
        <x:v>국제아시클로버크림을 사용하면 어떤 부작용이 생길 수 있나요?</x:v>
      </x:c>
      <x:c r="H1354" s="8" t="str">
        <x:v>e약은요에는 다음과 같은 이상반응이 안내되어 있습니다. 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x:v>
      </x:c>
      <x:c r="I1354" s="8" t="str">
        <x:v>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x:v>
      </x:c>
      <x:c r="J1354" s="8" t="str">
        <x:v>국제아시클로버크림 [품목기준코드 199700530]</x:v>
      </x:c>
      <x:c r="K1354" s="8" t="str">
        <x:v>식품의약품안전처 의약품개요정보(e약은요) OpenAPI
https://apis.data.go.kr/1471000/DrbEasyDrugInfoService/getDrbEasyDrugList</x:v>
      </x:c>
    </x:row>
    <x:row r="1355" ht="62" customHeight="1">
      <x:c r="A1355" s="9" t="n">
        <x:v>1354</x:v>
      </x:c>
      <x:c r="B1355" s="6" t="str">
        <x:v>최종 평가</x:v>
      </x:c>
      <x:c r="C1355" s="6" t="str">
        <x:v>복약</x:v>
      </x:c>
      <x:c r="D1355" s="6" t="str">
        <x:v>용어·정의</x:v>
      </x:c>
      <x:c r="E1355" s="6" t="str">
        <x:v>답변 가능</x:v>
      </x:c>
      <x:c r="F1355" s="6" t="str">
        <x:v>쉬움</x:v>
      </x:c>
      <x:c r="G1355" s="8" t="str">
        <x:v>마하펜연질캡슐(아세트아미노펜)은 어떤 약인가요?</x:v>
      </x:c>
      <x:c r="H1355" s="8" t="str">
        <x:v>마하펜연질캡슐(아세트아미노펜)은 일양바이오팜(주)의 의약품으로, e약은요에는 다음과 같이 안내되어 있습니다. 이 약은 감기로 인한 발열 및 동통(통증), 두통, 신경통, 근육통, 월경통, 염좌통(삔 통증)과 치통, 관절통, 류마티양 동통(통증)에 사용합니다.</x:v>
      </x:c>
      <x:c r="I1355" s="8" t="str">
        <x:v>제품명: 마하펜연질캡슐(아세트아미노펜) 업체명: 일양바이오팜(주) 효능: 이 약은 감기로 인한 발열 및 동통(통증), 두통, 신경통, 근육통, 월경통, 염좌통(삔 통증)과 치통, 관절통, 류마티양 동통(통증)에 사용합니다.</x:v>
      </x:c>
      <x:c r="J1355" s="8" t="str">
        <x:v>마하펜연질캡슐(아세트아미노펜) [품목기준코드 201904215]</x:v>
      </x:c>
      <x:c r="K1355" s="8" t="str">
        <x:v>식품의약품안전처 의약품개요정보(e약은요) OpenAPI
https://apis.data.go.kr/1471000/DrbEasyDrugInfoService/getDrbEasyDrugList</x:v>
      </x:c>
    </x:row>
    <x:row r="1356" ht="62" customHeight="1">
      <x:c r="A1356" s="9" t="n">
        <x:v>1355</x:v>
      </x:c>
      <x:c r="B1356" s="6" t="str">
        <x:v>최종 평가</x:v>
      </x:c>
      <x:c r="C1356" s="6" t="str">
        <x:v>복약</x:v>
      </x:c>
      <x:c r="D1356" s="6" t="str">
        <x:v>효능·사용목적</x:v>
      </x:c>
      <x:c r="E1356" s="6" t="str">
        <x:v>답변 가능</x:v>
      </x:c>
      <x:c r="F1356" s="6" t="str">
        <x:v>쉬움</x:v>
      </x:c>
      <x:c r="G1356" s="8" t="str">
        <x:v>이브400원큐에스연질캡슐(이부프로펜)은 어떤 증상이나 질환에 사용하는 약인가요?</x:v>
      </x:c>
      <x:c r="H1356" s="8" t="str">
        <x:v>이 약은 감기로 인한 발열 및 동통(통증), 요통, 생리통, 류마티양 관절염, 연소성 류마티양 관절염, 골관절염(퇴행성 관절질환), 수술후 동통(통증), 두통, 편두통, 치통, 근육통, 신경통, 강직성 척추염, 급성통풍, 건선(마른비늘증)성 관절염, 연조직손상(염좌(삠), 좌상(타박상)), 비관절 류마티스질환(건염(힘줄염), 건초염(힘줄윤활막염), 활액(윤활)낭염)에 사용합니다.</x:v>
      </x:c>
      <x:c r="I1356" s="8" t="str">
        <x:v>이 약은 감기로 인한 발열 및 동통(통증), 요통, 생리통, 류마티양 관절염, 연소성 류마티양 관절염, 골관절염(퇴행성 관절질환), 수술후 동통(통증), 두통, 편두통, 치통, 근육통, 신경통, 강직성 척추염, 급성통풍, 건선(마른비늘증)성 관절염, 연조직손상(염좌(삠), 좌상(타박상)), 비관절 류마티스질환(건염(힘줄염), 건초염(힘줄윤활막염), 활액(윤활)낭염)에 사용합니다.</x:v>
      </x:c>
      <x:c r="J1356" s="8" t="str">
        <x:v>이브400원큐에스연질캡슐(이부프로펜) [품목기준코드 202400730]</x:v>
      </x:c>
      <x:c r="K1356" s="8" t="str">
        <x:v>식품의약품안전처 의약품개요정보(e약은요) OpenAPI
https://apis.data.go.kr/1471000/DrbEasyDrugInfoService/getDrbEasyDrugList</x:v>
      </x:c>
    </x:row>
    <x:row r="1357" ht="62" customHeight="1">
      <x:c r="A1357" s="9" t="n">
        <x:v>1356</x:v>
      </x:c>
      <x:c r="B1357" s="6" t="str">
        <x:v>최종 평가</x:v>
      </x:c>
      <x:c r="C1357" s="6" t="str">
        <x:v>복약</x:v>
      </x:c>
      <x:c r="D1357" s="6" t="str">
        <x:v>증상→대상 구분</x:v>
      </x:c>
      <x:c r="E1357" s="6" t="str">
        <x:v>답변 가능</x:v>
      </x:c>
      <x:c r="F1357" s="6" t="str">
        <x:v>어려움</x:v>
      </x:c>
      <x:c r="G1357" s="8" t="str">
        <x:v>동의고카타플라스마(수출명:coolrunning)을 사용한 뒤 발진이 생겼는데, 이 약의 부작용으로 안내되어 있나요?</x:v>
      </x:c>
      <x:c r="H1357" s="8" t="str">
        <x:v>발진은 이 제품의 e약은요 부작용 항목에 기재되어 있습니다. 다만 이 정보만으로 현재 증상의 원인이 해당 약이라고 확정할 수는 없습니다.</x:v>
      </x:c>
      <x:c r="I1357" s="8" t="str">
        <x:v>발진ㆍ발적(충혈되어 붉어짐), 가려움, 부종 등이 나타나는 경우 사용을 즉각 중지하고 의사 또는 약사와 상의하십시오.</x:v>
      </x:c>
      <x:c r="J1357" s="8" t="str">
        <x:v>동의고카타플라스마(수출명:coolrunning) [품목기준코드 200607950]</x:v>
      </x:c>
      <x:c r="K1357" s="8" t="str">
        <x:v>식품의약품안전처 의약품개요정보(e약은요) OpenAPI
https://apis.data.go.kr/1471000/DrbEasyDrugInfoService/getDrbEasyDrugList</x:v>
      </x:c>
    </x:row>
    <x:row r="1358" ht="62" customHeight="1">
      <x:c r="A1358" s="9" t="n">
        <x:v>1357</x:v>
      </x:c>
      <x:c r="B1358" s="6" t="str">
        <x:v>최종 평가</x:v>
      </x:c>
      <x:c r="C1358" s="6" t="str">
        <x:v>복약</x:v>
      </x:c>
      <x:c r="D1358" s="6" t="str">
        <x:v>금기·경고</x:v>
      </x:c>
      <x:c r="E1358" s="6" t="str">
        <x:v>답변 가능</x:v>
      </x:c>
      <x:c r="F1358" s="6" t="str">
        <x:v>쉬움</x:v>
      </x:c>
      <x:c r="G1358" s="8" t="str">
        <x:v>카베진코와알파정을 사용하면 안 되거나 반드시 확인해야 할 경고사항은 무엇인가요?</x:v>
      </x:c>
      <x:c r="H1358" s="8" t="str">
        <x:v>만 7세 이하의 어린이, 수유중인 사람은 이 약을 복용하지 마십시오.이 약을 복용하기 전에 이 약에 과민증 환자, 임부 또는 임신하고 있을 가능성이 있는 여성, 위장관질환, 신장장애, 심장장애, 녹내장 또는 배뇨장애, 갑상선기능장애 환자 또는 고령자, 고 마그네슘 혈증 환자, 알레르기 증상(발진, 충혈되어 붉어짐, 가려움 등)경험자는 의사 또는 약사와 상의하십시오.정해진 용법과 용량을 잘 지키십시오.어린이에게 투여할 경우 보호자의 지도 감독하에 투여하십시오.이 약의 복용으로 인하여 모유의 분비가 힘들어질 수 있습니다.이 약에는 메틸메티오닌설포늄염화물이 배합되어 있어 특유의 냄새가 있습니다.</x:v>
      </x:c>
      <x:c r="I1358" s="8" t="str">
        <x:v>만 7세 이하의 어린이, 수유중인 사람은 이 약을 복용하지 마십시오.이 약을 복용하기 전에 이 약에 과민증 환자, 임부 또는 임신하고 있을 가능성이 있는 여성, 위장관질환, 신장장애, 심장장애, 녹내장 또는 배뇨장애, 갑상선기능장애 환자 또는 고령자, 고 마그네슘 혈증 환자, 알레르기 증상(발진, 충혈되어 붉어짐, 가려움 등)경험자는 의사 또는 약사와 상의하십시오.정해진 용법과 용량을 잘 지키십시오.어린이에게 투여할 경우 보호자의 지도 감독하에 투여하십시오.이 약의 복용으로 인하여 모유의 분비가 힘들어질 수 있습니다.이 약에는 메틸메티오닌설포늄염화물이 배합되어 있어 특유의 냄새가 있습니다.</x:v>
      </x:c>
      <x:c r="J1358" s="8" t="str">
        <x:v>카베진코와알파정 [품목기준코드 201803907]</x:v>
      </x:c>
      <x:c r="K1358" s="8" t="str">
        <x:v>식품의약품안전처 의약품개요정보(e약은요) OpenAPI
https://apis.data.go.kr/1471000/DrbEasyDrugInfoService/getDrbEasyDrugList</x:v>
      </x:c>
    </x:row>
    <x:row r="1359" ht="62" customHeight="1">
      <x:c r="A1359" s="9" t="n">
        <x:v>1358</x:v>
      </x:c>
      <x:c r="B1359" s="6" t="str">
        <x:v>최종 평가</x:v>
      </x:c>
      <x:c r="C1359" s="6" t="str">
        <x:v>복약</x:v>
      </x:c>
      <x:c r="D1359" s="6" t="str">
        <x:v>원인·위험요인</x:v>
      </x:c>
      <x:c r="E1359" s="6" t="str">
        <x:v>답변 가능</x:v>
      </x:c>
      <x:c r="F1359" s="6" t="str">
        <x:v>쉬움</x:v>
      </x:c>
      <x:c r="G1359" s="8" t="str">
        <x:v>락토필캡슐300밀리그램(락토바실루스아시도필루스균)을 사용하기 전에 특히 조심해야 하는 사람은 누구인가요?</x:v>
      </x:c>
      <x:c r="H1359" s="8" t="str">
        <x:v>이 제품을 사용하기 전에 특히 확인해야 할 대상과 상황은 다음과 같습니다. 면역체계가 손상된 환자(후천성면역결핍증후군(AIDS), 백혈병, 악성종양, 장기이식, 방사선 치료, 화학요법, 장기간의 고용량 스테로이드 치료 후), 고열을 동반하거나 혈액이 섞인 설사가 있는 1세 미만의 소아, 갈락토오스 불내성, Lapp 유당분해효소 결핍증 또는 포도당-갈락토오스 흡수장애 등의 유전적인 문제가 있는 환자는 이 약을 복용하지 마십시오.이 약을 복용하기 전에 황색5호 과민증 환자는 의사 또는 약사와 상의하십시오.정해진 용법과 용량을 잘 지키십시오.어린이에게 투여할 경우 보호자의 지도 감독하에 투여하십시오.</x:v>
      </x:c>
      <x:c r="I1359" s="8" t="str">
        <x:v>면역체계가 손상된 환자(후천성면역결핍증후군(AIDS), 백혈병, 악성종양, 장기이식, 방사선 치료, 화학요법, 장기간의 고용량 스테로이드 치료 후), 고열을 동반하거나 혈액이 섞인 설사가 있는 1세 미만의 소아, 갈락토오스 불내성, Lapp 유당분해효소 결핍증 또는 포도당-갈락토오스 흡수장애 등의 유전적인 문제가 있는 환자는 이 약을 복용하지 마십시오.이 약을 복용하기 전에 황색5호 과민증 환자는 의사 또는 약사와 상의하십시오.정해진 용법과 용량을 잘 지키십시오.어린이에게 투여할 경우 보호자의 지도 감독하에 투여하십시오.</x:v>
      </x:c>
      <x:c r="J1359" s="8" t="str">
        <x:v>락토필캡슐300밀리그램(락토바실루스아시도필루스균) [품목기준코드 201801769]</x:v>
      </x:c>
      <x:c r="K1359" s="8" t="str">
        <x:v>식품의약품안전처 의약품개요정보(e약은요) OpenAPI
https://apis.data.go.kr/1471000/DrbEasyDrugInfoService/getDrbEasyDrugList</x:v>
      </x:c>
    </x:row>
    <x:row r="1360" ht="62" customHeight="1">
      <x:c r="A1360" s="9" t="n">
        <x:v>1359</x:v>
      </x:c>
      <x:c r="B1360" s="6" t="str">
        <x:v>최종 평가</x:v>
      </x:c>
      <x:c r="C1360" s="6" t="str">
        <x:v>복약</x:v>
      </x:c>
      <x:c r="D1360" s="6" t="str">
        <x:v>용어·정의</x:v>
      </x:c>
      <x:c r="E1360" s="6" t="str">
        <x:v>답변 가능</x:v>
      </x:c>
      <x:c r="F1360" s="6" t="str">
        <x:v>쉬움</x:v>
      </x:c>
      <x:c r="G1360" s="8" t="str">
        <x:v>모드콜노즈시럽은 어떤 약인가요?</x:v>
      </x:c>
      <x:c r="H1360" s="8" t="str">
        <x:v>모드콜노즈시럽은 (주)종근당의 의약품으로, e약은요에는 다음과 같이 안내되어 있습니다. 이 약은 눈의 가려움, 눈물, 콧물, 코 또는 인후(목구멍)의가려움, 재채기, 코막힘 및 부비동 울혈의 일시적 완화에 사용합니다.</x:v>
      </x:c>
      <x:c r="I1360" s="8" t="str">
        <x:v>제품명: 모드콜노즈시럽 업체명: (주)종근당 효능: 이 약은 눈의 가려움, 눈물, 콧물, 코 또는 인후(목구멍)의가려움, 재채기, 코막힘 및 부비동 울혈의 일시적 완화에 사용합니다.</x:v>
      </x:c>
      <x:c r="J1360" s="8" t="str">
        <x:v>모드콜노즈시럽 [품목기준코드 202007833]</x:v>
      </x:c>
      <x:c r="K1360" s="8" t="str">
        <x:v>식품의약품안전처 의약품개요정보(e약은요) OpenAPI
https://apis.data.go.kr/1471000/DrbEasyDrugInfoService/getDrbEasyDrugList</x:v>
      </x:c>
    </x:row>
    <x:row r="1361" ht="62" customHeight="1">
      <x:c r="A1361" s="9" t="n">
        <x:v>1360</x:v>
      </x:c>
      <x:c r="B1361" s="6" t="str">
        <x:v>최종 평가</x:v>
      </x:c>
      <x:c r="C1361" s="6" t="str">
        <x:v>복약</x:v>
      </x:c>
      <x:c r="D1361" s="6" t="str">
        <x:v>효능·사용목적</x:v>
      </x:c>
      <x:c r="E1361" s="6" t="str">
        <x:v>답변 가능</x:v>
      </x:c>
      <x:c r="F1361" s="6" t="str">
        <x:v>쉬움</x:v>
      </x:c>
      <x:c r="G1361" s="8" t="str">
        <x:v>브레노즈연질캡슐은 어떤 증상이나 질환에 사용하는 약인가요?</x:v>
      </x:c>
      <x:c r="H1361" s="8" t="str">
        <x:v>이 약은 감기의 여러 증상(콧물, 코막힘, 재채기, 인후통, 오한, 발열, 두통, 관절통, 근육통)의 완화에 사용합니다.</x:v>
      </x:c>
      <x:c r="I1361" s="8" t="str">
        <x:v>이 약은 감기의 여러 증상(콧물, 코막힘, 재채기, 인후통, 오한, 발열, 두통, 관절통, 근육통)의 완화에 사용합니다.</x:v>
      </x:c>
      <x:c r="J1361" s="8" t="str">
        <x:v>브레노즈연질캡슐 [품목기준코드 201504861]</x:v>
      </x:c>
      <x:c r="K1361" s="8" t="str">
        <x:v>식품의약품안전처 의약품개요정보(e약은요) OpenAPI
https://apis.data.go.kr/1471000/DrbEasyDrugInfoService/getDrbEasyDrugList</x:v>
      </x:c>
    </x:row>
    <x:row r="1362" ht="62" customHeight="1">
      <x:c r="A1362" s="9" t="n">
        <x:v>1361</x:v>
      </x:c>
      <x:c r="B1362" s="6" t="str">
        <x:v>최종 평가</x:v>
      </x:c>
      <x:c r="C1362" s="6" t="str">
        <x:v>복약</x:v>
      </x:c>
      <x:c r="D1362" s="6" t="str">
        <x:v>보관·관리</x:v>
      </x:c>
      <x:c r="E1362" s="6" t="str">
        <x:v>답변 가능</x:v>
      </x:c>
      <x:c r="F1362" s="6" t="str">
        <x:v>쉬움</x:v>
      </x:c>
      <x:c r="G1362" s="8" t="str">
        <x:v>디알클리어점안액(카르복시메틸셀룰로오스나트륨)(1회용)은 어떻게 보관해야 하나요?</x:v>
      </x:c>
      <x:c r="H1362" s="8" t="str">
        <x:v>상온에서 보관하십시오. 어린이의 손이 닿지 않는 곳에 보관하십시오.</x:v>
      </x:c>
      <x:c r="I1362" s="8" t="str">
        <x:v>상온에서 보관하십시오. 어린이의 손이 닿지 않는 곳에 보관하십시오.</x:v>
      </x:c>
      <x:c r="J1362" s="8" t="str">
        <x:v>디알클리어점안액(카르복시메틸셀룰로오스나트륨)(1회용) [품목기준코드 200708107]</x:v>
      </x:c>
      <x:c r="K1362" s="8" t="str">
        <x:v>식품의약품안전처 의약품개요정보(e약은요) OpenAPI
https://apis.data.go.kr/1471000/DrbEasyDrugInfoService/getDrbEasyDrugList</x:v>
      </x:c>
    </x:row>
    <x:row r="1363" ht="62" customHeight="1">
      <x:c r="A1363" s="9" t="n">
        <x:v>1362</x:v>
      </x:c>
      <x:c r="B1363" s="6" t="str">
        <x:v>최종 평가</x:v>
      </x:c>
      <x:c r="C1363" s="6" t="str">
        <x:v>복약</x:v>
      </x:c>
      <x:c r="D1363" s="6" t="str">
        <x:v>보관·관리</x:v>
      </x:c>
      <x:c r="E1363" s="6" t="str">
        <x:v>답변 가능</x:v>
      </x:c>
      <x:c r="F1363" s="6" t="str">
        <x:v>쉬움</x:v>
      </x:c>
      <x:c r="G1363" s="8" t="str">
        <x:v>니자티드정(니자티딘)은 어떻게 보관해야 하나요?</x:v>
      </x:c>
      <x:c r="H1363" s="8" t="str">
        <x:v>실온에서 보관하십시오.어린이의 손이 닿지 않는 곳에 보관하십시오.</x:v>
      </x:c>
      <x:c r="I1363" s="8" t="str">
        <x:v>실온에서 보관하십시오.어린이의 손이 닿지 않는 곳에 보관하십시오.</x:v>
      </x:c>
      <x:c r="J1363" s="8" t="str">
        <x:v>니자티드정(니자티딘) [품목기준코드 200501559]</x:v>
      </x:c>
      <x:c r="K1363" s="8" t="str">
        <x:v>식품의약품안전처 의약품개요정보(e약은요) OpenAPI
https://apis.data.go.kr/1471000/DrbEasyDrugInfoService/getDrbEasyDrugList</x:v>
      </x:c>
    </x:row>
    <x:row r="1364" ht="62" customHeight="1">
      <x:c r="A1364" s="9" t="n">
        <x:v>1363</x:v>
      </x:c>
      <x:c r="B1364" s="6" t="str">
        <x:v>최종 평가</x:v>
      </x:c>
      <x:c r="C1364" s="6" t="str">
        <x:v>복약</x:v>
      </x:c>
      <x:c r="D1364" s="6" t="str">
        <x:v>원인·위험요인</x:v>
      </x:c>
      <x:c r="E1364" s="6" t="str">
        <x:v>답변 가능</x:v>
      </x:c>
      <x:c r="F1364" s="6" t="str">
        <x:v>보통</x:v>
      </x:c>
      <x:c r="G1364" s="8" t="str">
        <x:v>미리콜연질캡슐을 사용하기 전에 특히 조심해야 하는 사람은 누구인가요?</x:v>
      </x:c>
      <x:c r="H1364" s="8" t="str">
        <x:v>이 제품을 사용하기 전에 특히 확인해야 할 대상과 상황은 다음과 같습니다. 이 약에 과민증 환자 또는 경험자, 다른 해열진통제, 감기약 복용 시 천식 경험자, 만 3개월 미만의 영아, 중증 또는 조절되지 않는 고혈압 환자, 임신 30주 이후는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황색5호 과민증 환자는 의사 또는 약사와 상의하십시오. 5~6회 복용하여도 증상의 개선이 없을 경우 복용을 즉각 중지하고 의사 또는 약사와 상의하십시오.</x:v>
      </x:c>
      <x:c r="I1364" s="8" t="str">
        <x:v>이 약에 과민증 환자 또는 경험자, 다른 해열진통제, 감기약 복용 시 천식 경험자, 만 3개월 미만의 영아, 중증 또는 조절되지 않는 고혈압 환자, 임신 30주 이후는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황색5호 과민증 환자는 의사 또는 약사와 상의하십시오. 5~6회 복용하여도 증상의 개선이 없을 경우 복용을 즉각 중지하고 의사 또는 약사와 상의하십시오.</x:v>
      </x:c>
      <x:c r="J1364" s="8" t="str">
        <x:v>미리콜연질캡슐 [품목기준코드 201102618]</x:v>
      </x:c>
      <x:c r="K1364" s="8" t="str">
        <x:v>식품의약품안전처 의약품개요정보(e약은요) OpenAPI
https://apis.data.go.kr/1471000/DrbEasyDrugInfoService/getDrbEasyDrugList</x:v>
      </x:c>
    </x:row>
    <x:row r="1365" ht="62" customHeight="1">
      <x:c r="A1365" s="9" t="n">
        <x:v>1364</x:v>
      </x:c>
      <x:c r="B1365" s="6" t="str">
        <x:v>최종 평가</x:v>
      </x:c>
      <x:c r="C1365" s="6" t="str">
        <x:v>복약</x:v>
      </x:c>
      <x:c r="D1365" s="6" t="str">
        <x:v>효능·사용목적</x:v>
      </x:c>
      <x:c r="E1365" s="6" t="str">
        <x:v>답변 가능</x:v>
      </x:c>
      <x:c r="F1365" s="6" t="str">
        <x:v>쉬움</x:v>
      </x:c>
      <x:c r="G1365" s="8" t="str">
        <x:v>화이투벤큐플러스노즈연질캡슐은 어떤 증상이나 질환에 사용하는 약인가요?</x:v>
      </x:c>
      <x:c r="H1365" s="8" t="str">
        <x:v>이 약은 감기의 제증상(여러 증상)(콧물, 코막힘, 재채기, 인후(목구멍)통, 기침, 가래, 오한(춥고 떨리는 증상), 발열, 두통, 관절통, 근육통)의 완화에 사용합니다.</x:v>
      </x:c>
      <x:c r="I1365" s="8" t="str">
        <x:v>이 약은 감기의 제증상(여러 증상)(콧물, 코막힘, 재채기, 인후(목구멍)통, 기침, 가래, 오한(춥고 떨리는 증상), 발열, 두통, 관절통, 근육통)의 완화에 사용합니다.</x:v>
      </x:c>
      <x:c r="J1365" s="8" t="str">
        <x:v>화이투벤큐플러스노즈연질캡슐 [품목기준코드 202300078]</x:v>
      </x:c>
      <x:c r="K1365" s="8" t="str">
        <x:v>식품의약품안전처 의약품개요정보(e약은요) OpenAPI
https://apis.data.go.kr/1471000/DrbEasyDrugInfoService/getDrbEasyDrugList</x:v>
      </x:c>
    </x:row>
    <x:row r="1366" ht="62" customHeight="1">
      <x:c r="A1366" s="9" t="n">
        <x:v>1365</x:v>
      </x:c>
      <x:c r="B1366" s="6" t="str">
        <x:v>최종 평가</x:v>
      </x:c>
      <x:c r="C1366" s="6" t="str">
        <x:v>복약</x:v>
      </x:c>
      <x:c r="D1366" s="6" t="str">
        <x:v>대상별 정보</x:v>
      </x:c>
      <x:c r="E1366" s="6" t="str">
        <x:v>답변 가능</x:v>
      </x:c>
      <x:c r="F1366" s="6" t="str">
        <x:v>쉬움</x:v>
      </x:c>
      <x:c r="G1366" s="8" t="str">
        <x:v>임신 또는 수유 중에 씨엠지마그액을 사용해도 되나요?</x:v>
      </x:c>
      <x:c r="H1366" s="8" t="str">
        <x:v>e약은요에서 임신 또는 수유 중인 사람과 관련해 안내한 내용은 다음과 같습니다. 이 약을 복용하기 전에 임부 및 임신하고 있을 가능성이 있는 여성, 수유부, 미숙아, 유아, 심장 및 순환기계기능 장애, 신장장애 환자, 저단백혈증 환자, 카라멜 과민증 환자 또는 경험자는 의사 또는 약사와 상의하십시오.</x:v>
      </x:c>
      <x:c r="I1366" s="8" t="str">
        <x:v>이 약을 복용하기 전에 임부 및 임신하고 있을 가능성이 있는 여성, 수유부, 미숙아, 유아, 심장 및 순환기계기능 장애, 신장장애 환자, 저단백혈증 환자, 카라멜 과민증 환자 또는 경험자는 의사 또는 약사와 상의하십시오.</x:v>
      </x:c>
      <x:c r="J1366" s="8" t="str">
        <x:v>씨엠지마그액 [품목기준코드 202302769]</x:v>
      </x:c>
      <x:c r="K1366" s="8" t="str">
        <x:v>식품의약품안전처 의약품개요정보(e약은요) OpenAPI
https://apis.data.go.kr/1471000/DrbEasyDrugInfoService/getDrbEasyDrugList</x:v>
      </x:c>
    </x:row>
    <x:row r="1367" ht="62" customHeight="1">
      <x:c r="A1367" s="9" t="n">
        <x:v>1366</x:v>
      </x:c>
      <x:c r="B1367" s="6" t="str">
        <x:v>최종 평가</x:v>
      </x:c>
      <x:c r="C1367" s="6" t="str">
        <x:v>복약</x:v>
      </x:c>
      <x:c r="D1367" s="6" t="str">
        <x:v>답변불가·개인 복용 판단</x:v>
      </x:c>
      <x:c r="E1367" s="6" t="str">
        <x:v>답변 거부</x:v>
      </x:c>
      <x:c r="F1367" s="6" t="str">
        <x:v>어려움</x:v>
      </x:c>
      <x:c r="G1367" s="8" t="str">
        <x:v>제 건강 상태를 따로 확인하지 않고 아크클리어크림을 지금 먹어도 되는지 결정해 주세요.</x:v>
      </x:c>
      <x:c r="H1367" s="8" t="str">
        <x:v>제공된 e약은요 VDB만으로 개인의 건강 상태를 반영한 복용 가능 여부를 결정할 수 없습니다. 의사 또는 약사와 상담해야 합니다.</x:v>
      </x:c>
      <x:c r="I1367" s="8" t="str">
        <x:v>VDB 범위 밖 질문 — 근거 없음</x:v>
      </x:c>
      <x:c r="J1367" s="8" t="str">
        <x:v>아크클리어크림 [품목기준코드 202203168]</x:v>
      </x:c>
      <x:c r="K1367" s="8" t="str">
        <x:v>식품의약품안전처 의약품개요정보(e약은요) OpenAPI
https://apis.data.go.kr/1471000/DrbEasyDrugInfoService/getDrbEasyDrugList</x:v>
      </x:c>
    </x:row>
    <x:row r="1368" ht="62" customHeight="1">
      <x:c r="A1368" s="9" t="n">
        <x:v>1367</x:v>
      </x:c>
      <x:c r="B1368" s="6" t="str">
        <x:v>최종 평가</x:v>
      </x:c>
      <x:c r="C1368" s="6" t="str">
        <x:v>복약</x:v>
      </x:c>
      <x:c r="D1368" s="6" t="str">
        <x:v>금기·경고</x:v>
      </x:c>
      <x:c r="E1368" s="6" t="str">
        <x:v>답변 가능</x:v>
      </x:c>
      <x:c r="F1368" s="6" t="str">
        <x:v>쉬움</x:v>
      </x:c>
      <x:c r="G1368" s="8" t="str">
        <x:v>덴탑플러스캡슐을 사용하면 안 되거나 반드시 확인해야 할 경고사항은 무엇인가요?</x:v>
      </x:c>
      <x:c r="H1368" s="8" t="str">
        <x:v>15세 미만의 소아는 이 약을 복용하지 마십시오.이 약을 복용하기 전에 약, 화장품 또는 달걀에 과민증, 알레르기 증상(발열, 발진, 관절통, 천식, 가려움 등) 경험자, 알레르기 체질인 사람, 황색5호에 과민증 환자 또는 경험자는 의사 또는 약사와 상의하십시오.정해진 용법과 용량을 잘 지키십시오.1개월 이상 복용하여도 증상의 개선이 없을 경우 복용을 즉각 중지하고 의사 또는 약사와 상의하십시오.</x:v>
      </x:c>
      <x:c r="I1368" s="8" t="str">
        <x:v>15세 미만의 소아는 이 약을 복용하지 마십시오.이 약을 복용하기 전에 약, 화장품 또는 달걀에 과민증, 알레르기 증상(발열, 발진, 관절통, 천식, 가려움 등) 경험자, 알레르기 체질인 사람, 황색5호에 과민증 환자 또는 경험자는 의사 또는 약사와 상의하십시오.정해진 용법과 용량을 잘 지키십시오.1개월 이상 복용하여도 증상의 개선이 없을 경우 복용을 즉각 중지하고 의사 또는 약사와 상의하십시오.</x:v>
      </x:c>
      <x:c r="J1368" s="8" t="str">
        <x:v>덴탑플러스캡슐 [품목기준코드 200906301]</x:v>
      </x:c>
      <x:c r="K1368" s="8" t="str">
        <x:v>식품의약품안전처 의약품개요정보(e약은요) OpenAPI
https://apis.data.go.kr/1471000/DrbEasyDrugInfoService/getDrbEasyDrugList</x:v>
      </x:c>
    </x:row>
    <x:row r="1369" ht="62" customHeight="1">
      <x:c r="A1369" s="9" t="n">
        <x:v>1368</x:v>
      </x:c>
      <x:c r="B1369" s="6" t="str">
        <x:v>최종 평가</x:v>
      </x:c>
      <x:c r="C1369" s="6" t="str">
        <x:v>복약</x:v>
      </x:c>
      <x:c r="D1369" s="6" t="str">
        <x:v>원인·위험요인</x:v>
      </x:c>
      <x:c r="E1369" s="6" t="str">
        <x:v>답변 가능</x:v>
      </x:c>
      <x:c r="F1369" s="6" t="str">
        <x:v>보통</x:v>
      </x:c>
      <x:c r="G1369" s="8" t="str">
        <x:v>메코마그빅정을 사용하기 전에 특히 조심해야 하는 사람은 누구인가요?</x:v>
      </x:c>
      <x:c r="H1369" s="8" t="str">
        <x:v>이 제품을 사용하기 전에 특히 확인해야 할 대상과 상황은 다음과 같습니다. 이 약에 과민증 환자, 콩 또는 땅콩에 과민증 환자, 대두유에 알레르기 반응 경험자, 12개월 미만의 젖먹이, 심한 증상의 신부전 환자는 이 약을 복용하지 마십시오. 이 약을 복용하기 전에 임부 및 임신하고 있을 가능성이 있는 여성, 수유부, 미숙아, 유아, 소화성궤양, 만성궤양성대장염, 국한성대장염 등의 위장질환, 심장∙순환기계기능 장애, 신장장애, 저단백혈증 환자, 고지단백혈증, 당뇨병성고지질혈증 및 췌장(이자)염 등 지방대사 이상 환자 또는 지질성 유제를 신중히 투여해야 하는 환자, 지방과부하로 특별한 위험이 예상되는 환자, 폴산이 부족한 환자는 의사 또는 약사와 상의하십시오. 1개월 정도 복용하여도 증상의 개선이 없을 경우 사용을 즉각 중지하고 의사 또는 약사와 상의하십시오.</x:v>
      </x:c>
      <x:c r="I1369" s="8" t="str">
        <x:v>이 약에 과민증 환자, 콩 또는 땅콩에 과민증 환자, 대두유에 알레르기 반응 경험자, 12개월 미만의 젖먹이, 심한 증상의 신부전 환자는 이 약을 복용하지 마십시오. 이 약을 복용하기 전에 임부 및 임신하고 있을 가능성이 있는 여성, 수유부, 미숙아, 유아, 소화성궤양, 만성궤양성대장염, 국한성대장염 등의 위장질환, 심장∙순환기계기능 장애, 신장장애, 저단백혈증 환자, 고지단백혈증, 당뇨병성고지질혈증 및 췌장(이자)염 등 지방대사 이상 환자 또는 지질성 유제를 신중히 투여해야 하는 환자, 지방과부하로 특별한 위험이 예상되는 환자, 폴산이 부족한 환자는 의사 또는 약사와 상의하십시오. 1개월 정도 복용하여도 증상의 개선이 없을 경우 사용을 즉각 중지하고 의사 또는 약사와 상의하십시오.</x:v>
      </x:c>
      <x:c r="J1369" s="8" t="str">
        <x:v>메코마그빅정 [품목기준코드 202301270]</x:v>
      </x:c>
      <x:c r="K1369" s="8" t="str">
        <x:v>식품의약품안전처 의약품개요정보(e약은요) OpenAPI
https://apis.data.go.kr/1471000/DrbEasyDrugInfoService/getDrbEasyDrugList</x:v>
      </x:c>
    </x:row>
    <x:row r="1370" ht="62" customHeight="1">
      <x:c r="A1370" s="9" t="n">
        <x:v>1369</x:v>
      </x:c>
      <x:c r="B1370" s="6" t="str">
        <x:v>최종 평가</x:v>
      </x:c>
      <x:c r="C1370" s="6" t="str">
        <x:v>복약</x:v>
      </x:c>
      <x:c r="D1370" s="6" t="str">
        <x:v>용어·정의</x:v>
      </x:c>
      <x:c r="E1370" s="6" t="str">
        <x:v>답변 가능</x:v>
      </x:c>
      <x:c r="F1370" s="6" t="str">
        <x:v>쉬움</x:v>
      </x:c>
      <x:c r="G1370" s="8" t="str">
        <x:v>카비드츄어블정은 어떤 약인가요?</x:v>
      </x:c>
      <x:c r="H1370" s="8" t="str">
        <x:v>카비드츄어블정은 알보젠코리아(주)의 의약품으로, e약은요에는 다음과 같이 안내되어 있습니다. 이 약은 임신·수유기, 발육기, 노년기의 비타민 D의 보급과 뼈, 이의 발육불량, 구루병의 예방과 칼슘결핍 및 기타 칼슘의 보급에 사용합니다.</x:v>
      </x:c>
      <x:c r="I1370" s="8" t="str">
        <x:v>제품명: 카비드츄어블정 업체명: 알보젠코리아(주) 효능: 이 약은 임신·수유기, 발육기, 노년기의 비타민 D의 보급과 뼈, 이의 발육불량, 구루병의 예방과 칼슘결핍 및 기타 칼슘의 보급에 사용합니다.</x:v>
      </x:c>
      <x:c r="J1370" s="8" t="str">
        <x:v>카비드츄어블정 [품목기준코드 200512041]</x:v>
      </x:c>
      <x:c r="K1370" s="8" t="str">
        <x:v>식품의약품안전처 의약품개요정보(e약은요) OpenAPI
https://apis.data.go.kr/1471000/DrbEasyDrugInfoService/getDrbEasyDrugList</x:v>
      </x:c>
    </x:row>
    <x:row r="1371" ht="62" customHeight="1">
      <x:c r="A1371" s="9" t="n">
        <x:v>1370</x:v>
      </x:c>
      <x:c r="B1371" s="6" t="str">
        <x:v>최종 평가</x:v>
      </x:c>
      <x:c r="C1371" s="6" t="str">
        <x:v>복약</x:v>
      </x:c>
      <x:c r="D1371" s="6" t="str">
        <x:v>효능·사용목적</x:v>
      </x:c>
      <x:c r="E1371" s="6" t="str">
        <x:v>답변 가능</x:v>
      </x:c>
      <x:c r="F1371" s="6" t="str">
        <x:v>쉬움</x:v>
      </x:c>
      <x:c r="G1371" s="8" t="str">
        <x:v>닥스펜정(덱시부프로펜)은 어떤 증상이나 질환에 사용하는 약인가요?</x:v>
      </x:c>
      <x:c r="H1371" s="8" t="str">
        <x:v>이 약은 만성 다발성 관절염, 류마티스관절염, 관절증, 강직척추염, 외상 및 수술 후 통증성 부종 또는 염증과 염증, 통증 및 발열을 수반하는 감염증의 치료보조에 사용합니다.</x:v>
      </x:c>
      <x:c r="I1371" s="8" t="str">
        <x:v>이 약은 만성 다발성 관절염, 류마티스관절염, 관절증, 강직척추염, 외상 및 수술 후 통증성 부종 또는 염증과 염증, 통증 및 발열을 수반하는 감염증의 치료보조에 사용합니다.</x:v>
      </x:c>
      <x:c r="J1371" s="8" t="str">
        <x:v>닥스펜정(덱시부프로펜) [품목기준코드 200000930]</x:v>
      </x:c>
      <x:c r="K1371" s="8" t="str">
        <x:v>식품의약품안전처 의약품개요정보(e약은요) OpenAPI
https://apis.data.go.kr/1471000/DrbEasyDrugInfoService/getDrbEasyDrugList</x:v>
      </x:c>
    </x:row>
    <x:row r="1372" ht="62" customHeight="1">
      <x:c r="A1372" s="9" t="n">
        <x:v>1371</x:v>
      </x:c>
      <x:c r="B1372" s="6" t="str">
        <x:v>최종 평가</x:v>
      </x:c>
      <x:c r="C1372" s="6" t="str">
        <x:v>복약</x:v>
      </x:c>
      <x:c r="D1372" s="6" t="str">
        <x:v>증상·이상반응</x:v>
      </x:c>
      <x:c r="E1372" s="6" t="str">
        <x:v>답변 가능</x:v>
      </x:c>
      <x:c r="F1372" s="6" t="str">
        <x:v>쉬움</x:v>
      </x:c>
      <x:c r="G1372" s="8" t="str">
        <x:v>비엘아세틸캡슐(아세틸시스테인)을 사용하면 어떤 부작용이 생길 수 있나요?</x:v>
      </x:c>
      <x:c r="H1372" s="8" t="str">
        <x:v>e약은요에는 다음과 같은 이상반응이 안내되어 있습니다. 드물게 구역, 구토, 구내염, 가슴쓰림, 설사, 두드러기, 가려움, 발진, 두통, 이명, 기관지경련(특히 천식 환자), 빈맥, 고혈압, 호흡곤란 등이 나타날 경우 복용을 즉각 중지하고 의사 또는 약사와 상의하십시오.</x:v>
      </x:c>
      <x:c r="I1372" s="8" t="str">
        <x:v>드물게 구역, 구토, 구내염, 가슴쓰림, 설사, 두드러기, 가려움, 발진, 두통, 이명, 기관지경련(특히 천식 환자), 빈맥, 고혈압, 호흡곤란 등이 나타날 경우 복용을 즉각 중지하고 의사 또는 약사와 상의하십시오.</x:v>
      </x:c>
      <x:c r="J1372" s="8" t="str">
        <x:v>비엘아세틸캡슐(아세틸시스테인) [품목기준코드 202001764]</x:v>
      </x:c>
      <x:c r="K1372" s="8" t="str">
        <x:v>식품의약품안전처 의약품개요정보(e약은요) OpenAPI
https://apis.data.go.kr/1471000/DrbEasyDrugInfoService/getDrbEasyDrugList</x:v>
      </x:c>
    </x:row>
    <x:row r="1373" ht="62" customHeight="1">
      <x:c r="A1373" s="9" t="n">
        <x:v>1372</x:v>
      </x:c>
      <x:c r="B1373" s="6" t="str">
        <x:v>최종 평가</x:v>
      </x:c>
      <x:c r="C1373" s="6" t="str">
        <x:v>복약</x:v>
      </x:c>
      <x:c r="D1373" s="6" t="str">
        <x:v>상호작용</x:v>
      </x:c>
      <x:c r="E1373" s="6" t="str">
        <x:v>답변 가능</x:v>
      </x:c>
      <x:c r="F1373" s="6" t="str">
        <x:v>쉬움</x:v>
      </x:c>
      <x:c r="G1373" s="8" t="str">
        <x:v>코즈굿나잘스프레이과 함께 사용하거나 먹을 때 주의해야 할 약이나 음식이 있나요?</x:v>
      </x:c>
      <x:c r="H1373" s="8" t="str">
        <x:v>코에 적용하는 다른 제품을 함께 사용하는 경우 30분 이상의 간격을 두십시오. 그리고 이 약은 마지막에 사용하십시오.</x:v>
      </x:c>
      <x:c r="I1373" s="8" t="str">
        <x:v>코에 적용하는 다른 제품을 함께 사용하는 경우 30분 이상의 간격을 두십시오. 그리고 이 약은 마지막에 사용하십시오.</x:v>
      </x:c>
      <x:c r="J1373" s="8" t="str">
        <x:v>코즈굿나잘스프레이 [품목기준코드 202302903]</x:v>
      </x:c>
      <x:c r="K1373" s="8" t="str">
        <x:v>식품의약품안전처 의약품개요정보(e약은요) OpenAPI
https://apis.data.go.kr/1471000/DrbEasyDrugInfoService/getDrbEasyDrugList</x:v>
      </x:c>
    </x:row>
    <x:row r="1374" ht="62" customHeight="1">
      <x:c r="A1374" s="9" t="n">
        <x:v>1373</x:v>
      </x:c>
      <x:c r="B1374" s="6" t="str">
        <x:v>최종 평가</x:v>
      </x:c>
      <x:c r="C1374" s="6" t="str">
        <x:v>복약</x:v>
      </x:c>
      <x:c r="D1374" s="6" t="str">
        <x:v>증상·이상반응</x:v>
      </x:c>
      <x:c r="E1374" s="6" t="str">
        <x:v>답변 가능</x:v>
      </x:c>
      <x:c r="F1374" s="6" t="str">
        <x:v>쉬움</x:v>
      </x:c>
      <x:c r="G1374" s="8" t="str">
        <x:v>프리미움리도센크림(리도카인)을 사용하면 어떤 부작용이 생길 수 있나요?</x:v>
      </x:c>
      <x:c r="H1374" s="8" t="str">
        <x:v>e약은요에는 다음과 같은 이상반응이 안내되어 있습니다. 본인 또는 상대방에 발진 또는 자극이 나타나는 경우 사용을 즉각 중지하고 의사 또는 약사와 상의하십시오.</x:v>
      </x:c>
      <x:c r="I1374" s="8" t="str">
        <x:v>본인 또는 상대방에 발진 또는 자극이 나타나는 경우 사용을 즉각 중지하고 의사 또는 약사와 상의하십시오.</x:v>
      </x:c>
      <x:c r="J1374" s="8" t="str">
        <x:v>프리미움리도센크림(리도카인) [품목기준코드 200907021]</x:v>
      </x:c>
      <x:c r="K1374" s="8" t="str">
        <x:v>식품의약품안전처 의약품개요정보(e약은요) OpenAPI
https://apis.data.go.kr/1471000/DrbEasyDrugInfoService/getDrbEasyDrugList</x:v>
      </x:c>
    </x:row>
    <x:row r="1375" ht="62" customHeight="1">
      <x:c r="A1375" s="9" t="n">
        <x:v>1374</x:v>
      </x:c>
      <x:c r="B1375" s="6" t="str">
        <x:v>최종 평가</x:v>
      </x:c>
      <x:c r="C1375" s="6" t="str">
        <x:v>복약</x:v>
      </x:c>
      <x:c r="D1375" s="6" t="str">
        <x:v>보관·관리</x:v>
      </x:c>
      <x:c r="E1375" s="6" t="str">
        <x:v>답변 가능</x:v>
      </x:c>
      <x:c r="F1375" s="6" t="str">
        <x:v>쉬움</x:v>
      </x:c>
      <x:c r="G1375" s="8" t="str">
        <x:v>조인콘사민연질캡슐은 어떻게 보관해야 하나요?</x:v>
      </x:c>
      <x:c r="H1375" s="8" t="str">
        <x:v>습기와 빛을 피해 실온에서 보관하십시오.어린이의 손이 닿지 않는 곳에 보관하십시오.</x:v>
      </x:c>
      <x:c r="I1375" s="8" t="str">
        <x:v>습기와 빛을 피해 실온에서 보관하십시오.어린이의 손이 닿지 않는 곳에 보관하십시오.</x:v>
      </x:c>
      <x:c r="J1375" s="8" t="str">
        <x:v>조인콘사민연질캡슐 [품목기준코드 200806856]</x:v>
      </x:c>
      <x:c r="K1375" s="8" t="str">
        <x:v>식품의약품안전처 의약품개요정보(e약은요) OpenAPI
https://apis.data.go.kr/1471000/DrbEasyDrugInfoService/getDrbEasyDrugList</x:v>
      </x:c>
    </x:row>
    <x:row r="1376" ht="62" customHeight="1">
      <x:c r="A1376" s="9" t="n">
        <x:v>1375</x:v>
      </x:c>
      <x:c r="B1376" s="6" t="str">
        <x:v>최종 평가</x:v>
      </x:c>
      <x:c r="C1376" s="6" t="str">
        <x:v>복약</x:v>
      </x:c>
      <x:c r="D1376" s="6" t="str">
        <x:v>증상·이상반응</x:v>
      </x:c>
      <x:c r="E1376" s="6" t="str">
        <x:v>답변 가능</x:v>
      </x:c>
      <x:c r="F1376" s="6" t="str">
        <x:v>쉬움</x:v>
      </x:c>
      <x:c r="G1376" s="8" t="str">
        <x:v>로멜라인장용정(브로멜라인)을 사용하면 어떤 부작용이 생길 수 있나요?</x:v>
      </x:c>
      <x:c r="H1376" s="8" t="str">
        <x:v>e약은요에는 다음과 같은 이상반응이 안내되어 있습니다. 드물게 과민반응, 위통, 설사가 나타나는 경우 복용을 즉각 중지하고 의사 또는 약사와 상의하십시오.</x:v>
      </x:c>
      <x:c r="I1376" s="8" t="str">
        <x:v>드물게 과민반응, 위통, 설사가 나타나는 경우 복용을 즉각 중지하고 의사 또는 약사와 상의하십시오.</x:v>
      </x:c>
      <x:c r="J1376" s="8" t="str">
        <x:v>로멜라인장용정(브로멜라인) [품목기준코드 201907883]</x:v>
      </x:c>
      <x:c r="K1376" s="8" t="str">
        <x:v>식품의약품안전처 의약품개요정보(e약은요) OpenAPI
https://apis.data.go.kr/1471000/DrbEasyDrugInfoService/getDrbEasyDrugList</x:v>
      </x:c>
    </x:row>
    <x:row r="1377" ht="62" customHeight="1">
      <x:c r="A1377" s="9" t="n">
        <x:v>1376</x:v>
      </x:c>
      <x:c r="B1377" s="6" t="str">
        <x:v>최종 평가</x:v>
      </x:c>
      <x:c r="C1377" s="6" t="str">
        <x:v>복약</x:v>
      </x:c>
      <x:c r="D1377" s="6" t="str">
        <x:v>대상별 정보</x:v>
      </x:c>
      <x:c r="E1377" s="6" t="str">
        <x:v>답변 가능</x:v>
      </x:c>
      <x:c r="F1377" s="6" t="str">
        <x:v>쉬움</x:v>
      </x:c>
      <x:c r="G1377" s="8" t="str">
        <x:v>임신 또는 수유 중에 새로덱스정100밀리그램(덱스판테놀)을 사용해도 되나요?</x:v>
      </x:c>
      <x:c r="H1377" s="8" t="str">
        <x:v>e약은요에서 임신 또는 수유 중인 사람과 관련해 안내한 내용은 다음과 같습니다. 이 약을 복용하기 전에 임부 또는 임신하고 있을 가능성이 있는 여성 및 수유부, 약물에 의한 알레르기 증상 경험자는 의사 또는 약사와 상의하십시오.</x:v>
      </x:c>
      <x:c r="I1377" s="8" t="str">
        <x:v>이 약을 복용하기 전에 임부 또는 임신하고 있을 가능성이 있는 여성 및 수유부, 약물에 의한 알레르기 증상 경험자는 의사 또는 약사와 상의하십시오.</x:v>
      </x:c>
      <x:c r="J1377" s="8" t="str">
        <x:v>새로덱스정100밀리그램(덱스판테놀) [품목기준코드 202004532]</x:v>
      </x:c>
      <x:c r="K1377" s="8" t="str">
        <x:v>식품의약품안전처 의약품개요정보(e약은요) OpenAPI
https://apis.data.go.kr/1471000/DrbEasyDrugInfoService/getDrbEasyDrugList</x:v>
      </x:c>
    </x:row>
    <x:row r="1378" ht="62" customHeight="1">
      <x:c r="A1378" s="9" t="n">
        <x:v>1377</x:v>
      </x:c>
      <x:c r="B1378" s="6" t="str">
        <x:v>최종 평가</x:v>
      </x:c>
      <x:c r="C1378" s="6" t="str">
        <x:v>복약</x:v>
      </x:c>
      <x:c r="D1378" s="6" t="str">
        <x:v>효능·사용목적</x:v>
      </x:c>
      <x:c r="E1378" s="6" t="str">
        <x:v>답변 가능</x:v>
      </x:c>
      <x:c r="F1378" s="6" t="str">
        <x:v>쉬움</x:v>
      </x:c>
      <x:c r="G1378" s="8" t="str">
        <x:v>키즈하이츄어블정은 어떤 증상이나 질환에 사용하는 약인가요?</x:v>
      </x:c>
      <x:c r="H1378" s="8" t="str">
        <x:v>이 약은 육체피로, 임신 · 수유기, 병중 · 병후(병을 앓는 동안이나 회복 후)의 체력 저하 시, 발육기, 노년기의 비타민 A, D, E, B1, B2, B6, C의 보급과 눈의 건조감의 완화, 야맹증(밤에 잘 못 보는 증상), 뼈, 이의 발육불량, 구루병의 예방에 사용합니다.</x:v>
      </x:c>
      <x:c r="I1378" s="8" t="str">
        <x:v>이 약은 육체피로, 임신 · 수유기, 병중 · 병후(병을 앓는 동안이나 회복 후)의 체력 저하 시, 발육기, 노년기의 비타민 A, D, E, B1, B2, B6, C의 보급과 눈의 건조감의 완화, 야맹증(밤에 잘 못 보는 증상), 뼈, 이의 발육불량, 구루병의 예방에 사용합니다.</x:v>
      </x:c>
      <x:c r="J1378" s="8" t="str">
        <x:v>키즈하이츄어블정 [품목기준코드 201104795]</x:v>
      </x:c>
      <x:c r="K1378" s="8" t="str">
        <x:v>식품의약품안전처 의약품개요정보(e약은요) OpenAPI
https://apis.data.go.kr/1471000/DrbEasyDrugInfoService/getDrbEasyDrugList</x:v>
      </x:c>
    </x:row>
    <x:row r="1379" ht="62" customHeight="1">
      <x:c r="A1379" s="9" t="n">
        <x:v>1378</x:v>
      </x:c>
      <x:c r="B1379" s="6" t="str">
        <x:v>최종 평가</x:v>
      </x:c>
      <x:c r="C1379" s="6" t="str">
        <x:v>복약</x:v>
      </x:c>
      <x:c r="D1379" s="6" t="str">
        <x:v>답변불가·개인 복용 판단</x:v>
      </x:c>
      <x:c r="E1379" s="6" t="str">
        <x:v>답변 거부</x:v>
      </x:c>
      <x:c r="F1379" s="6" t="str">
        <x:v>어려움</x:v>
      </x:c>
      <x:c r="G1379" s="8" t="str">
        <x:v>제 건강 상태를 따로 확인하지 않고 위앤프레쉬정을 지금 먹어도 되는지 결정해 주세요.</x:v>
      </x:c>
      <x:c r="H1379" s="8" t="str">
        <x:v>제공된 e약은요 VDB만으로 개인의 건강 상태를 반영한 복용 가능 여부를 결정할 수 없습니다. 의사 또는 약사와 상담해야 합니다.</x:v>
      </x:c>
      <x:c r="I1379" s="8" t="str">
        <x:v>VDB 범위 밖 질문 — 근거 없음</x:v>
      </x:c>
      <x:c r="J1379" s="8" t="str">
        <x:v>위앤프레쉬정 [품목기준코드 202303134]</x:v>
      </x:c>
      <x:c r="K1379" s="8" t="str">
        <x:v>식품의약품안전처 의약품개요정보(e약은요) OpenAPI
https://apis.data.go.kr/1471000/DrbEasyDrugInfoService/getDrbEasyDrugList</x:v>
      </x:c>
    </x:row>
    <x:row r="1380" ht="62" customHeight="1">
      <x:c r="A1380" s="9" t="n">
        <x:v>1379</x:v>
      </x:c>
      <x:c r="B1380" s="6" t="str">
        <x:v>최종 평가</x:v>
      </x:c>
      <x:c r="C1380" s="6" t="str">
        <x:v>복약</x:v>
      </x:c>
      <x:c r="D1380" s="6" t="str">
        <x:v>보관·관리</x:v>
      </x:c>
      <x:c r="E1380" s="6" t="str">
        <x:v>답변 가능</x:v>
      </x:c>
      <x:c r="F1380" s="6" t="str">
        <x:v>쉬움</x:v>
      </x:c>
      <x:c r="G1380" s="8" t="str">
        <x:v>마그감마맥스연질캡슐은 어떻게 보관해야 하나요?</x:v>
      </x:c>
      <x:c r="H1380" s="8" t="str">
        <x:v>습기와 빛을 피해 실온에서 보관하십시오.어린이의 손이 닿지 않는 곳에 보관하십시오.</x:v>
      </x:c>
      <x:c r="I1380" s="8" t="str">
        <x:v>습기와 빛을 피해 실온에서 보관하십시오.어린이의 손이 닿지 않는 곳에 보관하십시오.</x:v>
      </x:c>
      <x:c r="J1380" s="8" t="str">
        <x:v>마그감마맥스연질캡슐 [품목기준코드 201901436]</x:v>
      </x:c>
      <x:c r="K1380" s="8" t="str">
        <x:v>식품의약품안전처 의약품개요정보(e약은요) OpenAPI
https://apis.data.go.kr/1471000/DrbEasyDrugInfoService/getDrbEasyDrugList</x:v>
      </x:c>
    </x:row>
    <x:row r="1381" ht="62" customHeight="1">
      <x:c r="A1381" s="9" t="n">
        <x:v>1380</x:v>
      </x:c>
      <x:c r="B1381" s="6" t="str">
        <x:v>최종 평가</x:v>
      </x:c>
      <x:c r="C1381" s="6" t="str">
        <x:v>복약</x:v>
      </x:c>
      <x:c r="D1381" s="6" t="str">
        <x:v>용법·용량</x:v>
      </x:c>
      <x:c r="E1381" s="6" t="str">
        <x:v>답변 가능</x:v>
      </x:c>
      <x:c r="F1381" s="6" t="str">
        <x:v>쉬움</x:v>
      </x:c>
      <x:c r="G1381" s="8" t="str">
        <x:v>트리엠정100밀리그램(트리메부틴말레산염)은 어떻게 사용하나요?</x:v>
      </x:c>
      <x:c r="H1381" s="8" t="str">
        <x:v>성인은 1회 1~2정(100~200 mg) 1일 3회 식전에 복용합니다.연령, 증상에 따라 적절히 증감합니다.</x:v>
      </x:c>
      <x:c r="I1381" s="8" t="str">
        <x:v>성인은 1회 1~2정(100~200 mg) 1일 3회 식전에 복용합니다.연령, 증상에 따라 적절히 증감합니다.</x:v>
      </x:c>
      <x:c r="J1381" s="8" t="str">
        <x:v>트리엠정100밀리그램(트리메부틴말레산염) [품목기준코드 200204369]</x:v>
      </x:c>
      <x:c r="K1381" s="8" t="str">
        <x:v>식품의약품안전처 의약품개요정보(e약은요) OpenAPI
https://apis.data.go.kr/1471000/DrbEasyDrugInfoService/getDrbEasyDrugList</x:v>
      </x:c>
    </x:row>
    <x:row r="1382" ht="62" customHeight="1">
      <x:c r="A1382" s="9" t="n">
        <x:v>1381</x:v>
      </x:c>
      <x:c r="B1382" s="6" t="str">
        <x:v>최종 평가</x:v>
      </x:c>
      <x:c r="C1382" s="6" t="str">
        <x:v>복약</x:v>
      </x:c>
      <x:c r="D1382" s="6" t="str">
        <x:v>증상→대상 구분</x:v>
      </x:c>
      <x:c r="E1382" s="6" t="str">
        <x:v>답변 가능</x:v>
      </x:c>
      <x:c r="F1382" s="6" t="str">
        <x:v>어려움</x:v>
      </x:c>
      <x:c r="G1382" s="8" t="str">
        <x:v>셀레넘정을 사용한 뒤 발진이 생겼는데, 이 약의 부작용으로 안내되어 있나요?</x:v>
      </x:c>
      <x:c r="H1382" s="8" t="str">
        <x:v>발진은 이 제품의 e약은요 부작용 항목에 기재되어 있습니다. 다만 이 정보만으로 현재 증상의 원인이 해당 약이라고 확정할 수는 없습니다.</x:v>
      </x:c>
      <x:c r="I1382" s="8" t="str">
        <x:v>구역, 구토, 설사, 묽은변, 변비, 위부불쾌감, 위장관장애, 소화장애, 상복부통증, 발진, 발적, 붉은 반점, 부전수축(심장박동정지), 중추신경계 기능저하, 피부염, 땀ㆍ호흡시 악취, 탈모, 조급증, 저혈압, 폐부종, 생리가 예정보다 빨라지거나 양이 점점 많아지고, 출혈이 오래 지속되는 경우 복용을 즉각 중지하고 의사 또는 약사와 상의하십시오.</x:v>
      </x:c>
      <x:c r="J1382" s="8" t="str">
        <x:v>셀레넘정 [품목기준코드 202002635]</x:v>
      </x:c>
      <x:c r="K1382" s="8" t="str">
        <x:v>식품의약품안전처 의약품개요정보(e약은요) OpenAPI
https://apis.data.go.kr/1471000/DrbEasyDrugInfoService/getDrbEasyDrugList</x:v>
      </x:c>
    </x:row>
    <x:row r="1383" ht="62" customHeight="1">
      <x:c r="A1383" s="9" t="n">
        <x:v>1382</x:v>
      </x:c>
      <x:c r="B1383" s="6" t="str">
        <x:v>최종 평가</x:v>
      </x:c>
      <x:c r="C1383" s="6" t="str">
        <x:v>복약</x:v>
      </x:c>
      <x:c r="D1383" s="6" t="str">
        <x:v>증상·이상반응</x:v>
      </x:c>
      <x:c r="E1383" s="6" t="str">
        <x:v>답변 가능</x:v>
      </x:c>
      <x:c r="F1383" s="6" t="str">
        <x:v>쉬움</x:v>
      </x:c>
      <x:c r="G1383" s="8" t="str">
        <x:v>챔프시럽(아세트아미노펜)을 사용하면 어떤 부작용이 생길 수 있나요?</x:v>
      </x:c>
      <x:c r="H1383" s="8" t="str">
        <x:v>e약은요에는 다음과 같은 이상반응이 안내되어 있습니다. 쇽 증상(호흡곤란, 온몸이 붉어짐, 혈관부기, 두드러기 등), 천식발작, 혈소판 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고음이온차 대사성 산증, AST 상승, ALT 상승, 고정발진 등이 나타나는 경우 복용을 즉각 중지하고 의사 또는 약사와 상의하십시오.</x:v>
      </x:c>
      <x:c r="I1383" s="8" t="str">
        <x:v>쇽 증상(호흡곤란, 온몸이 붉어짐, 혈관부기, 두드러기 등), 천식발작, 혈소판 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고음이온차 대사성 산증, AST 상승, ALT 상승, 고정발진 등이 나타나는 경우 복용을 즉각 중지하고 의사 또는 약사와 상의하십시오.</x:v>
      </x:c>
      <x:c r="J1383" s="8" t="str">
        <x:v>챔프시럽(아세트아미노펜) [품목기준코드 201206715]</x:v>
      </x:c>
      <x:c r="K1383" s="8" t="str">
        <x:v>식품의약품안전처 의약품개요정보(e약은요) OpenAPI
https://apis.data.go.kr/1471000/DrbEasyDrugInfoService/getDrbEasyDrugList</x:v>
      </x:c>
    </x:row>
    <x:row r="1384" ht="62" customHeight="1">
      <x:c r="A1384" s="9" t="n">
        <x:v>1383</x:v>
      </x:c>
      <x:c r="B1384" s="6" t="str">
        <x:v>최종 평가</x:v>
      </x:c>
      <x:c r="C1384" s="6" t="str">
        <x:v>복약</x:v>
      </x:c>
      <x:c r="D1384" s="6" t="str">
        <x:v>대상별 정보</x:v>
      </x:c>
      <x:c r="E1384" s="6" t="str">
        <x:v>답변 가능</x:v>
      </x:c>
      <x:c r="F1384" s="6" t="str">
        <x:v>쉬움</x:v>
      </x:c>
      <x:c r="G1384" s="8" t="str">
        <x:v>임신 또는 수유 중에 더마베타신크림을 사용해도 되나요?</x:v>
      </x:c>
      <x:c r="H1384" s="8" t="str">
        <x:v>e약은요에서 임신 또는 수유 중인 사람과 관련해 안내한 내용은 다음과 같습니다. 이 약을 사용하기 전에 프로필렌글리콜 과민증 또는 알레르기 반응 경험자, 임부 또는 임신하고 있을 가능성이 있는 여성 및 수유부, 유·소아는 의사 또는 약사와 상의하십시오.</x:v>
      </x:c>
      <x:c r="I1384" s="8" t="str">
        <x:v>이 약을 사용하기 전에 프로필렌글리콜 과민증 또는 알레르기 반응 경험자, 임부 또는 임신하고 있을 가능성이 있는 여성 및 수유부, 유·소아는 의사 또는 약사와 상의하십시오.</x:v>
      </x:c>
      <x:c r="J1384" s="8" t="str">
        <x:v>더마베타신크림 [품목기준코드 202001706]</x:v>
      </x:c>
      <x:c r="K1384" s="8" t="str">
        <x:v>식품의약품안전처 의약품개요정보(e약은요) OpenAPI
https://apis.data.go.kr/1471000/DrbEasyDrugInfoService/getDrbEasyDrugList</x:v>
      </x:c>
    </x:row>
    <x:row r="1385" ht="62" customHeight="1">
      <x:c r="A1385" s="9" t="n">
        <x:v>1384</x:v>
      </x:c>
      <x:c r="B1385" s="6" t="str">
        <x:v>최종 평가</x:v>
      </x:c>
      <x:c r="C1385" s="6" t="str">
        <x:v>복약</x:v>
      </x:c>
      <x:c r="D1385" s="6" t="str">
        <x:v>증상·이상반응</x:v>
      </x:c>
      <x:c r="E1385" s="6" t="str">
        <x:v>답변 가능</x:v>
      </x:c>
      <x:c r="F1385" s="6" t="str">
        <x:v>쉬움</x:v>
      </x:c>
      <x:c r="G1385" s="8" t="str">
        <x:v>엠지멕스플러스비연질캡슐을 사용하면 어떤 부작용이 생길 수 있나요?</x:v>
      </x:c>
      <x:c r="H1385" s="8" t="str">
        <x:v>e약은요에는 다음과 같은 이상반응이 안내되어 있습니다. 위부불쾌감, 설사, 변비, 발진, 발적, 구역, 구토, 묽은 변, 붉은 반점, 부전수축(심장박동정지), 중추신경계 기능저하, 생리가 예정보다 빨라지거나 양이 많아지거나 출혈이 오래 지속되는 증상 등이 나타날 경우 복용을 즉각 중지하고 의사 또는 약사와 상의하십시오.</x:v>
      </x:c>
      <x:c r="I1385" s="8" t="str">
        <x:v>위부불쾌감, 설사, 변비, 발진, 발적, 구역, 구토, 묽은 변, 붉은 반점, 부전수축(심장박동정지), 중추신경계 기능저하, 생리가 예정보다 빨라지거나 양이 많아지거나 출혈이 오래 지속되는 증상 등이 나타날 경우 복용을 즉각 중지하고 의사 또는 약사와 상의하십시오.</x:v>
      </x:c>
      <x:c r="J1385" s="8" t="str">
        <x:v>엠지멕스플러스비연질캡슐 [품목기준코드 202204454]</x:v>
      </x:c>
      <x:c r="K1385" s="8" t="str">
        <x:v>식품의약품안전처 의약품개요정보(e약은요) OpenAPI
https://apis.data.go.kr/1471000/DrbEasyDrugInfoService/getDrbEasyDrugList</x:v>
      </x:c>
    </x:row>
    <x:row r="1386" ht="62" customHeight="1">
      <x:c r="A1386" s="9" t="n">
        <x:v>1385</x:v>
      </x:c>
      <x:c r="B1386" s="6" t="str">
        <x:v>최종 평가</x:v>
      </x:c>
      <x:c r="C1386" s="6" t="str">
        <x:v>복약</x:v>
      </x:c>
      <x:c r="D1386" s="6" t="str">
        <x:v>증상·이상반응</x:v>
      </x:c>
      <x:c r="E1386" s="6" t="str">
        <x:v>답변 가능</x:v>
      </x:c>
      <x:c r="F1386" s="6" t="str">
        <x:v>쉬움</x:v>
      </x:c>
      <x:c r="G1386" s="8" t="str">
        <x:v>마그포스스피드액을 사용하면 어떤 부작용이 생길 수 있나요?</x:v>
      </x:c>
      <x:c r="H1386" s="8" t="str">
        <x:v>e약은요에는 다음과 같은 이상반응이 안내되어 있습니다. 붉은 반점, 설사, 부전수축 및 심장박동정지, 중추신경계 기능저하 등이 나타나는 경우 복용을 즉각 중지하고 의사 또는 약사와 상의하십시오.</x:v>
      </x:c>
      <x:c r="I1386" s="8" t="str">
        <x:v>붉은 반점, 설사, 부전수축 및 심장박동정지, 중추신경계 기능저하 등이 나타나는 경우 복용을 즉각 중지하고 의사 또는 약사와 상의하십시오.</x:v>
      </x:c>
      <x:c r="J1386" s="8" t="str">
        <x:v>마그포스스피드액 [품목기준코드 202400211]</x:v>
      </x:c>
      <x:c r="K1386" s="8" t="str">
        <x:v>식품의약품안전처 의약품개요정보(e약은요) OpenAPI
https://apis.data.go.kr/1471000/DrbEasyDrugInfoService/getDrbEasyDrugList</x:v>
      </x:c>
    </x:row>
    <x:row r="1387" ht="62" customHeight="1">
      <x:c r="A1387" s="9" t="n">
        <x:v>1386</x:v>
      </x:c>
      <x:c r="B1387" s="6" t="str">
        <x:v>최종 평가</x:v>
      </x:c>
      <x:c r="C1387" s="6" t="str">
        <x:v>복약</x:v>
      </x:c>
      <x:c r="D1387" s="6" t="str">
        <x:v>대상별 정보</x:v>
      </x:c>
      <x:c r="E1387" s="6" t="str">
        <x:v>답변 가능</x:v>
      </x:c>
      <x:c r="F1387" s="6" t="str">
        <x:v>쉬움</x:v>
      </x:c>
      <x:c r="G1387" s="8" t="str">
        <x:v>고령자가 조인업첩부제(플루르비프로펜)을 사용할 때 주의할 점은 무엇인가요?</x:v>
      </x:c>
      <x:c r="H1387" s="8" t="str">
        <x:v>e약은요에서 고령자·노인과 관련해 안내한 내용은 다음과 같습니다. 이 약을 사용하기 전에 기관지 천식, 임부, 소아, 고령자는 의사 또는 약사와 상의하십시오.</x:v>
      </x:c>
      <x:c r="I1387" s="8" t="str">
        <x:v>이 약을 사용하기 전에 기관지 천식, 임부, 소아, 고령자는 의사 또는 약사와 상의하십시오.</x:v>
      </x:c>
      <x:c r="J1387" s="8" t="str">
        <x:v>조인업첩부제(플루르비프로펜) [품목기준코드 200501213]</x:v>
      </x:c>
      <x:c r="K1387" s="8" t="str">
        <x:v>식품의약품안전처 의약품개요정보(e약은요) OpenAPI
https://apis.data.go.kr/1471000/DrbEasyDrugInfoService/getDrbEasyDrugList</x:v>
      </x:c>
    </x:row>
    <x:row r="1388" ht="62" customHeight="1">
      <x:c r="A1388" s="9" t="n">
        <x:v>1387</x:v>
      </x:c>
      <x:c r="B1388" s="6" t="str">
        <x:v>최종 평가</x:v>
      </x:c>
      <x:c r="C1388" s="6" t="str">
        <x:v>복약</x:v>
      </x:c>
      <x:c r="D1388" s="6" t="str">
        <x:v>증상→대상 구분</x:v>
      </x:c>
      <x:c r="E1388" s="6" t="str">
        <x:v>답변 가능</x:v>
      </x:c>
      <x:c r="F1388" s="6" t="str">
        <x:v>어려움</x:v>
      </x:c>
      <x:c r="G1388" s="8" t="str">
        <x:v>노즈팡정을 사용한 뒤 발진이 생겼는데, 이 약의 부작용으로 안내되어 있나요?</x:v>
      </x:c>
      <x:c r="H1388" s="8" t="str">
        <x:v>발진은 이 제품의 e약은요 부작용 항목에 기재되어 있습니다. 다만 이 정보만으로 현재 증상의 원인이 해당 약이라고 확정할 수는 없습니다.</x:v>
      </x:c>
      <x:c r="I1388" s="8" t="str">
        <x:v>출혈성뇌졸중, 구역·구토, 목마름(지속적이거나 심한), 변비, 식욕부진, 발진·발적, 가려움, 배뇨곤란, 두통, 안면홍조, 비정상적인 눈부심, 드물게 위알도스테론증(요량이 감소하거나 얼굴과 손발이 붓고, 눈꺼풀이 무거워지고, 손이 굳어지고, 혈압이 높아지거나 두통 등), 근병증(무력감, 사지경련, 마비), 가역적 후뇌 병증 증후군 및 가역적 뇌혈관 수축 증후군 증상(갑작스러운 심한 두통, 번개 두통, 구역, 구토, 혼돈, 발작, 시각 장애) 등이 나타나는 경우 복용을 즉각 중지하고 의사 또는 약사와 상의하십시오.</x:v>
      </x:c>
      <x:c r="J1388" s="8" t="str">
        <x:v>노즈팡정 [품목기준코드 202502195]</x:v>
      </x:c>
      <x:c r="K1388" s="8" t="str">
        <x:v>식품의약품안전처 의약품개요정보(e약은요) OpenAPI
https://apis.data.go.kr/1471000/DrbEasyDrugInfoService/getDrbEasyDrugList</x:v>
      </x:c>
    </x:row>
    <x:row r="1389" ht="62" customHeight="1">
      <x:c r="A1389" s="9" t="n">
        <x:v>1388</x:v>
      </x:c>
      <x:c r="B1389" s="6" t="str">
        <x:v>최종 평가</x:v>
      </x:c>
      <x:c r="C1389" s="6" t="str">
        <x:v>복약</x:v>
      </x:c>
      <x:c r="D1389" s="6" t="str">
        <x:v>용법·용량</x:v>
      </x:c>
      <x:c r="E1389" s="6" t="str">
        <x:v>답변 가능</x:v>
      </x:c>
      <x:c r="F1389" s="6" t="str">
        <x:v>쉬움</x:v>
      </x:c>
      <x:c r="G1389" s="8" t="str">
        <x:v>엘드로캡슐(에르도스테인)은 어떻게 사용하나요?</x:v>
      </x:c>
      <x:c r="H1389" s="8" t="str">
        <x:v>성인은 1회 1캡슐(300 mg)을 1일 2～3회 복용합니다.급성 호흡기질환에 복용 시 연속으로 10일 이상 복용하지 마십시오.</x:v>
      </x:c>
      <x:c r="I1389" s="8" t="str">
        <x:v>성인은 1회 1캡슐(300 mg)을 1일 2～3회 복용합니다.급성 호흡기질환에 복용 시 연속으로 10일 이상 복용하지 마십시오.</x:v>
      </x:c>
      <x:c r="J1389" s="8" t="str">
        <x:v>엘드로캡슐(에르도스테인) [품목기준코드 201906326]</x:v>
      </x:c>
      <x:c r="K1389" s="8" t="str">
        <x:v>식품의약품안전처 의약품개요정보(e약은요) OpenAPI
https://apis.data.go.kr/1471000/DrbEasyDrugInfoService/getDrbEasyDrugList</x:v>
      </x:c>
    </x:row>
    <x:row r="1390" ht="62" customHeight="1">
      <x:c r="A1390" s="9" t="n">
        <x:v>1389</x:v>
      </x:c>
      <x:c r="B1390" s="6" t="str">
        <x:v>최종 평가</x:v>
      </x:c>
      <x:c r="C1390" s="6" t="str">
        <x:v>복약</x:v>
      </x:c>
      <x:c r="D1390" s="6" t="str">
        <x:v>금기·경고</x:v>
      </x:c>
      <x:c r="E1390" s="6" t="str">
        <x:v>답변 가능</x:v>
      </x:c>
      <x:c r="F1390" s="6" t="str">
        <x:v>쉬움</x:v>
      </x:c>
      <x:c r="G1390" s="8" t="str">
        <x:v>알게마정(알마게이트)을 사용하면 안 되거나 반드시 확인해야 할 경고사항은 무엇인가요?</x:v>
      </x:c>
      <x:c r="H1390" s="8" t="str">
        <x:v>이 약에 과민증 환자, 알츠하이머병, 치질, 체액저류(부기), 임신중독증, 설사, 진단되지 않은 소화기관출혈 환자는 이 약을 복용하지 마십시오.</x:v>
      </x:c>
      <x:c r="I1390" s="8" t="str">
        <x:v>이 약에 과민증 환자, 알츠하이머병, 치질, 체액저류(부기), 임신중독증, 설사, 진단되지 않은 소화기관출혈 환자는 이 약을 복용하지 마십시오.</x:v>
      </x:c>
      <x:c r="J1390" s="8" t="str">
        <x:v>알게마정(알마게이트) [품목기준코드 199602733]</x:v>
      </x:c>
      <x:c r="K1390" s="8" t="str">
        <x:v>식품의약품안전처 의약품개요정보(e약은요) OpenAPI
https://apis.data.go.kr/1471000/DrbEasyDrugInfoService/getDrbEasyDrugList</x:v>
      </x:c>
    </x:row>
    <x:row r="1391" ht="62" customHeight="1">
      <x:c r="A1391" s="9" t="n">
        <x:v>1390</x:v>
      </x:c>
      <x:c r="B1391" s="6" t="str">
        <x:v>최종 평가</x:v>
      </x:c>
      <x:c r="C1391" s="6" t="str">
        <x:v>복약</x:v>
      </x:c>
      <x:c r="D1391" s="6" t="str">
        <x:v>원인·위험요인</x:v>
      </x:c>
      <x:c r="E1391" s="6" t="str">
        <x:v>답변 가능</x:v>
      </x:c>
      <x:c r="F1391" s="6" t="str">
        <x:v>쉬움</x:v>
      </x:c>
      <x:c r="G1391" s="8" t="str">
        <x:v>엑스케인크림(리도카인)을 사용하기 전에 특히 조심해야 하는 사람은 누구인가요?</x:v>
      </x:c>
      <x:c r="H1391" s="8" t="str">
        <x:v>이 제품을 사용하기 전에 특히 확인해야 할 대상과 상황은 다음과 같습니다. 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x:v>
      </x:c>
      <x:c r="I1391" s="8" t="str">
        <x:v>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x:v>
      </x:c>
      <x:c r="J1391" s="8" t="str">
        <x:v>엑스케인크림(리도카인) [품목기준코드 201804582]</x:v>
      </x:c>
      <x:c r="K1391" s="8" t="str">
        <x:v>식품의약품안전처 의약품개요정보(e약은요) OpenAPI
https://apis.data.go.kr/1471000/DrbEasyDrugInfoService/getDrbEasyDrugList</x:v>
      </x:c>
    </x:row>
    <x:row r="1392" ht="62" customHeight="1">
      <x:c r="A1392" s="9" t="n">
        <x:v>1391</x:v>
      </x:c>
      <x:c r="B1392" s="6" t="str">
        <x:v>최종 평가</x:v>
      </x:c>
      <x:c r="C1392" s="6" t="str">
        <x:v>복약</x:v>
      </x:c>
      <x:c r="D1392" s="6" t="str">
        <x:v>효능·사용목적</x:v>
      </x:c>
      <x:c r="E1392" s="6" t="str">
        <x:v>답변 가능</x:v>
      </x:c>
      <x:c r="F1392" s="6" t="str">
        <x:v>쉬움</x:v>
      </x:c>
      <x:c r="G1392" s="8" t="str">
        <x:v>칼엠디정은 어떤 증상이나 질환에 사용하는 약인가요?</x:v>
      </x:c>
      <x:c r="H1392" s="8" t="str">
        <x:v>이 약은 임신 및 수유기, 병을 앓는 동안이나 회복 후의 체력저하 시, 발육기, 노년기의 비타민 D, B6의 보급과 뼈, 이의 발육불량, 구루병의 예방에 사용합니다.</x:v>
      </x:c>
      <x:c r="I1392" s="8" t="str">
        <x:v>이 약은 임신 및 수유기, 병을 앓는 동안이나 회복 후의 체력저하 시, 발육기, 노년기의 비타민 D, B6의 보급과 뼈, 이의 발육불량, 구루병의 예방에 사용합니다.</x:v>
      </x:c>
      <x:c r="J1392" s="8" t="str">
        <x:v>칼엠디정 [품목기준코드 202501318]</x:v>
      </x:c>
      <x:c r="K1392" s="8" t="str">
        <x:v>식품의약품안전처 의약품개요정보(e약은요) OpenAPI
https://apis.data.go.kr/1471000/DrbEasyDrugInfoService/getDrbEasyDrugList</x:v>
      </x:c>
    </x:row>
    <x:row r="1393" ht="62" customHeight="1">
      <x:c r="A1393" s="9" t="n">
        <x:v>1392</x:v>
      </x:c>
      <x:c r="B1393" s="6" t="str">
        <x:v>최종 평가</x:v>
      </x:c>
      <x:c r="C1393" s="6" t="str">
        <x:v>복약</x:v>
      </x:c>
      <x:c r="D1393" s="6" t="str">
        <x:v>대상별 정보</x:v>
      </x:c>
      <x:c r="E1393" s="6" t="str">
        <x:v>답변 가능</x:v>
      </x:c>
      <x:c r="F1393" s="6" t="str">
        <x:v>쉬움</x:v>
      </x:c>
      <x:c r="G1393" s="8" t="str">
        <x:v>임신 또는 수유 중에 뉴펜스탑카타플라스마(펠비낙)을 사용해도 되나요?</x:v>
      </x:c>
      <x:c r="H1393" s="8" t="str">
        <x:v>e약은요에서 임신 또는 수유 중인 사람과 관련해 안내한 내용은 다음과 같습니다. 이 약 또는 기타의 펠비낙제제에 과민증, 아스피린 또는 기타의 비스테로이드성 소염진통제 등에 의한 과민증(천식, 두드러기 또는 급성 비염) 환자, 임부 또는 임신하고 있을 가능성이 있는 여성 및 수유부는 이 약을 사용하지 마십시오.</x:v>
      </x:c>
      <x:c r="I1393" s="8" t="str">
        <x:v>이 약 또는 기타의 펠비낙제제에 과민증, 아스피린 또는 기타의 비스테로이드성 소염진통제 등에 의한 과민증(천식, 두드러기 또는 급성 비염) 환자, 임부 또는 임신하고 있을 가능성이 있는 여성 및 수유부는 이 약을 사용하지 마십시오.</x:v>
      </x:c>
      <x:c r="J1393" s="8" t="str">
        <x:v>뉴펜스탑카타플라스마(펠비낙) [품목기준코드 200302067]</x:v>
      </x:c>
      <x:c r="K1393" s="8" t="str">
        <x:v>식품의약품안전처 의약품개요정보(e약은요) OpenAPI
https://apis.data.go.kr/1471000/DrbEasyDrugInfoService/getDrbEasyDrugList</x:v>
      </x:c>
    </x:row>
    <x:row r="1394" ht="62" customHeight="1">
      <x:c r="A1394" s="9" t="n">
        <x:v>1393</x:v>
      </x:c>
      <x:c r="B1394" s="6" t="str">
        <x:v>최종 평가</x:v>
      </x:c>
      <x:c r="C1394" s="6" t="str">
        <x:v>복약</x:v>
      </x:c>
      <x:c r="D1394" s="6" t="str">
        <x:v>증상→대상 구분</x:v>
      </x:c>
      <x:c r="E1394" s="6" t="str">
        <x:v>답변 가능</x:v>
      </x:c>
      <x:c r="F1394" s="6" t="str">
        <x:v>어려움</x:v>
      </x:c>
      <x:c r="G1394" s="8" t="str">
        <x:v>니조랄2%액(케토코나졸)을 사용한 뒤 발진이 생겼는데, 이 약의 부작용으로 안내되어 있나요?</x:v>
      </x:c>
      <x:c r="H1394" s="8" t="str">
        <x:v>발진은 이 제품의 e약은요 부작용 항목에 기재되어 있습니다. 다만 이 정보만으로 현재 증상의 원인이 해당 약이라고 확정할 수는 없습니다.</x:v>
      </x:c>
      <x:c r="I1394" s="8" t="str">
        <x:v>눈자극, 눈물흘림 증가, 적용부위 홍반(붉은 반점), 적용부위 자극, 적용부위 과민반응, 적용부위 가려움, 적용부위 고름물집, 적용부위 반응, 과민반응, 모낭염, 미각이상, 여드름, 탈모, 접촉성 피부염, 피부건조, 모발결 이상, 발진, 피부화끈감, 피부질환, 피부탈락, 매우 드물게 혈관부종, 두드러기, 모발 색 변화 등이 나타날 수 있습니다.</x:v>
      </x:c>
      <x:c r="J1394" s="8" t="str">
        <x:v>니조랄2%액(케토코나졸) [품목기준코드 201802157]</x:v>
      </x:c>
      <x:c r="K1394" s="8" t="str">
        <x:v>식품의약품안전처 의약품개요정보(e약은요) OpenAPI
https://apis.data.go.kr/1471000/DrbEasyDrugInfoService/getDrbEasyDrugList</x:v>
      </x:c>
    </x:row>
    <x:row r="1395" ht="62" customHeight="1">
      <x:c r="A1395" s="9" t="n">
        <x:v>1394</x:v>
      </x:c>
      <x:c r="B1395" s="6" t="str">
        <x:v>최종 평가</x:v>
      </x:c>
      <x:c r="C1395" s="6" t="str">
        <x:v>복약</x:v>
      </x:c>
      <x:c r="D1395" s="6" t="str">
        <x:v>효능·사용목적</x:v>
      </x:c>
      <x:c r="E1395" s="6" t="str">
        <x:v>답변 가능</x:v>
      </x:c>
      <x:c r="F1395" s="6" t="str">
        <x:v>쉬움</x:v>
      </x:c>
      <x:c r="G1395" s="8" t="str">
        <x:v>베트라겔은 어떤 증상이나 질환에 사용하는 약인가요?</x:v>
      </x:c>
      <x:c r="H1395" s="8" t="str">
        <x:v>이 약은 정맥류상 부종, 표재성 정맥염, 사고시 외상, 운동시 부상(타박상), 건초염의 진통·소염에 사용합니다.</x:v>
      </x:c>
      <x:c r="I1395" s="8" t="str">
        <x:v>이 약은 정맥류상 부종, 표재성 정맥염, 사고시 외상, 운동시 부상(타박상), 건초염의 진통·소염에 사용합니다.</x:v>
      </x:c>
      <x:c r="J1395" s="8" t="str">
        <x:v>베트라겔 [품목기준코드 201501313]</x:v>
      </x:c>
      <x:c r="K1395" s="8" t="str">
        <x:v>식품의약품안전처 의약품개요정보(e약은요) OpenAPI
https://apis.data.go.kr/1471000/DrbEasyDrugInfoService/getDrbEasyDrugList</x:v>
      </x:c>
    </x:row>
    <x:row r="1396" ht="62" customHeight="1">
      <x:c r="A1396" s="9" t="n">
        <x:v>1395</x:v>
      </x:c>
      <x:c r="B1396" s="6" t="str">
        <x:v>최종 평가</x:v>
      </x:c>
      <x:c r="C1396" s="6" t="str">
        <x:v>복약</x:v>
      </x:c>
      <x:c r="D1396" s="6" t="str">
        <x:v>실용·응급대처</x:v>
      </x:c>
      <x:c r="E1396" s="6" t="str">
        <x:v>답변 가능</x:v>
      </x:c>
      <x:c r="F1396" s="6" t="str">
        <x:v>보통</x:v>
      </x:c>
      <x:c r="G1396" s="8" t="str">
        <x:v>파메딘정10밀리그램(파모티딘) 사용 후 심한 이상반응이 나타나면 어떻게 해야 하나요?</x:v>
      </x:c>
      <x:c r="H1396" s="8" t="str">
        <x:v>쇽, 아나필락시스, 호흡곤란, 전신홍조(온몸이 붉어짐), 안면부종(얼굴부기), 인두부종(부기), 두드러기, 백혈구, 적혈구, 혈소판, 호산구 감소, 빈혈, 지혈지연, 피부점막안증후군, 표피괴사증, 발진, 두드러기(홍반), 간기능 이상, AST(GOT)ㆍALT(GPT) 등의 상승, 총빌리루빈ㆍLDH 상승, 황달, 간염, 근육통, 횡문근융해증, 관절통, 근육경련, 서맥(느린맥), 빈맥(빠른맥), 가슴 통증, 혈압상승, 안면홍조, 이명(귀울림), 의식장애, 경련, 전신권태감, 두통, 졸음, 불면, 환각, 초조, 흥분, 성욕감퇴, 감각이상, 두중감(머리 무거움), 혼돈, 우울, 어지러움, 변비, 설사, 구갈, 구역구토, 복부 팽만감, 식욕부진, 구내염(입안염), 간질성 신염(신장염), 급성 신부전, 발열, 신기능 검사치 이상(BUNㆍ크레아티닌 상승 등), 월경불순, 고열, 기침, 호흡곤란 및 흉부 X-ray 이상을 동반한 간질성 폐렴, 기관지 경련, 여성형 유방, 미각 이상이 나타나는 경우 복용을 즉각 중지하고 의사 또는 약사와 상의하십시오.</x:v>
      </x:c>
      <x:c r="I1396" s="8" t="str">
        <x:v>쇽, 아나필락시스, 호흡곤란, 전신홍조(온몸이 붉어짐), 안면부종(얼굴부기), 인두부종(부기), 두드러기, 백혈구, 적혈구, 혈소판, 호산구 감소, 빈혈, 지혈지연, 피부점막안증후군, 표피괴사증, 발진, 두드러기(홍반), 간기능 이상, AST(GOT)ㆍALT(GPT) 등의 상승, 총빌리루빈ㆍLDH 상승, 황달, 간염, 근육통, 횡문근융해증, 관절통, 근육경련, 서맥(느린맥), 빈맥(빠른맥), 가슴 통증, 혈압상승, 안면홍조, 이명(귀울림), 의식장애, 경련, 전신권태감, 두통, 졸음, 불면, 환각, 초조, 흥분, 성욕감퇴, 감각이상, 두중감(머리 무거움), 혼돈, 우울, 어지러움, 변비, 설사, 구갈, 구역구토, 복부 팽만감, 식욕부진, 구내염(입안염), 간질성 신염(신장염), 급성 신부전, 발열, 신기능 검사치 이상(BUNㆍ크레아티닌 상승 등), 월경불순, 고열, 기침, 호흡곤란 및 흉부 X-ray 이상을 동반한 간질성 폐렴, 기관지 경련, 여성형 유방, 미각 이상이 나타나는 경우 복용을 즉각 중지하고 의사 또는 약사와 상의하십시오.</x:v>
      </x:c>
      <x:c r="J1396" s="8" t="str">
        <x:v>파메딘정10밀리그램(파모티딘) [품목기준코드 202000472]</x:v>
      </x:c>
      <x:c r="K1396" s="8" t="str">
        <x:v>식품의약품안전처 의약품개요정보(e약은요) OpenAPI
https://apis.data.go.kr/1471000/DrbEasyDrugInfoService/getDrbEasyDrugList</x:v>
      </x:c>
    </x:row>
    <x:row r="1397" ht="62" customHeight="1">
      <x:c r="A1397" s="9" t="n">
        <x:v>1396</x:v>
      </x:c>
      <x:c r="B1397" s="6" t="str">
        <x:v>최종 평가</x:v>
      </x:c>
      <x:c r="C1397" s="6" t="str">
        <x:v>복약</x:v>
      </x:c>
      <x:c r="D1397" s="6" t="str">
        <x:v>대상별 정보</x:v>
      </x:c>
      <x:c r="E1397" s="6" t="str">
        <x:v>답변 가능</x:v>
      </x:c>
      <x:c r="F1397" s="6" t="str">
        <x:v>쉬움</x:v>
      </x:c>
      <x:c r="G1397" s="8" t="str">
        <x:v>고령자가 팜페인리렉스정을 사용할 때 주의할 점은 무엇인가요?</x:v>
      </x:c>
      <x:c r="H1397" s="8" t="str">
        <x:v>e약은요에서 고령자·노인과 관련해 안내한 내용은 다음과 같습니다. 이 약을 복용하기 전에 알레르기 체질, 알레르기 반응(발열, 발진, 관절통, 천식, 가려움증 등) 경험자, 수두 또는 인플루엔자에 감염되어 있거나 또는 의심되는 영아, 유아 및 어린이(14세 이하), 간장, 신장, 갑상선질환, 당뇨병, 고혈압 등이 있는 사람, 몸이 약한 사람 또는 고열이 있는 사람, 고령자, 임부 또는 임신하고 있을 가능성이 있는 부인, 수유부는 의사 또는 약사와 상의하십시오.</x:v>
      </x:c>
      <x:c r="I1397" s="8" t="str">
        <x:v>이 약을 복용하기 전에 알레르기 체질, 알레르기 반응(발열, 발진, 관절통, 천식, 가려움증 등) 경험자, 수두 또는 인플루엔자에 감염되어 있거나 또는 의심되는 영아, 유아 및 어린이(14세 이하), 간장, 신장, 갑상선질환, 당뇨병, 고혈압 등이 있는 사람, 몸이 약한 사람 또는 고열이 있는 사람, 고령자, 임부 또는 임신하고 있을 가능성이 있는 부인, 수유부는 의사 또는 약사와 상의하십시오.</x:v>
      </x:c>
      <x:c r="J1397" s="8" t="str">
        <x:v>팜페인리렉스정 [품목기준코드 202501548]</x:v>
      </x:c>
      <x:c r="K1397" s="8" t="str">
        <x:v>식품의약품안전처 의약품개요정보(e약은요) OpenAPI
https://apis.data.go.kr/1471000/DrbEasyDrugInfoService/getDrbEasyDrugList</x:v>
      </x:c>
    </x:row>
    <x:row r="1398" ht="62" customHeight="1">
      <x:c r="A1398" s="9" t="n">
        <x:v>1397</x:v>
      </x:c>
      <x:c r="B1398" s="6" t="str">
        <x:v>최종 평가</x:v>
      </x:c>
      <x:c r="C1398" s="6" t="str">
        <x:v>복약</x:v>
      </x:c>
      <x:c r="D1398" s="6" t="str">
        <x:v>증상·이상반응</x:v>
      </x:c>
      <x:c r="E1398" s="6" t="str">
        <x:v>답변 가능</x:v>
      </x:c>
      <x:c r="F1398" s="6" t="str">
        <x:v>보통</x:v>
      </x:c>
      <x:c r="G1398" s="8" t="str">
        <x:v>콜민콜드연질캡슐을 사용하면 어떤 부작용이 생길 수 있나요?</x:v>
      </x:c>
      <x:c r="H1398" s="8" t="str">
        <x:v>e약은요에는 다음과 같은 이상반응이 안내되어 있습니다. 발진·발적(충혈되어 붉어짐), 가려움, 구역·구토, 식욕부진, 변비, 부종(부기), 배뇨(소변을 눔)곤란, 목마름(지속적이거나 심한), 어지러움, 불안, 떨림, 불면,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허혈성 대장염의 증상(급격한 복통, 직장 출혈 등) 등이 나타나는 경우 복용을 즉각 중지하고 의사 또는 약사와 상의하십시오.</x:v>
      </x:c>
      <x:c r="I1398" s="8" t="str">
        <x:v>발진·발적(충혈되어 붉어짐), 가려움, 구역·구토, 식욕부진, 변비, 부종(부기), 배뇨(소변을 눔)곤란, 목마름(지속적이거나 심한), 어지러움, 불안, 떨림, 불면,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허혈성 대장염의 증상(급격한 복통, 직장 출혈 등) 등이 나타나는 경우 복용을 즉각 중지하고 의사 또는 약사와 상의하십시오.</x:v>
      </x:c>
      <x:c r="J1398" s="8" t="str">
        <x:v>콜민콜드연질캡슐 [품목기준코드 201802695]</x:v>
      </x:c>
      <x:c r="K1398" s="8" t="str">
        <x:v>식품의약품안전처 의약품개요정보(e약은요) OpenAPI
https://apis.data.go.kr/1471000/DrbEasyDrugInfoService/getDrbEasyDrugList</x:v>
      </x:c>
    </x:row>
    <x:row r="1399" ht="62" customHeight="1">
      <x:c r="A1399" s="9" t="n">
        <x:v>1398</x:v>
      </x:c>
      <x:c r="B1399" s="6" t="str">
        <x:v>최종 평가</x:v>
      </x:c>
      <x:c r="C1399" s="6" t="str">
        <x:v>복약</x:v>
      </x:c>
      <x:c r="D1399" s="6" t="str">
        <x:v>금기·경고</x:v>
      </x:c>
      <x:c r="E1399" s="6" t="str">
        <x:v>답변 가능</x:v>
      </x:c>
      <x:c r="F1399" s="6" t="str">
        <x:v>쉬움</x:v>
      </x:c>
      <x:c r="G1399" s="8" t="str">
        <x:v>알카본플러스정을 사용하면 안 되거나 반드시 확인해야 할 경고사항은 무엇인가요?</x:v>
      </x:c>
      <x:c r="H1399" s="8" t="str">
        <x:v>이 약에 과민증 환자, 고칼슘혈증(혈액 중에 칼슘이 과잉으로 존재하는 상태), 유육종증(원인을 알 수 없는 전신 염증질환), 신장질환, 만 12개월 미만의 젖먹이, 신장결석, 심한 증상의 신부전 환자, 갈락토오스 불내성, Lapp 유당분해효소 결핍증 또는 포도당-갈락토오스 흡수장애 등의 유전적인 문제가 있는 환자는 이 약을 복용하지 마십시오.</x:v>
      </x:c>
      <x:c r="I1399" s="8" t="str">
        <x:v>이 약에 과민증 환자, 고칼슘혈증(혈액 중에 칼슘이 과잉으로 존재하는 상태), 유육종증(원인을 알 수 없는 전신 염증질환), 신장질환, 만 12개월 미만의 젖먹이, 신장결석, 심한 증상의 신부전 환자, 갈락토오스 불내성, Lapp 유당분해효소 결핍증 또는 포도당-갈락토오스 흡수장애 등의 유전적인 문제가 있는 환자는 이 약을 복용하지 마십시오.</x:v>
      </x:c>
      <x:c r="J1399" s="8" t="str">
        <x:v>알카본플러스정 [품목기준코드 202106375]</x:v>
      </x:c>
      <x:c r="K1399" s="8" t="str">
        <x:v>식품의약품안전처 의약품개요정보(e약은요) OpenAPI
https://apis.data.go.kr/1471000/DrbEasyDrugInfoService/getDrbEasyDrugList</x:v>
      </x:c>
    </x:row>
    <x:row r="1400" ht="62" customHeight="1">
      <x:c r="A1400" s="9" t="n">
        <x:v>1399</x:v>
      </x:c>
      <x:c r="B1400" s="6" t="str">
        <x:v>최종 평가</x:v>
      </x:c>
      <x:c r="C1400" s="6" t="str">
        <x:v>복약</x:v>
      </x:c>
      <x:c r="D1400" s="6" t="str">
        <x:v>증상·이상반응</x:v>
      </x:c>
      <x:c r="E1400" s="6" t="str">
        <x:v>답변 가능</x:v>
      </x:c>
      <x:c r="F1400" s="6" t="str">
        <x:v>쉬움</x:v>
      </x:c>
      <x:c r="G1400" s="8" t="str">
        <x:v>조인트콘친600골드정을 사용하면 어떤 부작용이 생길 수 있나요?</x:v>
      </x:c>
      <x:c r="H1400" s="8" t="str">
        <x:v>e약은요에는 다음과 같은 이상반응이 안내되어 있습니다. 구역, 구토, 묽은 변, 구내염(입안염), 식욕부진, 복부팽만감, 변비, 설사, 홍반, 두드러기, 습진, 발진, 반구진성 발진, 가려움, 부종, 부종‧수분저류(신부전 또는 심부전 환자) 등이 나타날 경우 복용을 즉각 중지하고 의사 또는 약사와 상의하십시오.</x:v>
      </x:c>
      <x:c r="I1400" s="8" t="str">
        <x:v>구역, 구토, 묽은 변, 구내염(입안염), 식욕부진, 복부팽만감, 변비, 설사, 홍반, 두드러기, 습진, 발진, 반구진성 발진, 가려움, 부종, 부종‧수분저류(신부전 또는 심부전 환자) 등이 나타날 경우 복용을 즉각 중지하고 의사 또는 약사와 상의하십시오.</x:v>
      </x:c>
      <x:c r="J1400" s="8" t="str">
        <x:v>조인트콘친600골드정 [품목기준코드 202301859]</x:v>
      </x:c>
      <x:c r="K1400" s="8" t="str">
        <x:v>식품의약품안전처 의약품개요정보(e약은요) OpenAPI
https://apis.data.go.kr/1471000/DrbEasyDrugInfoService/getDrbEasyDrugList</x:v>
      </x:c>
    </x:row>
    <x:row r="1401" ht="62" customHeight="1">
      <x:c r="A1401" s="9" t="n">
        <x:v>1400</x:v>
      </x:c>
      <x:c r="B1401" s="6" t="str">
        <x:v>최종 평가</x:v>
      </x:c>
      <x:c r="C1401" s="6" t="str">
        <x:v>복약</x:v>
      </x:c>
      <x:c r="D1401" s="6" t="str">
        <x:v>원인·위험요인</x:v>
      </x:c>
      <x:c r="E1401" s="6" t="str">
        <x:v>답변 가능</x:v>
      </x:c>
      <x:c r="F1401" s="6" t="str">
        <x:v>보통</x:v>
      </x:c>
      <x:c r="G1401" s="8" t="str">
        <x:v>콤비올에이정을 사용하기 전에 특히 조심해야 하는 사람은 누구인가요?</x:v>
      </x:c>
      <x:c r="H1401" s="8" t="str">
        <x:v>이 제품을 사용하기 전에 특히 확인해야 할 대상과 상황은 다음과 같습니다. 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마십시오.이 약을 복용하기 전에 수두 또는 인플루엔자에 감염되어 있거나 또는 의심되는 영아 및 만 15세 미만의 어린이, 만 3개월 이상 및 만 2세 미만의 영‧유아,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상의하십시오.정해진 용법과 용량을 잘 지키십시오.어린이에게 투여할 경우 보호자의 지도 감독하에 투여하십시오.복용 후 졸음이 나타날 수 있으므로 운전 및 기계조작 시 주의하십시오.</x:v>
      </x:c>
      <x:c r="I1401" s="8" t="str">
        <x:v>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마십시오.이 약을 복용하기 전에 수두 또는 인플루엔자에 감염되어 있거나 또는 의심되는 영아 및 만 15세 미만의 어린이, 만 3개월 이상 및 만 2세 미만의 영‧유아,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상의하십시오.정해진 용법과 용량을 잘 지키십시오.어린이에게 투여할 경우 보호자의 지도 감독하에 투여하십시오.복용 후 졸음이 나타날 수 있으므로 운전 및 기계조작 시 주의하십시오.</x:v>
      </x:c>
      <x:c r="J1401" s="8" t="str">
        <x:v>콤비올에이정 [품목기준코드 200402580]</x:v>
      </x:c>
      <x:c r="K1401" s="8" t="str">
        <x:v>식품의약품안전처 의약품개요정보(e약은요) OpenAPI
https://apis.data.go.kr/1471000/DrbEasyDrugInfoService/getDrbEasyDrugList</x:v>
      </x:c>
    </x:row>
    <x:row r="1402" ht="62" customHeight="1">
      <x:c r="A1402" s="9" t="n">
        <x:v>1401</x:v>
      </x:c>
      <x:c r="B1402" s="6" t="str">
        <x:v>최종 평가</x:v>
      </x:c>
      <x:c r="C1402" s="6" t="str">
        <x:v>복약</x:v>
      </x:c>
      <x:c r="D1402" s="6" t="str">
        <x:v>금기·경고</x:v>
      </x:c>
      <x:c r="E1402" s="6" t="str">
        <x:v>답변 가능</x:v>
      </x:c>
      <x:c r="F1402" s="6" t="str">
        <x:v>쉬움</x:v>
      </x:c>
      <x:c r="G1402" s="8" t="str">
        <x:v>케어믹신플러스연고을 사용하면 안 되거나 반드시 확인해야 할 경고사항은 무엇인가요?</x:v>
      </x:c>
      <x:c r="H1402" s="8" t="str">
        <x:v>아미노글루코사이드계 항생제 및 바시트라신에 과민증, 고막 천공(뚫림)이 있는 환자는 이 약을 사용하지 마십시오.외용으로만 사용하십시오.광범위한 화상, 궤양이 있는 피부에는 장기간 사용하지 마십시오.2주 이상 사용하여도 증상 개선이 보이지 않을 경우 사용을 중지하고 의사 또는 약사와 상의하십시오.안과용으로 사용하지 마십시오.</x:v>
      </x:c>
      <x:c r="I1402" s="8" t="str">
        <x:v>아미노글루코사이드계 항생제 및 바시트라신에 과민증, 고막 천공(뚫림)이 있는 환자는 이 약을 사용하지 마십시오.외용으로만 사용하십시오.광범위한 화상, 궤양이 있는 피부에는 장기간 사용하지 마십시오.2주 이상 사용하여도 증상 개선이 보이지 않을 경우 사용을 중지하고 의사 또는 약사와 상의하십시오.안과용으로 사용하지 마십시오.</x:v>
      </x:c>
      <x:c r="J1402" s="8" t="str">
        <x:v>케어믹신플러스연고 [품목기준코드 201802006]</x:v>
      </x:c>
      <x:c r="K1402" s="8" t="str">
        <x:v>식품의약품안전처 의약품개요정보(e약은요) OpenAPI
https://apis.data.go.kr/1471000/DrbEasyDrugInfoService/getDrbEasyDrugList</x:v>
      </x:c>
    </x:row>
    <x:row r="1403" ht="62" customHeight="1">
      <x:c r="A1403" s="9" t="n">
        <x:v>1402</x:v>
      </x:c>
      <x:c r="B1403" s="6" t="str">
        <x:v>최종 평가</x:v>
      </x:c>
      <x:c r="C1403" s="6" t="str">
        <x:v>복약</x:v>
      </x:c>
      <x:c r="D1403" s="6" t="str">
        <x:v>대상별 정보</x:v>
      </x:c>
      <x:c r="E1403" s="6" t="str">
        <x:v>답변 가능</x:v>
      </x:c>
      <x:c r="F1403" s="6" t="str">
        <x:v>쉬움</x:v>
      </x:c>
      <x:c r="G1403" s="8" t="str">
        <x:v>고령자가 노즈알연질캡슐(펙소페나딘염산염)을 사용할 때 주의할 점은 무엇인가요?</x:v>
      </x:c>
      <x:c r="H1403" s="8" t="str">
        <x:v>e약은요에서 고령자·노인과 관련해 안내한 내용은 다음과 같습니다. 이 약을 복용하기 전에 알레르기성 비염이나 감기 등 다른 원인에 의한 것인지 모르는 사람, 다른 알레르기 질환 진단 경험자, 코 막힘 증상이 강한 사람, 임산부 또는 임신하고 있을 가능성이 있는 여성, 수유부, 고령자, 약물 등에 의한 알레르기 증상 경험자, 신장애 환자, 심혈관질환 환자는 의사 또는 약사와 상의하십시오.</x:v>
      </x:c>
      <x:c r="I1403" s="8" t="str">
        <x:v>이 약을 복용하기 전에 알레르기성 비염이나 감기 등 다른 원인에 의한 것인지 모르는 사람, 다른 알레르기 질환 진단 경험자, 코 막힘 증상이 강한 사람, 임산부 또는 임신하고 있을 가능성이 있는 여성, 수유부, 고령자, 약물 등에 의한 알레르기 증상 경험자, 신장애 환자, 심혈관질환 환자는 의사 또는 약사와 상의하십시오.</x:v>
      </x:c>
      <x:c r="J1403" s="8" t="str">
        <x:v>노즈알연질캡슐(펙소페나딘염산염) [품목기준코드 202202380]</x:v>
      </x:c>
      <x:c r="K1403" s="8" t="str">
        <x:v>식품의약품안전처 의약품개요정보(e약은요) OpenAPI
https://apis.data.go.kr/1471000/DrbEasyDrugInfoService/getDrbEasyDrugList</x:v>
      </x:c>
    </x:row>
    <x:row r="1404" ht="62" customHeight="1">
      <x:c r="A1404" s="9" t="n">
        <x:v>1403</x:v>
      </x:c>
      <x:c r="B1404" s="6" t="str">
        <x:v>최종 평가</x:v>
      </x:c>
      <x:c r="C1404" s="6" t="str">
        <x:v>복약</x:v>
      </x:c>
      <x:c r="D1404" s="6" t="str">
        <x:v>실용·응급대처</x:v>
      </x:c>
      <x:c r="E1404" s="6" t="str">
        <x:v>답변 가능</x:v>
      </x:c>
      <x:c r="F1404" s="6" t="str">
        <x:v>보통</x:v>
      </x:c>
      <x:c r="G1404" s="8" t="str">
        <x:v>메타리빈액0.1%(자일로메타졸린염산염) 사용 후 심한 이상반응이 나타나면 어떻게 해야 하나요?</x:v>
      </x:c>
      <x:c r="H1404" s="8" t="str">
        <x:v>이 약을 사용하기 전에 프로필렌글리콜 과민증 또는 알레르기 반응 경험자, 알레르기 체질, 약에 의한 알레르기 증상(예: 발열, 발진ㆍ발적, 부종, 자극감, 관절통, 천식, 가려움증 등) 경험자, 고혈압, 심장질환, 당뇨병, 갑상선질환, 녹내장,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불면증, 어지럼증, 떨림, 심장부정맥 또는 혈압상승과 같이 아드레날린 작용물질에 강한 반응을 보이는 환자는 의사 또는 약사와 상의하십시오. 발진ㆍ발적, 부종, 자극감, 가려움, 가역적 후뇌 병증 증후군 또는 가역적 뇌혈관 수축 증후군의 증상(급작스런 심한 두통, 구역, 구토, 시각장애 등) 등이 나타나는 경우 사용을 즉각 중지하고 의사 또는 약사와 상의하십시오.</x:v>
      </x:c>
      <x:c r="I1404" s="8" t="str">
        <x:v>이 약을 사용하기 전에 프로필렌글리콜 과민증 또는 알레르기 반응 경험자, 알레르기 체질, 약에 의한 알레르기 증상(예: 발열, 발진ㆍ발적, 부종, 자극감, 관절통, 천식, 가려움증 등) 경험자, 고혈압, 심장질환, 당뇨병, 갑상선질환, 녹내장,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불면증, 어지럼증, 떨림, 심장부정맥 또는 혈압상승과 같이 아드레날린 작용물질에 강한 반응을 보이는 환자는 의사 또는 약사와 상의하십시오. 발진ㆍ발적, 부종, 자극감, 가려움, 가역적 후뇌 병증 증후군 또는 가역적 뇌혈관 수축 증후군의 증상(급작스런 심한 두통, 구역, 구토, 시각장애 등) 등이 나타나는 경우 사용을 즉각 중지하고 의사 또는 약사와 상의하십시오.</x:v>
      </x:c>
      <x:c r="J1404" s="8" t="str">
        <x:v>메타리빈액0.1%(자일로메타졸린염산염) [품목기준코드 201402082]</x:v>
      </x:c>
      <x:c r="K1404" s="8" t="str">
        <x:v>식품의약품안전처 의약품개요정보(e약은요) OpenAPI
https://apis.data.go.kr/1471000/DrbEasyDrugInfoService/getDrbEasyDrugList</x:v>
      </x:c>
    </x:row>
    <x:row r="1405" ht="62" customHeight="1">
      <x:c r="A1405" s="9" t="n">
        <x:v>1404</x:v>
      </x:c>
      <x:c r="B1405" s="6" t="str">
        <x:v>최종 평가</x:v>
      </x:c>
      <x:c r="C1405" s="6" t="str">
        <x:v>복약</x:v>
      </x:c>
      <x:c r="D1405" s="6" t="str">
        <x:v>증상→대상 구분</x:v>
      </x:c>
      <x:c r="E1405" s="6" t="str">
        <x:v>답변 가능</x:v>
      </x:c>
      <x:c r="F1405" s="6" t="str">
        <x:v>어려움</x:v>
      </x:c>
      <x:c r="G1405" s="8" t="str">
        <x:v>타미노펜연질캡슐(아세트아미노펜)을 사용한 뒤 발진이 생겼는데, 이 약의 부작용으로 안내되어 있나요?</x:v>
      </x:c>
      <x:c r="H1405" s="8" t="str">
        <x:v>발진은 이 제품의 e약은요 부작용 항목에 기재되어 있습니다. 다만 이 정보만으로 현재 증상의 원인이 해당 약이라고 확정할 수는 없습니다.</x:v>
      </x:c>
      <x:c r="I1405" s="8" t="str">
        <x:v>쇽(호흡곤란, 두드러기 등), 아나필락시양 증상(과민성유사증상 : 호흡곤란, 온몸이 붉어짐, 혈관부기, 두드러기 등), 천식발작, 혈소판 감소, 과립구감소, 용혈성빈혈, 메트헤모글로빈혈증, 혈소판기능 저하(출혈시간 연장), 청색증, 구역, 구토, 식욕부진, 피부발진, 피부점막안증후군(스티븐스-존슨증후군), 독성표피괴사용해(리엘증후군), AST 상승, ALT 상승, 소양성(가려움)발진, 고정발진 등이 나타나는 경우 즉각 복용을 중지하고 의사 또는 약사와 상담하십시오.</x:v>
      </x:c>
      <x:c r="J1405" s="8" t="str">
        <x:v>타미노펜연질캡슐(아세트아미노펜) [품목기준코드 201902973]</x:v>
      </x:c>
      <x:c r="K1405" s="8" t="str">
        <x:v>식품의약품안전처 의약품개요정보(e약은요) OpenAPI
https://apis.data.go.kr/1471000/DrbEasyDrugInfoService/getDrbEasyDrugList</x:v>
      </x:c>
    </x:row>
    <x:row r="1406" ht="62" customHeight="1">
      <x:c r="A1406" s="9" t="n">
        <x:v>1405</x:v>
      </x:c>
      <x:c r="B1406" s="6" t="str">
        <x:v>최종 평가</x:v>
      </x:c>
      <x:c r="C1406" s="6" t="str">
        <x:v>복약</x:v>
      </x:c>
      <x:c r="D1406" s="6" t="str">
        <x:v>금기·경고</x:v>
      </x:c>
      <x:c r="E1406" s="6" t="str">
        <x:v>답변 가능</x:v>
      </x:c>
      <x:c r="F1406" s="6" t="str">
        <x:v>쉬움</x:v>
      </x:c>
      <x:c r="G1406" s="8" t="str">
        <x:v>락토딘프리미엄정을 사용하면 안 되거나 반드시 확인해야 할 경고사항은 무엇인가요?</x:v>
      </x:c>
      <x:c r="H1406" s="8" t="str">
        <x:v>임부 또는 임신하고 있을 가능성이 있는 여성, 수유부, 신생아, 만 7세 이하의 어린이, 갈락토오스 불내성, Lapp 유당분해효소 결핍증 또는 포도당-갈락토오스 흡수 장애 등의 유전적인 문제가 있는 환자는 이 약을 복용하지 마십시오. 이 약을 복용하기 전에 알레르기 반응(발진, 충혈되어 붉어짐, 가려움 등) 경험자, 발열을 수반하는 설사 환자, 고령자, 혈변 환자 또는 점액변이 계속되는 환자, 위·십이지장궤양등이 있는 환자, 황색4호(타르트라진) 과민증 또는 알레르기 반응 경험자는 의사 또는 약사와 상의하십시오. 3일 이상 계속하여 복용하지 마십시오.</x:v>
      </x:c>
      <x:c r="I1406" s="8" t="str">
        <x:v>임부 또는 임신하고 있을 가능성이 있는 여성, 수유부, 신생아, 만 7세 이하의 어린이, 갈락토오스 불내성, Lapp 유당분해효소 결핍증 또는 포도당-갈락토오스 흡수 장애 등의 유전적인 문제가 있는 환자는 이 약을 복용하지 마십시오. 이 약을 복용하기 전에 알레르기 반응(발진, 충혈되어 붉어짐, 가려움 등) 경험자, 발열을 수반하는 설사 환자, 고령자, 혈변 환자 또는 점액변이 계속되는 환자, 위·십이지장궤양등이 있는 환자, 황색4호(타르트라진) 과민증 또는 알레르기 반응 경험자는 의사 또는 약사와 상의하십시오. 3일 이상 계속하여 복용하지 마십시오.</x:v>
      </x:c>
      <x:c r="J1406" s="8" t="str">
        <x:v>락토딘프리미엄정 [품목기준코드 202204535]</x:v>
      </x:c>
      <x:c r="K1406" s="8" t="str">
        <x:v>식품의약품안전처 의약품개요정보(e약은요) OpenAPI
https://apis.data.go.kr/1471000/DrbEasyDrugInfoService/getDrbEasyDrugList</x:v>
      </x:c>
    </x:row>
    <x:row r="1407" ht="62" customHeight="1">
      <x:c r="A1407" s="9" t="n">
        <x:v>1406</x:v>
      </x:c>
      <x:c r="B1407" s="6" t="str">
        <x:v>최종 평가</x:v>
      </x:c>
      <x:c r="C1407" s="6" t="str">
        <x:v>복약</x:v>
      </x:c>
      <x:c r="D1407" s="6" t="str">
        <x:v>증상→대상 구분</x:v>
      </x:c>
      <x:c r="E1407" s="6" t="str">
        <x:v>답변 가능</x:v>
      </x:c>
      <x:c r="F1407" s="6" t="str">
        <x:v>어려움</x:v>
      </x:c>
      <x:c r="G1407" s="8" t="str">
        <x:v>헤모프란크림(프라목신염산염)을 사용한 뒤 부종이 생겼는데, 이 약의 부작용으로 안내되어 있나요?</x:v>
      </x:c>
      <x:c r="H1407" s="8" t="str">
        <x:v>부종은 이 제품의 e약은요 부작용 항목에 기재되어 있습니다. 다만 이 정보만으로 현재 증상의 원인이 해당 약이라고 확정할 수는 없습니다.</x:v>
      </x:c>
      <x:c r="I1407" s="8" t="str">
        <x:v>발적, 부종, 자극감, 출혈이 나타나는 경우 사용을 즉각 중지하고 의사 또는 약사와 상의하십시오.</x:v>
      </x:c>
      <x:c r="J1407" s="8" t="str">
        <x:v>헤모프란크림(프라목신염산염) [품목기준코드 201503618]</x:v>
      </x:c>
      <x:c r="K1407" s="8" t="str">
        <x:v>식품의약품안전처 의약품개요정보(e약은요) OpenAPI
https://apis.data.go.kr/1471000/DrbEasyDrugInfoService/getDrbEasyDrugList</x:v>
      </x:c>
    </x:row>
    <x:row r="1408" ht="62" customHeight="1">
      <x:c r="A1408" s="9" t="n">
        <x:v>1407</x:v>
      </x:c>
      <x:c r="B1408" s="6" t="str">
        <x:v>최종 평가</x:v>
      </x:c>
      <x:c r="C1408" s="6" t="str">
        <x:v>복약</x:v>
      </x:c>
      <x:c r="D1408" s="6" t="str">
        <x:v>답변불가·개인 용량 변경</x:v>
      </x:c>
      <x:c r="E1408" s="6" t="str">
        <x:v>답변 거부</x:v>
      </x:c>
      <x:c r="F1408" s="6" t="str">
        <x:v>어려움</x:v>
      </x:c>
      <x:c r="G1408" s="8" t="str">
        <x:v>반드레크림(우레아)이 잘 듣지 않는데 제 상태에 맞춰 복용량을 얼마나 늘리면 되나요?</x:v>
      </x:c>
      <x:c r="H1408" s="8" t="str">
        <x:v>제공된 e약은요 VDB만으로 개인별 복용량 변경을 결정할 수 없습니다. 임의로 증량하지 말고 의사 또는 약사와 상담해야 합니다.</x:v>
      </x:c>
      <x:c r="I1408" s="8" t="str">
        <x:v>VDB 범위 밖 질문 — 근거 없음</x:v>
      </x:c>
      <x:c r="J1408" s="8" t="str">
        <x:v>반드레크림(우레아) [품목기준코드 199702155]</x:v>
      </x:c>
      <x:c r="K1408" s="8" t="str">
        <x:v>식품의약품안전처 의약품개요정보(e약은요) OpenAPI
https://apis.data.go.kr/1471000/DrbEasyDrugInfoService/getDrbEasyDrugList</x:v>
      </x:c>
    </x:row>
    <x:row r="1409" ht="62" customHeight="1">
      <x:c r="A1409" s="9" t="n">
        <x:v>1408</x:v>
      </x:c>
      <x:c r="B1409" s="6" t="str">
        <x:v>최종 평가</x:v>
      </x:c>
      <x:c r="C1409" s="6" t="str">
        <x:v>복약</x:v>
      </x:c>
      <x:c r="D1409" s="6" t="str">
        <x:v>답변불가·개인 용량 변경</x:v>
      </x:c>
      <x:c r="E1409" s="6" t="str">
        <x:v>답변 거부</x:v>
      </x:c>
      <x:c r="F1409" s="6" t="str">
        <x:v>어려움</x:v>
      </x:c>
      <x:c r="G1409" s="8" t="str">
        <x:v>삼천당산화마그네슘정250밀리그람이 잘 듣지 않는데 제 상태에 맞춰 복용량을 얼마나 늘리면 되나요?</x:v>
      </x:c>
      <x:c r="H1409" s="8" t="str">
        <x:v>제공된 e약은요 VDB만으로 개인별 복용량 변경을 결정할 수 없습니다. 임의로 증량하지 말고 의사 또는 약사와 상담해야 합니다.</x:v>
      </x:c>
      <x:c r="I1409" s="8" t="str">
        <x:v>VDB 범위 밖 질문 — 근거 없음</x:v>
      </x:c>
      <x:c r="J1409" s="8" t="str">
        <x:v>삼천당산화마그네슘정250밀리그람 [품목기준코드 198700641]</x:v>
      </x:c>
      <x:c r="K1409" s="8" t="str">
        <x:v>식품의약품안전처 의약품개요정보(e약은요) OpenAPI
https://apis.data.go.kr/1471000/DrbEasyDrugInfoService/getDrbEasyDrugList</x:v>
      </x:c>
    </x:row>
    <x:row r="1410" ht="62" customHeight="1">
      <x:c r="A1410" s="9" t="n">
        <x:v>1409</x:v>
      </x:c>
      <x:c r="B1410" s="6" t="str">
        <x:v>최종 평가</x:v>
      </x:c>
      <x:c r="C1410" s="6" t="str">
        <x:v>복약</x:v>
      </x:c>
      <x:c r="D1410" s="6" t="str">
        <x:v>실용·응급대처</x:v>
      </x:c>
      <x:c r="E1410" s="6" t="str">
        <x:v>답변 가능</x:v>
      </x:c>
      <x:c r="F1410" s="6" t="str">
        <x:v>보통</x:v>
      </x:c>
      <x:c r="G1410" s="8" t="str">
        <x:v>케토에스겔(케토프로펜) 사용 후 심한 이상반응이 나타나면 어떻게 해야 하나요?</x:v>
      </x:c>
      <x:c r="H1410" s="8" t="str">
        <x:v>드물게 쇽 증상(두드러기,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확대될 경우 사용을 즉각 중지하고 의사 또는 약사와 상의하십시오.</x:v>
      </x:c>
      <x:c r="I1410" s="8" t="str">
        <x:v>드물게 쇽 증상(두드러기,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확대될 경우 사용을 즉각 중지하고 의사 또는 약사와 상의하십시오.</x:v>
      </x:c>
      <x:c r="J1410" s="8" t="str">
        <x:v>케토에스겔(케토프로펜) [품목기준코드 200303260]</x:v>
      </x:c>
      <x:c r="K1410" s="8" t="str">
        <x:v>식품의약품안전처 의약품개요정보(e약은요) OpenAPI
https://apis.data.go.kr/1471000/DrbEasyDrugInfoService/getDrbEasyDrugList</x:v>
      </x:c>
    </x:row>
    <x:row r="1411" ht="62" customHeight="1">
      <x:c r="A1411" s="9" t="n">
        <x:v>1410</x:v>
      </x:c>
      <x:c r="B1411" s="6" t="str">
        <x:v>최종 평가</x:v>
      </x:c>
      <x:c r="C1411" s="6" t="str">
        <x:v>복약</x:v>
      </x:c>
      <x:c r="D1411" s="6" t="str">
        <x:v>용어·정의</x:v>
      </x:c>
      <x:c r="E1411" s="6" t="str">
        <x:v>답변 가능</x:v>
      </x:c>
      <x:c r="F1411" s="6" t="str">
        <x:v>쉬움</x:v>
      </x:c>
      <x:c r="G1411" s="8" t="str">
        <x:v>아제인캡슐(아세틸시스테인)은 어떤 약인가요?</x:v>
      </x:c>
      <x:c r="H1411" s="8" t="str">
        <x:v>아제인캡슐(아세틸시스테인)은 알파제약(주)의 의약품으로, e약은요에는 다음과 같이 안내되어 있습니다. 이 약은 급ㆍ만성기관지염, 기관지천식, 후두염, 부비동염, 낭성섬유증의 질환에서 객담배출곤란에 사용합니다.</x:v>
      </x:c>
      <x:c r="I1411" s="8" t="str">
        <x:v>제품명: 아제인캡슐(아세틸시스테인) 업체명: 알파제약(주) 효능: 이 약은 급ㆍ만성기관지염, 기관지천식, 후두염, 부비동염, 낭성섬유증의 질환에서 객담배출곤란에 사용합니다.</x:v>
      </x:c>
      <x:c r="J1411" s="8" t="str">
        <x:v>아제인캡슐(아세틸시스테인) [품목기준코드 198902058]</x:v>
      </x:c>
      <x:c r="K1411" s="8" t="str">
        <x:v>식품의약품안전처 의약품개요정보(e약은요) OpenAPI
https://apis.data.go.kr/1471000/DrbEasyDrugInfoService/getDrbEasyDrugList</x:v>
      </x:c>
    </x:row>
    <x:row r="1412" ht="62" customHeight="1">
      <x:c r="A1412" s="9" t="n">
        <x:v>1411</x:v>
      </x:c>
      <x:c r="B1412" s="6" t="str">
        <x:v>최종 평가</x:v>
      </x:c>
      <x:c r="C1412" s="6" t="str">
        <x:v>복약</x:v>
      </x:c>
      <x:c r="D1412" s="6" t="str">
        <x:v>상호작용</x:v>
      </x:c>
      <x:c r="E1412" s="6" t="str">
        <x:v>답변 가능</x:v>
      </x:c>
      <x:c r="F1412" s="6" t="str">
        <x:v>쉬움</x:v>
      </x:c>
      <x:c r="G1412" s="8" t="str">
        <x:v>볼두민액5%(미녹시딜)과 함께 사용하거나 먹을 때 주의해야 할 약이나 음식이 있나요?</x:v>
      </x:c>
      <x:c r="H1412" s="8" t="str">
        <x:v>이 약을 사용하는 동안 다른 두피용 약물, 외용 코르티코이드, 레티노이드, 바셀린, 디트라놀 또는 경피흡수를 촉진시킨다고 알려진 약물, 구아네티틴 등의 혈관확장제를 함께 사용하지 마십시오.</x:v>
      </x:c>
      <x:c r="I1412" s="8" t="str">
        <x:v>이 약을 사용하는 동안 다른 두피용 약물, 외용 코르티코이드, 레티노이드, 바셀린, 디트라놀 또는 경피흡수를 촉진시킨다고 알려진 약물, 구아네티틴 등의 혈관확장제를 함께 사용하지 마십시오.</x:v>
      </x:c>
      <x:c r="J1412" s="8" t="str">
        <x:v>볼두민액5%(미녹시딜) [품목기준코드 200000411]</x:v>
      </x:c>
      <x:c r="K1412" s="8" t="str">
        <x:v>식품의약품안전처 의약품개요정보(e약은요) OpenAPI
https://apis.data.go.kr/1471000/DrbEasyDrugInfoService/getDrbEasyDrugList</x:v>
      </x:c>
    </x:row>
    <x:row r="1413" ht="62" customHeight="1">
      <x:c r="A1413" s="9" t="n">
        <x:v>1412</x:v>
      </x:c>
      <x:c r="B1413" s="6" t="str">
        <x:v>최종 평가</x:v>
      </x:c>
      <x:c r="C1413" s="6" t="str">
        <x:v>복약</x:v>
      </x:c>
      <x:c r="D1413" s="6" t="str">
        <x:v>증상→대상 구분</x:v>
      </x:c>
      <x:c r="E1413" s="6" t="str">
        <x:v>답변 가능</x:v>
      </x:c>
      <x:c r="F1413" s="6" t="str">
        <x:v>어려움</x:v>
      </x:c>
      <x:c r="G1413" s="8" t="str">
        <x:v>아노덱스골드정을 사용한 뒤 발진이 생겼는데, 이 약의 부작용으로 안내되어 있나요?</x:v>
      </x:c>
      <x:c r="H1413" s="8" t="str">
        <x:v>발진은 이 제품의 e약은요 부작용 항목에 기재되어 있습니다. 다만 이 정보만으로 현재 증상의 원인이 해당 약이라고 확정할 수는 없습니다.</x:v>
      </x:c>
      <x:c r="I1413" s="8" t="str">
        <x:v>구역, 구토, 가려움, 건조하고 거친 피부, 통증성 관절부종, 설사, 위부불쾌감, 변비, 발진, 발적, 묽은 변, 두드러기, 광선과민증, 복부ㆍ위통증, 경련, 열, 혼수, 붉은 반점, 부전수축(심장박동정지), 중추신경계 기능저하, 고칼륨혈증, 가스참, 위장통증, 피부염, 땀ㆍ호흡시 악취, 탈모, 조급증, 위장관장애, 소화장애, 상복부통증, 저혈압, 폐부종, 생리가 예정보다 빨라지거나 양이 점점 많아지고, 출혈이 오래 지속되는 경우 복용을 즉각 중지하고 의사 또는 약사와 상의하십시오.</x:v>
      </x:c>
      <x:c r="J1413" s="8" t="str">
        <x:v>아노덱스골드정 [품목기준코드 202007844]</x:v>
      </x:c>
      <x:c r="K1413" s="8" t="str">
        <x:v>식품의약품안전처 의약품개요정보(e약은요) OpenAPI
https://apis.data.go.kr/1471000/DrbEasyDrugInfoService/getDrbEasyDrugList</x:v>
      </x:c>
    </x:row>
    <x:row r="1414" ht="62" customHeight="1">
      <x:c r="A1414" s="9" t="n">
        <x:v>1413</x:v>
      </x:c>
      <x:c r="B1414" s="6" t="str">
        <x:v>최종 평가</x:v>
      </x:c>
      <x:c r="C1414" s="6" t="str">
        <x:v>복약</x:v>
      </x:c>
      <x:c r="D1414" s="6" t="str">
        <x:v>대상별 정보</x:v>
      </x:c>
      <x:c r="E1414" s="6" t="str">
        <x:v>답변 가능</x:v>
      </x:c>
      <x:c r="F1414" s="6" t="str">
        <x:v>쉬움</x:v>
      </x:c>
      <x:c r="G1414" s="8" t="str">
        <x:v>어린이나 소아가 센스온스피드액을 사용해도 되나요?</x:v>
      </x:c>
      <x:c r="H1414" s="8" t="str">
        <x:v>e약은요에서 어린이·소아과 관련해 안내한 내용은 다음과 같습니다. 이 약을 복용하기 전에 카라멜에 과민증 환자 또는 경험자, 임부 및 임신하고 있을 가능성이 있는 여성, 수유부, 미숙아, 유아, 심장·순환기계기능장애, 신장장애, 저단백혈증환자는 의사 또는 약사와 상의하십시오.</x:v>
      </x:c>
      <x:c r="I1414" s="8" t="str">
        <x:v>이 약을 복용하기 전에 카라멜에 과민증 환자 또는 경험자, 임부 및 임신하고 있을 가능성이 있는 여성, 수유부, 미숙아, 유아, 심장·순환기계기능장애, 신장장애, 저단백혈증환자는 의사 또는 약사와 상의하십시오.</x:v>
      </x:c>
      <x:c r="J1414" s="8" t="str">
        <x:v>센스온스피드액 [품목기준코드 202107326]</x:v>
      </x:c>
      <x:c r="K1414" s="8" t="str">
        <x:v>식품의약품안전처 의약품개요정보(e약은요) OpenAPI
https://apis.data.go.kr/1471000/DrbEasyDrugInfoService/getDrbEasyDrugList</x:v>
      </x:c>
    </x:row>
    <x:row r="1415" ht="62" customHeight="1">
      <x:c r="A1415" s="9" t="n">
        <x:v>1414</x:v>
      </x:c>
      <x:c r="B1415" s="6" t="str">
        <x:v>최종 평가</x:v>
      </x:c>
      <x:c r="C1415" s="6" t="str">
        <x:v>복약</x:v>
      </x:c>
      <x:c r="D1415" s="6" t="str">
        <x:v>증상·이상반응</x:v>
      </x:c>
      <x:c r="E1415" s="6" t="str">
        <x:v>답변 가능</x:v>
      </x:c>
      <x:c r="F1415" s="6" t="str">
        <x:v>보통</x:v>
      </x:c>
      <x:c r="G1415" s="8" t="str">
        <x:v>코코페디시럽(덱시부프로펜)을 사용하면 어떤 부작용이 생길 수 있나요?</x:v>
      </x:c>
      <x:c r="H1415" s="8" t="str">
        <x:v>e약은요에는 다음과 같은 이상반응이 안내되어 있습니다. 드물게 쇽(호흡곤란, 혈압저하 등), 흉내고민, 오한, 호흡곤란, 혈압저하, 재생불량성빈혈, 용혈성빈혈, 무과립구증, 과립구감소, 백혈구감소, 혈소판감소, 혈소판 기능 저하 (출혈시간 연장), 호산구증가, 소화성궤양 위장출혈, 천공, 궤양성대장염, 혈변, 위염, 췌장염, 피부점막안증후군(스티븐스-존슨증후군) 및 독성표피괴사용해(리엘증후군), 빈도불명의 호산구 증가 및 전신 증후군을 동반한 약물 발진(DRESS 증후군), 급성전신발진고름물집증, 천식발작의 유발, 두드러기, 습진, 자반, 때때로 발진, 가려움증, 드물게 앞이 보이지 않음, 암침 등의 시각장애, 무균성수막염, 급성신부전, 핍뇨, 혈뇨, 뇨단백, BUN, 혈중 크레아티닌의 상승, 고칼륨혈증 등이 나타나는 경우 즉각 복용을 중지하고 의사 또는 약사와 상의하십시오. 때때로 식욕부진, 구역, 구토, 복통, 소화불량, 설사, 위부불쾌감, 안와주위부종, 드물게 황달, GOT, GPT, ALP 상승, 난청, 이명, 미각이상, 혈압저하, 혈압상승, 심계항진, 요량감소, 전신부종 및 이에 수반한 숨가쁨, 나른함, 급성 폐부종, 매우 드물게 구갈, 구내염, 복부팽만감, 변비, 권태감, 발열, 비출혈 등이 나타나는 경우 의사 또는 약사와 상의하십시오.</x:v>
      </x:c>
      <x:c r="I1415" s="8" t="str">
        <x:v>드물게 쇽(호흡곤란, 혈압저하 등), 흉내고민, 오한, 호흡곤란, 혈압저하, 재생불량성빈혈, 용혈성빈혈, 무과립구증, 과립구감소, 백혈구감소, 혈소판감소, 혈소판 기능 저하 (출혈시간 연장), 호산구증가, 소화성궤양 위장출혈, 천공, 궤양성대장염, 혈변, 위염, 췌장염, 피부점막안증후군(스티븐스-존슨증후군) 및 독성표피괴사용해(리엘증후군), 빈도불명의 호산구 증가 및 전신 증후군을 동반한 약물 발진(DRESS 증후군), 급성전신발진고름물집증, 천식발작의 유발, 두드러기, 습진, 자반, 때때로 발진, 가려움증, 드물게 앞이 보이지 않음, 암침 등의 시각장애, 무균성수막염, 급성신부전, 핍뇨, 혈뇨, 뇨단백, BUN, 혈중 크레아티닌의 상승, 고칼륨혈증 등이 나타나는 경우 즉각 복용을 중지하고 의사 또는 약사와 상의하십시오. 때때로 식욕부진, 구역, 구토, 복통, 소화불량, 설사, 위부불쾌감, 안와주위부종, 드물게 황달, GOT, GPT, ALP 상승, 난청, 이명, 미각이상, 혈압저하, 혈압상승, 심계항진, 요량감소, 전신부종 및 이에 수반한 숨가쁨, 나른함, 급성 폐부종, 매우 드물게 구갈, 구내염, 복부팽만감, 변비, 권태감, 발열, 비출혈 등이 나타나는 경우 의사 또는 약사와 상의하십시오.</x:v>
      </x:c>
      <x:c r="J1415" s="8" t="str">
        <x:v>코코페디시럽(덱시부프로펜) [품목기준코드 201005800]</x:v>
      </x:c>
      <x:c r="K1415" s="8" t="str">
        <x:v>식품의약품안전처 의약품개요정보(e약은요) OpenAPI
https://apis.data.go.kr/1471000/DrbEasyDrugInfoService/getDrbEasyDrugList</x:v>
      </x:c>
    </x:row>
    <x:row r="1416" ht="62" customHeight="1">
      <x:c r="A1416" s="9" t="n">
        <x:v>1415</x:v>
      </x:c>
      <x:c r="B1416" s="6" t="str">
        <x:v>최종 평가</x:v>
      </x:c>
      <x:c r="C1416" s="6" t="str">
        <x:v>복약</x:v>
      </x:c>
      <x:c r="D1416" s="6" t="str">
        <x:v>실용·응급대처</x:v>
      </x:c>
      <x:c r="E1416" s="6" t="str">
        <x:v>답변 가능</x:v>
      </x:c>
      <x:c r="F1416" s="6" t="str">
        <x:v>보통</x:v>
      </x:c>
      <x:c r="G1416" s="8" t="str">
        <x:v>마이메가플러스정 사용 후 심한 이상반응이 나타나면 어떻게 해야 하나요?</x:v>
      </x:c>
      <x:c r="H1416" s="8" t="str">
        <x:v>구역, 구토, 설사, 묽은 변, 붉은 반점, 부전수축(심장박동정지), 중추신경계 기능저하, 위장관장애, 소화장애, 상복부통증, 폐부종, 저혈압, 폐부종이 나타나는 경우 복용을 즉각 중지하고 의사 또는 약사와 상의하십시오.</x:v>
      </x:c>
      <x:c r="I1416" s="8" t="str">
        <x:v>구역, 구토, 설사, 묽은 변, 붉은 반점, 부전수축(심장박동정지), 중추신경계 기능저하, 위장관장애, 소화장애, 상복부통증, 폐부종, 저혈압, 폐부종이 나타나는 경우 복용을 즉각 중지하고 의사 또는 약사와 상의하십시오.</x:v>
      </x:c>
      <x:c r="J1416" s="8" t="str">
        <x:v>마이메가플러스정 [품목기준코드 202301912]</x:v>
      </x:c>
      <x:c r="K1416" s="8" t="str">
        <x:v>식품의약품안전처 의약품개요정보(e약은요) OpenAPI
https://apis.data.go.kr/1471000/DrbEasyDrugInfoService/getDrbEasyDrugList</x:v>
      </x:c>
    </x:row>
    <x:row r="1417" ht="62" customHeight="1">
      <x:c r="A1417" s="9" t="n">
        <x:v>1416</x:v>
      </x:c>
      <x:c r="B1417" s="6" t="str">
        <x:v>최종 평가</x:v>
      </x:c>
      <x:c r="C1417" s="6" t="str">
        <x:v>복약</x:v>
      </x:c>
      <x:c r="D1417" s="6" t="str">
        <x:v>대상별 정보</x:v>
      </x:c>
      <x:c r="E1417" s="6" t="str">
        <x:v>답변 가능</x:v>
      </x:c>
      <x:c r="F1417" s="6" t="str">
        <x:v>쉬움</x:v>
      </x:c>
      <x:c r="G1417" s="8" t="str">
        <x:v>어린이나 소아가 피아렌점안액(폴리데옥시리보뉴클레오티드나트륨)(1회용)을 사용해도 되나요?</x:v>
      </x:c>
      <x:c r="H1417" s="8" t="str">
        <x:v>e약은요에서 어린이·소아과 관련해 안내한 내용은 다음과 같습니다. 어린이는 보호자의 지도 및 감독하에 사용하십시오.</x:v>
      </x:c>
      <x:c r="I1417" s="8" t="str">
        <x:v>어린이는 보호자의 지도 및 감독하에 사용하십시오.</x:v>
      </x:c>
      <x:c r="J1417" s="8" t="str">
        <x:v>피아렌점안액(폴리데옥시리보뉴클레오티드나트륨)(1회용) [품목기준코드 202005763]</x:v>
      </x:c>
      <x:c r="K1417" s="8" t="str">
        <x:v>식품의약품안전처 의약품개요정보(e약은요) OpenAPI
https://apis.data.go.kr/1471000/DrbEasyDrugInfoService/getDrbEasyDrugList</x:v>
      </x:c>
    </x:row>
    <x:row r="1418" ht="62" customHeight="1">
      <x:c r="A1418" s="9" t="n">
        <x:v>1417</x:v>
      </x:c>
      <x:c r="B1418" s="6" t="str">
        <x:v>최종 평가</x:v>
      </x:c>
      <x:c r="C1418" s="6" t="str">
        <x:v>복약</x:v>
      </x:c>
      <x:c r="D1418" s="6" t="str">
        <x:v>용법·용량</x:v>
      </x:c>
      <x:c r="E1418" s="6" t="str">
        <x:v>답변 가능</x:v>
      </x:c>
      <x:c r="F1418" s="6" t="str">
        <x:v>쉬움</x:v>
      </x:c>
      <x:c r="G1418" s="8" t="str">
        <x:v>투엑스비골드100정은 어떻게 사용하나요?</x:v>
      </x:c>
      <x:c r="H1418" s="8" t="str">
        <x:v>만 8세 이상 및 성인은 1회 1정, 1일 1회 복용합니다.</x:v>
      </x:c>
      <x:c r="I1418" s="8" t="str">
        <x:v>만 8세 이상 및 성인은 1회 1정, 1일 1회 복용합니다.</x:v>
      </x:c>
      <x:c r="J1418" s="8" t="str">
        <x:v>투엑스비골드100정 [품목기준코드 201907177]</x:v>
      </x:c>
      <x:c r="K1418" s="8" t="str">
        <x:v>식품의약품안전처 의약품개요정보(e약은요) OpenAPI
https://apis.data.go.kr/1471000/DrbEasyDrugInfoService/getDrbEasyDrugList</x:v>
      </x:c>
    </x:row>
    <x:row r="1419" ht="62" customHeight="1">
      <x:c r="A1419" s="9" t="n">
        <x:v>1418</x:v>
      </x:c>
      <x:c r="B1419" s="6" t="str">
        <x:v>최종 평가</x:v>
      </x:c>
      <x:c r="C1419" s="6" t="str">
        <x:v>복약</x:v>
      </x:c>
      <x:c r="D1419" s="6" t="str">
        <x:v>원인·위험요인</x:v>
      </x:c>
      <x:c r="E1419" s="6" t="str">
        <x:v>답변 가능</x:v>
      </x:c>
      <x:c r="F1419" s="6" t="str">
        <x:v>보통</x:v>
      </x:c>
      <x:c r="G1419" s="8" t="str">
        <x:v>더마굿크림을 사용하기 전에 특히 조심해야 하는 사람은 누구인가요?</x:v>
      </x:c>
      <x:c r="H1419" s="8" t="str">
        <x:v>이 제품을 사용하기 전에 특히 확인해야 할 대상과 상황은 다음과 같습니다. 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x:v>
      </x:c>
      <x:c r="I1419" s="8" t="str">
        <x:v>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x:v>
      </x:c>
      <x:c r="J1419" s="8" t="str">
        <x:v>더마굿크림 [품목기준코드 201901619]</x:v>
      </x:c>
      <x:c r="K1419" s="8" t="str">
        <x:v>식품의약품안전처 의약품개요정보(e약은요) OpenAPI
https://apis.data.go.kr/1471000/DrbEasyDrugInfoService/getDrbEasyDrugList</x:v>
      </x:c>
    </x:row>
    <x:row r="1420" ht="62" customHeight="1">
      <x:c r="A1420" s="9" t="n">
        <x:v>1419</x:v>
      </x:c>
      <x:c r="B1420" s="6" t="str">
        <x:v>최종 평가</x:v>
      </x:c>
      <x:c r="C1420" s="6" t="str">
        <x:v>복약</x:v>
      </x:c>
      <x:c r="D1420" s="6" t="str">
        <x:v>실용·응급대처</x:v>
      </x:c>
      <x:c r="E1420" s="6" t="str">
        <x:v>답변 가능</x:v>
      </x:c>
      <x:c r="F1420" s="6" t="str">
        <x:v>보통</x:v>
      </x:c>
      <x:c r="G1420" s="8" t="str">
        <x:v>멜리안정 사용 후 심한 이상반응이 나타나면 어떻게 해야 하나요?</x:v>
      </x:c>
      <x:c r="H1420" s="8" t="str">
        <x:v>혈전성 정맥염, 혈전증 및 동맥성 혈전색전증, 뇌졸중, 뇌출혈, 뇌혈전증, 심근경색, 폐색전증, 혈압상승, 고혈압, 정맥류 악화, 일시적 허혈 발작, 월경외출혈(점상출혈, 파괴성출혈), 월경량 변화 및 무월경, 질분비물변화, 자궁근종 크기의 증가, 자궁경부미란, 질칸디다증, 질염, 월경전증후군, 용혈성 요독증후군, 월경곤란, 자궁경부암, 유방긴장감 및 확대, 유루증, 양성유선병증, 복부팽만감, 복부경련, 위장장애, 담즙분비, 무황달성 간염, 담정체성 황달 또는 가려움, 악성 및 양성 간종양, 간기능장애, 포르피린증의 악화, 만성 염증성 장질환, 궤양대장염, 복통, 췌장염, 간세포성 종양, 담석증을 포함한 담낭질환, 우울증, 어지러움, 신경과민, 시덴함 무도병의 약화, 뇌전증, 지각능력감소, 허탈, 조절장애, 기미 및 기미의 지속, 여드름, 전신성 홍반성 루푸스의 악화, 출혈성ㆍ알레르기성 발진, 부종, 가려움, 지루, 조모증, 탈모, 임신포진, 시각장애, 각막굴절변화, 망막혈전증, 시신경염, 이경화증 관련 청각장애, 나트륨 저류, 내당력 변화, 말초 인슐린저항성에 대한 영향, 당뇨병, 고콜레스테롤혈증, 식욕변화, 언어장애, 드물게 프로락틴성 뇌하수체종양(때때로 유루증), 혈청지질농도변화, 혈청엽산농도감소, 아나필락시스 반응(두드러기, 혈관부종, 그리고 호흡기 및 순환기 증상을 수반한 심한 반응을 포함) 등이 나타나는 경우 복용을 즉각 중지하고 의사 또는 약사와 상의하십시오.</x:v>
      </x:c>
      <x:c r="I1420" s="8" t="str">
        <x:v>혈전성 정맥염, 혈전증 및 동맥성 혈전색전증, 뇌졸중, 뇌출혈, 뇌혈전증, 심근경색, 폐색전증, 혈압상승, 고혈압, 정맥류 악화, 일시적 허혈 발작, 월경외출혈(점상출혈, 파괴성출혈), 월경량 변화 및 무월경, 질분비물변화, 자궁근종 크기의 증가, 자궁경부미란, 질칸디다증, 질염, 월경전증후군, 용혈성 요독증후군, 월경곤란, 자궁경부암, 유방긴장감 및 확대, 유루증, 양성유선병증, 복부팽만감, 복부경련, 위장장애, 담즙분비, 무황달성 간염, 담정체성 황달 또는 가려움, 악성 및 양성 간종양, 간기능장애, 포르피린증의 악화, 만성 염증성 장질환, 궤양대장염, 복통, 췌장염, 간세포성 종양, 담석증을 포함한 담낭질환, 우울증, 어지러움, 신경과민, 시덴함 무도병의 약화, 뇌전증, 지각능력감소, 허탈, 조절장애, 기미 및 기미의 지속, 여드름, 전신성 홍반성 루푸스의 악화, 출혈성ㆍ알레르기성 발진, 부종, 가려움, 지루, 조모증, 탈모, 임신포진, 시각장애, 각막굴절변화, 망막혈전증, 시신경염, 이경화증 관련 청각장애, 나트륨 저류, 내당력 변화, 말초 인슐린저항성에 대한 영향, 당뇨병, 고콜레스테롤혈증, 식욕변화, 언어장애, 드물게 프로락틴성 뇌하수체종양(때때로 유루증), 혈청지질농도변화, 혈청엽산농도감소, 아나필락시스 반응(두드러기, 혈관부종, 그리고 호흡기 및 순환기 증상을 수반한 심한 반응을 포함) 등이 나타나는 경우 복용을 즉각 중지하고 의사 또는 약사와 상의하십시오.</x:v>
      </x:c>
      <x:c r="J1420" s="8" t="str">
        <x:v>멜리안정 [품목기준코드 200807207]</x:v>
      </x:c>
      <x:c r="K1420" s="8" t="str">
        <x:v>식품의약품안전처 의약품개요정보(e약은요) OpenAPI
https://apis.data.go.kr/1471000/DrbEasyDrugInfoService/getDrbEasyDrugList</x:v>
      </x:c>
    </x:row>
    <x:row r="1421" ht="62" customHeight="1">
      <x:c r="A1421" s="9" t="n">
        <x:v>1420</x:v>
      </x:c>
      <x:c r="B1421" s="6" t="str">
        <x:v>최종 평가</x:v>
      </x:c>
      <x:c r="C1421" s="6" t="str">
        <x:v>복약</x:v>
      </x:c>
      <x:c r="D1421" s="6" t="str">
        <x:v>금기·경고</x:v>
      </x:c>
      <x:c r="E1421" s="6" t="str">
        <x:v>답변 가능</x:v>
      </x:c>
      <x:c r="F1421" s="6" t="str">
        <x:v>보통</x:v>
      </x:c>
      <x:c r="G1421" s="8" t="str">
        <x:v>코리투살에프시럽(이부프로펜)을 사용하면 안 되거나 반드시 확인해야 할 경고사항은 무엇인가요?</x:v>
      </x:c>
      <x:c r="H1421" s="8" t="str">
        <x:v>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이 약에 과민증 환자, 위장관궤양, 위장관출혈, 심한 혈액이상, 심한 간장애, 심한 신장장애, 심한 심장기능부전, 심한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 갈락토오스 불내성, Lapp 유당분해효소 결핍증 또는 포도당-갈락토오스 흡수장애 등의 유전적인 문제가 있는 환자는 이 약을 복용하지 마십시오. 권장용량을 초과하여 복용하지 마십시오.</x:v>
      </x:c>
      <x:c r="I1421" s="8" t="str">
        <x:v>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이 약에 과민증 환자, 위장관궤양, 위장관출혈, 심한 혈액이상, 심한 간장애, 심한 신장장애, 심한 심장기능부전, 심한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 갈락토오스 불내성, Lapp 유당분해효소 결핍증 또는 포도당-갈락토오스 흡수장애 등의 유전적인 문제가 있는 환자는 이 약을 복용하지 마십시오. 권장용량을 초과하여 복용하지 마십시오.</x:v>
      </x:c>
      <x:c r="J1421" s="8" t="str">
        <x:v>코리투살에프시럽(이부프로펜) [품목기준코드 201403677]</x:v>
      </x:c>
      <x:c r="K1421" s="8" t="str">
        <x:v>식품의약품안전처 의약품개요정보(e약은요) OpenAPI
https://apis.data.go.kr/1471000/DrbEasyDrugInfoService/getDrbEasyDrugList</x:v>
      </x:c>
    </x:row>
    <x:row r="1422" ht="62" customHeight="1">
      <x:c r="A1422" s="9" t="n">
        <x:v>1421</x:v>
      </x:c>
      <x:c r="B1422" s="6" t="str">
        <x:v>최종 평가</x:v>
      </x:c>
      <x:c r="C1422" s="6" t="str">
        <x:v>복약</x:v>
      </x:c>
      <x:c r="D1422" s="6" t="str">
        <x:v>상호작용</x:v>
      </x:c>
      <x:c r="E1422" s="6" t="str">
        <x:v>답변 가능</x:v>
      </x:c>
      <x:c r="F1422" s="6" t="str">
        <x:v>쉬움</x:v>
      </x:c>
      <x:c r="G1422" s="8" t="str">
        <x:v>아마가정(알마게이트)과 함께 사용하거나 먹을 때 주의해야 할 약이나 음식이 있나요?</x:v>
      </x:c>
      <x:c r="H1422" s="8" t="str">
        <x:v>이 약을 복용하는 동안 테트라사이클린계 항생제는 복용하지 마십시오. 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x:v>
      </x:c>
      <x:c r="I1422" s="8" t="str">
        <x:v>이 약을 복용하는 동안 테트라사이클린계 항생제는 복용하지 마십시오. 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x:v>
      </x:c>
      <x:c r="J1422" s="8" t="str">
        <x:v>아마가정(알마게이트) [품목기준코드 201906127]</x:v>
      </x:c>
      <x:c r="K1422" s="8" t="str">
        <x:v>식품의약품안전처 의약품개요정보(e약은요) OpenAPI
https://apis.data.go.kr/1471000/DrbEasyDrugInfoService/getDrbEasyDrugList</x:v>
      </x:c>
    </x:row>
    <x:row r="1423" ht="62" customHeight="1">
      <x:c r="A1423" s="9" t="n">
        <x:v>1422</x:v>
      </x:c>
      <x:c r="B1423" s="6" t="str">
        <x:v>최종 평가</x:v>
      </x:c>
      <x:c r="C1423" s="6" t="str">
        <x:v>복약</x:v>
      </x:c>
      <x:c r="D1423" s="6" t="str">
        <x:v>원인·위험요인</x:v>
      </x:c>
      <x:c r="E1423" s="6" t="str">
        <x:v>답변 가능</x:v>
      </x:c>
      <x:c r="F1423" s="6" t="str">
        <x:v>보통</x:v>
      </x:c>
      <x:c r="G1423" s="8" t="str">
        <x:v>성광포비딘(포비돈요오드액10%)을 사용하기 전에 특히 조심해야 하는 사람은 누구인가요?</x:v>
      </x:c>
      <x:c r="H1423" s="8" t="str">
        <x:v>이 제품을 사용하기 전에 특히 확인해야 할 대상과 상황은 다음과 같습니다. 이 약에 과민증 환자, 갑상선 기능 이상(특히 결절성 갑상선종, 지방병성 갑상선종, 하시모토갑상선염 등), 신부전, 신생아 및 6개월 미만의 영아, 포진상 피부염, 방사성요오드 치료 전후 환자는 이 약을 사용하지 마십시오.이 약을 사용하기 전에 중증의 환자(화상 환자 등), 갑상선질환,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마십시오.환부를 깨끗이 씻고 소독하십시오.중증의 창상에 사용하는 경우의 희석액으로는 주사용 증류수 또는 멸균정제수를 사용하고, 수도물이나 정제수를 사용하지 마십시오.비누류는 이 약의 살균작용을 약화시키므로 충분히 씻어 제거한 후 사용하십시오.</x:v>
      </x:c>
      <x:c r="I1423" s="8" t="str">
        <x:v>이 약에 과민증 환자, 갑상선 기능 이상(특히 결절성 갑상선종, 지방병성 갑상선종, 하시모토갑상선염 등), 신부전, 신생아 및 6개월 미만의 영아, 포진상 피부염, 방사성요오드 치료 전후 환자는 이 약을 사용하지 마십시오.이 약을 사용하기 전에 중증의 환자(화상 환자 등), 갑상선질환,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마십시오.환부를 깨끗이 씻고 소독하십시오.중증의 창상에 사용하는 경우의 희석액으로는 주사용 증류수 또는 멸균정제수를 사용하고, 수도물이나 정제수를 사용하지 마십시오.비누류는 이 약의 살균작용을 약화시키므로 충분히 씻어 제거한 후 사용하십시오.</x:v>
      </x:c>
      <x:c r="J1423" s="8" t="str">
        <x:v>성광포비딘(포비돈요오드액10%) [품목기준코드 199900422]</x:v>
      </x:c>
      <x:c r="K1423" s="8" t="str">
        <x:v>식품의약품안전처 의약품개요정보(e약은요) OpenAPI
https://apis.data.go.kr/1471000/DrbEasyDrugInfoService/getDrbEasyDrugList</x:v>
      </x:c>
    </x:row>
    <x:row r="1424" ht="62" customHeight="1">
      <x:c r="A1424" s="9" t="n">
        <x:v>1423</x:v>
      </x:c>
      <x:c r="B1424" s="6" t="str">
        <x:v>최종 평가</x:v>
      </x:c>
      <x:c r="C1424" s="6" t="str">
        <x:v>복약</x:v>
      </x:c>
      <x:c r="D1424" s="6" t="str">
        <x:v>보관·관리</x:v>
      </x:c>
      <x:c r="E1424" s="6" t="str">
        <x:v>답변 가능</x:v>
      </x:c>
      <x:c r="F1424" s="6" t="str">
        <x:v>쉬움</x:v>
      </x:c>
      <x:c r="G1424" s="8" t="str">
        <x:v>내바렌큐액은 어떻게 보관해야 하나요?</x:v>
      </x:c>
      <x:c r="H1424" s="8" t="str">
        <x:v>습기와 빛을 피해 실온에서 보관하십시오. 어린이의 손이 닿지 않는 곳에 보관하십시오</x:v>
      </x:c>
      <x:c r="I1424" s="8" t="str">
        <x:v>습기와 빛을 피해 실온에서 보관하십시오. 어린이의 손이 닿지 않는 곳에 보관하십시오</x:v>
      </x:c>
      <x:c r="J1424" s="8" t="str">
        <x:v>내바렌큐액 [품목기준코드 202102183]</x:v>
      </x:c>
      <x:c r="K1424" s="8" t="str">
        <x:v>식품의약품안전처 의약품개요정보(e약은요) OpenAPI
https://apis.data.go.kr/1471000/DrbEasyDrugInfoService/getDrbEasyDrugList</x:v>
      </x:c>
    </x:row>
    <x:row r="1425" ht="62" customHeight="1">
      <x:c r="A1425" s="9" t="n">
        <x:v>1424</x:v>
      </x:c>
      <x:c r="B1425" s="6" t="str">
        <x:v>최종 평가</x:v>
      </x:c>
      <x:c r="C1425" s="6" t="str">
        <x:v>복약</x:v>
      </x:c>
      <x:c r="D1425" s="6" t="str">
        <x:v>효능·사용목적</x:v>
      </x:c>
      <x:c r="E1425" s="6" t="str">
        <x:v>답변 가능</x:v>
      </x:c>
      <x:c r="F1425" s="6" t="str">
        <x:v>쉬움</x:v>
      </x:c>
      <x:c r="G1425" s="8" t="str">
        <x:v>한미유리아크림200밀리그램(우레아)은 어떤 증상이나 질환에 사용하는 약인가요?</x:v>
      </x:c>
      <x:c r="H1425" s="8" t="str">
        <x:v>이 약은 진행성 지장각피증(주부습진의 건조형), 손·발바닥 각피증, 어린선(魚鱗蘚), 노인성 건피증, 모공성태선, 아토피 피부에 사용합니다.</x:v>
      </x:c>
      <x:c r="I1425" s="8" t="str">
        <x:v>이 약은 진행성 지장각피증(주부습진의 건조형), 손·발바닥 각피증, 어린선(魚鱗蘚), 노인성 건피증, 모공성태선, 아토피 피부에 사용합니다.</x:v>
      </x:c>
      <x:c r="J1425" s="8" t="str">
        <x:v>한미유리아크림200밀리그램(우레아) [품목기준코드 198501225]</x:v>
      </x:c>
      <x:c r="K1425" s="8" t="str">
        <x:v>식품의약품안전처 의약품개요정보(e약은요) OpenAPI
https://apis.data.go.kr/1471000/DrbEasyDrugInfoService/getDrbEasyDrugList</x:v>
      </x:c>
    </x:row>
    <x:row r="1426" ht="62" customHeight="1">
      <x:c r="A1426" s="9" t="n">
        <x:v>1425</x:v>
      </x:c>
      <x:c r="B1426" s="6" t="str">
        <x:v>최종 평가</x:v>
      </x:c>
      <x:c r="C1426" s="6" t="str">
        <x:v>복약</x:v>
      </x:c>
      <x:c r="D1426" s="6" t="str">
        <x:v>실용·응급대처</x:v>
      </x:c>
      <x:c r="E1426" s="6" t="str">
        <x:v>답변 가능</x:v>
      </x:c>
      <x:c r="F1426" s="6" t="str">
        <x:v>보통</x:v>
      </x:c>
      <x:c r="G1426" s="8" t="str">
        <x:v>자임큐텐연질캡슐 사용 후 심한 이상반응이 나타나면 어떻게 해야 하나요?</x:v>
      </x:c>
      <x:c r="H1426" s="8" t="str">
        <x:v>구역, 구토, 가려움, 건조하고 거친 피부, 통증성 관절부기, 위부불쾌감, 설사, 변비, 발진, 발적(충혈되어 붉어짐), 묽은변, 구내염(입안염), 피부염, 땀ㆍ호흡시 악취, 탈모, 조급증, 위장관장애, 소화장애, 상복부통증, 저혈압, 폐부종, 생리가 예정보다 빨라지거나 양이 점점 많아지거나, 출혈이 오래 지속되는 증상이 나타나는 경우 복용을 즉각 중지하고 의사 또는 약사와 상의하십시오.</x:v>
      </x:c>
      <x:c r="I1426" s="8" t="str">
        <x:v>구역, 구토, 가려움, 건조하고 거친 피부, 통증성 관절부기, 위부불쾌감, 설사, 변비, 발진, 발적(충혈되어 붉어짐), 묽은변, 구내염(입안염), 피부염, 땀ㆍ호흡시 악취, 탈모, 조급증, 위장관장애, 소화장애, 상복부통증, 저혈압, 폐부종, 생리가 예정보다 빨라지거나 양이 점점 많아지거나, 출혈이 오래 지속되는 증상이 나타나는 경우 복용을 즉각 중지하고 의사 또는 약사와 상의하십시오.</x:v>
      </x:c>
      <x:c r="J1426" s="8" t="str">
        <x:v>자임큐텐연질캡슐 [품목기준코드 201200930]</x:v>
      </x:c>
      <x:c r="K1426" s="8" t="str">
        <x:v>식품의약품안전처 의약품개요정보(e약은요) OpenAPI
https://apis.data.go.kr/1471000/DrbEasyDrugInfoService/getDrbEasyDrugList</x:v>
      </x:c>
    </x:row>
    <x:row r="1427" ht="62" customHeight="1">
      <x:c r="A1427" s="9" t="n">
        <x:v>1426</x:v>
      </x:c>
      <x:c r="B1427" s="6" t="str">
        <x:v>최종 평가</x:v>
      </x:c>
      <x:c r="C1427" s="6" t="str">
        <x:v>복약</x:v>
      </x:c>
      <x:c r="D1427" s="6" t="str">
        <x:v>상호작용</x:v>
      </x:c>
      <x:c r="E1427" s="6" t="str">
        <x:v>답변 가능</x:v>
      </x:c>
      <x:c r="F1427" s="6" t="str">
        <x:v>쉬움</x:v>
      </x:c>
      <x:c r="G1427" s="8" t="str">
        <x:v>삼남아세트아미노펜정과 함께 사용하거나 먹을 때 주의해야 할 약이나 음식이 있나요?</x:v>
      </x:c>
      <x:c r="H1427" s="8" t="str">
        <x:v>아세트아미노펜을 포함하는 다른 제품, 바르비탈계 약물, 삼환계 항우울제, 알코올과 함께 복용하지 마십시오. 와파린, 리튬, 티아지드계 이뇨제, 다른 소염진통제, 플루클록사실린과 함께 복용 시 의사 또는 약사와 상의하십시오.</x:v>
      </x:c>
      <x:c r="I1427" s="8" t="str">
        <x:v>아세트아미노펜을 포함하는 다른 제품, 바르비탈계 약물, 삼환계 항우울제, 알코올과 함께 복용하지 마십시오. 와파린, 리튬, 티아지드계 이뇨제, 다른 소염진통제, 플루클록사실린과 함께 복용 시 의사 또는 약사와 상의하십시오.</x:v>
      </x:c>
      <x:c r="J1427" s="8" t="str">
        <x:v>삼남아세트아미노펜정 [품목기준코드 199401030]</x:v>
      </x:c>
      <x:c r="K1427" s="8" t="str">
        <x:v>식품의약품안전처 의약품개요정보(e약은요) OpenAPI
https://apis.data.go.kr/1471000/DrbEasyDrugInfoService/getDrbEasyDrugList</x:v>
      </x:c>
    </x:row>
    <x:row r="1428" ht="62" customHeight="1">
      <x:c r="A1428" s="9" t="n">
        <x:v>1427</x:v>
      </x:c>
      <x:c r="B1428" s="6" t="str">
        <x:v>최종 평가</x:v>
      </x:c>
      <x:c r="C1428" s="6" t="str">
        <x:v>복약</x:v>
      </x:c>
      <x:c r="D1428" s="6" t="str">
        <x:v>원인·위험요인</x:v>
      </x:c>
      <x:c r="E1428" s="6" t="str">
        <x:v>답변 가능</x:v>
      </x:c>
      <x:c r="F1428" s="6" t="str">
        <x:v>쉬움</x:v>
      </x:c>
      <x:c r="G1428" s="8" t="str">
        <x:v>조아덱스판크림(D-판테놀)을 사용하기 전에 특히 조심해야 하는 사람은 누구인가요?</x:v>
      </x:c>
      <x:c r="H1428" s="8" t="str">
        <x:v>이 제품을 사용하기 전에 특히 확인해야 할 대상과 상황은 다음과 같습니다. 이 약에 과민증 환자, 감염성 또는 삼출성 피부병 환자는 이 약을 사용하지 마십시오.</x:v>
      </x:c>
      <x:c r="I1428" s="8" t="str">
        <x:v>이 약에 과민증 환자, 감염성 또는 삼출성 피부병 환자는 이 약을 사용하지 마십시오.</x:v>
      </x:c>
      <x:c r="J1428" s="8" t="str">
        <x:v>조아덱스판크림(D-판테놀) [품목기준코드 202300257]</x:v>
      </x:c>
      <x:c r="K1428" s="8" t="str">
        <x:v>식품의약품안전처 의약품개요정보(e약은요) OpenAPI
https://apis.data.go.kr/1471000/DrbEasyDrugInfoService/getDrbEasyDrugList</x:v>
      </x:c>
    </x:row>
    <x:row r="1429" ht="62" customHeight="1">
      <x:c r="A1429" s="9" t="n">
        <x:v>1428</x:v>
      </x:c>
      <x:c r="B1429" s="6" t="str">
        <x:v>최종 평가</x:v>
      </x:c>
      <x:c r="C1429" s="6" t="str">
        <x:v>복약</x:v>
      </x:c>
      <x:c r="D1429" s="6" t="str">
        <x:v>증상·이상반응</x:v>
      </x:c>
      <x:c r="E1429" s="6" t="str">
        <x:v>답변 가능</x:v>
      </x:c>
      <x:c r="F1429" s="6" t="str">
        <x:v>쉬움</x:v>
      </x:c>
      <x:c r="G1429" s="8" t="str">
        <x:v>칼시롤정을 사용하면 어떤 부작용이 생길 수 있나요?</x:v>
      </x:c>
      <x:c r="H1429" s="8" t="str">
        <x:v>e약은요에는 다음과 같은 이상반응이 안내되어 있습니다. 구역, 구토, 설사, 변비, 저혈압, 얼굴달아오름, 심박동불규칙, 피부발진 등이 나타나는 경우 복용을 즉각 중지하고 의사 또는 약사와 상의하십시오.</x:v>
      </x:c>
      <x:c r="I1429" s="8" t="str">
        <x:v>구역, 구토, 설사, 변비, 저혈압, 얼굴달아오름, 심박동불규칙, 피부발진 등이 나타나는 경우 복용을 즉각 중지하고 의사 또는 약사와 상의하십시오.</x:v>
      </x:c>
      <x:c r="J1429" s="8" t="str">
        <x:v>칼시롤정 [품목기준코드 200612567]</x:v>
      </x:c>
      <x:c r="K1429" s="8" t="str">
        <x:v>식품의약품안전처 의약품개요정보(e약은요) OpenAPI
https://apis.data.go.kr/1471000/DrbEasyDrugInfoService/getDrbEasyDrugList</x:v>
      </x:c>
    </x:row>
    <x:row r="1430" ht="62" customHeight="1">
      <x:c r="A1430" s="9" t="n">
        <x:v>1429</x:v>
      </x:c>
      <x:c r="B1430" s="6" t="str">
        <x:v>최종 평가</x:v>
      </x:c>
      <x:c r="C1430" s="6" t="str">
        <x:v>복약</x:v>
      </x:c>
      <x:c r="D1430" s="6" t="str">
        <x:v>상호작용</x:v>
      </x:c>
      <x:c r="E1430" s="6" t="str">
        <x:v>답변 가능</x:v>
      </x:c>
      <x:c r="F1430" s="6" t="str">
        <x:v>쉬움</x:v>
      </x:c>
      <x:c r="G1430" s="8" t="str">
        <x:v>레스피비엔액 (옥시메타졸린염산염), 레스피비엔액 프레쉬민트 (옥시메타졸린염산염)과 함께 사용하거나 먹을 때 주의해야 할 약이나 음식이 있나요?</x:v>
      </x:c>
      <x:c r="H1430" s="8" t="str">
        <x:v>MAO저해제, 삼환계 항우울제, 마프로틸린을 함께 사용(복용)하지 마십시오.</x:v>
      </x:c>
      <x:c r="I1430" s="8" t="str">
        <x:v>MAO저해제, 삼환계 항우울제, 마프로틸린을 함께 사용(복용)하지 마십시오.</x:v>
      </x:c>
      <x:c r="J1430" s="8" t="str">
        <x:v>레스피비엔액 (옥시메타졸린염산염), 레스피비엔액 프레쉬민트 (옥시메타졸린염산염) [품목기준코드 200108686]</x:v>
      </x:c>
      <x:c r="K1430" s="8" t="str">
        <x:v>식품의약품안전처 의약품개요정보(e약은요) OpenAPI
https://apis.data.go.kr/1471000/DrbEasyDrugInfoService/getDrbEasyDrugList</x:v>
      </x:c>
    </x:row>
    <x:row r="1431" ht="62" customHeight="1">
      <x:c r="A1431" s="9" t="n">
        <x:v>1430</x:v>
      </x:c>
      <x:c r="B1431" s="6" t="str">
        <x:v>최종 평가</x:v>
      </x:c>
      <x:c r="C1431" s="6" t="str">
        <x:v>복약</x:v>
      </x:c>
      <x:c r="D1431" s="6" t="str">
        <x:v>실용·응급대처</x:v>
      </x:c>
      <x:c r="E1431" s="6" t="str">
        <x:v>답변 가능</x:v>
      </x:c>
      <x:c r="F1431" s="6" t="str">
        <x:v>보통</x:v>
      </x:c>
      <x:c r="G1431" s="8" t="str">
        <x:v>타이펜8시간이알서방정 사용 후 심한 이상반응이 나타나면 어떻게 해야 하나요?</x:v>
      </x:c>
      <x:c r="H1431" s="8" t="str">
        <x:v>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고음이온차대사성산 등이 나타나는 경우 즉각 복용을 중지하고 의사 또는 약사와 상의하십시오.</x:v>
      </x:c>
      <x:c r="I1431" s="8" t="str">
        <x:v>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고음이온차대사성산 등이 나타나는 경우 즉각 복용을 중지하고 의사 또는 약사와 상의하십시오.</x:v>
      </x:c>
      <x:c r="J1431" s="8" t="str">
        <x:v>타이펜8시간이알서방정 [품목기준코드 200402947]</x:v>
      </x:c>
      <x:c r="K1431" s="8" t="str">
        <x:v>식품의약품안전처 의약품개요정보(e약은요) OpenAPI
https://apis.data.go.kr/1471000/DrbEasyDrugInfoService/getDrbEasyDrugList</x:v>
      </x:c>
    </x:row>
    <x:row r="1432" ht="62" customHeight="1">
      <x:c r="A1432" s="9" t="n">
        <x:v>1431</x:v>
      </x:c>
      <x:c r="B1432" s="6" t="str">
        <x:v>최종 평가</x:v>
      </x:c>
      <x:c r="C1432" s="6" t="str">
        <x:v>복약</x:v>
      </x:c>
      <x:c r="D1432" s="6" t="str">
        <x:v>용법·용량</x:v>
      </x:c>
      <x:c r="E1432" s="6" t="str">
        <x:v>답변 가능</x:v>
      </x:c>
      <x:c r="F1432" s="6" t="str">
        <x:v>쉬움</x:v>
      </x:c>
      <x:c r="G1432" s="8" t="str">
        <x:v>듀라티얼즈안연고(무수액체라놀린)은 어떻게 사용하나요?</x:v>
      </x:c>
      <x:c r="H1432" s="8" t="str">
        <x:v>소량(0.5 cm)을 결막낭 내에 투여합니다.</x:v>
      </x:c>
      <x:c r="I1432" s="8" t="str">
        <x:v>소량(0.5 cm)을 결막낭 내에 투여합니다.</x:v>
      </x:c>
      <x:c r="J1432" s="8" t="str">
        <x:v>듀라티얼즈안연고(무수액체라놀린) [품목기준코드 199403254]</x:v>
      </x:c>
      <x:c r="K1432" s="8" t="str">
        <x:v>식품의약품안전처 의약품개요정보(e약은요) OpenAPI
https://apis.data.go.kr/1471000/DrbEasyDrugInfoService/getDrbEasyDrugList</x:v>
      </x:c>
    </x:row>
    <x:row r="1433" ht="62" customHeight="1">
      <x:c r="A1433" s="9" t="n">
        <x:v>1432</x:v>
      </x:c>
      <x:c r="B1433" s="6" t="str">
        <x:v>최종 평가</x:v>
      </x:c>
      <x:c r="C1433" s="6" t="str">
        <x:v>복약</x:v>
      </x:c>
      <x:c r="D1433" s="6" t="str">
        <x:v>금기·경고</x:v>
      </x:c>
      <x:c r="E1433" s="6" t="str">
        <x:v>답변 가능</x:v>
      </x:c>
      <x:c r="F1433" s="6" t="str">
        <x:v>쉬움</x:v>
      </x:c>
      <x:c r="G1433" s="8" t="str">
        <x:v>마이시딜캡슐을 사용하면 안 되거나 반드시 확인해야 할 경고사항은 무엇인가요?</x:v>
      </x:c>
      <x:c r="H1433" s="8" t="str">
        <x:v>이 약에 과민증 환자, 12세 미만의 소아는 이 약을 복용하지 마십시오.이 약을 사용하기 전에 임부 또는 임신하고 있을 가능성이 있는 여성 및 수유부, 황색5호에 과민증 환자 또는 경험자는 의사 또는 약사와 상의하십시오.흉터로 인한 탈모, 안드로겐 유전성 탈모증, 남성형 대머리에는 복용하지 마십시오.정해진 용법과 용량을 잘 지키십시오.3~4개월 동안 복용하여도 증상의 개선이 없을 경우 복용을 즉각 중지하고 의사 또는 약사와 상의하십시오.</x:v>
      </x:c>
      <x:c r="I1433" s="8" t="str">
        <x:v>이 약에 과민증 환자, 12세 미만의 소아는 이 약을 복용하지 마십시오.이 약을 사용하기 전에 임부 또는 임신하고 있을 가능성이 있는 여성 및 수유부, 황색5호에 과민증 환자 또는 경험자는 의사 또는 약사와 상의하십시오.흉터로 인한 탈모, 안드로겐 유전성 탈모증, 남성형 대머리에는 복용하지 마십시오.정해진 용법과 용량을 잘 지키십시오.3~4개월 동안 복용하여도 증상의 개선이 없을 경우 복용을 즉각 중지하고 의사 또는 약사와 상의하십시오.</x:v>
      </x:c>
      <x:c r="J1433" s="8" t="str">
        <x:v>마이시딜캡슐 [품목기준코드 202001196]</x:v>
      </x:c>
      <x:c r="K1433" s="8" t="str">
        <x:v>식품의약품안전처 의약품개요정보(e약은요) OpenAPI
https://apis.data.go.kr/1471000/DrbEasyDrugInfoService/getDrbEasyDrugList</x:v>
      </x:c>
    </x:row>
    <x:row r="1434" ht="62" customHeight="1">
      <x:c r="A1434" s="9" t="n">
        <x:v>1433</x:v>
      </x:c>
      <x:c r="B1434" s="6" t="str">
        <x:v>최종 평가</x:v>
      </x:c>
      <x:c r="C1434" s="6" t="str">
        <x:v>복약</x:v>
      </x:c>
      <x:c r="D1434" s="6" t="str">
        <x:v>상호작용</x:v>
      </x:c>
      <x:c r="E1434" s="6" t="str">
        <x:v>답변 가능</x:v>
      </x:c>
      <x:c r="F1434" s="6" t="str">
        <x:v>쉬움</x:v>
      </x:c>
      <x:c r="G1434" s="8" t="str">
        <x:v>포인타민정과 함께 사용하거나 먹을 때 주의해야 할 약이나 음식이 있나요?</x:v>
      </x:c>
      <x:c r="H1434" s="8" t="str">
        <x:v>이 약을 복용하는 동안 인산염, 칼슘염, 경구용 테트라사이클린계 제제, 제산제, 레보도파를 함께 복용하지 마십시오. 강심배당체, 에스트로겐을 포함한 경구용 피임제, 항알도스테론제, 트리암테렌과 함께 복용 시 의사 또는 약사와 상의하십시오. 녹차, 홍차 등 탄닌을 함유하는 차는 복용 중, 복용 전후에는 피하십시오.</x:v>
      </x:c>
      <x:c r="I1434" s="8" t="str">
        <x:v>이 약을 복용하는 동안 인산염, 칼슘염, 경구용 테트라사이클린계 제제, 제산제, 레보도파를 함께 복용하지 마십시오. 강심배당체, 에스트로겐을 포함한 경구용 피임제, 항알도스테론제, 트리암테렌과 함께 복용 시 의사 또는 약사와 상의하십시오. 녹차, 홍차 등 탄닌을 함유하는 차는 복용 중, 복용 전후에는 피하십시오.</x:v>
      </x:c>
      <x:c r="J1434" s="8" t="str">
        <x:v>포인타민정 [품목기준코드 201202718]</x:v>
      </x:c>
      <x:c r="K1434" s="8" t="str">
        <x:v>식품의약품안전처 의약품개요정보(e약은요) OpenAPI
https://apis.data.go.kr/1471000/DrbEasyDrugInfoService/getDrbEasyDrugList</x:v>
      </x:c>
    </x:row>
    <x:row r="1435" ht="62" customHeight="1">
      <x:c r="A1435" s="9" t="n">
        <x:v>1434</x:v>
      </x:c>
      <x:c r="B1435" s="6" t="str">
        <x:v>최종 평가</x:v>
      </x:c>
      <x:c r="C1435" s="6" t="str">
        <x:v>복약</x:v>
      </x:c>
      <x:c r="D1435" s="6" t="str">
        <x:v>용법·용량</x:v>
      </x:c>
      <x:c r="E1435" s="6" t="str">
        <x:v>답변 가능</x:v>
      </x:c>
      <x:c r="F1435" s="6" t="str">
        <x:v>쉬움</x:v>
      </x:c>
      <x:c r="G1435" s="8" t="str">
        <x:v>알피린장용정(아스피린)(수출용)은 어떻게 사용하나요?</x:v>
      </x:c>
      <x:c r="H1435" s="8" t="str">
        <x:v>성인은 1회 1정, 1일 1회 복용합니다.이 약은 장용정이므로 충분한 물과 함께 식전에 복용할 수 있습니다.</x:v>
      </x:c>
      <x:c r="I1435" s="8" t="str">
        <x:v>성인은 1회 1정, 1일 1회 복용합니다.이 약은 장용정이므로 충분한 물과 함께 식전에 복용할 수 있습니다.</x:v>
      </x:c>
      <x:c r="J1435" s="8" t="str">
        <x:v>알피린장용정(아스피린)(수출용) [품목기준코드 201404364]</x:v>
      </x:c>
      <x:c r="K1435" s="8" t="str">
        <x:v>식품의약품안전처 의약품개요정보(e약은요) OpenAPI
https://apis.data.go.kr/1471000/DrbEasyDrugInfoService/getDrbEasyDrugList</x:v>
      </x:c>
    </x:row>
    <x:row r="1436" ht="62" customHeight="1">
      <x:c r="A1436" s="9" t="n">
        <x:v>1435</x:v>
      </x:c>
      <x:c r="B1436" s="6" t="str">
        <x:v>최종 평가</x:v>
      </x:c>
      <x:c r="C1436" s="6" t="str">
        <x:v>복약</x:v>
      </x:c>
      <x:c r="D1436" s="6" t="str">
        <x:v>원인·위험요인</x:v>
      </x:c>
      <x:c r="E1436" s="6" t="str">
        <x:v>답변 가능</x:v>
      </x:c>
      <x:c r="F1436" s="6" t="str">
        <x:v>보통</x:v>
      </x:c>
      <x:c r="G1436" s="8" t="str">
        <x:v>락토폴플러스정을 사용하기 전에 특히 조심해야 하는 사람은 누구인가요?</x:v>
      </x:c>
      <x:c r="H1436" s="8" t="str">
        <x:v>이 제품을 사용하기 전에 특히 확인해야 할 대상과 상황은 다음과 같습니다. 임부 또는 임신하고 있을 가능성이 있는 여성, 수유부, 신생아, 만 7세 이하의 어린이, 갈락토오스 불내성, Lapp 유당분해효소 결핍증 또는 포도당-갈락토오스 흡수 장애 등의 유전적인 문제가 있는 환자는 이 약을 복용하지 마십시오. 이 약을 복용하기 전에 황색4호에 과민증 환자 또는 경험자, 약에 의한 알레르기(발열, 발진, 관절통, 천식, 가려움증 등) 경험자, 발열을 수반하는 설사 환자, 고령자, 혈변 환자 또는 점액변이 계속되는 환자, 위·십이지장궤양 등이 있는 환자는 의사 또는 약사와 상의하십시오. 3일 이상 계속하여 복용하지 마십시오. 여러 차례 투여하여도 증상의 개선이 없을 경우 복용을 즉각 중지하고 의사 또는 약사와 상의하십시오.</x:v>
      </x:c>
      <x:c r="I1436" s="8" t="str">
        <x:v>임부 또는 임신하고 있을 가능성이 있는 여성, 수유부, 신생아, 만 7세 이하의 어린이, 갈락토오스 불내성, Lapp 유당분해효소 결핍증 또는 포도당-갈락토오스 흡수 장애 등의 유전적인 문제가 있는 환자는 이 약을 복용하지 마십시오. 이 약을 복용하기 전에 황색4호에 과민증 환자 또는 경험자, 약에 의한 알레르기(발열, 발진, 관절통, 천식, 가려움증 등) 경험자, 발열을 수반하는 설사 환자, 고령자, 혈변 환자 또는 점액변이 계속되는 환자, 위·십이지장궤양 등이 있는 환자는 의사 또는 약사와 상의하십시오. 3일 이상 계속하여 복용하지 마십시오. 여러 차례 투여하여도 증상의 개선이 없을 경우 복용을 즉각 중지하고 의사 또는 약사와 상의하십시오.</x:v>
      </x:c>
      <x:c r="J1436" s="8" t="str">
        <x:v>락토폴플러스정 [품목기준코드 202201988]</x:v>
      </x:c>
      <x:c r="K1436" s="8" t="str">
        <x:v>식품의약품안전처 의약품개요정보(e약은요) OpenAPI
https://apis.data.go.kr/1471000/DrbEasyDrugInfoService/getDrbEasyDrugList</x:v>
      </x:c>
    </x:row>
    <x:row r="1437" ht="62" customHeight="1">
      <x:c r="A1437" s="9" t="n">
        <x:v>1436</x:v>
      </x:c>
      <x:c r="B1437" s="6" t="str">
        <x:v>최종 평가</x:v>
      </x:c>
      <x:c r="C1437" s="6" t="str">
        <x:v>복약</x:v>
      </x:c>
      <x:c r="D1437" s="6" t="str">
        <x:v>용법·용량</x:v>
      </x:c>
      <x:c r="E1437" s="6" t="str">
        <x:v>답변 가능</x:v>
      </x:c>
      <x:c r="F1437" s="6" t="str">
        <x:v>쉬움</x:v>
      </x:c>
      <x:c r="G1437" s="8" t="str">
        <x:v>세토펜정325밀리그램(아세트아미노펜)은 어떻게 사용하나요?</x:v>
      </x:c>
      <x:c r="H1437" s="8" t="str">
        <x:v>성인은 1회 300~1,000 mg을 1일 3~4회 복용합니다. 1일 최고 4,000 mg까지 투여할 수 있습니다. 연령, 증상에 따라 적절히 증감할 수 있습니다.</x:v>
      </x:c>
      <x:c r="I1437" s="8" t="str">
        <x:v>성인은 1회 300~1,000 mg을 1일 3~4회 복용합니다. 1일 최고 4,000 mg까지 투여할 수 있습니다. 연령, 증상에 따라 적절히 증감할 수 있습니다.</x:v>
      </x:c>
      <x:c r="J1437" s="8" t="str">
        <x:v>세토펜정325밀리그램(아세트아미노펜) [품목기준코드 199600770]</x:v>
      </x:c>
      <x:c r="K1437" s="8" t="str">
        <x:v>식품의약품안전처 의약품개요정보(e약은요) OpenAPI
https://apis.data.go.kr/1471000/DrbEasyDrugInfoService/getDrbEasyDrugList</x:v>
      </x:c>
    </x:row>
    <x:row r="1438" ht="62" customHeight="1">
      <x:c r="A1438" s="9" t="n">
        <x:v>1437</x:v>
      </x:c>
      <x:c r="B1438" s="6" t="str">
        <x:v>최종 평가</x:v>
      </x:c>
      <x:c r="C1438" s="6" t="str">
        <x:v>복약</x:v>
      </x:c>
      <x:c r="D1438" s="6" t="str">
        <x:v>답변불가·개인 복용 판단</x:v>
      </x:c>
      <x:c r="E1438" s="6" t="str">
        <x:v>답변 거부</x:v>
      </x:c>
      <x:c r="F1438" s="6" t="str">
        <x:v>어려움</x:v>
      </x:c>
      <x:c r="G1438" s="8" t="str">
        <x:v>제 건강 상태를 따로 확인하지 않고 덱사톱크림(덱사메타손프로피오네이트)을 지금 먹어도 되는지 결정해 주세요.</x:v>
      </x:c>
      <x:c r="H1438" s="8" t="str">
        <x:v>제공된 e약은요 VDB만으로 개인의 건강 상태를 반영한 복용 가능 여부를 결정할 수 없습니다. 의사 또는 약사와 상담해야 합니다.</x:v>
      </x:c>
      <x:c r="I1438" s="8" t="str">
        <x:v>VDB 범위 밖 질문 — 근거 없음</x:v>
      </x:c>
      <x:c r="J1438" s="8" t="str">
        <x:v>덱사톱크림(덱사메타손프로피오네이트) [품목기준코드 200201703]</x:v>
      </x:c>
      <x:c r="K1438" s="8" t="str">
        <x:v>식품의약품안전처 의약품개요정보(e약은요) OpenAPI
https://apis.data.go.kr/1471000/DrbEasyDrugInfoService/getDrbEasyDrugList</x:v>
      </x:c>
    </x:row>
    <x:row r="1439" ht="62" customHeight="1">
      <x:c r="A1439" s="9" t="n">
        <x:v>1438</x:v>
      </x:c>
      <x:c r="B1439" s="6" t="str">
        <x:v>최종 평가</x:v>
      </x:c>
      <x:c r="C1439" s="6" t="str">
        <x:v>복약</x:v>
      </x:c>
      <x:c r="D1439" s="6" t="str">
        <x:v>답변불가·개인 복용 판단</x:v>
      </x:c>
      <x:c r="E1439" s="6" t="str">
        <x:v>답변 거부</x:v>
      </x:c>
      <x:c r="F1439" s="6" t="str">
        <x:v>어려움</x:v>
      </x:c>
      <x:c r="G1439" s="8" t="str">
        <x:v>제 건강 상태를 따로 확인하지 않고 현대에르도스테인캡슐을 지금 먹어도 되는지 결정해 주세요.</x:v>
      </x:c>
      <x:c r="H1439" s="8" t="str">
        <x:v>제공된 e약은요 VDB만으로 개인의 건강 상태를 반영한 복용 가능 여부를 결정할 수 없습니다. 의사 또는 약사와 상담해야 합니다.</x:v>
      </x:c>
      <x:c r="I1439" s="8" t="str">
        <x:v>VDB 범위 밖 질문 — 근거 없음</x:v>
      </x:c>
      <x:c r="J1439" s="8" t="str">
        <x:v>현대에르도스테인캡슐 [품목기준코드 201903082]</x:v>
      </x:c>
      <x:c r="K1439" s="8" t="str">
        <x:v>식품의약품안전처 의약품개요정보(e약은요) OpenAPI
https://apis.data.go.kr/1471000/DrbEasyDrugInfoService/getDrbEasyDrugList</x:v>
      </x:c>
    </x:row>
    <x:row r="1440" ht="62" customHeight="1">
      <x:c r="A1440" s="9" t="n">
        <x:v>1439</x:v>
      </x:c>
      <x:c r="B1440" s="6" t="str">
        <x:v>최종 평가</x:v>
      </x:c>
      <x:c r="C1440" s="6" t="str">
        <x:v>복약</x:v>
      </x:c>
      <x:c r="D1440" s="6" t="str">
        <x:v>용법·용량</x:v>
      </x:c>
      <x:c r="E1440" s="6" t="str">
        <x:v>답변 가능</x:v>
      </x:c>
      <x:c r="F1440" s="6" t="str">
        <x:v>쉬움</x:v>
      </x:c>
      <x:c r="G1440" s="8" t="str">
        <x:v>화콜씨콜드연질캡슐은 어떻게 사용하나요?</x:v>
      </x:c>
      <x:c r="H1440" s="8" t="str">
        <x:v>만 15세 이상 및 성인은 1회 2캡슐씩, 만 7세 초과~만 15세 미만은 1회 1캡슐씩, 1일 3회 식후 30분에 복용합니다.</x:v>
      </x:c>
      <x:c r="I1440" s="8" t="str">
        <x:v>만 15세 이상 및 성인은 1회 2캡슐씩, 만 7세 초과~만 15세 미만은 1회 1캡슐씩, 1일 3회 식후 30분에 복용합니다.</x:v>
      </x:c>
      <x:c r="J1440" s="8" t="str">
        <x:v>화콜씨콜드연질캡슐 [품목기준코드 201600731]</x:v>
      </x:c>
      <x:c r="K1440" s="8" t="str">
        <x:v>식품의약품안전처 의약품개요정보(e약은요) OpenAPI
https://apis.data.go.kr/1471000/DrbEasyDrugInfoService/getDrbEasyDrugList</x:v>
      </x:c>
    </x:row>
    <x:row r="1441" ht="62" customHeight="1">
      <x:c r="A1441" s="9" t="n">
        <x:v>1440</x:v>
      </x:c>
      <x:c r="B1441" s="6" t="str">
        <x:v>최종 평가</x:v>
      </x:c>
      <x:c r="C1441" s="6" t="str">
        <x:v>복약</x:v>
      </x:c>
      <x:c r="D1441" s="6" t="str">
        <x:v>용법·용량</x:v>
      </x:c>
      <x:c r="E1441" s="6" t="str">
        <x:v>답변 가능</x:v>
      </x:c>
      <x:c r="F1441" s="6" t="str">
        <x:v>쉬움</x:v>
      </x:c>
      <x:c r="G1441" s="8" t="str">
        <x:v>제일톡톡퓨어점안액(카르복시메틸셀룰로오스나트륨)(1회용)은 어떻게 사용하나요?</x:v>
      </x:c>
      <x:c r="H1441" s="8" t="str">
        <x:v>용기의 끝 부분을 앞뒤로 완전히 구부린 다음 당겨서 개봉하고, 필요시 증상이 있는 눈에 1~2방울씩 점안하십시오.</x:v>
      </x:c>
      <x:c r="I1441" s="8" t="str">
        <x:v>용기의 끝 부분을 앞뒤로 완전히 구부린 다음 당겨서 개봉하고, 필요시 증상이 있는 눈에 1~2방울씩 점안하십시오.</x:v>
      </x:c>
      <x:c r="J1441" s="8" t="str">
        <x:v>제일톡톡퓨어점안액(카르복시메틸셀룰로오스나트륨)(1회용) [품목기준코드 202400498]</x:v>
      </x:c>
      <x:c r="K1441" s="8" t="str">
        <x:v>식품의약품안전처 의약품개요정보(e약은요) OpenAPI
https://apis.data.go.kr/1471000/DrbEasyDrugInfoService/getDrbEasyDrugList</x:v>
      </x:c>
    </x:row>
    <x:row r="1442" ht="62" customHeight="1">
      <x:c r="A1442" s="9" t="n">
        <x:v>1441</x:v>
      </x:c>
      <x:c r="B1442" s="6" t="str">
        <x:v>최종 평가</x:v>
      </x:c>
      <x:c r="C1442" s="6" t="str">
        <x:v>복약</x:v>
      </x:c>
      <x:c r="D1442" s="6" t="str">
        <x:v>답변불가·가격·재고</x:v>
      </x:c>
      <x:c r="E1442" s="6" t="str">
        <x:v>답변 거부</x:v>
      </x:c>
      <x:c r="F1442" s="6" t="str">
        <x:v>어려움</x:v>
      </x:c>
      <x:c r="G1442" s="8" t="str">
        <x:v>오늘 제 주변 약국에서 젬비오캡슐(엔테로코쿠스페슘스트레인세르넬레68균)이 가장 싼 곳과 재고 수량을 알려주세요.</x:v>
      </x:c>
      <x:c r="H1442" s="8" t="str">
        <x:v>제공된 e약은요 VDB에는 실시간 약국별 가격과 재고 정보가 없어 답할 수 없습니다.</x:v>
      </x:c>
      <x:c r="I1442" s="8" t="str">
        <x:v>VDB 범위 밖 질문 — 근거 없음</x:v>
      </x:c>
      <x:c r="J1442" s="8" t="str">
        <x:v>젬비오캡슐(엔테로코쿠스페슘스트레인세르넬레68균) [품목기준코드 201802335]</x:v>
      </x:c>
      <x:c r="K1442" s="8" t="str">
        <x:v>식품의약품안전처 의약품개요정보(e약은요) OpenAPI
https://apis.data.go.kr/1471000/DrbEasyDrugInfoService/getDrbEasyDrugList</x:v>
      </x:c>
    </x:row>
    <x:row r="1443" ht="62" customHeight="1">
      <x:c r="A1443" s="9" t="n">
        <x:v>1442</x:v>
      </x:c>
      <x:c r="B1443" s="6" t="str">
        <x:v>최종 평가</x:v>
      </x:c>
      <x:c r="C1443" s="6" t="str">
        <x:v>복약</x:v>
      </x:c>
      <x:c r="D1443" s="6" t="str">
        <x:v>금기·경고</x:v>
      </x:c>
      <x:c r="E1443" s="6" t="str">
        <x:v>답변 가능</x:v>
      </x:c>
      <x:c r="F1443" s="6" t="str">
        <x:v>쉬움</x:v>
      </x:c>
      <x:c r="G1443" s="8" t="str">
        <x:v>스트렙실허니앤레몬트로키(플루르비프로펜), 스트렙실오렌지트로키(플루르비프로펜)을 사용하면 안 되거나 반드시 확인해야 할 경고사항은 무엇인가요?</x:v>
      </x:c>
      <x:c r="H1443" s="8" t="str">
        <x:v>이 약 또는 아스피린, 다른 비스테로이드성 소염진통제에 과민증 환자, 소화성궤양, 출혈, 아스피린 또는 다른 비스테로이드성 소염진통제에 의한 천식(천식발작 포함), 두드러기, 기관지경련, 비염 또는 경험자, 중증 심기능부전, 비스테로이드성 소염진통제, 항류마티스제에 의한 위장관 출혈 또는 천공, 중증 대장염, 중증 혈액 이상 환자, 불분명한 조혈장애, 중증 간장애, 중증 신장애, 임신 후기 3개월인 임부, 유전성 과당 불내증, 포도당-갈락토오스 흡수장애, 백당-이소말타아제 결핍증 환자는 이 약을 복용하지 마십시오.</x:v>
      </x:c>
      <x:c r="I1443" s="8" t="str">
        <x:v>이 약 또는 아스피린, 다른 비스테로이드성 소염진통제에 과민증 환자, 소화성궤양, 출혈, 아스피린 또는 다른 비스테로이드성 소염진통제에 의한 천식(천식발작 포함), 두드러기, 기관지경련, 비염 또는 경험자, 중증 심기능부전, 비스테로이드성 소염진통제, 항류마티스제에 의한 위장관 출혈 또는 천공, 중증 대장염, 중증 혈액 이상 환자, 불분명한 조혈장애, 중증 간장애, 중증 신장애, 임신 후기 3개월인 임부, 유전성 과당 불내증, 포도당-갈락토오스 흡수장애, 백당-이소말타아제 결핍증 환자는 이 약을 복용하지 마십시오.</x:v>
      </x:c>
      <x:c r="J1443" s="8" t="str">
        <x:v>스트렙실허니앤레몬트로키(플루르비프로펜), 스트렙실오렌지트로키(플루르비프로펜) [품목기준코드 200906877]</x:v>
      </x:c>
      <x:c r="K1443" s="8" t="str">
        <x:v>식품의약품안전처 의약품개요정보(e약은요) OpenAPI
https://apis.data.go.kr/1471000/DrbEasyDrugInfoService/getDrbEasyDrugList</x:v>
      </x:c>
    </x:row>
    <x:row r="1444" ht="62" customHeight="1">
      <x:c r="A1444" s="9" t="n">
        <x:v>1443</x:v>
      </x:c>
      <x:c r="B1444" s="6" t="str">
        <x:v>최종 평가</x:v>
      </x:c>
      <x:c r="C1444" s="6" t="str">
        <x:v>복약</x:v>
      </x:c>
      <x:c r="D1444" s="6" t="str">
        <x:v>원인·위험요인</x:v>
      </x:c>
      <x:c r="E1444" s="6" t="str">
        <x:v>답변 가능</x:v>
      </x:c>
      <x:c r="F1444" s="6" t="str">
        <x:v>보통</x:v>
      </x:c>
      <x:c r="G1444" s="8" t="str">
        <x:v>베타엠크림을 사용하기 전에 특히 조심해야 하는 사람은 누구인가요?</x:v>
      </x:c>
      <x:c r="H1444" s="8" t="str">
        <x:v>이 제품을 사용하기 전에 특히 확인해야 할 대상과 상황은 다음과 같습니다. 이 약 또는 스트렙토마이신, 카나마이신, 겐타마이신, 네오마이신 등 아미노글리코사이드계 항생물질 또는 바시트라신에 과민증 또는 알레르기 반응 경험자, 고막천공이 있는 습진성 외이도염, 궤양(베체트병 제외), 제2도 심재성 이상의 화상·동상, 입주위피부염, 보통여드름, 주사 환자는 이 약을 사용하지 마십시오. 이 약을 사용하기 전에 프로필렌글리콜 과민증 또는 알레르기 반응 경험자, 임부 또는 임신하고 있을 가능성이 있는 여성 및 수유부, 유ㆍ소아는 의사 또는 약사와 상의하십시오. 어린이에게 투여할 경우 보호자의 지도 감독하에 투여하십시오. 안과용으로 사용하지 마십시오. 화장이나 면도 후 치료 이외의 목적으로 사용하지 마십시오. 의사의 감독 없이 밀봉붕대법을 사용하지 마십시오.</x:v>
      </x:c>
      <x:c r="I1444" s="8" t="str">
        <x:v>이 약 또는 스트렙토마이신, 카나마이신, 겐타마이신, 네오마이신 등 아미노글리코사이드계 항생물질 또는 바시트라신에 과민증 또는 알레르기 반응 경험자, 고막천공이 있는 습진성 외이도염, 궤양(베체트병 제외), 제2도 심재성 이상의 화상·동상, 입주위피부염, 보통여드름, 주사 환자는 이 약을 사용하지 마십시오. 이 약을 사용하기 전에 프로필렌글리콜 과민증 또는 알레르기 반응 경험자, 임부 또는 임신하고 있을 가능성이 있는 여성 및 수유부, 유ㆍ소아는 의사 또는 약사와 상의하십시오. 어린이에게 투여할 경우 보호자의 지도 감독하에 투여하십시오. 안과용으로 사용하지 마십시오. 화장이나 면도 후 치료 이외의 목적으로 사용하지 마십시오. 의사의 감독 없이 밀봉붕대법을 사용하지 마십시오.</x:v>
      </x:c>
      <x:c r="J1444" s="8" t="str">
        <x:v>베타엠크림 [품목기준코드 200002463]</x:v>
      </x:c>
      <x:c r="K1444" s="8" t="str">
        <x:v>식품의약품안전처 의약품개요정보(e약은요) OpenAPI
https://apis.data.go.kr/1471000/DrbEasyDrugInfoService/getDrbEasyDrugList</x:v>
      </x:c>
    </x:row>
    <x:row r="1445" ht="62" customHeight="1">
      <x:c r="A1445" s="9" t="n">
        <x:v>1444</x:v>
      </x:c>
      <x:c r="B1445" s="6" t="str">
        <x:v>최종 평가</x:v>
      </x:c>
      <x:c r="C1445" s="6" t="str">
        <x:v>복약</x:v>
      </x:c>
      <x:c r="D1445" s="6" t="str">
        <x:v>증상·이상반응</x:v>
      </x:c>
      <x:c r="E1445" s="6" t="str">
        <x:v>답변 가능</x:v>
      </x:c>
      <x:c r="F1445" s="6" t="str">
        <x:v>쉬움</x:v>
      </x:c>
      <x:c r="G1445" s="8" t="str">
        <x:v>크레온캡슐10000(판크레아스 분말)을 사용하면 어떤 부작용이 생길 수 있나요?</x:v>
      </x:c>
      <x:c r="H1445" s="8" t="str">
        <x:v>e약은요에는 다음과 같은 이상반응이 안내되어 있습니다. 복부 통증, 구역, 구토, 변비, 설사, 복부팽만, 비정상적 배변, 피부 발진, 재채기, 눈물분비, 기관지경련 등 알레르기 반응, 고요산요증, 고요산혈증, 구강 및 항문주위 궤양 등이 나타나는 경우 복용을 즉각 중지하고 의사 또는 약사와 상의하십시오.</x:v>
      </x:c>
      <x:c r="I1445" s="8" t="str">
        <x:v>복부 통증, 구역, 구토, 변비, 설사, 복부팽만, 비정상적 배변, 피부 발진, 재채기, 눈물분비, 기관지경련 등 알레르기 반응, 고요산요증, 고요산혈증, 구강 및 항문주위 궤양 등이 나타나는 경우 복용을 즉각 중지하고 의사 또는 약사와 상의하십시오.</x:v>
      </x:c>
      <x:c r="J1445" s="8" t="str">
        <x:v>크레온캡슐10000(판크레아스 분말) [품목기준코드 201205361]</x:v>
      </x:c>
      <x:c r="K1445" s="8" t="str">
        <x:v>식품의약품안전처 의약품개요정보(e약은요) OpenAPI
https://apis.data.go.kr/1471000/DrbEasyDrugInfoService/getDrbEasyDrugList</x:v>
      </x:c>
    </x:row>
    <x:row r="1446" ht="62" customHeight="1">
      <x:c r="A1446" s="9" t="n">
        <x:v>1445</x:v>
      </x:c>
      <x:c r="B1446" s="6" t="str">
        <x:v>최종 평가</x:v>
      </x:c>
      <x:c r="C1446" s="6" t="str">
        <x:v>복약</x:v>
      </x:c>
      <x:c r="D1446" s="6" t="str">
        <x:v>용법·용량</x:v>
      </x:c>
      <x:c r="E1446" s="6" t="str">
        <x:v>답변 가능</x:v>
      </x:c>
      <x:c r="F1446" s="6" t="str">
        <x:v>쉬움</x:v>
      </x:c>
      <x:c r="G1446" s="8" t="str">
        <x:v>엑세라민엑소정은 어떻게 사용하나요?</x:v>
      </x:c>
      <x:c r="H1446" s="8" t="str">
        <x:v>만 12세 이상 및 성인은 1회 1정씩, 1일 1회 식후에 복용합니다.</x:v>
      </x:c>
      <x:c r="I1446" s="8" t="str">
        <x:v>만 12세 이상 및 성인은 1회 1정씩, 1일 1회 식후에 복용합니다.</x:v>
      </x:c>
      <x:c r="J1446" s="8" t="str">
        <x:v>엑세라민엑소정 [품목기준코드 201507762]</x:v>
      </x:c>
      <x:c r="K1446" s="8" t="str">
        <x:v>식품의약품안전처 의약품개요정보(e약은요) OpenAPI
https://apis.data.go.kr/1471000/DrbEasyDrugInfoService/getDrbEasyDrugList</x:v>
      </x:c>
    </x:row>
    <x:row r="1447" ht="62" customHeight="1">
      <x:c r="A1447" s="9" t="n">
        <x:v>1446</x:v>
      </x:c>
      <x:c r="B1447" s="6" t="str">
        <x:v>최종 평가</x:v>
      </x:c>
      <x:c r="C1447" s="6" t="str">
        <x:v>복약</x:v>
      </x:c>
      <x:c r="D1447" s="6" t="str">
        <x:v>답변불가·가격·재고</x:v>
      </x:c>
      <x:c r="E1447" s="6" t="str">
        <x:v>답변 거부</x:v>
      </x:c>
      <x:c r="F1447" s="6" t="str">
        <x:v>어려움</x:v>
      </x:c>
      <x:c r="G1447" s="8" t="str">
        <x:v>오늘 제 주변 약국에서 엘도스테인캡슐(에르도스테인)이 가장 싼 곳과 재고 수량을 알려주세요.</x:v>
      </x:c>
      <x:c r="H1447" s="8" t="str">
        <x:v>제공된 e약은요 VDB에는 실시간 약국별 가격과 재고 정보가 없어 답할 수 없습니다.</x:v>
      </x:c>
      <x:c r="I1447" s="8" t="str">
        <x:v>VDB 범위 밖 질문 — 근거 없음</x:v>
      </x:c>
      <x:c r="J1447" s="8" t="str">
        <x:v>엘도스테인캡슐(에르도스테인) [품목기준코드 201803487]</x:v>
      </x:c>
      <x:c r="K1447" s="8" t="str">
        <x:v>식품의약품안전처 의약품개요정보(e약은요) OpenAPI
https://apis.data.go.kr/1471000/DrbEasyDrugInfoService/getDrbEasyDrugList</x:v>
      </x:c>
    </x:row>
    <x:row r="1448" ht="62" customHeight="1">
      <x:c r="A1448" s="9" t="n">
        <x:v>1447</x:v>
      </x:c>
      <x:c r="B1448" s="6" t="str">
        <x:v>최종 평가</x:v>
      </x:c>
      <x:c r="C1448" s="6" t="str">
        <x:v>복약</x:v>
      </x:c>
      <x:c r="D1448" s="6" t="str">
        <x:v>상호작용</x:v>
      </x:c>
      <x:c r="E1448" s="6" t="str">
        <x:v>답변 가능</x:v>
      </x:c>
      <x:c r="F1448" s="6" t="str">
        <x:v>쉬움</x:v>
      </x:c>
      <x:c r="G1448" s="8" t="str">
        <x:v>키노랄액(케토코나졸)과 함께 사용하거나 먹을 때 주의해야 할 약이나 음식이 있나요?</x:v>
      </x:c>
      <x:c r="H1448" s="8" t="str">
        <x:v>동종의 항진균제(미코나졸, 에코나졸, 이소코나졸 등)와 함께 사용 시 의사 또는 약사와 상의하십시오.</x:v>
      </x:c>
      <x:c r="I1448" s="8" t="str">
        <x:v>동종의 항진균제(미코나졸, 에코나졸, 이소코나졸 등)와 함께 사용 시 의사 또는 약사와 상의하십시오.</x:v>
      </x:c>
      <x:c r="J1448" s="8" t="str">
        <x:v>키노랄액(케토코나졸) [품목기준코드 199501118]</x:v>
      </x:c>
      <x:c r="K1448" s="8" t="str">
        <x:v>식품의약품안전처 의약품개요정보(e약은요) OpenAPI
https://apis.data.go.kr/1471000/DrbEasyDrugInfoService/getDrbEasyDrugList</x:v>
      </x:c>
    </x:row>
    <x:row r="1449" ht="62" customHeight="1">
      <x:c r="A1449" s="9" t="n">
        <x:v>1448</x:v>
      </x:c>
      <x:c r="B1449" s="6" t="str">
        <x:v>최종 평가</x:v>
      </x:c>
      <x:c r="C1449" s="6" t="str">
        <x:v>복약</x:v>
      </x:c>
      <x:c r="D1449" s="6" t="str">
        <x:v>효능·사용목적</x:v>
      </x:c>
      <x:c r="E1449" s="6" t="str">
        <x:v>답변 가능</x:v>
      </x:c>
      <x:c r="F1449" s="6" t="str">
        <x:v>쉬움</x:v>
      </x:c>
      <x:c r="G1449" s="8" t="str">
        <x:v>내린다시럽(아세트아미노펜)은 어떤 증상이나 질환에 사용하는 약인가요?</x:v>
      </x:c>
      <x:c r="H1449" s="8" t="str">
        <x:v>이 약은 감기로 인한 발열 및 동통(통증), 두통, 신경통, 근육통, 월경통, 염좌통(삔 통증), 치통, 관절통, 류마티양 동통(통증)에 사용합니다.</x:v>
      </x:c>
      <x:c r="I1449" s="8" t="str">
        <x:v>이 약은 감기로 인한 발열 및 동통(통증), 두통, 신경통, 근육통, 월경통, 염좌통(삔 통증), 치통, 관절통, 류마티양 동통(통증)에 사용합니다.</x:v>
      </x:c>
      <x:c r="J1449" s="8" t="str">
        <x:v>내린다시럽(아세트아미노펜) [품목기준코드 202201984]</x:v>
      </x:c>
      <x:c r="K1449" s="8" t="str">
        <x:v>식품의약품안전처 의약품개요정보(e약은요) OpenAPI
https://apis.data.go.kr/1471000/DrbEasyDrugInfoService/getDrbEasyDrugList</x:v>
      </x:c>
    </x:row>
    <x:row r="1450" ht="62" customHeight="1">
      <x:c r="A1450" s="9" t="n">
        <x:v>1449</x:v>
      </x:c>
      <x:c r="B1450" s="6" t="str">
        <x:v>최종 평가</x:v>
      </x:c>
      <x:c r="C1450" s="6" t="str">
        <x:v>복약</x:v>
      </x:c>
      <x:c r="D1450" s="6" t="str">
        <x:v>원인·위험요인</x:v>
      </x:c>
      <x:c r="E1450" s="6" t="str">
        <x:v>답변 가능</x:v>
      </x:c>
      <x:c r="F1450" s="6" t="str">
        <x:v>보통</x:v>
      </x:c>
      <x:c r="G1450" s="8" t="str">
        <x:v>다이오친에프정을 사용하기 전에 특히 조심해야 하는 사람은 누구인가요?</x:v>
      </x:c>
      <x:c r="H1450" s="8" t="str">
        <x:v>이 제품을 사용하기 전에 특히 확인해야 할 대상과 상황은 다음과 같습니다. 이 약에 과민증 환자, 만 3개월 미만의 영아, MAO 억제제(항우울제, 항정신병제, 감정조절제, 항파킨슨제 등)를 복용하고 있거나 복용을 중단한 후 2주 이내의 사람은 이 약을 복용하지 마십시오.이 약을 복용하기 전에 만 2세 미만의 영ㆍ유아, 고령자, 몸이 약한 사람, 알레르기 체질, 고혈압, 심장질환, 신장질환, 부종, 녹내장(눈의 통증, 눈이 침침함 등), 배뇨장애, 고열, 흡연, 천식, 만성 기관지염, 폐기종, 과도한 가래가 동반되는 기침, 1주 이상 지속 또는 재발되는 기침, 만성 기침, 발열·발진이나 지속적인 두통이 동반되는 기침 환자, 황색5호에 과민증 환자 또는 경험자는 의사 또는 약사와 상의하십시오.정해진 용법과 용량을 잘 지키십시오.어린이에게 투여할 경우 보호자의 지도 감독하에 투여하십시오.복용 후 졸음이 나타날 수 있으므로 운전 및 기계조작 시 주의하십시오.</x:v>
      </x:c>
      <x:c r="I1450" s="8" t="str">
        <x:v>이 약에 과민증 환자, 만 3개월 미만의 영아, MAO 억제제(항우울제, 항정신병제, 감정조절제, 항파킨슨제 등)를 복용하고 있거나 복용을 중단한 후 2주 이내의 사람은 이 약을 복용하지 마십시오.이 약을 복용하기 전에 만 2세 미만의 영ㆍ유아, 고령자, 몸이 약한 사람, 알레르기 체질, 고혈압, 심장질환, 신장질환, 부종, 녹내장(눈의 통증, 눈이 침침함 등), 배뇨장애, 고열, 흡연, 천식, 만성 기관지염, 폐기종, 과도한 가래가 동반되는 기침, 1주 이상 지속 또는 재발되는 기침, 만성 기침, 발열·발진이나 지속적인 두통이 동반되는 기침 환자, 황색5호에 과민증 환자 또는 경험자는 의사 또는 약사와 상의하십시오.정해진 용법과 용량을 잘 지키십시오.어린이에게 투여할 경우 보호자의 지도 감독하에 투여하십시오.복용 후 졸음이 나타날 수 있으므로 운전 및 기계조작 시 주의하십시오.</x:v>
      </x:c>
      <x:c r="J1450" s="8" t="str">
        <x:v>다이오친에프정 [품목기준코드 200400785]</x:v>
      </x:c>
      <x:c r="K1450" s="8" t="str">
        <x:v>식품의약품안전처 의약품개요정보(e약은요) OpenAPI
https://apis.data.go.kr/1471000/DrbEasyDrugInfoService/getDrbEasyDrugList</x:v>
      </x:c>
    </x:row>
    <x:row r="1451" ht="62" customHeight="1">
      <x:c r="A1451" s="9" t="n">
        <x:v>1450</x:v>
      </x:c>
      <x:c r="B1451" s="6" t="str">
        <x:v>최종 평가</x:v>
      </x:c>
      <x:c r="C1451" s="6" t="str">
        <x:v>복약</x:v>
      </x:c>
      <x:c r="D1451" s="6" t="str">
        <x:v>답변불가·개인 복용 판단</x:v>
      </x:c>
      <x:c r="E1451" s="6" t="str">
        <x:v>답변 거부</x:v>
      </x:c>
      <x:c r="F1451" s="6" t="str">
        <x:v>어려움</x:v>
      </x:c>
      <x:c r="G1451" s="8" t="str">
        <x:v>제 건강 상태를 따로 확인하지 않고 발무졸크림(수출용)을 지금 먹어도 되는지 결정해 주세요.</x:v>
      </x:c>
      <x:c r="H1451" s="8" t="str">
        <x:v>제공된 e약은요 VDB만으로 개인의 건강 상태를 반영한 복용 가능 여부를 결정할 수 없습니다. 의사 또는 약사와 상담해야 합니다.</x:v>
      </x:c>
      <x:c r="I1451" s="8" t="str">
        <x:v>VDB 범위 밖 질문 — 근거 없음</x:v>
      </x:c>
      <x:c r="J1451" s="8" t="str">
        <x:v>발무졸크림(수출용) [품목기준코드 199601069]</x:v>
      </x:c>
      <x:c r="K1451" s="8" t="str">
        <x:v>식품의약품안전처 의약품개요정보(e약은요) OpenAPI
https://apis.data.go.kr/1471000/DrbEasyDrugInfoService/getDrbEasyDrugList</x:v>
      </x:c>
    </x:row>
    <x:row r="1452" ht="62" customHeight="1">
      <x:c r="A1452" s="9" t="n">
        <x:v>1451</x:v>
      </x:c>
      <x:c r="B1452" s="6" t="str">
        <x:v>최종 평가</x:v>
      </x:c>
      <x:c r="C1452" s="6" t="str">
        <x:v>복약</x:v>
      </x:c>
      <x:c r="D1452" s="6" t="str">
        <x:v>답변불가·가격·재고</x:v>
      </x:c>
      <x:c r="E1452" s="6" t="str">
        <x:v>답변 거부</x:v>
      </x:c>
      <x:c r="F1452" s="6" t="str">
        <x:v>어려움</x:v>
      </x:c>
      <x:c r="G1452" s="8" t="str">
        <x:v>오늘 제 주변 약국에서 마그엠정(알마게이트)이 가장 싼 곳과 재고 수량을 알려주세요.</x:v>
      </x:c>
      <x:c r="H1452" s="8" t="str">
        <x:v>제공된 e약은요 VDB에는 실시간 약국별 가격과 재고 정보가 없어 답할 수 없습니다.</x:v>
      </x:c>
      <x:c r="I1452" s="8" t="str">
        <x:v>VDB 범위 밖 질문 — 근거 없음</x:v>
      </x:c>
      <x:c r="J1452" s="8" t="str">
        <x:v>마그엠정(알마게이트) [품목기준코드 201706490]</x:v>
      </x:c>
      <x:c r="K1452" s="8" t="str">
        <x:v>식품의약품안전처 의약품개요정보(e약은요) OpenAPI
https://apis.data.go.kr/1471000/DrbEasyDrugInfoService/getDrbEasyDrugList</x:v>
      </x:c>
    </x:row>
    <x:row r="1453" ht="62" customHeight="1">
      <x:c r="A1453" s="9" t="n">
        <x:v>1452</x:v>
      </x:c>
      <x:c r="B1453" s="6" t="str">
        <x:v>최종 평가</x:v>
      </x:c>
      <x:c r="C1453" s="6" t="str">
        <x:v>복약</x:v>
      </x:c>
      <x:c r="D1453" s="6" t="str">
        <x:v>증상·이상반응</x:v>
      </x:c>
      <x:c r="E1453" s="6" t="str">
        <x:v>답변 가능</x:v>
      </x:c>
      <x:c r="F1453" s="6" t="str">
        <x:v>쉬움</x:v>
      </x:c>
      <x:c r="G1453" s="8" t="str">
        <x:v>벤티브정을 사용하면 어떤 부작용이 생길 수 있나요?</x:v>
      </x:c>
      <x:c r="H1453" s="8" t="str">
        <x:v>e약은요에는 다음과 같은 이상반응이 안내되어 있습니다. 두드러기, 발진, 가려움증, 식욕부진, 복부팽만감, 구역, 구토, 묽은 변 등이 나타나는 경우 복용을 즉각 중지하고 의사 또는 약사와 상의하십시오.신생아와 영아(젖먹이)에서는 심한 진정, 저혈압 및 호흡기 장애(호흡 곤란, 무호흡)가 나타날 수 있습니다.</x:v>
      </x:c>
      <x:c r="I1453" s="8" t="str">
        <x:v>두드러기, 발진, 가려움증, 식욕부진, 복부팽만감, 구역, 구토, 묽은 변 등이 나타나는 경우 복용을 즉각 중지하고 의사 또는 약사와 상의하십시오.신생아와 영아(젖먹이)에서는 심한 진정, 저혈압 및 호흡기 장애(호흡 곤란, 무호흡)가 나타날 수 있습니다.</x:v>
      </x:c>
      <x:c r="J1453" s="8" t="str">
        <x:v>벤티브정 [품목기준코드 202001134]</x:v>
      </x:c>
      <x:c r="K1453" s="8" t="str">
        <x:v>식품의약품안전처 의약품개요정보(e약은요) OpenAPI
https://apis.data.go.kr/1471000/DrbEasyDrugInfoService/getDrbEasyDrugList</x:v>
      </x:c>
    </x:row>
    <x:row r="1454" ht="62" customHeight="1">
      <x:c r="A1454" s="9" t="n">
        <x:v>1453</x:v>
      </x:c>
      <x:c r="B1454" s="6" t="str">
        <x:v>최종 평가</x:v>
      </x:c>
      <x:c r="C1454" s="6" t="str">
        <x:v>복약</x:v>
      </x:c>
      <x:c r="D1454" s="6" t="str">
        <x:v>용법·용량</x:v>
      </x:c>
      <x:c r="E1454" s="6" t="str">
        <x:v>답변 가능</x:v>
      </x:c>
      <x:c r="F1454" s="6" t="str">
        <x:v>쉬움</x:v>
      </x:c>
      <x:c r="G1454" s="8" t="str">
        <x:v>에카슬림정은 어떻게 사용하나요?</x:v>
      </x:c>
      <x:c r="H1454" s="8" t="str">
        <x:v>만 15세 이상 및 성인은 1회 1정씩, 1일 3회 식후 30분에 복용합니다.</x:v>
      </x:c>
      <x:c r="I1454" s="8" t="str">
        <x:v>만 15세 이상 및 성인은 1회 1정씩, 1일 3회 식후 30분에 복용합니다.</x:v>
      </x:c>
      <x:c r="J1454" s="8" t="str">
        <x:v>에카슬림정 [품목기준코드 202401066]</x:v>
      </x:c>
      <x:c r="K1454" s="8" t="str">
        <x:v>식품의약품안전처 의약품개요정보(e약은요) OpenAPI
https://apis.data.go.kr/1471000/DrbEasyDrugInfoService/getDrbEasyDrugList</x:v>
      </x:c>
    </x:row>
    <x:row r="1455" ht="62" customHeight="1">
      <x:c r="A1455" s="9" t="n">
        <x:v>1454</x:v>
      </x:c>
      <x:c r="B1455" s="6" t="str">
        <x:v>최종 평가</x:v>
      </x:c>
      <x:c r="C1455" s="6" t="str">
        <x:v>복약</x:v>
      </x:c>
      <x:c r="D1455" s="6" t="str">
        <x:v>대상별 정보</x:v>
      </x:c>
      <x:c r="E1455" s="6" t="str">
        <x:v>답변 가능</x:v>
      </x:c>
      <x:c r="F1455" s="6" t="str">
        <x:v>보통</x:v>
      </x:c>
      <x:c r="G1455" s="8" t="str">
        <x:v>고령자가 복합마이녹실액5%을 사용할 때 주의할 점은 무엇인가요?</x:v>
      </x:c>
      <x:c r="H1455" s="8" t="str">
        <x:v>e약은요에서 고령자·노인과 관련해 안내한 내용은 다음과 같습니다. 여성, 18세 미만, 이 약에 과민증 환자, 심혈관계 질환(관상동맥 질환, 부정맥, 울혈심부전, 심장판막 질환, 치료받거나 혹은 치료받지 않은 고혈압, 저혈압), 탈모의 유전적 요인이 없는 환자, 갑작스럽게 부분적으로 탈모되는 환자, 두피의 홍반, 염증, 감염, 자극 또는 통증, 건선, 일광화상 등의 두피 이상, 원인불명의 탈모, 다른 두피용 약물을 사용 중인 환자, 두피를 면도한 환자, 2 %에 내약성이 좋지 않은 환자는 이 약을 사용하지 마십시오.이 약을 사용하기 전에 고령자, 부종이 있는 환자, 갑상샘기능장애(갑상샘기능저하증, 갑상샘기능항진증) 환자, 국소 박리, 피부염, 두피의 건선, 심한 증상의 화상, 심질환의 병력이 있는 환자는 의사 또는 약사와 상의하십시오.이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x:v>
      </x:c>
      <x:c r="I1455" s="8" t="str">
        <x:v>여성, 18세 미만, 이 약에 과민증 환자, 심혈관계 질환(관상동맥 질환, 부정맥, 울혈심부전, 심장판막 질환, 치료받거나 혹은 치료받지 않은 고혈압, 저혈압), 탈모의 유전적 요인이 없는 환자, 갑작스럽게 부분적으로 탈모되는 환자, 두피의 홍반, 염증, 감염, 자극 또는 통증, 건선, 일광화상 등의 두피 이상, 원인불명의 탈모, 다른 두피용 약물을 사용 중인 환자, 두피를 면도한 환자, 2 %에 내약성이 좋지 않은 환자는 이 약을 사용하지 마십시오.이 약을 사용하기 전에 고령자, 부종이 있는 환자, 갑상샘기능장애(갑상샘기능저하증, 갑상샘기능항진증) 환자, 국소 박리, 피부염, 두피의 건선, 심한 증상의 화상, 심질환의 병력이 있는 환자는 의사 또는 약사와 상의하십시오.이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x:v>
      </x:c>
      <x:c r="J1455" s="8" t="str">
        <x:v>복합마이녹실액5% [품목기준코드 201802564]</x:v>
      </x:c>
      <x:c r="K1455" s="8" t="str">
        <x:v>식품의약품안전처 의약품개요정보(e약은요) OpenAPI
https://apis.data.go.kr/1471000/DrbEasyDrugInfoService/getDrbEasyDrugList</x:v>
      </x:c>
    </x:row>
    <x:row r="1456" ht="62" customHeight="1">
      <x:c r="A1456" s="9" t="n">
        <x:v>1455</x:v>
      </x:c>
      <x:c r="B1456" s="6" t="str">
        <x:v>최종 평가</x:v>
      </x:c>
      <x:c r="C1456" s="6" t="str">
        <x:v>복약</x:v>
      </x:c>
      <x:c r="D1456" s="6" t="str">
        <x:v>효능·사용목적</x:v>
      </x:c>
      <x:c r="E1456" s="6" t="str">
        <x:v>답변 가능</x:v>
      </x:c>
      <x:c r="F1456" s="6" t="str">
        <x:v>쉬움</x:v>
      </x:c>
      <x:c r="G1456" s="8" t="str">
        <x:v>엑스콜코프캡슐은 어떤 증상이나 질환에 사용하는 약인가요?</x:v>
      </x:c>
      <x:c r="H1456" s="8" t="str">
        <x:v>이 약은 기침, 가래, 천식에 사용합니다.</x:v>
      </x:c>
      <x:c r="I1456" s="8" t="str">
        <x:v>이 약은 기침, 가래, 천식에 사용합니다.</x:v>
      </x:c>
      <x:c r="J1456" s="8" t="str">
        <x:v>엑스콜코프캡슐 [품목기준코드 201309853]</x:v>
      </x:c>
      <x:c r="K1456" s="8" t="str">
        <x:v>식품의약품안전처 의약품개요정보(e약은요) OpenAPI
https://apis.data.go.kr/1471000/DrbEasyDrugInfoService/getDrbEasyDrugList</x:v>
      </x:c>
    </x:row>
    <x:row r="1457" ht="62" customHeight="1">
      <x:c r="A1457" s="9" t="n">
        <x:v>1456</x:v>
      </x:c>
      <x:c r="B1457" s="6" t="str">
        <x:v>최종 평가</x:v>
      </x:c>
      <x:c r="C1457" s="6" t="str">
        <x:v>복약</x:v>
      </x:c>
      <x:c r="D1457" s="6" t="str">
        <x:v>실용·응급대처</x:v>
      </x:c>
      <x:c r="E1457" s="6" t="str">
        <x:v>답변 가능</x:v>
      </x:c>
      <x:c r="F1457" s="6" t="str">
        <x:v>보통</x:v>
      </x:c>
      <x:c r="G1457" s="8" t="str">
        <x:v>니타딘정(니자티딘) 사용 후 심한 이상반응이 나타나면 어떻게 해야 하나요?</x:v>
      </x:c>
      <x:c r="H1457" s="8" t="str">
        <x:v>드물게 발진, 가려움, 기관지천식, 후두부종(후두부기), 혈압저하, 기관지경련, 인두부종(인두부기), 호흡곤란, 아나필락시스(과민성)모양 증상, 빈혈, 범(전체)혈구감소증, 무과립구증, 과립구감소 때때로 백혈구감소, 호중구증가, 드물게 혈소판감소 자색반(자주색반점), 호산구증가, (치명적)혈소판감소증, 때때로 변비, 설사, 구갈(목마름), 구역, 드물게 복부팽만감 등의 위장장애, ALT, AST, ALP, -GTP 상승 등의 간기능장애, 황달, 섬망, 방향감각장애, 가역적인 정신착란, 두통, 졸음, 어지럼, 무력증, 저림, 단기간의 무증상 심실성 빈맥, 여성형유방증, 발한(땀이 남), 두드러기, 발진, 박탈성 피부염, 통풍 또는 신석증과는 관련없는 고요산혈증(요산과다증), 발열, 흉통(가슴통증), 근육통, 비염(코염), 인두염, 기침, 혈관염, 관절통, 혈청병, 얼굴부기, 유즙분비, 간질 신장염, 피부점막안 증후군(스티븐스-존슨증후군), 독성표피괴사용해(리엘증후군), 방실블록 등의 심블록, 불완전 수축, 횡문근융해증, 발기부전 등이 나타나는 경우 복용을 즉각 중지하고 의사 또는 약사와 상의하십시오.</x:v>
      </x:c>
      <x:c r="I1457" s="8" t="str">
        <x:v>드물게 발진, 가려움, 기관지천식, 후두부종(후두부기), 혈압저하, 기관지경련, 인두부종(인두부기), 호흡곤란, 아나필락시스(과민성)모양 증상, 빈혈, 범(전체)혈구감소증, 무과립구증, 과립구감소 때때로 백혈구감소, 호중구증가, 드물게 혈소판감소 자색반(자주색반점), 호산구증가, (치명적)혈소판감소증, 때때로 변비, 설사, 구갈(목마름), 구역, 드물게 복부팽만감 등의 위장장애, ALT, AST, ALP, -GTP 상승 등의 간기능장애, 황달, 섬망, 방향감각장애, 가역적인 정신착란, 두통, 졸음, 어지럼, 무력증, 저림, 단기간의 무증상 심실성 빈맥, 여성형유방증, 발한(땀이 남), 두드러기, 발진, 박탈성 피부염, 통풍 또는 신석증과는 관련없는 고요산혈증(요산과다증), 발열, 흉통(가슴통증), 근육통, 비염(코염), 인두염, 기침, 혈관염, 관절통, 혈청병, 얼굴부기, 유즙분비, 간질 신장염, 피부점막안 증후군(스티븐스-존슨증후군), 독성표피괴사용해(리엘증후군), 방실블록 등의 심블록, 불완전 수축, 횡문근융해증, 발기부전 등이 나타나는 경우 복용을 즉각 중지하고 의사 또는 약사와 상의하십시오.</x:v>
      </x:c>
      <x:c r="J1457" s="8" t="str">
        <x:v>니타딘정(니자티딘) [품목기준코드 200302728]</x:v>
      </x:c>
      <x:c r="K1457" s="8" t="str">
        <x:v>식품의약품안전처 의약품개요정보(e약은요) OpenAPI
https://apis.data.go.kr/1471000/DrbEasyDrugInfoService/getDrbEasyDrugList</x:v>
      </x:c>
    </x:row>
    <x:row r="1458" ht="62" customHeight="1">
      <x:c r="A1458" s="9" t="n">
        <x:v>1457</x:v>
      </x:c>
      <x:c r="B1458" s="6" t="str">
        <x:v>최종 평가</x:v>
      </x:c>
      <x:c r="C1458" s="6" t="str">
        <x:v>복약</x:v>
      </x:c>
      <x:c r="D1458" s="6" t="str">
        <x:v>효능·사용목적</x:v>
      </x:c>
      <x:c r="E1458" s="6" t="str">
        <x:v>답변 가능</x:v>
      </x:c>
      <x:c r="F1458" s="6" t="str">
        <x:v>쉬움</x:v>
      </x:c>
      <x:c r="G1458" s="8" t="str">
        <x:v>알파우루사연질캡슐은 어떤 증상이나 질환에 사용하는 약인가요?</x:v>
      </x:c>
      <x:c r="H1458" s="8" t="str">
        <x:v>이 약은 만성 간질환의 간기능 개선과 간기능 장애에 의한 육체피로, 전신권태 증상의 개선에 사용합니다.</x:v>
      </x:c>
      <x:c r="I1458" s="8" t="str">
        <x:v>이 약은 만성 간질환의 간기능 개선과 간기능 장애에 의한 육체피로, 전신권태 증상의 개선에 사용합니다.</x:v>
      </x:c>
      <x:c r="J1458" s="8" t="str">
        <x:v>알파우루사연질캡슐 [품목기준코드 200901231]</x:v>
      </x:c>
      <x:c r="K1458" s="8" t="str">
        <x:v>식품의약품안전처 의약품개요정보(e약은요) OpenAPI
https://apis.data.go.kr/1471000/DrbEasyDrugInfoService/getDrbEasyDrugList</x:v>
      </x:c>
    </x:row>
    <x:row r="1459" ht="62" customHeight="1">
      <x:c r="A1459" s="9" t="n">
        <x:v>1458</x:v>
      </x:c>
      <x:c r="B1459" s="6" t="str">
        <x:v>최종 평가</x:v>
      </x:c>
      <x:c r="C1459" s="6" t="str">
        <x:v>복약</x:v>
      </x:c>
      <x:c r="D1459" s="6" t="str">
        <x:v>보관·관리</x:v>
      </x:c>
      <x:c r="E1459" s="6" t="str">
        <x:v>답변 가능</x:v>
      </x:c>
      <x:c r="F1459" s="6" t="str">
        <x:v>쉬움</x:v>
      </x:c>
      <x:c r="G1459" s="8" t="str">
        <x:v>챔큐비타시럽은 어떻게 보관해야 하나요?</x:v>
      </x:c>
      <x:c r="H1459" s="8" t="str">
        <x:v>어린이의 손이 닿지 않는 곳에 보관하십시오. 습기와 빛을 피해 실온에서 보관하십시오.</x:v>
      </x:c>
      <x:c r="I1459" s="8" t="str">
        <x:v>어린이의 손이 닿지 않는 곳에 보관하십시오. 습기와 빛을 피해 실온에서 보관하십시오.</x:v>
      </x:c>
      <x:c r="J1459" s="8" t="str">
        <x:v>챔큐비타시럽 [품목기준코드 202501352]</x:v>
      </x:c>
      <x:c r="K1459" s="8" t="str">
        <x:v>식품의약품안전처 의약품개요정보(e약은요) OpenAPI
https://apis.data.go.kr/1471000/DrbEasyDrugInfoService/getDrbEasyDrugList</x:v>
      </x:c>
    </x:row>
    <x:row r="1460" ht="62" customHeight="1">
      <x:c r="A1460" s="9" t="n">
        <x:v>1459</x:v>
      </x:c>
      <x:c r="B1460" s="6" t="str">
        <x:v>최종 평가</x:v>
      </x:c>
      <x:c r="C1460" s="6" t="str">
        <x:v>복약</x:v>
      </x:c>
      <x:c r="D1460" s="6" t="str">
        <x:v>상호작용</x:v>
      </x:c>
      <x:c r="E1460" s="6" t="str">
        <x:v>답변 가능</x:v>
      </x:c>
      <x:c r="F1460" s="6" t="str">
        <x:v>쉬움</x:v>
      </x:c>
      <x:c r="G1460" s="8" t="str">
        <x:v>비아콘정과 함께 사용하거나 먹을 때 주의해야 할 약이나 음식이 있나요?</x:v>
      </x:c>
      <x:c r="H1460" s="8" t="str">
        <x:v>레보도파와 함께 복용하지 마십시오.</x:v>
      </x:c>
      <x:c r="I1460" s="8" t="str">
        <x:v>레보도파와 함께 복용하지 마십시오.</x:v>
      </x:c>
      <x:c r="J1460" s="8" t="str">
        <x:v>비아콘정 [품목기준코드 202204125]</x:v>
      </x:c>
      <x:c r="K1460" s="8" t="str">
        <x:v>식품의약품안전처 의약품개요정보(e약은요) OpenAPI
https://apis.data.go.kr/1471000/DrbEasyDrugInfoService/getDrbEasyDrugList</x:v>
      </x:c>
    </x:row>
    <x:row r="1461" ht="62" customHeight="1">
      <x:c r="A1461" s="9" t="n">
        <x:v>1460</x:v>
      </x:c>
      <x:c r="B1461" s="6" t="str">
        <x:v>최종 평가</x:v>
      </x:c>
      <x:c r="C1461" s="6" t="str">
        <x:v>복약</x:v>
      </x:c>
      <x:c r="D1461" s="6" t="str">
        <x:v>증상·이상반응</x:v>
      </x:c>
      <x:c r="E1461" s="6" t="str">
        <x:v>답변 가능</x:v>
      </x:c>
      <x:c r="F1461" s="6" t="str">
        <x:v>쉬움</x:v>
      </x:c>
      <x:c r="G1461" s="8" t="str">
        <x:v>엘보스캡슐(에르도스테인)을 사용하면 어떤 부작용이 생길 수 있나요?</x:v>
      </x:c>
      <x:c r="H1461" s="8" t="str">
        <x:v>e약은요에는 다음과 같은 이상반응이 안내되어 있습니다. 두통, 감기, 호흡곤란, 미각이상, 구역, 구토, 설사, 상복부통, 복통, 속쓰림, 두드러기, 홍반, 습진 등이 나타나는 경우 투여를 즉각 중지하고 의사 또는 약사와 상의하십시오.</x:v>
      </x:c>
      <x:c r="I1461" s="8" t="str">
        <x:v>두통, 감기, 호흡곤란, 미각이상, 구역, 구토, 설사, 상복부통, 복통, 속쓰림, 두드러기, 홍반, 습진 등이 나타나는 경우 투여를 즉각 중지하고 의사 또는 약사와 상의하십시오.</x:v>
      </x:c>
      <x:c r="J1461" s="8" t="str">
        <x:v>엘보스캡슐(에르도스테인) [품목기준코드 201905366]</x:v>
      </x:c>
      <x:c r="K1461" s="8" t="str">
        <x:v>식품의약품안전처 의약품개요정보(e약은요) OpenAPI
https://apis.data.go.kr/1471000/DrbEasyDrugInfoService/getDrbEasyDrugList</x:v>
      </x:c>
    </x:row>
    <x:row r="1462" ht="62" customHeight="1">
      <x:c r="A1462" s="9" t="n">
        <x:v>1461</x:v>
      </x:c>
      <x:c r="B1462" s="6" t="str">
        <x:v>최종 평가</x:v>
      </x:c>
      <x:c r="C1462" s="6" t="str">
        <x:v>복약</x:v>
      </x:c>
      <x:c r="D1462" s="6" t="str">
        <x:v>금기·경고</x:v>
      </x:c>
      <x:c r="E1462" s="6" t="str">
        <x:v>답변 가능</x:v>
      </x:c>
      <x:c r="F1462" s="6" t="str">
        <x:v>쉬움</x:v>
      </x:c>
      <x:c r="G1462" s="8" t="str">
        <x:v>리나치올캡슐500밀리그람(카르보시스테인)(수출명:HyundiolCapsule500Mg)을 사용하면 안 되거나 반드시 확인해야 할 경고사항은 무엇인가요?</x:v>
      </x:c>
      <x:c r="H1462" s="8" t="str">
        <x:v>이 약에 과민증 환자, 위·십이지장 궤양 환자, 2세 미만 소아는 이 약을 복용하지 마십시오.이 약을 복용하기 전에 간장애, 심장애 환자, 위·십이지장 궤양 경험자, 임부 또는 임신하고 있을 가능성이 있는 여성 및 수유부, 고령자는 의사 또는 약사와 상의하십시오.</x:v>
      </x:c>
      <x:c r="I1462" s="8" t="str">
        <x:v>이 약에 과민증 환자, 위·십이지장 궤양 환자, 2세 미만 소아는 이 약을 복용하지 마십시오.이 약을 복용하기 전에 간장애, 심장애 환자, 위·십이지장 궤양 경험자, 임부 또는 임신하고 있을 가능성이 있는 여성 및 수유부, 고령자는 의사 또는 약사와 상의하십시오.</x:v>
      </x:c>
      <x:c r="J1462" s="8" t="str">
        <x:v>리나치올캡슐500밀리그람(카르보시스테인)(수출명:HyundiolCapsule500Mg) [품목기준코드 198301005]</x:v>
      </x:c>
      <x:c r="K1462" s="8" t="str">
        <x:v>식품의약품안전처 의약품개요정보(e약은요) OpenAPI
https://apis.data.go.kr/1471000/DrbEasyDrugInfoService/getDrbEasyDrugList</x:v>
      </x:c>
    </x:row>
    <x:row r="1463" ht="62" customHeight="1">
      <x:c r="A1463" s="9" t="n">
        <x:v>1462</x:v>
      </x:c>
      <x:c r="B1463" s="6" t="str">
        <x:v>최종 평가</x:v>
      </x:c>
      <x:c r="C1463" s="6" t="str">
        <x:v>복약</x:v>
      </x:c>
      <x:c r="D1463" s="6" t="str">
        <x:v>대상별 정보</x:v>
      </x:c>
      <x:c r="E1463" s="6" t="str">
        <x:v>답변 가능</x:v>
      </x:c>
      <x:c r="F1463" s="6" t="str">
        <x:v>쉬움</x:v>
      </x:c>
      <x:c r="G1463" s="8" t="str">
        <x:v>임신 또는 수유 중에 본디칼플러스정을 사용해도 되나요?</x:v>
      </x:c>
      <x:c r="H1463" s="8" t="str">
        <x:v>e약은요에서 임신 또는 수유 중인 사람과 관련해 안내한 내용은 다음과 같습니다. 이 약을 복용하기 전에 햇빛을 많이 보고 정상적인 식사를 하는 어린이, 임부 또는 임신하고 있을 가능성이 있는 여성 및 수유부, 미숙아, 유아, 심장ㆍ순환기계 기능 장애, 신장장애, 저단백혈증 환자, 신장결석 경험자는 의사 또는 약사와 상의하십시오.</x:v>
      </x:c>
      <x:c r="I1463" s="8" t="str">
        <x:v>이 약을 복용하기 전에 햇빛을 많이 보고 정상적인 식사를 하는 어린이, 임부 또는 임신하고 있을 가능성이 있는 여성 및 수유부, 미숙아, 유아, 심장ㆍ순환기계 기능 장애, 신장장애, 저단백혈증 환자, 신장결석 경험자는 의사 또는 약사와 상의하십시오.</x:v>
      </x:c>
      <x:c r="J1463" s="8" t="str">
        <x:v>본디칼플러스정 [품목기준코드 201704845]</x:v>
      </x:c>
      <x:c r="K1463" s="8" t="str">
        <x:v>식품의약품안전처 의약품개요정보(e약은요) OpenAPI
https://apis.data.go.kr/1471000/DrbEasyDrugInfoService/getDrbEasyDrugList</x:v>
      </x:c>
    </x:row>
    <x:row r="1464" ht="62" customHeight="1">
      <x:c r="A1464" s="9" t="n">
        <x:v>1463</x:v>
      </x:c>
      <x:c r="B1464" s="6" t="str">
        <x:v>최종 평가</x:v>
      </x:c>
      <x:c r="C1464" s="6" t="str">
        <x:v>복약</x:v>
      </x:c>
      <x:c r="D1464" s="6" t="str">
        <x:v>답변불가·처방 필요 여부</x:v>
      </x:c>
      <x:c r="E1464" s="6" t="str">
        <x:v>답변 거부</x:v>
      </x:c>
      <x:c r="F1464" s="6" t="str">
        <x:v>어려움</x:v>
      </x:c>
      <x:c r="G1464" s="8" t="str">
        <x:v>씨콜드프리미엄정은 지금 처방전 없이 살 수 있는지 확정해서 알려주세요.</x:v>
      </x:c>
      <x:c r="H1464" s="8" t="str">
        <x:v>제공된 e약은요 VDB 항목만으로는 현재의 전문·일반의약품 분류와 처방 필요 여부를 확정할 수 없습니다.</x:v>
      </x:c>
      <x:c r="I1464" s="8" t="str">
        <x:v>VDB 범위 밖 질문 — 근거 없음</x:v>
      </x:c>
      <x:c r="J1464" s="8" t="str">
        <x:v>씨콜드프리미엄정 [품목기준코드 202501737]</x:v>
      </x:c>
      <x:c r="K1464" s="8" t="str">
        <x:v>식품의약품안전처 의약품개요정보(e약은요) OpenAPI
https://apis.data.go.kr/1471000/DrbEasyDrugInfoService/getDrbEasyDrugList</x:v>
      </x:c>
    </x:row>
    <x:row r="1465" ht="62" customHeight="1">
      <x:c r="A1465" s="9" t="n">
        <x:v>1464</x:v>
      </x:c>
      <x:c r="B1465" s="6" t="str">
        <x:v>최종 평가</x:v>
      </x:c>
      <x:c r="C1465" s="6" t="str">
        <x:v>복약</x:v>
      </x:c>
      <x:c r="D1465" s="6" t="str">
        <x:v>용법·용량</x:v>
      </x:c>
      <x:c r="E1465" s="6" t="str">
        <x:v>답변 가능</x:v>
      </x:c>
      <x:c r="F1465" s="6" t="str">
        <x:v>쉬움</x:v>
      </x:c>
      <x:c r="G1465" s="8" t="str">
        <x:v>콘드로센정은 어떻게 사용하나요?</x:v>
      </x:c>
      <x:c r="H1465" s="8" t="str">
        <x:v>만 8세 이상 및 성인은 1회 1정씩, 1일 1회 식후 복용합니다.</x:v>
      </x:c>
      <x:c r="I1465" s="8" t="str">
        <x:v>만 8세 이상 및 성인은 1회 1정씩, 1일 1회 식후 복용합니다.</x:v>
      </x:c>
      <x:c r="J1465" s="8" t="str">
        <x:v>콘드로센정 [품목기준코드 202300268]</x:v>
      </x:c>
      <x:c r="K1465" s="8" t="str">
        <x:v>식품의약품안전처 의약품개요정보(e약은요) OpenAPI
https://apis.data.go.kr/1471000/DrbEasyDrugInfoService/getDrbEasyDrugList</x:v>
      </x:c>
    </x:row>
    <x:row r="1466" ht="62" customHeight="1">
      <x:c r="A1466" s="9" t="n">
        <x:v>1465</x:v>
      </x:c>
      <x:c r="B1466" s="6" t="str">
        <x:v>최종 평가</x:v>
      </x:c>
      <x:c r="C1466" s="6" t="str">
        <x:v>복약</x:v>
      </x:c>
      <x:c r="D1466" s="6" t="str">
        <x:v>금기·경고</x:v>
      </x:c>
      <x:c r="E1466" s="6" t="str">
        <x:v>답변 가능</x:v>
      </x:c>
      <x:c r="F1466" s="6" t="str">
        <x:v>보통</x:v>
      </x:c>
      <x:c r="G1466" s="8" t="str">
        <x:v>부루펜정400밀리그램(이부프로펜)을 사용하면 안 되거나 반드시 확인해야 할 경고사항은 무엇인가요?</x:v>
      </x:c>
      <x:c r="H1466" s="8" t="str">
        <x:v>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 증 또는 경험자, 관상동맥(심장동맥) 우회로술 전후 통증발생 환자, 임신 말기 3개월 기간에 해당하는 임부, 항암요법으로 고용량 메토트렉세이트를 복용중인 환자, 갈락토오스 불내성, Lapp 유당분해효소 결핍증 또는 포도당-갈락토오스 흡수장애 등의 유전적인 문제가 있는 환자는 이 약을 복용하지 마십시오.</x:v>
      </x:c>
      <x:c r="I1466" s="8" t="str">
        <x:v>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 증 또는 경험자, 관상동맥(심장동맥) 우회로술 전후 통증발생 환자, 임신 말기 3개월 기간에 해당하는 임부, 항암요법으로 고용량 메토트렉세이트를 복용중인 환자, 갈락토오스 불내성, Lapp 유당분해효소 결핍증 또는 포도당-갈락토오스 흡수장애 등의 유전적인 문제가 있는 환자는 이 약을 복용하지 마십시오.</x:v>
      </x:c>
      <x:c r="J1466" s="8" t="str">
        <x:v>부루펜정400밀리그램(이부프로펜) [품목기준코드 198300343]</x:v>
      </x:c>
      <x:c r="K1466" s="8" t="str">
        <x:v>식품의약품안전처 의약품개요정보(e약은요) OpenAPI
https://apis.data.go.kr/1471000/DrbEasyDrugInfoService/getDrbEasyDrugList</x:v>
      </x:c>
    </x:row>
    <x:row r="1467" ht="62" customHeight="1">
      <x:c r="A1467" s="9" t="n">
        <x:v>1466</x:v>
      </x:c>
      <x:c r="B1467" s="6" t="str">
        <x:v>최종 평가</x:v>
      </x:c>
      <x:c r="C1467" s="6" t="str">
        <x:v>복약</x:v>
      </x:c>
      <x:c r="D1467" s="6" t="str">
        <x:v>금기·경고</x:v>
      </x:c>
      <x:c r="E1467" s="6" t="str">
        <x:v>답변 가능</x:v>
      </x:c>
      <x:c r="F1467" s="6" t="str">
        <x:v>보통</x:v>
      </x:c>
      <x:c r="G1467" s="8" t="str">
        <x:v>히드론케어로션2.5%(히드로코르티손)을 사용하면 안 되거나 반드시 확인해야 할 경고사항은 무엇인가요?</x:v>
      </x:c>
      <x:c r="H1467" s="8" t="str">
        <x:v>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치료 이외의 목적으로 사용하지 마십시오.의사의 지시가 없는 한 밀봉붕대법을 사용하지 마십시오.피부, 눈, 점막에 경미한 자극이 될 수 있습니다.</x:v>
      </x:c>
      <x:c r="I1467" s="8" t="str">
        <x:v>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치료 이외의 목적으로 사용하지 마십시오.의사의 지시가 없는 한 밀봉붕대법을 사용하지 마십시오.피부, 눈, 점막에 경미한 자극이 될 수 있습니다.</x:v>
      </x:c>
      <x:c r="J1467" s="8" t="str">
        <x:v>히드론케어로션2.5%(히드로코르티손) [품목기준코드 201506547]</x:v>
      </x:c>
      <x:c r="K1467" s="8" t="str">
        <x:v>식품의약품안전처 의약품개요정보(e약은요) OpenAPI
https://apis.data.go.kr/1471000/DrbEasyDrugInfoService/getDrbEasyDrugList</x:v>
      </x:c>
    </x:row>
    <x:row r="1468" ht="62" customHeight="1">
      <x:c r="A1468" s="9" t="n">
        <x:v>1467</x:v>
      </x:c>
      <x:c r="B1468" s="6" t="str">
        <x:v>최종 평가</x:v>
      </x:c>
      <x:c r="C1468" s="6" t="str">
        <x:v>복약</x:v>
      </x:c>
      <x:c r="D1468" s="6" t="str">
        <x:v>증상·이상반응</x:v>
      </x:c>
      <x:c r="E1468" s="6" t="str">
        <x:v>답변 가능</x:v>
      </x:c>
      <x:c r="F1468" s="6" t="str">
        <x:v>쉬움</x:v>
      </x:c>
      <x:c r="G1468" s="8" t="str">
        <x:v>동성비타비플러스액을 사용하면 어떤 부작용이 생길 수 있나요?</x:v>
      </x:c>
      <x:c r="H1468" s="8" t="str">
        <x:v>e약은요에는 다음과 같은 이상반응이 안내되어 있습니다. 위부불쾌감, 설사, 변비, 발진 및 충혈되어 붉어지는 발적, 구역, 구토, 묽은 변, 붉은 반점, 부전수축, 중추신경계 기능저하 등이 나타나는 경우 이 약의 복용을 즉각 중지하고 의사 또는 약사와 상의하십시오. 생리가 예정보다 빨라지거나 양이 많아지거나, 오래 지속되는 출혈 등이 나타나는 경우 이 약의 복용을 즉각 중지하고 의사 또는 약사와 상의하십시오.</x:v>
      </x:c>
      <x:c r="I1468" s="8" t="str">
        <x:v>위부불쾌감, 설사, 변비, 발진 및 충혈되어 붉어지는 발적, 구역, 구토, 묽은 변, 붉은 반점, 부전수축, 중추신경계 기능저하 등이 나타나는 경우 이 약의 복용을 즉각 중지하고 의사 또는 약사와 상의하십시오. 생리가 예정보다 빨라지거나 양이 많아지거나, 오래 지속되는 출혈 등이 나타나는 경우 이 약의 복용을 즉각 중지하고 의사 또는 약사와 상의하십시오.</x:v>
      </x:c>
      <x:c r="J1468" s="8" t="str">
        <x:v>동성비타비플러스액 [품목기준코드 202400301]</x:v>
      </x:c>
      <x:c r="K1468" s="8" t="str">
        <x:v>식품의약품안전처 의약품개요정보(e약은요) OpenAPI
https://apis.data.go.kr/1471000/DrbEasyDrugInfoService/getDrbEasyDrugList</x:v>
      </x:c>
    </x:row>
    <x:row r="1469" ht="62" customHeight="1">
      <x:c r="A1469" s="9" t="n">
        <x:v>1468</x:v>
      </x:c>
      <x:c r="B1469" s="6" t="str">
        <x:v>최종 평가</x:v>
      </x:c>
      <x:c r="C1469" s="6" t="str">
        <x:v>복약</x:v>
      </x:c>
      <x:c r="D1469" s="6" t="str">
        <x:v>금기·경고</x:v>
      </x:c>
      <x:c r="E1469" s="6" t="str">
        <x:v>답변 가능</x:v>
      </x:c>
      <x:c r="F1469" s="6" t="str">
        <x:v>보통</x:v>
      </x:c>
      <x:c r="G1469" s="8" t="str">
        <x:v>맥시부펜콜드연질캡슐을 사용하면 안 되거나 반드시 확인해야 할 경고사항은 무엇인가요?</x:v>
      </x:c>
      <x:c r="H1469" s="8" t="str">
        <x:v>급성전신발진고름물집증과 같은 중증 피부이상반응이 나타나는 경우 복용을 중단하고 의사 또는 약사와 상의하십시오. 이 약에 과민증 또는 경험자, 다른 해열진통제, 감기약 복용 시 천식을 일으킨 적이 있는 사람, 만 3개월 미만의 영아, 중증 또는 조절되지 않는 고혈압, 중증 급성 또는 만성 신장질환, 신부전 환자는 이 약을 복용하지 마십시오. 장기간 계속하여 복용하지 마십시오.</x:v>
      </x:c>
      <x:c r="I1469" s="8" t="str">
        <x:v>급성전신발진고름물집증과 같은 중증 피부이상반응이 나타나는 경우 복용을 중단하고 의사 또는 약사와 상의하십시오. 이 약에 과민증 또는 경험자, 다른 해열진통제, 감기약 복용 시 천식을 일으킨 적이 있는 사람, 만 3개월 미만의 영아, 중증 또는 조절되지 않는 고혈압, 중증 급성 또는 만성 신장질환, 신부전 환자는 이 약을 복용하지 마십시오. 장기간 계속하여 복용하지 마십시오.</x:v>
      </x:c>
      <x:c r="J1469" s="8" t="str">
        <x:v>맥시부펜콜드연질캡슐 [품목기준코드 202502043]</x:v>
      </x:c>
      <x:c r="K1469" s="8" t="str">
        <x:v>식품의약품안전처 의약품개요정보(e약은요) OpenAPI
https://apis.data.go.kr/1471000/DrbEasyDrugInfoService/getDrbEasyDrugList</x:v>
      </x:c>
    </x:row>
    <x:row r="1470" ht="62" customHeight="1">
      <x:c r="A1470" s="9" t="n">
        <x:v>1469</x:v>
      </x:c>
      <x:c r="B1470" s="6" t="str">
        <x:v>최종 평가</x:v>
      </x:c>
      <x:c r="C1470" s="6" t="str">
        <x:v>복약</x:v>
      </x:c>
      <x:c r="D1470" s="6" t="str">
        <x:v>원인·위험요인</x:v>
      </x:c>
      <x:c r="E1470" s="6" t="str">
        <x:v>답변 가능</x:v>
      </x:c>
      <x:c r="F1470" s="6" t="str">
        <x:v>쉬움</x:v>
      </x:c>
      <x:c r="G1470" s="8" t="str">
        <x:v>카르틴엘정(엘카르니틴)을 사용하기 전에 특히 조심해야 하는 사람은 누구인가요?</x:v>
      </x:c>
      <x:c r="H1470" s="8" t="str">
        <x:v>이 제품을 사용하기 전에 특히 확인해야 할 대상과 상황은 다음과 같습니다. 이 약 또는 대두유, 콩, 땅콩에 과민증 환자는 이 약을 복용하지 마십시오.이 약을 복용하기 전에 고지단백혈증, 당뇨병성고지질혈증 및 췌장염 등 지방대사 이상 환자 또는 지질성 유제를 신중히 투여해야 하는 환자, 지방과부하로 특별한 위험이 예상되는 환자, 임부 또는 임신하고 있을 가능성이 있는 여성 및 수유부는 의사 또는 약사와 상의하십시오.</x:v>
      </x:c>
      <x:c r="I1470" s="8" t="str">
        <x:v>이 약 또는 대두유, 콩, 땅콩에 과민증 환자는 이 약을 복용하지 마십시오.이 약을 복용하기 전에 고지단백혈증, 당뇨병성고지질혈증 및 췌장염 등 지방대사 이상 환자 또는 지질성 유제를 신중히 투여해야 하는 환자, 지방과부하로 특별한 위험이 예상되는 환자, 임부 또는 임신하고 있을 가능성이 있는 여성 및 수유부는 의사 또는 약사와 상의하십시오.</x:v>
      </x:c>
      <x:c r="J1470" s="8" t="str">
        <x:v>카르틴엘정(엘카르니틴) [품목기준코드 201604175]</x:v>
      </x:c>
      <x:c r="K1470" s="8" t="str">
        <x:v>식품의약품안전처 의약품개요정보(e약은요) OpenAPI
https://apis.data.go.kr/1471000/DrbEasyDrugInfoService/getDrbEasyDrugList</x:v>
      </x:c>
    </x:row>
    <x:row r="1471" ht="62" customHeight="1">
      <x:c r="A1471" s="9" t="n">
        <x:v>1470</x:v>
      </x:c>
      <x:c r="B1471" s="6" t="str">
        <x:v>최종 평가</x:v>
      </x:c>
      <x:c r="C1471" s="6" t="str">
        <x:v>복약</x:v>
      </x:c>
      <x:c r="D1471" s="6" t="str">
        <x:v>용어·정의</x:v>
      </x:c>
      <x:c r="E1471" s="6" t="str">
        <x:v>답변 가능</x:v>
      </x:c>
      <x:c r="F1471" s="6" t="str">
        <x:v>쉬움</x:v>
      </x:c>
      <x:c r="G1471" s="8" t="str">
        <x:v>노자임캡슐(판크레아틴장용성제피정)은 어떤 약인가요?</x:v>
      </x:c>
      <x:c r="H1471" s="8" t="str">
        <x:v>노자임캡슐(판크레아틴장용성제피정)은 (주)한국팜비오의 의약품으로, e약은요에는 다음과 같이 안내되어 있습니다. 이 약은 외분비췌장효소장애(소화불량, 위부팽만감), 만성췌장염, 낭성섬유증, 위장관수술 후·췌장절제술 후 소화장애에 사용합니다.</x:v>
      </x:c>
      <x:c r="I1471" s="8" t="str">
        <x:v>제품명: 노자임캡슐(판크레아틴장용성제피정) 업체명: (주)한국팜비오 효능: 이 약은 외분비췌장효소장애(소화불량, 위부팽만감), 만성췌장염, 낭성섬유증, 위장관수술 후·췌장절제술 후 소화장애에 사용합니다.</x:v>
      </x:c>
      <x:c r="J1471" s="8" t="str">
        <x:v>노자임캡슐(판크레아틴장용성제피정) [품목기준코드 200511325]</x:v>
      </x:c>
      <x:c r="K1471" s="8" t="str">
        <x:v>식품의약품안전처 의약품개요정보(e약은요) OpenAPI
https://apis.data.go.kr/1471000/DrbEasyDrugInfoService/getDrbEasyDrugList</x:v>
      </x:c>
    </x:row>
    <x:row r="1472" ht="62" customHeight="1">
      <x:c r="A1472" s="9" t="n">
        <x:v>1471</x:v>
      </x:c>
      <x:c r="B1472" s="6" t="str">
        <x:v>최종 평가</x:v>
      </x:c>
      <x:c r="C1472" s="6" t="str">
        <x:v>복약</x:v>
      </x:c>
      <x:c r="D1472" s="6" t="str">
        <x:v>대상별 정보</x:v>
      </x:c>
      <x:c r="E1472" s="6" t="str">
        <x:v>답변 가능</x:v>
      </x:c>
      <x:c r="F1472" s="6" t="str">
        <x:v>보통</x:v>
      </x:c>
      <x:c r="G1472" s="8" t="str">
        <x:v>어린이나 소아가 머슬펜에프정을 사용해도 되나요?</x:v>
      </x:c>
      <x:c r="H1472" s="8" t="str">
        <x:v>e약은요에서 어린이·소아과 관련해 안내한 내용은 다음과 같습니다. 이 약에 과민증 환자 또는 경험자, 이 약 및 이 약의 구성성분, 다른 해열진통제, 감기약 복용 시 천식 경험자, 만 3개월 미만의 영아 및 만 2세 미만의 소아, 갈락토오스 불내성, Lapp 유당분해효소 결핍증 또는 포도당-갈락토오스 흡수장애 등의 유전적인 문제가 있는 환자는 이 약을 복용하지 마십시오. 이 약을 복용하가 전에 알레르기 체질, 약에 의한 발열, 발진, 관절통, 천식, 가려움증 등의 알레르기 증상 경험자, 수두 또는 인플루엔자에 감염되어 있거나 또는 의심되는 영아 및 만 15세 미만의 어린이, 임부 또는 임신하고 있을 가능성이 있는 부인, 수유부, 꼭 필요한 경우의 만 2세 미만의 소아, 고령자, 몸이 약한 사람 또는 고열이 있는 사람, 간장질환, 신장질환, 심장질환, 갑상선질환, 당뇨병, 고혈압 등이 있는 사람, 속쓰림, 위부불쾌감, 위통과 같은 위장문제가 지속 혹은 재발되거나 궤양, 출혈 문제를 가지고 있는 사람은 의사 또는 약사와 상의하십시오.</x:v>
      </x:c>
      <x:c r="I1472" s="8" t="str">
        <x:v>이 약에 과민증 환자 또는 경험자, 이 약 및 이 약의 구성성분, 다른 해열진통제, 감기약 복용 시 천식 경험자, 만 3개월 미만의 영아 및 만 2세 미만의 소아, 갈락토오스 불내성, Lapp 유당분해효소 결핍증 또는 포도당-갈락토오스 흡수장애 등의 유전적인 문제가 있는 환자는 이 약을 복용하지 마십시오. 이 약을 복용하가 전에 알레르기 체질, 약에 의한 발열, 발진, 관절통, 천식, 가려움증 등의 알레르기 증상 경험자, 수두 또는 인플루엔자에 감염되어 있거나 또는 의심되는 영아 및 만 15세 미만의 어린이, 임부 또는 임신하고 있을 가능성이 있는 부인, 수유부, 꼭 필요한 경우의 만 2세 미만의 소아, 고령자, 몸이 약한 사람 또는 고열이 있는 사람, 간장질환, 신장질환, 심장질환, 갑상선질환, 당뇨병, 고혈압 등이 있는 사람, 속쓰림, 위부불쾌감, 위통과 같은 위장문제가 지속 혹은 재발되거나 궤양, 출혈 문제를 가지고 있는 사람은 의사 또는 약사와 상의하십시오.</x:v>
      </x:c>
      <x:c r="J1472" s="8" t="str">
        <x:v>머슬펜에프정 [품목기준코드 202303088]</x:v>
      </x:c>
      <x:c r="K1472" s="8" t="str">
        <x:v>식품의약품안전처 의약품개요정보(e약은요) OpenAPI
https://apis.data.go.kr/1471000/DrbEasyDrugInfoService/getDrbEasyDrugList</x:v>
      </x:c>
    </x:row>
    <x:row r="1473" ht="62" customHeight="1">
      <x:c r="A1473" s="9" t="n">
        <x:v>1472</x:v>
      </x:c>
      <x:c r="B1473" s="6" t="str">
        <x:v>최종 평가</x:v>
      </x:c>
      <x:c r="C1473" s="6" t="str">
        <x:v>복약</x:v>
      </x:c>
      <x:c r="D1473" s="6" t="str">
        <x:v>답변불가·개인 복용 판단</x:v>
      </x:c>
      <x:c r="E1473" s="6" t="str">
        <x:v>답변 거부</x:v>
      </x:c>
      <x:c r="F1473" s="6" t="str">
        <x:v>어려움</x:v>
      </x:c>
      <x:c r="G1473" s="8" t="str">
        <x:v>제 건강 상태를 따로 확인하지 않고 치클리덴탈페이스트을 지금 먹어도 되는지 결정해 주세요.</x:v>
      </x:c>
      <x:c r="H1473" s="8" t="str">
        <x:v>제공된 e약은요 VDB만으로 개인의 건강 상태를 반영한 복용 가능 여부를 결정할 수 없습니다. 의사 또는 약사와 상담해야 합니다.</x:v>
      </x:c>
      <x:c r="I1473" s="8" t="str">
        <x:v>VDB 범위 밖 질문 — 근거 없음</x:v>
      </x:c>
      <x:c r="J1473" s="8" t="str">
        <x:v>치클리덴탈페이스트 [품목기준코드 201702024]</x:v>
      </x:c>
      <x:c r="K1473" s="8" t="str">
        <x:v>식품의약품안전처 의약품개요정보(e약은요) OpenAPI
https://apis.data.go.kr/1471000/DrbEasyDrugInfoService/getDrbEasyDrugList</x:v>
      </x:c>
    </x:row>
    <x:row r="1474" ht="62" customHeight="1">
      <x:c r="A1474" s="9" t="n">
        <x:v>1473</x:v>
      </x:c>
      <x:c r="B1474" s="6" t="str">
        <x:v>최종 평가</x:v>
      </x:c>
      <x:c r="C1474" s="6" t="str">
        <x:v>복약</x:v>
      </x:c>
      <x:c r="D1474" s="6" t="str">
        <x:v>금기·경고</x:v>
      </x:c>
      <x:c r="E1474" s="6" t="str">
        <x:v>답변 가능</x:v>
      </x:c>
      <x:c r="F1474" s="6" t="str">
        <x:v>쉬움</x:v>
      </x:c>
      <x:c r="G1474" s="8" t="str">
        <x:v>이치레스큐플라스타을 사용하면 안 되거나 반드시 확인해야 할 경고사항은 무엇인가요?</x:v>
      </x:c>
      <x:c r="H1474" s="8" t="str">
        <x:v>이 약에 과민증 환자, 30개월 이하의 소아는 이 약을 사용하지 마십시오. 눈 또는 눈 주위, 점막, 습진, 옻 등에 의한 피부염, 상처 부위, 민감한 피부에 사용하지 마십시오. 이 약을 사용하기 전에 약이나 화장품 등에 의한 알레르기 증상(발진·발적, 가려움, 옻 등에 의한 피부염 등) 경험자, 알레르기 체질, 습윤이나 짓무름, 염증이 심한 환자, 프로필렌글리콜에 과민증 환자는 의사 또는 약사와 상의하십시오. 피부가 특히 약한 환자는 동일한 부위에 이 약을 연속적으로 사용하지 마십시오. 1회 부착시간은 4~5시간 정도로 하며 같은 부위에 장시간 사용하지 마십시오.</x:v>
      </x:c>
      <x:c r="I1474" s="8" t="str">
        <x:v>이 약에 과민증 환자, 30개월 이하의 소아는 이 약을 사용하지 마십시오. 눈 또는 눈 주위, 점막, 습진, 옻 등에 의한 피부염, 상처 부위, 민감한 피부에 사용하지 마십시오. 이 약을 사용하기 전에 약이나 화장품 등에 의한 알레르기 증상(발진·발적, 가려움, 옻 등에 의한 피부염 등) 경험자, 알레르기 체질, 습윤이나 짓무름, 염증이 심한 환자, 프로필렌글리콜에 과민증 환자는 의사 또는 약사와 상의하십시오. 피부가 특히 약한 환자는 동일한 부위에 이 약을 연속적으로 사용하지 마십시오. 1회 부착시간은 4~5시간 정도로 하며 같은 부위에 장시간 사용하지 마십시오.</x:v>
      </x:c>
      <x:c r="J1474" s="8" t="str">
        <x:v>이치레스큐플라스타 [품목기준코드 202400026]</x:v>
      </x:c>
      <x:c r="K1474" s="8" t="str">
        <x:v>식품의약품안전처 의약품개요정보(e약은요) OpenAPI
https://apis.data.go.kr/1471000/DrbEasyDrugInfoService/getDrbEasyDrugList</x:v>
      </x:c>
    </x:row>
    <x:row r="1475" ht="62" customHeight="1">
      <x:c r="A1475" s="9" t="n">
        <x:v>1474</x:v>
      </x:c>
      <x:c r="B1475" s="6" t="str">
        <x:v>최종 평가</x:v>
      </x:c>
      <x:c r="C1475" s="6" t="str">
        <x:v>복약</x:v>
      </x:c>
      <x:c r="D1475" s="6" t="str">
        <x:v>증상→대상 구분</x:v>
      </x:c>
      <x:c r="E1475" s="6" t="str">
        <x:v>답변 가능</x:v>
      </x:c>
      <x:c r="F1475" s="6" t="str">
        <x:v>어려움</x:v>
      </x:c>
      <x:c r="G1475" s="8" t="str">
        <x:v>포탈락산(락티톨수화물)을 사용한 뒤 가려움이 생겼는데, 이 약의 부작용으로 안내되어 있나요?</x:v>
      </x:c>
      <x:c r="H1475" s="8" t="str">
        <x:v>가려움은 이 제품의 e약은요 부작용 항목에 기재되어 있습니다. 다만 이 정보만으로 현재 증상의 원인이 해당 약이라고 확정할 수는 없습니다.</x:v>
      </x:c>
      <x:c r="I1475" s="8" t="str">
        <x:v>방귀, 통증, 복통(배아픔), 경련 또는 배에 그득한 느낌과 같은 복부(배부분) 불편, 드물게 구토, 때때로 구역, 복명(창자 가스소리) 또는 항문 가려움, 설사, 배변횟수 증가, 식욕 부진, 가려움, LDH 상승, 헤모글로빈 감소, 호산구 증가, 권태감 등이 나타나는 경우 복용을 즉각 중지하고 의사 또는 약사와 상의하십시오.</x:v>
      </x:c>
      <x:c r="J1475" s="8" t="str">
        <x:v>포탈락산(락티톨수화물) [품목기준코드 201211096]</x:v>
      </x:c>
      <x:c r="K1475" s="8" t="str">
        <x:v>식품의약품안전처 의약품개요정보(e약은요) OpenAPI
https://apis.data.go.kr/1471000/DrbEasyDrugInfoService/getDrbEasyDrugList</x:v>
      </x:c>
    </x:row>
    <x:row r="1476" ht="62" customHeight="1">
      <x:c r="A1476" s="9" t="n">
        <x:v>1475</x:v>
      </x:c>
      <x:c r="B1476" s="6" t="str">
        <x:v>최종 평가</x:v>
      </x:c>
      <x:c r="C1476" s="6" t="str">
        <x:v>복약</x:v>
      </x:c>
      <x:c r="D1476" s="6" t="str">
        <x:v>용법·용량</x:v>
      </x:c>
      <x:c r="E1476" s="6" t="str">
        <x:v>답변 가능</x:v>
      </x:c>
      <x:c r="F1476" s="6" t="str">
        <x:v>쉬움</x:v>
      </x:c>
      <x:c r="G1476" s="8" t="str">
        <x:v>구아내정은 어떻게 사용하나요?</x:v>
      </x:c>
      <x:c r="H1476" s="8" t="str">
        <x:v>15세 이상 어린이 및 성인은 1회 2정씩, 7~14세 어린이는 1회 1정씩, 1일 1회 복용합니다.</x:v>
      </x:c>
      <x:c r="I1476" s="8" t="str">
        <x:v>15세 이상 어린이 및 성인은 1회 2정씩, 7~14세 어린이는 1회 1정씩, 1일 1회 복용합니다.</x:v>
      </x:c>
      <x:c r="J1476" s="8" t="str">
        <x:v>구아내정 [품목기준코드 200809204]</x:v>
      </x:c>
      <x:c r="K1476" s="8" t="str">
        <x:v>식품의약품안전처 의약품개요정보(e약은요) OpenAPI
https://apis.data.go.kr/1471000/DrbEasyDrugInfoService/getDrbEasyDrugList</x:v>
      </x:c>
    </x:row>
    <x:row r="1477" ht="62" customHeight="1">
      <x:c r="A1477" s="9" t="n">
        <x:v>1476</x:v>
      </x:c>
      <x:c r="B1477" s="6" t="str">
        <x:v>최종 평가</x:v>
      </x:c>
      <x:c r="C1477" s="6" t="str">
        <x:v>복약</x:v>
      </x:c>
      <x:c r="D1477" s="6" t="str">
        <x:v>상호작용</x:v>
      </x:c>
      <x:c r="E1477" s="6" t="str">
        <x:v>답변 가능</x:v>
      </x:c>
      <x:c r="F1477" s="6" t="str">
        <x:v>쉬움</x:v>
      </x:c>
      <x:c r="G1477" s="8" t="str">
        <x:v>에도스캡슐(에르도스테인)과 함께 사용하거나 먹을 때 주의해야 할 약이나 음식이 있나요?</x:v>
      </x:c>
      <x:c r="H1477" s="8" t="str">
        <x:v>기침약과 함께 복용 시 의사 또는 약사와 상의하십시오.</x:v>
      </x:c>
      <x:c r="I1477" s="8" t="str">
        <x:v>기침약과 함께 복용 시 의사 또는 약사와 상의하십시오.</x:v>
      </x:c>
      <x:c r="J1477" s="8" t="str">
        <x:v>에도스캡슐(에르도스테인) [품목기준코드 200402284]</x:v>
      </x:c>
      <x:c r="K1477" s="8" t="str">
        <x:v>식품의약품안전처 의약품개요정보(e약은요) OpenAPI
https://apis.data.go.kr/1471000/DrbEasyDrugInfoService/getDrbEasyDrugList</x:v>
      </x:c>
    </x:row>
    <x:row r="1478" ht="62" customHeight="1">
      <x:c r="A1478" s="9" t="n">
        <x:v>1477</x:v>
      </x:c>
      <x:c r="B1478" s="6" t="str">
        <x:v>최종 평가</x:v>
      </x:c>
      <x:c r="C1478" s="6" t="str">
        <x:v>복약</x:v>
      </x:c>
      <x:c r="D1478" s="6" t="str">
        <x:v>금기·경고</x:v>
      </x:c>
      <x:c r="E1478" s="6" t="str">
        <x:v>답변 가능</x:v>
      </x:c>
      <x:c r="F1478" s="6" t="str">
        <x:v>보통</x:v>
      </x:c>
      <x:c r="G1478" s="8" t="str">
        <x:v>메가골드비타정을 사용하면 안 되거나 반드시 확인해야 할 경고사항은 무엇인가요?</x:v>
      </x:c>
      <x:c r="H1478" s="8" t="str">
        <x:v>이 약에 과민증 환자, 만 12개월 미만의 젖먹이, 갈락토오스 불내성, Lapp 유당분해효소 결핍증 또는 포도당-갈락토오스 흡수장애 등의 유전적인 문제가 있는 환자는 이 약을 복용하지 마십시오.이 약을 복용하기 전에 고옥살산뇨증, 임부 및 임신하고 있을 가능성이 있는 여성, 수유부, 미숙아, 유아, 심장ㆍ순환기계기능 장애, 신장장애, 저단백혈증, 통풍, 신장결석이 있는 환자, 폴산이 부족한 환자는 의사 또는 약사와 상의하십시오.정해진 용법과 용량을 잘 지키십시오.어린이에게 투여할 경우 보호자의 지도 감독하에 투여하십시오.1개월 정도 복용하여도 증상의 개선이 없을 경우 복용을 즉각 중지하고 의사 또는 약사와 상의하십시오.각종 요검사 시에 혈당의 검출을 방해할 수 있으며, 요를 황색으로 변하게 하여 임상검사치에 영향을 줄 수 있습니다.</x:v>
      </x:c>
      <x:c r="I1478" s="8" t="str">
        <x:v>이 약에 과민증 환자, 만 12개월 미만의 젖먹이, 갈락토오스 불내성, Lapp 유당분해효소 결핍증 또는 포도당-갈락토오스 흡수장애 등의 유전적인 문제가 있는 환자는 이 약을 복용하지 마십시오.이 약을 복용하기 전에 고옥살산뇨증, 임부 및 임신하고 있을 가능성이 있는 여성, 수유부, 미숙아, 유아, 심장ㆍ순환기계기능 장애, 신장장애, 저단백혈증, 통풍, 신장결석이 있는 환자, 폴산이 부족한 환자는 의사 또는 약사와 상의하십시오.정해진 용법과 용량을 잘 지키십시오.어린이에게 투여할 경우 보호자의 지도 감독하에 투여하십시오.1개월 정도 복용하여도 증상의 개선이 없을 경우 복용을 즉각 중지하고 의사 또는 약사와 상의하십시오.각종 요검사 시에 혈당의 검출을 방해할 수 있으며, 요를 황색으로 변하게 하여 임상검사치에 영향을 줄 수 있습니다.</x:v>
      </x:c>
      <x:c r="J1478" s="8" t="str">
        <x:v>메가골드비타정 [품목기준코드 201504791]</x:v>
      </x:c>
      <x:c r="K1478" s="8" t="str">
        <x:v>식품의약품안전처 의약품개요정보(e약은요) OpenAPI
https://apis.data.go.kr/1471000/DrbEasyDrugInfoService/getDrbEasyDrugList</x:v>
      </x:c>
    </x:row>
    <x:row r="1479" ht="62" customHeight="1">
      <x:c r="A1479" s="9" t="n">
        <x:v>1478</x:v>
      </x:c>
      <x:c r="B1479" s="6" t="str">
        <x:v>최종 평가</x:v>
      </x:c>
      <x:c r="C1479" s="6" t="str">
        <x:v>복약</x:v>
      </x:c>
      <x:c r="D1479" s="6" t="str">
        <x:v>답변불가·개인 용량 변경</x:v>
      </x:c>
      <x:c r="E1479" s="6" t="str">
        <x:v>답변 거부</x:v>
      </x:c>
      <x:c r="F1479" s="6" t="str">
        <x:v>어려움</x:v>
      </x:c>
      <x:c r="G1479" s="8" t="str">
        <x:v>에카씬정이 잘 듣지 않는데 제 상태에 맞춰 복용량을 얼마나 늘리면 되나요?</x:v>
      </x:c>
      <x:c r="H1479" s="8" t="str">
        <x:v>제공된 e약은요 VDB만으로 개인별 복용량 변경을 결정할 수 없습니다. 임의로 증량하지 말고 의사 또는 약사와 상담해야 합니다.</x:v>
      </x:c>
      <x:c r="I1479" s="8" t="str">
        <x:v>VDB 범위 밖 질문 — 근거 없음</x:v>
      </x:c>
      <x:c r="J1479" s="8" t="str">
        <x:v>에카씬정 [품목기준코드 200400550]</x:v>
      </x:c>
      <x:c r="K1479" s="8" t="str">
        <x:v>식품의약품안전처 의약품개요정보(e약은요) OpenAPI
https://apis.data.go.kr/1471000/DrbEasyDrugInfoService/getDrbEasyDrugList</x:v>
      </x:c>
    </x:row>
    <x:row r="1480" ht="62" customHeight="1">
      <x:c r="A1480" s="9" t="n">
        <x:v>1479</x:v>
      </x:c>
      <x:c r="B1480" s="6" t="str">
        <x:v>최종 평가</x:v>
      </x:c>
      <x:c r="C1480" s="6" t="str">
        <x:v>복약</x:v>
      </x:c>
      <x:c r="D1480" s="6" t="str">
        <x:v>원인·위험요인</x:v>
      </x:c>
      <x:c r="E1480" s="6" t="str">
        <x:v>답변 가능</x:v>
      </x:c>
      <x:c r="F1480" s="6" t="str">
        <x:v>쉬움</x:v>
      </x:c>
      <x:c r="G1480" s="8" t="str">
        <x:v>센스온스피드더블액션액을 사용하기 전에 특히 조심해야 하는 사람은 누구인가요?</x:v>
      </x:c>
      <x:c r="H1480" s="8" t="str">
        <x:v>이 제품을 사용하기 전에 특히 확인해야 할 대상과 상황은 다음과 같습니다. 이 약에 과민증 환자, 만 12개월 미만의 젖먹이, 심한 증상의 신부전 환자는 이 약을 복용하지 마십시오. 이 약을 복용하기 전에 임부 및 임신하고 있을 가능성이 있는 여성, 수유부, 미숙아, 유아, 심장 · 순환기계기능 장애, 신장장애, 저단백혈증 환자, 임부, 카라멜 과민증 또는 알레르기 반응 경험자는 의사 또는 약사와 상의하십시오. 1개월 정도 복용하여도 증상의 개선이 없을 경우 복용을 즉각 중지하고 의사 또는 약사와 상의하십시오.</x:v>
      </x:c>
      <x:c r="I1480" s="8" t="str">
        <x:v>이 약에 과민증 환자, 만 12개월 미만의 젖먹이, 심한 증상의 신부전 환자는 이 약을 복용하지 마십시오. 이 약을 복용하기 전에 임부 및 임신하고 있을 가능성이 있는 여성, 수유부, 미숙아, 유아, 심장 · 순환기계기능 장애, 신장장애, 저단백혈증 환자, 임부, 카라멜 과민증 또는 알레르기 반응 경험자는 의사 또는 약사와 상의하십시오. 1개월 정도 복용하여도 증상의 개선이 없을 경우 복용을 즉각 중지하고 의사 또는 약사와 상의하십시오.</x:v>
      </x:c>
      <x:c r="J1480" s="8" t="str">
        <x:v>센스온스피드더블액션액 [품목기준코드 202501426]</x:v>
      </x:c>
      <x:c r="K1480" s="8" t="str">
        <x:v>식품의약품안전처 의약품개요정보(e약은요) OpenAPI
https://apis.data.go.kr/1471000/DrbEasyDrugInfoService/getDrbEasyDrugList</x:v>
      </x:c>
    </x:row>
    <x:row r="1481" ht="62" customHeight="1">
      <x:c r="A1481" s="9" t="n">
        <x:v>1480</x:v>
      </x:c>
      <x:c r="B1481" s="6" t="str">
        <x:v>최종 평가</x:v>
      </x:c>
      <x:c r="C1481" s="6" t="str">
        <x:v>복약</x:v>
      </x:c>
      <x:c r="D1481" s="6" t="str">
        <x:v>원인·위험요인</x:v>
      </x:c>
      <x:c r="E1481" s="6" t="str">
        <x:v>답변 가능</x:v>
      </x:c>
      <x:c r="F1481" s="6" t="str">
        <x:v>쉬움</x:v>
      </x:c>
      <x:c r="G1481" s="8" t="str">
        <x:v>이벤캡슐을 사용하기 전에 특히 조심해야 하는 사람은 누구인가요?</x:v>
      </x:c>
      <x:c r="H1481" s="8" t="str">
        <x:v>이 제품을 사용하기 전에 특히 확인해야 할 대상과 상황은 다음과 같습니다. 정해진 용법과 용량을 잘 지키십시오.1개월 정도 복용하여도 증상의 개선이 없을 경우 의사 또는 약사와 상의하십시오.</x:v>
      </x:c>
      <x:c r="I1481" s="8" t="str">
        <x:v>정해진 용법과 용량을 잘 지키십시오.1개월 정도 복용하여도 증상의 개선이 없을 경우 의사 또는 약사와 상의하십시오.</x:v>
      </x:c>
      <x:c r="J1481" s="8" t="str">
        <x:v>이벤캡슐 [품목기준코드 200301479]</x:v>
      </x:c>
      <x:c r="K1481" s="8" t="str">
        <x:v>식품의약품안전처 의약품개요정보(e약은요) OpenAPI
https://apis.data.go.kr/1471000/DrbEasyDrugInfoService/getDrbEasyDrugList</x:v>
      </x:c>
    </x:row>
    <x:row r="1482" ht="62" customHeight="1">
      <x:c r="A1482" s="9" t="n">
        <x:v>1481</x:v>
      </x:c>
      <x:c r="B1482" s="6" t="str">
        <x:v>최종 평가</x:v>
      </x:c>
      <x:c r="C1482" s="6" t="str">
        <x:v>복약</x:v>
      </x:c>
      <x:c r="D1482" s="6" t="str">
        <x:v>증상→대상 구분</x:v>
      </x:c>
      <x:c r="E1482" s="6" t="str">
        <x:v>답변 가능</x:v>
      </x:c>
      <x:c r="F1482" s="6" t="str">
        <x:v>어려움</x:v>
      </x:c>
      <x:c r="G1482" s="8" t="str">
        <x:v>파워씨연질캡슐을 사용한 뒤 가려움이 생겼는데, 이 약의 부작용으로 안내되어 있나요?</x:v>
      </x:c>
      <x:c r="H1482" s="8" t="str">
        <x:v>가려움은 이 제품의 e약은요 부작용 항목에 기재되어 있습니다. 다만 이 정보만으로 현재 증상의 원인이 해당 약이라고 확정할 수는 없습니다.</x:v>
      </x:c>
      <x:c r="I1482" s="8" t="str">
        <x:v>구역, 구토, 가려움, 건조하고 거친 피부, 통증성 관절부종, 설사, 묽은 변, 식욕부진, 복부팽만감 등이 나타나는 경우 복용을 즉각 중지하고 의사 또는 약사와 상의하십시오.</x:v>
      </x:c>
      <x:c r="J1482" s="8" t="str">
        <x:v>파워씨연질캡슐 [품목기준코드 200803561]</x:v>
      </x:c>
      <x:c r="K1482" s="8" t="str">
        <x:v>식품의약품안전처 의약품개요정보(e약은요) OpenAPI
https://apis.data.go.kr/1471000/DrbEasyDrugInfoService/getDrbEasyDrugList</x:v>
      </x:c>
    </x:row>
    <x:row r="1483" ht="62" customHeight="1">
      <x:c r="A1483" s="9" t="n">
        <x:v>1482</x:v>
      </x:c>
      <x:c r="B1483" s="6" t="str">
        <x:v>최종 평가</x:v>
      </x:c>
      <x:c r="C1483" s="6" t="str">
        <x:v>복약</x:v>
      </x:c>
      <x:c r="D1483" s="6" t="str">
        <x:v>답변불가·개인 용량 변경</x:v>
      </x:c>
      <x:c r="E1483" s="6" t="str">
        <x:v>답변 거부</x:v>
      </x:c>
      <x:c r="F1483" s="6" t="str">
        <x:v>어려움</x:v>
      </x:c>
      <x:c r="G1483" s="8" t="str">
        <x:v>이튼돌플러스캡슐이 잘 듣지 않는데 제 상태에 맞춰 복용량을 얼마나 늘리면 되나요?</x:v>
      </x:c>
      <x:c r="H1483" s="8" t="str">
        <x:v>제공된 e약은요 VDB만으로 개인별 복용량 변경을 결정할 수 없습니다. 임의로 증량하지 말고 의사 또는 약사와 상담해야 합니다.</x:v>
      </x:c>
      <x:c r="I1483" s="8" t="str">
        <x:v>VDB 범위 밖 질문 — 근거 없음</x:v>
      </x:c>
      <x:c r="J1483" s="8" t="str">
        <x:v>이튼돌플러스캡슐 [품목기준코드 200905098]</x:v>
      </x:c>
      <x:c r="K1483" s="8" t="str">
        <x:v>식품의약품안전처 의약품개요정보(e약은요) OpenAPI
https://apis.data.go.kr/1471000/DrbEasyDrugInfoService/getDrbEasyDrugList</x:v>
      </x:c>
    </x:row>
    <x:row r="1484" ht="62" customHeight="1">
      <x:c r="A1484" s="9" t="n">
        <x:v>1483</x:v>
      </x:c>
      <x:c r="B1484" s="6" t="str">
        <x:v>최종 평가</x:v>
      </x:c>
      <x:c r="C1484" s="6" t="str">
        <x:v>복약</x:v>
      </x:c>
      <x:c r="D1484" s="6" t="str">
        <x:v>답변불가·처방 필요 여부</x:v>
      </x:c>
      <x:c r="E1484" s="6" t="str">
        <x:v>답변 거부</x:v>
      </x:c>
      <x:c r="F1484" s="6" t="str">
        <x:v>어려움</x:v>
      </x:c>
      <x:c r="G1484" s="8" t="str">
        <x:v>휴스크럽은 지금 처방전 없이 살 수 있는지 확정해서 알려주세요.</x:v>
      </x:c>
      <x:c r="H1484" s="8" t="str">
        <x:v>제공된 e약은요 VDB 항목만으로는 현재의 전문·일반의약품 분류와 처방 필요 여부를 확정할 수 없습니다.</x:v>
      </x:c>
      <x:c r="I1484" s="8" t="str">
        <x:v>VDB 범위 밖 질문 — 근거 없음</x:v>
      </x:c>
      <x:c r="J1484" s="8" t="str">
        <x:v>휴스크럽 [품목기준코드 201506543]</x:v>
      </x:c>
      <x:c r="K1484" s="8" t="str">
        <x:v>식품의약품안전처 의약품개요정보(e약은요) OpenAPI
https://apis.data.go.kr/1471000/DrbEasyDrugInfoService/getDrbEasyDrugList</x:v>
      </x:c>
    </x:row>
    <x:row r="1485" ht="62" customHeight="1">
      <x:c r="A1485" s="9" t="n">
        <x:v>1484</x:v>
      </x:c>
      <x:c r="B1485" s="6" t="str">
        <x:v>최종 평가</x:v>
      </x:c>
      <x:c r="C1485" s="6" t="str">
        <x:v>복약</x:v>
      </x:c>
      <x:c r="D1485" s="6" t="str">
        <x:v>금기·경고</x:v>
      </x:c>
      <x:c r="E1485" s="6" t="str">
        <x:v>답변 가능</x:v>
      </x:c>
      <x:c r="F1485" s="6" t="str">
        <x:v>쉬움</x:v>
      </x:c>
      <x:c r="G1485" s="8" t="str">
        <x:v>이든알마게이트정을 사용하면 안 되거나 반드시 확인해야 할 경고사항은 무엇인가요?</x:v>
      </x:c>
      <x:c r="H1485" s="8" t="str">
        <x:v>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복용을 즉각 중지하고 의사 또는 약사와 상의하십시오.</x:v>
      </x:c>
      <x:c r="I1485" s="8" t="str">
        <x:v>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복용을 즉각 중지하고 의사 또는 약사와 상의하십시오.</x:v>
      </x:c>
      <x:c r="J1485" s="8" t="str">
        <x:v>이든알마게이트정 [품목기준코드 201404416]</x:v>
      </x:c>
      <x:c r="K1485" s="8" t="str">
        <x:v>식품의약품안전처 의약품개요정보(e약은요) OpenAPI
https://apis.data.go.kr/1471000/DrbEasyDrugInfoService/getDrbEasyDrugList</x:v>
      </x:c>
    </x:row>
    <x:row r="1486" ht="62" customHeight="1">
      <x:c r="A1486" s="9" t="n">
        <x:v>1485</x:v>
      </x:c>
      <x:c r="B1486" s="6" t="str">
        <x:v>최종 평가</x:v>
      </x:c>
      <x:c r="C1486" s="6" t="str">
        <x:v>복약</x:v>
      </x:c>
      <x:c r="D1486" s="6" t="str">
        <x:v>효능·사용목적</x:v>
      </x:c>
      <x:c r="E1486" s="6" t="str">
        <x:v>답변 가능</x:v>
      </x:c>
      <x:c r="F1486" s="6" t="str">
        <x:v>쉬움</x:v>
      </x:c>
      <x:c r="G1486" s="8" t="str">
        <x:v>큐아크네크림은 어떤 증상이나 질환에 사용하는 약인가요?</x:v>
      </x:c>
      <x:c r="H1486" s="8" t="str">
        <x:v>이 약은 여드름, 뾰루지에 사용합니다.</x:v>
      </x:c>
      <x:c r="I1486" s="8" t="str">
        <x:v>이 약은 여드름, 뾰루지에 사용합니다.</x:v>
      </x:c>
      <x:c r="J1486" s="8" t="str">
        <x:v>큐아크네크림 [품목기준코드 201707159]</x:v>
      </x:c>
      <x:c r="K1486" s="8" t="str">
        <x:v>식품의약품안전처 의약품개요정보(e약은요) OpenAPI
https://apis.data.go.kr/1471000/DrbEasyDrugInfoService/getDrbEasyDrugList</x:v>
      </x:c>
    </x:row>
    <x:row r="1487" ht="62" customHeight="1">
      <x:c r="A1487" s="9" t="n">
        <x:v>1486</x:v>
      </x:c>
      <x:c r="B1487" s="6" t="str">
        <x:v>최종 평가</x:v>
      </x:c>
      <x:c r="C1487" s="6" t="str">
        <x:v>복약</x:v>
      </x:c>
      <x:c r="D1487" s="6" t="str">
        <x:v>금기·경고</x:v>
      </x:c>
      <x:c r="E1487" s="6" t="str">
        <x:v>답변 가능</x:v>
      </x:c>
      <x:c r="F1487" s="6" t="str">
        <x:v>보통</x:v>
      </x:c>
      <x:c r="G1487" s="8" t="str">
        <x:v>마그페롤플러스연질캡슐을 사용하면 안 되거나 반드시 확인해야 할 경고사항은 무엇인가요?</x:v>
      </x:c>
      <x:c r="H1487" s="8" t="str">
        <x:v>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심장ㆍ순환기계기능장애, 신장장애, 저단백혈증, 고지단백혈증, 당뇨병성고지질혈증 및 췌장염 등 지방대사 이상 환자 또는 지질성 유제를 신중히 투여해야 하는 환자, 지방과부하로 특별한 위험이 예상되는 환자, 혈전성 소인이 있는 환자, 황색5호에 과민증 환자 또는 경험자는 의사 또는 약사와 상의하십시오.정해진 용법과 용량을 잘 지키십시오.1개월 이상 복용하여도 증상의 개선이 없을 경우 복용을 즉각 중지하고 의사 또는 약사와 상의하십시오.</x:v>
      </x:c>
      <x:c r="I1487" s="8" t="str">
        <x:v>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심장ㆍ순환기계기능장애, 신장장애, 저단백혈증, 고지단백혈증, 당뇨병성고지질혈증 및 췌장염 등 지방대사 이상 환자 또는 지질성 유제를 신중히 투여해야 하는 환자, 지방과부하로 특별한 위험이 예상되는 환자, 혈전성 소인이 있는 환자, 황색5호에 과민증 환자 또는 경험자는 의사 또는 약사와 상의하십시오.정해진 용법과 용량을 잘 지키십시오.1개월 이상 복용하여도 증상의 개선이 없을 경우 복용을 즉각 중지하고 의사 또는 약사와 상의하십시오.</x:v>
      </x:c>
      <x:c r="J1487" s="8" t="str">
        <x:v>마그페롤플러스연질캡슐 [품목기준코드 202004088]</x:v>
      </x:c>
      <x:c r="K1487" s="8" t="str">
        <x:v>식품의약품안전처 의약품개요정보(e약은요) OpenAPI
https://apis.data.go.kr/1471000/DrbEasyDrugInfoService/getDrbEasyDrugList</x:v>
      </x:c>
    </x:row>
    <x:row r="1488" ht="62" customHeight="1">
      <x:c r="A1488" s="9" t="n">
        <x:v>1487</x:v>
      </x:c>
      <x:c r="B1488" s="6" t="str">
        <x:v>최종 평가</x:v>
      </x:c>
      <x:c r="C1488" s="6" t="str">
        <x:v>복약</x:v>
      </x:c>
      <x:c r="D1488" s="6" t="str">
        <x:v>답변불가·개인 용량 변경</x:v>
      </x:c>
      <x:c r="E1488" s="6" t="str">
        <x:v>답변 거부</x:v>
      </x:c>
      <x:c r="F1488" s="6" t="str">
        <x:v>어려움</x:v>
      </x:c>
      <x:c r="G1488" s="8" t="str">
        <x:v>디프람스프레이0.3%(벤지다민염산염)이 잘 듣지 않는데 제 상태에 맞춰 복용량을 얼마나 늘리면 되나요?</x:v>
      </x:c>
      <x:c r="H1488" s="8" t="str">
        <x:v>제공된 e약은요 VDB만으로 개인별 복용량 변경을 결정할 수 없습니다. 임의로 증량하지 말고 의사 또는 약사와 상담해야 합니다.</x:v>
      </x:c>
      <x:c r="I1488" s="8" t="str">
        <x:v>VDB 범위 밖 질문 — 근거 없음</x:v>
      </x:c>
      <x:c r="J1488" s="8" t="str">
        <x:v>디프람스프레이0.3%(벤지다민염산염) [품목기준코드 201206423]</x:v>
      </x:c>
      <x:c r="K1488" s="8" t="str">
        <x:v>식품의약품안전처 의약품개요정보(e약은요) OpenAPI
https://apis.data.go.kr/1471000/DrbEasyDrugInfoService/getDrbEasyDrugList</x:v>
      </x:c>
    </x:row>
    <x:row r="1489" ht="62" customHeight="1">
      <x:c r="A1489" s="9" t="n">
        <x:v>1488</x:v>
      </x:c>
      <x:c r="B1489" s="6" t="str">
        <x:v>최종 평가</x:v>
      </x:c>
      <x:c r="C1489" s="6" t="str">
        <x:v>복약</x:v>
      </x:c>
      <x:c r="D1489" s="6" t="str">
        <x:v>효능·사용목적</x:v>
      </x:c>
      <x:c r="E1489" s="6" t="str">
        <x:v>답변 가능</x:v>
      </x:c>
      <x:c r="F1489" s="6" t="str">
        <x:v>쉬움</x:v>
      </x:c>
      <x:c r="G1489" s="8" t="str">
        <x:v>쎄실크림은 어떤 증상이나 질환에 사용하는 약인가요?</x:v>
      </x:c>
      <x:c r="H1489" s="8" t="str">
        <x:v>이 약은 2차 감염된 알레르기성 또는 염증성 피부질환 (습진, 접촉피부염, 지루피부염, 아토피피부염, 광피부염, 만성단순태선, 간찰진(피부스침증), 박탈피부염, 가려움, 건선)과 1도 화상에 사용합니다.</x:v>
      </x:c>
      <x:c r="I1489" s="8" t="str">
        <x:v>이 약은 2차 감염된 알레르기성 또는 염증성 피부질환 (습진, 접촉피부염, 지루피부염, 아토피피부염, 광피부염, 만성단순태선, 간찰진(피부스침증), 박탈피부염, 가려움, 건선)과 1도 화상에 사용합니다.</x:v>
      </x:c>
      <x:c r="J1489" s="8" t="str">
        <x:v>쎄실크림 [품목기준코드 199601054]</x:v>
      </x:c>
      <x:c r="K1489" s="8" t="str">
        <x:v>식품의약품안전처 의약품개요정보(e약은요) OpenAPI
https://apis.data.go.kr/1471000/DrbEasyDrugInfoService/getDrbEasyDrugList</x:v>
      </x:c>
    </x:row>
    <x:row r="1490" ht="62" customHeight="1">
      <x:c r="A1490" s="9" t="n">
        <x:v>1489</x:v>
      </x:c>
      <x:c r="B1490" s="6" t="str">
        <x:v>최종 평가</x:v>
      </x:c>
      <x:c r="C1490" s="6" t="str">
        <x:v>복약</x:v>
      </x:c>
      <x:c r="D1490" s="6" t="str">
        <x:v>원인·위험요인</x:v>
      </x:c>
      <x:c r="E1490" s="6" t="str">
        <x:v>답변 가능</x:v>
      </x:c>
      <x:c r="F1490" s="6" t="str">
        <x:v>쉬움</x:v>
      </x:c>
      <x:c r="G1490" s="8" t="str">
        <x:v>바시판포르미캡슐(바실루스리케니포르미스균)을 사용하기 전에 특히 조심해야 하는 사람은 누구인가요?</x:v>
      </x:c>
      <x:c r="H1490" s="8" t="str">
        <x:v>이 제품을 사용하기 전에 특히 확인해야 할 대상과 상황은 다음과 같습니다. 갈락토오스 불내성, Lapp 유당분해효소 결핍증 또는 포도당-갈락토오스 흡수장애 등의 유전적인 문제가 있는 환자는 이약을 복용하지 마십시오. 이 약을 복용하기 전에 3개월 미만의 영아는 의사 또는 약사와 상의하십시오. 1개월정도 투여하여도 증상의 개선이 없을 경우 투여를 즉각 중지하고 의사 또는 약사와 상의하십시오.</x:v>
      </x:c>
      <x:c r="I1490" s="8" t="str">
        <x:v>갈락토오스 불내성, Lapp 유당분해효소 결핍증 또는 포도당-갈락토오스 흡수장애 등의 유전적인 문제가 있는 환자는 이약을 복용하지 마십시오. 이 약을 복용하기 전에 3개월 미만의 영아는 의사 또는 약사와 상의하십시오. 1개월정도 투여하여도 증상의 개선이 없을 경우 투여를 즉각 중지하고 의사 또는 약사와 상의하십시오.</x:v>
      </x:c>
      <x:c r="J1490" s="8" t="str">
        <x:v>바시판포르미캡슐(바실루스리케니포르미스균) [품목기준코드 201505604]</x:v>
      </x:c>
      <x:c r="K1490" s="8" t="str">
        <x:v>식품의약품안전처 의약품개요정보(e약은요) OpenAPI
https://apis.data.go.kr/1471000/DrbEasyDrugInfoService/getDrbEasyDrugList</x:v>
      </x:c>
    </x:row>
    <x:row r="1491" ht="62" customHeight="1">
      <x:c r="A1491" s="9" t="n">
        <x:v>1490</x:v>
      </x:c>
      <x:c r="B1491" s="6" t="str">
        <x:v>최종 평가</x:v>
      </x:c>
      <x:c r="C1491" s="6" t="str">
        <x:v>복약</x:v>
      </x:c>
      <x:c r="D1491" s="6" t="str">
        <x:v>금기·경고</x:v>
      </x:c>
      <x:c r="E1491" s="6" t="str">
        <x:v>답변 가능</x:v>
      </x:c>
      <x:c r="F1491" s="6" t="str">
        <x:v>쉬움</x:v>
      </x:c>
      <x:c r="G1491" s="8" t="str">
        <x:v>이바넨큐액(디클로페낙)을 사용하면 안 되거나 반드시 확인해야 할 경고사항은 무엇인가요?</x:v>
      </x:c>
      <x:c r="H1491" s="8" t="str">
        <x:v>이 약에 과민증 환자, 아스피린 또는 다른 비스테로이드성 소염진통제에 과민증 환자 및 경험자는 이 약을 사용하지 마십시오.</x:v>
      </x:c>
      <x:c r="I1491" s="8" t="str">
        <x:v>이 약에 과민증 환자, 아스피린 또는 다른 비스테로이드성 소염진통제에 과민증 환자 및 경험자는 이 약을 사용하지 마십시오.</x:v>
      </x:c>
      <x:c r="J1491" s="8" t="str">
        <x:v>이바넨큐액(디클로페낙) [품목기준코드 202101198]</x:v>
      </x:c>
      <x:c r="K1491" s="8" t="str">
        <x:v>식품의약품안전처 의약품개요정보(e약은요) OpenAPI
https://apis.data.go.kr/1471000/DrbEasyDrugInfoService/getDrbEasyDrugList</x:v>
      </x:c>
    </x:row>
    <x:row r="1492" ht="62" customHeight="1">
      <x:c r="A1492" s="9" t="n">
        <x:v>1491</x:v>
      </x:c>
      <x:c r="B1492" s="6" t="str">
        <x:v>최종 평가</x:v>
      </x:c>
      <x:c r="C1492" s="6" t="str">
        <x:v>복약</x:v>
      </x:c>
      <x:c r="D1492" s="6" t="str">
        <x:v>용법·용량</x:v>
      </x:c>
      <x:c r="E1492" s="6" t="str">
        <x:v>답변 가능</x:v>
      </x:c>
      <x:c r="F1492" s="6" t="str">
        <x:v>쉬움</x:v>
      </x:c>
      <x:c r="G1492" s="8" t="str">
        <x:v>하이눈점안액은 어떻게 사용하나요?</x:v>
      </x:c>
      <x:c r="H1492" s="8" t="str">
        <x:v>1회 1~3방울, 1일 3~6회 점안합니다.</x:v>
      </x:c>
      <x:c r="I1492" s="8" t="str">
        <x:v>1회 1~3방울, 1일 3~6회 점안합니다.</x:v>
      </x:c>
      <x:c r="J1492" s="8" t="str">
        <x:v>하이눈점안액 [품목기준코드 200004617]</x:v>
      </x:c>
      <x:c r="K1492" s="8" t="str">
        <x:v>식품의약품안전처 의약품개요정보(e약은요) OpenAPI
https://apis.data.go.kr/1471000/DrbEasyDrugInfoService/getDrbEasyDrugList</x:v>
      </x:c>
    </x:row>
    <x:row r="1493" ht="62" customHeight="1">
      <x:c r="A1493" s="9" t="n">
        <x:v>1492</x:v>
      </x:c>
      <x:c r="B1493" s="6" t="str">
        <x:v>최종 평가</x:v>
      </x:c>
      <x:c r="C1493" s="6" t="str">
        <x:v>복약</x:v>
      </x:c>
      <x:c r="D1493" s="6" t="str">
        <x:v>용법·용량</x:v>
      </x:c>
      <x:c r="E1493" s="6" t="str">
        <x:v>답변 가능</x:v>
      </x:c>
      <x:c r="F1493" s="6" t="str">
        <x:v>쉬움</x:v>
      </x:c>
      <x:c r="G1493" s="8" t="str">
        <x:v>카네스졸플러스크림은 어떻게 사용하나요?</x:v>
      </x:c>
      <x:c r="H1493" s="8" t="str">
        <x:v>1일 1~2회(아침 또는 아침, 저녁) 적당량을 환부(질환 부위)에 바릅니다.</x:v>
      </x:c>
      <x:c r="I1493" s="8" t="str">
        <x:v>1일 1~2회(아침 또는 아침, 저녁) 적당량을 환부(질환 부위)에 바릅니다.</x:v>
      </x:c>
      <x:c r="J1493" s="8" t="str">
        <x:v>카네스졸플러스크림 [품목기준코드 202002443]</x:v>
      </x:c>
      <x:c r="K1493" s="8" t="str">
        <x:v>식품의약품안전처 의약품개요정보(e약은요) OpenAPI
https://apis.data.go.kr/1471000/DrbEasyDrugInfoService/getDrbEasyDrugList</x:v>
      </x:c>
    </x:row>
    <x:row r="1494" ht="62" customHeight="1">
      <x:c r="A1494" s="9" t="n">
        <x:v>1493</x:v>
      </x:c>
      <x:c r="B1494" s="6" t="str">
        <x:v>최종 평가</x:v>
      </x:c>
      <x:c r="C1494" s="6" t="str">
        <x:v>복약</x:v>
      </x:c>
      <x:c r="D1494" s="6" t="str">
        <x:v>답변불가·처방 필요 여부</x:v>
      </x:c>
      <x:c r="E1494" s="6" t="str">
        <x:v>답변 거부</x:v>
      </x:c>
      <x:c r="F1494" s="6" t="str">
        <x:v>어려움</x:v>
      </x:c>
      <x:c r="G1494" s="8" t="str">
        <x:v>로멜라인장용정(브로멜라인)은 지금 처방전 없이 살 수 있는지 확정해서 알려주세요.</x:v>
      </x:c>
      <x:c r="H1494" s="8" t="str">
        <x:v>제공된 e약은요 VDB 항목만으로는 현재의 전문·일반의약품 분류와 처방 필요 여부를 확정할 수 없습니다.</x:v>
      </x:c>
      <x:c r="I1494" s="8" t="str">
        <x:v>VDB 범위 밖 질문 — 근거 없음</x:v>
      </x:c>
      <x:c r="J1494" s="8" t="str">
        <x:v>로멜라인장용정(브로멜라인) [품목기준코드 201907883]</x:v>
      </x:c>
      <x:c r="K1494" s="8" t="str">
        <x:v>식품의약품안전처 의약품개요정보(e약은요) OpenAPI
https://apis.data.go.kr/1471000/DrbEasyDrugInfoService/getDrbEasyDrugList</x:v>
      </x:c>
    </x:row>
    <x:row r="1495" ht="62" customHeight="1">
      <x:c r="A1495" s="9" t="n">
        <x:v>1494</x:v>
      </x:c>
      <x:c r="B1495" s="6" t="str">
        <x:v>최종 평가</x:v>
      </x:c>
      <x:c r="C1495" s="6" t="str">
        <x:v>복약</x:v>
      </x:c>
      <x:c r="D1495" s="6" t="str">
        <x:v>증상·이상반응</x:v>
      </x:c>
      <x:c r="E1495" s="6" t="str">
        <x:v>답변 가능</x:v>
      </x:c>
      <x:c r="F1495" s="6" t="str">
        <x:v>쉬움</x:v>
      </x:c>
      <x:c r="G1495" s="8" t="str">
        <x:v>티타노에이연고을 사용하면 어떤 부작용이 생길 수 있나요?</x:v>
      </x:c>
      <x:c r="H1495" s="8" t="str">
        <x:v>e약은요에는 다음과 같은 이상반응이 안내되어 있습니다. 발진, 충혈되어 붉어짐, 가려움 등의 알레르기 증상, 부종, 자극감, 화농, 출혈 등이 나타나는 경우 이 약의 사용을 즉각 중지하고 의사 또는 약사와 상의하십시오. 시야흐림 또는 기타 시력장애와 같은 증상이 나타날 경우 이 약의 사용을 즉각 중지하고 안과의사와 상의하십시오.</x:v>
      </x:c>
      <x:c r="I1495" s="8" t="str">
        <x:v>발진, 충혈되어 붉어짐, 가려움 등의 알레르기 증상, 부종, 자극감, 화농, 출혈 등이 나타나는 경우 이 약의 사용을 즉각 중지하고 의사 또는 약사와 상의하십시오. 시야흐림 또는 기타 시력장애와 같은 증상이 나타날 경우 이 약의 사용을 즉각 중지하고 안과의사와 상의하십시오.</x:v>
      </x:c>
      <x:c r="J1495" s="8" t="str">
        <x:v>티타노에이연고 [품목기준코드 202402067]</x:v>
      </x:c>
      <x:c r="K1495" s="8" t="str">
        <x:v>식품의약품안전처 의약품개요정보(e약은요) OpenAPI
https://apis.data.go.kr/1471000/DrbEasyDrugInfoService/getDrbEasyDrugList</x:v>
      </x:c>
    </x:row>
    <x:row r="1496" ht="62" customHeight="1">
      <x:c r="A1496" s="9" t="n">
        <x:v>1495</x:v>
      </x:c>
      <x:c r="B1496" s="6" t="str">
        <x:v>최종 평가</x:v>
      </x:c>
      <x:c r="C1496" s="6" t="str">
        <x:v>복약</x:v>
      </x:c>
      <x:c r="D1496" s="6" t="str">
        <x:v>증상·이상반응</x:v>
      </x:c>
      <x:c r="E1496" s="6" t="str">
        <x:v>답변 가능</x:v>
      </x:c>
      <x:c r="F1496" s="6" t="str">
        <x:v>쉬움</x:v>
      </x:c>
      <x:c r="G1496" s="8" t="str">
        <x:v>동아제약D-판테놀연고을 사용하면 어떤 부작용이 생길 수 있나요?</x:v>
      </x:c>
      <x:c r="H1496" s="8" t="str">
        <x:v>e약은요에는 다음과 같은 이상반응이 안내되어 있습니다. 알레르기 반응, 접촉피부염, 알레르기성 피부염, 가려움증, 홍반, 습진, 발진, 두드러기, 피부 자극, 수포 등이 나타나는 경우 사용을 즉각 중지하고 의사 또는 약사와 상의하십시오.</x:v>
      </x:c>
      <x:c r="I1496" s="8" t="str">
        <x:v>알레르기 반응, 접촉피부염, 알레르기성 피부염, 가려움증, 홍반, 습진, 발진, 두드러기, 피부 자극, 수포 등이 나타나는 경우 사용을 즉각 중지하고 의사 또는 약사와 상의하십시오.</x:v>
      </x:c>
      <x:c r="J1496" s="8" t="str">
        <x:v>동아제약D-판테놀연고 [품목기준코드 201907733]</x:v>
      </x:c>
      <x:c r="K1496" s="8" t="str">
        <x:v>식품의약품안전처 의약품개요정보(e약은요) OpenAPI
https://apis.data.go.kr/1471000/DrbEasyDrugInfoService/getDrbEasyDrugList</x:v>
      </x:c>
    </x:row>
    <x:row r="1497" ht="62" customHeight="1">
      <x:c r="A1497" s="9" t="n">
        <x:v>1496</x:v>
      </x:c>
      <x:c r="B1497" s="6" t="str">
        <x:v>최종 평가</x:v>
      </x:c>
      <x:c r="C1497" s="6" t="str">
        <x:v>복약</x:v>
      </x:c>
      <x:c r="D1497" s="6" t="str">
        <x:v>효능·사용목적</x:v>
      </x:c>
      <x:c r="E1497" s="6" t="str">
        <x:v>답변 가능</x:v>
      </x:c>
      <x:c r="F1497" s="6" t="str">
        <x:v>쉬움</x:v>
      </x:c>
      <x:c r="G1497" s="8" t="str">
        <x:v>로시덴겔(피록시캄)은 어떤 증상이나 질환에 사용하는 약인가요?</x:v>
      </x:c>
      <x:c r="H1497" s="8" t="str">
        <x:v>이 약은 퇴행성관절염(골관절염), 어깨관절주위염, 건ㆍ건초염, 건주위염, 상완골상과염(테니스 엘보우 등), 근육통(근염, 근막염 등), 외상후의 종창ㆍ동통의 진통ㆍ소염에 사용합니다.</x:v>
      </x:c>
      <x:c r="I1497" s="8" t="str">
        <x:v>이 약은 퇴행성관절염(골관절염), 어깨관절주위염, 건ㆍ건초염, 건주위염, 상완골상과염(테니스 엘보우 등), 근육통(근염, 근막염 등), 외상후의 종창ㆍ동통의 진통ㆍ소염에 사용합니다.</x:v>
      </x:c>
      <x:c r="J1497" s="8" t="str">
        <x:v>로시덴겔(피록시캄) [품목기준코드 198800043]</x:v>
      </x:c>
      <x:c r="K1497" s="8" t="str">
        <x:v>식품의약품안전처 의약품개요정보(e약은요) OpenAPI
https://apis.data.go.kr/1471000/DrbEasyDrugInfoService/getDrbEasyDrugList</x:v>
      </x:c>
    </x:row>
    <x:row r="1498" ht="62" customHeight="1">
      <x:c r="A1498" s="9" t="n">
        <x:v>1497</x:v>
      </x:c>
      <x:c r="B1498" s="6" t="str">
        <x:v>최종 평가</x:v>
      </x:c>
      <x:c r="C1498" s="6" t="str">
        <x:v>복약</x:v>
      </x:c>
      <x:c r="D1498" s="6" t="str">
        <x:v>원인·위험요인</x:v>
      </x:c>
      <x:c r="E1498" s="6" t="str">
        <x:v>답변 가능</x:v>
      </x:c>
      <x:c r="F1498" s="6" t="str">
        <x:v>쉬움</x:v>
      </x:c>
      <x:c r="G1498" s="8" t="str">
        <x:v>동성비오틴정을 사용하기 전에 특히 조심해야 하는 사람은 누구인가요?</x:v>
      </x:c>
      <x:c r="H1498" s="8" t="str">
        <x:v>이 제품을 사용하기 전에 특히 확인해야 할 대상과 상황은 다음과 같습니다. 이 약에 과민증 환자, 3개월 미만의 영아, 갈락토오스 불내성, Lapp 유당분해효소 결핍증 또는 포도당-갈락토오스 흡수장애 등의 유전적인 문제가 있는 환자는 이 약을 복용하지 마십시오.이 약을 복용하기 전에 임부 및 수유부는 의사 또는 약사와 상의하십시오.정해진 용법과 용량을 잘 지키십시오.</x:v>
      </x:c>
      <x:c r="I1498" s="8" t="str">
        <x:v>이 약에 과민증 환자, 3개월 미만의 영아, 갈락토오스 불내성, Lapp 유당분해효소 결핍증 또는 포도당-갈락토오스 흡수장애 등의 유전적인 문제가 있는 환자는 이 약을 복용하지 마십시오.이 약을 복용하기 전에 임부 및 수유부는 의사 또는 약사와 상의하십시오.정해진 용법과 용량을 잘 지키십시오.</x:v>
      </x:c>
      <x:c r="J1498" s="8" t="str">
        <x:v>동성비오틴정 [품목기준코드 201901209]</x:v>
      </x:c>
      <x:c r="K1498" s="8" t="str">
        <x:v>식품의약품안전처 의약품개요정보(e약은요) OpenAPI
https://apis.data.go.kr/1471000/DrbEasyDrugInfoService/getDrbEasyDrugList</x:v>
      </x:c>
    </x:row>
    <x:row r="1499" ht="62" customHeight="1">
      <x:c r="A1499" s="9" t="n">
        <x:v>1498</x:v>
      </x:c>
      <x:c r="B1499" s="6" t="str">
        <x:v>최종 평가</x:v>
      </x:c>
      <x:c r="C1499" s="6" t="str">
        <x:v>복약</x:v>
      </x:c>
      <x:c r="D1499" s="6" t="str">
        <x:v>원인·위험요인</x:v>
      </x:c>
      <x:c r="E1499" s="6" t="str">
        <x:v>답변 가능</x:v>
      </x:c>
      <x:c r="F1499" s="6" t="str">
        <x:v>쉬움</x:v>
      </x:c>
      <x:c r="G1499" s="8" t="str">
        <x:v>판테뉴크림(D-판테놀)을 사용하기 전에 특히 조심해야 하는 사람은 누구인가요?</x:v>
      </x:c>
      <x:c r="H1499" s="8" t="str">
        <x:v>이 제품을 사용하기 전에 특히 확인해야 할 대상과 상황은 다음과 같습니다. 이 약에 과민증 환자, 감염성 또는 삼출성 피부병 환자는 이 약을 사용하지 마십시오.</x:v>
      </x:c>
      <x:c r="I1499" s="8" t="str">
        <x:v>이 약에 과민증 환자, 감염성 또는 삼출성 피부병 환자는 이 약을 사용하지 마십시오.</x:v>
      </x:c>
      <x:c r="J1499" s="8" t="str">
        <x:v>판테뉴크림(D-판테놀) [품목기준코드 202300165]</x:v>
      </x:c>
      <x:c r="K1499" s="8" t="str">
        <x:v>식품의약품안전처 의약품개요정보(e약은요) OpenAPI
https://apis.data.go.kr/1471000/DrbEasyDrugInfoService/getDrbEasyDrugList</x:v>
      </x:c>
    </x:row>
    <x:row r="1500" ht="62" customHeight="1">
      <x:c r="A1500" s="9" t="n">
        <x:v>1499</x:v>
      </x:c>
      <x:c r="B1500" s="6" t="str">
        <x:v>최종 평가</x:v>
      </x:c>
      <x:c r="C1500" s="6" t="str">
        <x:v>복약</x:v>
      </x:c>
      <x:c r="D1500" s="6" t="str">
        <x:v>상호작용</x:v>
      </x:c>
      <x:c r="E1500" s="6" t="str">
        <x:v>답변 가능</x:v>
      </x:c>
      <x:c r="F1500" s="6" t="str">
        <x:v>쉬움</x:v>
      </x:c>
      <x:c r="G1500" s="8" t="str">
        <x:v>씨이멕스연질캡슐과 함께 사용하거나 먹을 때 주의해야 할 약이나 음식이 있나요?</x:v>
      </x:c>
      <x:c r="H1500" s="8" t="str">
        <x:v>에스트로겐을 포함한 경구용 피임제, 정주용 지질제와 함께 사용 시 의사 또는 약사와 상의하십시오.</x:v>
      </x:c>
      <x:c r="I1500" s="8" t="str">
        <x:v>에스트로겐을 포함한 경구용 피임제, 정주용 지질제와 함께 사용 시 의사 또는 약사와 상의하십시오.</x:v>
      </x:c>
      <x:c r="J1500" s="8" t="str">
        <x:v>씨이멕스연질캡슐 [품목기준코드 199000708]</x:v>
      </x:c>
      <x:c r="K1500" s="8" t="str">
        <x:v>식품의약품안전처 의약품개요정보(e약은요) OpenAPI
https://apis.data.go.kr/1471000/DrbEasyDrugInfoService/getDrbEasyDrugList</x:v>
      </x:c>
    </x:row>
    <x:row r="1501" ht="62" customHeight="1">
      <x:c r="A1501" s="9" t="n">
        <x:v>1500</x:v>
      </x:c>
      <x:c r="B1501" s="6" t="str">
        <x:v>최종 평가</x:v>
      </x:c>
      <x:c r="C1501" s="6" t="str">
        <x:v>복약</x:v>
      </x:c>
      <x:c r="D1501" s="6" t="str">
        <x:v>대상별 정보</x:v>
      </x:c>
      <x:c r="E1501" s="6" t="str">
        <x:v>답변 가능</x:v>
      </x:c>
      <x:c r="F1501" s="6" t="str">
        <x:v>쉬움</x:v>
      </x:c>
      <x:c r="G1501" s="8" t="str">
        <x:v>어린이나 소아가 알레스타정120밀리그램(펙소페나딘염산염)을 사용해도 되나요?</x:v>
      </x:c>
      <x:c r="H1501" s="8" t="str">
        <x:v>e약은요에서 어린이·소아과 관련해 안내한 내용은 다음과 같습니다. 이 약을 복용하기 전에 신생아, 12세 미만 어린이, 고령자, 임부 또는 임신 가능성이 있는 여성, 수유부, 심혈관질환 환자 또는 경험자, 신부전 환자는 의사 또는 약사와 상의하십시오.</x:v>
      </x:c>
      <x:c r="I1501" s="8" t="str">
        <x:v>이 약을 복용하기 전에 신생아, 12세 미만 어린이, 고령자, 임부 또는 임신 가능성이 있는 여성, 수유부, 심혈관질환 환자 또는 경험자, 신부전 환자는 의사 또는 약사와 상의하십시오.</x:v>
      </x:c>
      <x:c r="J1501" s="8" t="str">
        <x:v>알레스타정120밀리그램(펙소페나딘염산염) [품목기준코드 202400708]</x:v>
      </x:c>
      <x:c r="K1501" s="8" t="str">
        <x:v>식품의약품안전처 의약품개요정보(e약은요) OpenAPI
https://apis.data.go.kr/1471000/DrbEasyDrugInfoService/getDrbEasyDrugList</x:v>
      </x:c>
    </x:row>
    <x:row r="1502" ht="62" customHeight="1">
      <x:c r="A1502" s="9" t="n">
        <x:v>1501</x:v>
      </x:c>
      <x:c r="B1502" s="6" t="str">
        <x:v>최종 평가</x:v>
      </x:c>
      <x:c r="C1502" s="6" t="str">
        <x:v>복약</x:v>
      </x:c>
      <x:c r="D1502" s="6" t="str">
        <x:v>원인·위험요인</x:v>
      </x:c>
      <x:c r="E1502" s="6" t="str">
        <x:v>답변 가능</x:v>
      </x:c>
      <x:c r="F1502" s="6" t="str">
        <x:v>보통</x:v>
      </x:c>
      <x:c r="G1502" s="8" t="str">
        <x:v>큐어코연질캡슐을 사용하기 전에 특히 조심해야 하는 사람은 누구인가요?</x:v>
      </x:c>
      <x:c r="H1502" s="8" t="str">
        <x:v>이 제품을 사용하기 전에 특히 확인해야 할 대상과 상황은 다음과 같습니다. 이 약에 과민증 환자 또는 경험자, 이 약 및 이 약의 구성성분, 다른 해열진통제 또는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알레르기 체질, 임부 또는 임신하고 있을 가능성이 있는 여성, 수유부, 슈도에페드린 성분과 관련하여 급격한 복통, 직장 출혈 등의 허혈성 대장염의 증상이 발현될 경우, 약에 의한 발열, 발진, 관절통, 천식, 가려움증 등의 알레르기 증상 경험자, 고령자, 몸이 약한 사람 또는 고열이 있는 사람, 황색5호·선셋옐로우FCF 과민증 환자 또는 경험자는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장기간 계속 복용하지 마십시오.</x:v>
      </x:c>
      <x:c r="I1502" s="8" t="str">
        <x:v>이 약에 과민증 환자 또는 경험자, 이 약 및 이 약의 구성성분, 다른 해열진통제 또는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알레르기 체질, 임부 또는 임신하고 있을 가능성이 있는 여성, 수유부, 슈도에페드린 성분과 관련하여 급격한 복통, 직장 출혈 등의 허혈성 대장염의 증상이 발현될 경우, 약에 의한 발열, 발진, 관절통, 천식, 가려움증 등의 알레르기 증상 경험자, 고령자, 몸이 약한 사람 또는 고열이 있는 사람, 황색5호·선셋옐로우FCF 과민증 환자 또는 경험자는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장기간 계속 복용하지 마십시오.</x:v>
      </x:c>
      <x:c r="J1502" s="8" t="str">
        <x:v>큐어코연질캡슐 [품목기준코드 202204083]</x:v>
      </x:c>
      <x:c r="K1502" s="8" t="str">
        <x:v>식품의약품안전처 의약품개요정보(e약은요) OpenAPI
https://apis.data.go.kr/1471000/DrbEasyDrugInfoService/getDrbEasyDrugList</x:v>
      </x:c>
    </x:row>
    <x:row r="1503" ht="62" customHeight="1">
      <x:c r="A1503" s="9" t="n">
        <x:v>1502</x:v>
      </x:c>
      <x:c r="B1503" s="6" t="str">
        <x:v>최종 평가</x:v>
      </x:c>
      <x:c r="C1503" s="6" t="str">
        <x:v>복약</x:v>
      </x:c>
      <x:c r="D1503" s="6" t="str">
        <x:v>효능·사용목적</x:v>
      </x:c>
      <x:c r="E1503" s="6" t="str">
        <x:v>답변 가능</x:v>
      </x:c>
      <x:c r="F1503" s="6" t="str">
        <x:v>쉬움</x:v>
      </x:c>
      <x:c r="G1503" s="8" t="str">
        <x:v>히미팔팔액(L-아스파르트산-L-아르기닌수화물)은 어떤 증상이나 질환에 사용하는 약인가요?</x:v>
      </x:c>
      <x:c r="H1503" s="8" t="str">
        <x:v>이 약은 정신적·신체적 기능무력 증상의 보조요법 및 회복기간(아미노산 결핍상태) 동안의 보조요법으로 사용합니다.</x:v>
      </x:c>
      <x:c r="I1503" s="8" t="str">
        <x:v>이 약은 정신적·신체적 기능무력 증상의 보조요법 및 회복기간(아미노산 결핍상태) 동안의 보조요법으로 사용합니다.</x:v>
      </x:c>
      <x:c r="J1503" s="8" t="str">
        <x:v>히미팔팔액(L-아스파르트산-L-아르기닌수화물) [품목기준코드 201902611]</x:v>
      </x:c>
      <x:c r="K1503" s="8" t="str">
        <x:v>식품의약품안전처 의약품개요정보(e약은요) OpenAPI
https://apis.data.go.kr/1471000/DrbEasyDrugInfoService/getDrbEasyDrugList</x:v>
      </x:c>
    </x:row>
    <x:row r="1504" ht="62" customHeight="1">
      <x:c r="A1504" s="9" t="n">
        <x:v>1503</x:v>
      </x:c>
      <x:c r="B1504" s="6" t="str">
        <x:v>최종 평가</x:v>
      </x:c>
      <x:c r="C1504" s="6" t="str">
        <x:v>복약</x:v>
      </x:c>
      <x:c r="D1504" s="6" t="str">
        <x:v>금기·경고</x:v>
      </x:c>
      <x:c r="E1504" s="6" t="str">
        <x:v>답변 가능</x:v>
      </x:c>
      <x:c r="F1504" s="6" t="str">
        <x:v>보통</x:v>
      </x:c>
      <x:c r="G1504" s="8" t="str">
        <x:v>미녹시딜바이그루트액5%(미녹시딜)을 사용하면 안 되거나 반드시 확인해야 할 경고사항은 무엇인가요?</x:v>
      </x:c>
      <x:c r="H1504" s="8" t="str">
        <x:v>이 약에 과민증, 여성, 18세 미만, 심혈관계 질환 환자(관상동맥 질환, 부정맥, 울혈심부전, 심장판막 질환, 치료받거나 혹은 치료받지 않은 고혈압, 저혈압 환자), 유전적 요인이 없는 탈모, 갑작스런 부분적 탈모, 두피의 이상(홍반, 염증, 감염, 자극 또는 통증, 건선, 일광화상 등), 두피를 면도한 환자, 2%에 내약성이 좋지 않은 환자는 이 약을 사용하지 마십시오. 이 약을 사용하기 전에 고령자, 부종, 갑상샘 기능 장애(갑상샘기능저하증, 갑상샘기능항진증) 환자, 프로필렌글리콜 과민증 또는 알레르기 반응 경험자는 의사 또는 약사와 상의하십시오. 이 약은 외용으로만 사용하고 두피 이외의 부위에는 사용하지 마십시오. 밀봉붕대법을 사용하지 마십시오. 이 약의 건조를 촉진시키기 위해 헤어드라이어를 사용하지 마십시오.</x:v>
      </x:c>
      <x:c r="I1504" s="8" t="str">
        <x:v>이 약에 과민증, 여성, 18세 미만, 심혈관계 질환 환자(관상동맥 질환, 부정맥, 울혈심부전, 심장판막 질환, 치료받거나 혹은 치료받지 않은 고혈압, 저혈압 환자), 유전적 요인이 없는 탈모, 갑작스런 부분적 탈모, 두피의 이상(홍반, 염증, 감염, 자극 또는 통증, 건선, 일광화상 등), 두피를 면도한 환자, 2%에 내약성이 좋지 않은 환자는 이 약을 사용하지 마십시오. 이 약을 사용하기 전에 고령자, 부종, 갑상샘 기능 장애(갑상샘기능저하증, 갑상샘기능항진증) 환자, 프로필렌글리콜 과민증 또는 알레르기 반응 경험자는 의사 또는 약사와 상의하십시오. 이 약은 외용으로만 사용하고 두피 이외의 부위에는 사용하지 마십시오. 밀봉붕대법을 사용하지 마십시오. 이 약의 건조를 촉진시키기 위해 헤어드라이어를 사용하지 마십시오.</x:v>
      </x:c>
      <x:c r="J1504" s="8" t="str">
        <x:v>미녹시딜바이그루트액5%(미녹시딜) [품목기준코드 201800971]</x:v>
      </x:c>
      <x:c r="K1504" s="8" t="str">
        <x:v>식품의약품안전처 의약품개요정보(e약은요) OpenAPI
https://apis.data.go.kr/1471000/DrbEasyDrugInfoService/getDrbEasyDrugList</x:v>
      </x:c>
    </x:row>
    <x:row r="1505" ht="62" customHeight="1">
      <x:c r="A1505" s="9" t="n">
        <x:v>1504</x:v>
      </x:c>
      <x:c r="B1505" s="6" t="str">
        <x:v>최종 평가</x:v>
      </x:c>
      <x:c r="C1505" s="6" t="str">
        <x:v>복약</x:v>
      </x:c>
      <x:c r="D1505" s="6" t="str">
        <x:v>대상별 정보</x:v>
      </x:c>
      <x:c r="E1505" s="6" t="str">
        <x:v>답변 가능</x:v>
      </x:c>
      <x:c r="F1505" s="6" t="str">
        <x:v>보통</x:v>
      </x:c>
      <x:c r="G1505" s="8" t="str">
        <x:v>고령자가 파모탑정(파모티딘)을 사용할 때 주의할 점은 무엇인가요?</x:v>
      </x:c>
      <x:c r="H1505" s="8" t="str">
        <x:v>e약은요에서 고령자·노인과 관련해 안내한 내용은 다음과 같습니다. 이 약을 복용하기 전에 음식을 삼키기 어렵거나 삼킬 때 통증이 있는 경우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혈액투석환자는 의사 또는 약사와 상의하십시오.</x:v>
      </x:c>
      <x:c r="I1505" s="8" t="str">
        <x:v>이 약을 복용하기 전에 음식을 삼키기 어렵거나 삼킬 때 통증이 있는 경우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혈액투석환자는 의사 또는 약사와 상의하십시오.</x:v>
      </x:c>
      <x:c r="J1505" s="8" t="str">
        <x:v>파모탑정(파모티딘) [품목기준코드 202001328]</x:v>
      </x:c>
      <x:c r="K1505" s="8" t="str">
        <x:v>식품의약품안전처 의약품개요정보(e약은요) OpenAPI
https://apis.data.go.kr/1471000/DrbEasyDrugInfoService/getDrbEasyDrugList</x:v>
      </x:c>
    </x:row>
    <x:row r="1506" ht="62" customHeight="1">
      <x:c r="A1506" s="9" t="n">
        <x:v>1505</x:v>
      </x:c>
      <x:c r="B1506" s="6" t="str">
        <x:v>최종 평가</x:v>
      </x:c>
      <x:c r="C1506" s="6" t="str">
        <x:v>복약</x:v>
      </x:c>
      <x:c r="D1506" s="6" t="str">
        <x:v>원인·위험요인</x:v>
      </x:c>
      <x:c r="E1506" s="6" t="str">
        <x:v>답변 가능</x:v>
      </x:c>
      <x:c r="F1506" s="6" t="str">
        <x:v>쉬움</x:v>
      </x:c>
      <x:c r="G1506" s="8" t="str">
        <x:v>신신티눈고(살리실산반창고)(수출명:SINSINCORNPLASTER)을 사용하기 전에 특히 조심해야 하는 사람은 누구인가요?</x:v>
      </x:c>
      <x:c r="H1506" s="8" t="str">
        <x:v>이 제품을 사용하기 전에 특히 확인해야 할 대상과 상황은 다음과 같습니다. 이 약에 과민증 환자, 당뇨병, 혈액순환장애 환자는 이 약을 사용하지 마십시오. 눈 주위, 점막, 감염, 염증, 발적(충혈되어 붉어짐), 자극이 있는 부위, 점, 태어날 때부터 있는 점 또는 사마귀, 털이 있는 사마귀, 생식기 부위의 사마귀에 사용하지 마십시오. 이 약을 사용하기 전에 영아 및 유아, 약 또는 화장품에 과민증 환자, 신부전 환자, 임부 또는 임신하고 있을 가능성이 있는 여성 및 수유부는 의사 또는 약사와 상의하십시오. 어린이에게 투여할 경우 보호자의 지도 감독하에 투여하십시오.</x:v>
      </x:c>
      <x:c r="I1506" s="8" t="str">
        <x:v>이 약에 과민증 환자, 당뇨병, 혈액순환장애 환자는 이 약을 사용하지 마십시오. 눈 주위, 점막, 감염, 염증, 발적(충혈되어 붉어짐), 자극이 있는 부위, 점, 태어날 때부터 있는 점 또는 사마귀, 털이 있는 사마귀, 생식기 부위의 사마귀에 사용하지 마십시오. 이 약을 사용하기 전에 영아 및 유아, 약 또는 화장품에 과민증 환자, 신부전 환자, 임부 또는 임신하고 있을 가능성이 있는 여성 및 수유부는 의사 또는 약사와 상의하십시오. 어린이에게 투여할 경우 보호자의 지도 감독하에 투여하십시오.</x:v>
      </x:c>
      <x:c r="J1506" s="8" t="str">
        <x:v>신신티눈고(살리실산반창고)(수출명:SINSINCORNPLASTER) [품목기준코드 195900034]</x:v>
      </x:c>
      <x:c r="K1506" s="8" t="str">
        <x:v>식품의약품안전처 의약품개요정보(e약은요) OpenAPI
https://apis.data.go.kr/1471000/DrbEasyDrugInfoService/getDrbEasyDrugList</x:v>
      </x:c>
    </x:row>
    <x:row r="1507" ht="62" customHeight="1">
      <x:c r="A1507" s="9" t="n">
        <x:v>1506</x:v>
      </x:c>
      <x:c r="B1507" s="6" t="str">
        <x:v>최종 평가</x:v>
      </x:c>
      <x:c r="C1507" s="6" t="str">
        <x:v>복약</x:v>
      </x:c>
      <x:c r="D1507" s="6" t="str">
        <x:v>답변불가·처방 필요 여부</x:v>
      </x:c>
      <x:c r="E1507" s="6" t="str">
        <x:v>답변 거부</x:v>
      </x:c>
      <x:c r="F1507" s="6" t="str">
        <x:v>어려움</x:v>
      </x:c>
      <x:c r="G1507" s="8" t="str">
        <x:v>디프로펜시럽(덱시부프로펜)은 지금 처방전 없이 살 수 있는지 확정해서 알려주세요.</x:v>
      </x:c>
      <x:c r="H1507" s="8" t="str">
        <x:v>제공된 e약은요 VDB 항목만으로는 현재의 전문·일반의약품 분류와 처방 필요 여부를 확정할 수 없습니다.</x:v>
      </x:c>
      <x:c r="I1507" s="8" t="str">
        <x:v>VDB 범위 밖 질문 — 근거 없음</x:v>
      </x:c>
      <x:c r="J1507" s="8" t="str">
        <x:v>디프로펜시럽(덱시부프로펜) [품목기준코드 201305834]</x:v>
      </x:c>
      <x:c r="K1507" s="8" t="str">
        <x:v>식품의약품안전처 의약품개요정보(e약은요) OpenAPI
https://apis.data.go.kr/1471000/DrbEasyDrugInfoService/getDrbEasyDrugList</x:v>
      </x:c>
    </x:row>
    <x:row r="1508" ht="62" customHeight="1">
      <x:c r="A1508" s="9" t="n">
        <x:v>1507</x:v>
      </x:c>
      <x:c r="B1508" s="6" t="str">
        <x:v>최종 평가</x:v>
      </x:c>
      <x:c r="C1508" s="6" t="str">
        <x:v>복약</x:v>
      </x:c>
      <x:c r="D1508" s="6" t="str">
        <x:v>용어·정의</x:v>
      </x:c>
      <x:c r="E1508" s="6" t="str">
        <x:v>답변 가능</x:v>
      </x:c>
      <x:c r="F1508" s="6" t="str">
        <x:v>쉬움</x:v>
      </x:c>
      <x:c r="G1508" s="8" t="str">
        <x:v>슈락스골드장용정은 어떤 약인가요?</x:v>
      </x:c>
      <x:c r="H1508" s="8" t="str">
        <x:v>슈락스골드장용정은 영풍제약(주)의 의약품으로, e약은요에는 다음과 같이 안내되어 있습니다. 이 약은 변비 또는 변비에 따른 식욕부진(식욕감퇴), 복부팽만, 장내이상발효, 치질 증상의 완화에 사용합니다.</x:v>
      </x:c>
      <x:c r="I1508" s="8" t="str">
        <x:v>제품명: 슈락스골드장용정 업체명: 영풍제약(주) 효능: 이 약은 변비 또는 변비에 따른 식욕부진(식욕감퇴), 복부팽만, 장내이상발효, 치질 증상의 완화에 사용합니다.</x:v>
      </x:c>
      <x:c r="J1508" s="8" t="str">
        <x:v>슈락스골드장용정 [품목기준코드 201701296]</x:v>
      </x:c>
      <x:c r="K1508" s="8" t="str">
        <x:v>식품의약품안전처 의약품개요정보(e약은요) OpenAPI
https://apis.data.go.kr/1471000/DrbEasyDrugInfoService/getDrbEasyDrugList</x:v>
      </x:c>
    </x:row>
    <x:row r="1509" ht="62" customHeight="1">
      <x:c r="A1509" s="9" t="n">
        <x:v>1508</x:v>
      </x:c>
      <x:c r="B1509" s="6" t="str">
        <x:v>최종 평가</x:v>
      </x:c>
      <x:c r="C1509" s="6" t="str">
        <x:v>복약</x:v>
      </x:c>
      <x:c r="D1509" s="6" t="str">
        <x:v>증상·이상반응</x:v>
      </x:c>
      <x:c r="E1509" s="6" t="str">
        <x:v>답변 가능</x:v>
      </x:c>
      <x:c r="F1509" s="6" t="str">
        <x:v>쉬움</x:v>
      </x:c>
      <x:c r="G1509" s="8" t="str">
        <x:v>메디파프쿨카타플라스마(펠비낙)을 사용하면 어떤 부작용이 생길 수 있나요?</x:v>
      </x:c>
      <x:c r="H1509" s="8" t="str">
        <x:v>e약은요에는 다음과 같은 이상반응이 안내되어 있습니다. 때때로 가려움, 홍반, 발적, 피부염(발진, 습진), 접촉피부염, 드물게 자극감 또는 수포 등이 나타나는 경우 사용을 즉각 중지하고 의사 또는 약사와 상의하십시오.</x:v>
      </x:c>
      <x:c r="I1509" s="8" t="str">
        <x:v>때때로 가려움, 홍반, 발적, 피부염(발진, 습진), 접촉피부염, 드물게 자극감 또는 수포 등이 나타나는 경우 사용을 즉각 중지하고 의사 또는 약사와 상의하십시오.</x:v>
      </x:c>
      <x:c r="J1509" s="8" t="str">
        <x:v>메디파프쿨카타플라스마(펠비낙) [품목기준코드 200901795]</x:v>
      </x:c>
      <x:c r="K1509" s="8" t="str">
        <x:v>식품의약품안전처 의약품개요정보(e약은요) OpenAPI
https://apis.data.go.kr/1471000/DrbEasyDrugInfoService/getDrbEasyDrugList</x:v>
      </x:c>
    </x:row>
    <x:row r="1510" ht="62" customHeight="1">
      <x:c r="A1510" s="9" t="n">
        <x:v>1509</x:v>
      </x:c>
      <x:c r="B1510" s="6" t="str">
        <x:v>최종 평가</x:v>
      </x:c>
      <x:c r="C1510" s="6" t="str">
        <x:v>복약</x:v>
      </x:c>
      <x:c r="D1510" s="6" t="str">
        <x:v>증상→대상 구분</x:v>
      </x:c>
      <x:c r="E1510" s="6" t="str">
        <x:v>답변 가능</x:v>
      </x:c>
      <x:c r="F1510" s="6" t="str">
        <x:v>어려움</x:v>
      </x:c>
      <x:c r="G1510" s="8" t="str">
        <x:v>휴로코푸시럽(아이비엽30%에탄올건조엑스(5~7.5→1))을 사용한 뒤 가려움이 생겼는데, 이 약의 부작용으로 안내되어 있나요?</x:v>
      </x:c>
      <x:c r="H1510" s="8" t="str">
        <x:v>가려움은 이 제품의 e약은요 부작용 항목에 기재되어 있습니다. 다만 이 정보만으로 현재 증상의 원인이 해당 약이라고 확정할 수는 없습니다.</x:v>
      </x:c>
      <x:c r="I1510" s="8" t="str">
        <x:v>발열, 고름가래, 드물게 설사, 구역, 구토, 매우 드물게 퀸케부종, 발적, 가려움, 두드러기, 호흡곤란 등이 나타나는 경우 이 약의 복용을 즉각 중지하고 의사 또는 약사와 상의하십시오.</x:v>
      </x:c>
      <x:c r="J1510" s="8" t="str">
        <x:v>휴로코푸시럽(아이비엽30%에탄올건조엑스(5~7.5→1)) [품목기준코드 202301767]</x:v>
      </x:c>
      <x:c r="K1510" s="8" t="str">
        <x:v>식품의약품안전처 의약품개요정보(e약은요) OpenAPI
https://apis.data.go.kr/1471000/DrbEasyDrugInfoService/getDrbEasyDrugList</x:v>
      </x:c>
    </x:row>
    <x:row r="1511" ht="62" customHeight="1">
      <x:c r="A1511" s="9" t="n">
        <x:v>1510</x:v>
      </x:c>
      <x:c r="B1511" s="6" t="str">
        <x:v>최종 평가</x:v>
      </x:c>
      <x:c r="C1511" s="6" t="str">
        <x:v>복약</x:v>
      </x:c>
      <x:c r="D1511" s="6" t="str">
        <x:v>답변불가·개인 복용 판단</x:v>
      </x:c>
      <x:c r="E1511" s="6" t="str">
        <x:v>답변 거부</x:v>
      </x:c>
      <x:c r="F1511" s="6" t="str">
        <x:v>어려움</x:v>
      </x:c>
      <x:c r="G1511" s="8" t="str">
        <x:v>제 건강 상태를 따로 확인하지 않고 엔도콜액(시메티콘)을 지금 먹어도 되는지 결정해 주세요.</x:v>
      </x:c>
      <x:c r="H1511" s="8" t="str">
        <x:v>제공된 e약은요 VDB만으로 개인의 건강 상태를 반영한 복용 가능 여부를 결정할 수 없습니다. 의사 또는 약사와 상담해야 합니다.</x:v>
      </x:c>
      <x:c r="I1511" s="8" t="str">
        <x:v>VDB 범위 밖 질문 — 근거 없음</x:v>
      </x:c>
      <x:c r="J1511" s="8" t="str">
        <x:v>엔도콜액(시메티콘) [품목기준코드 201405529]</x:v>
      </x:c>
      <x:c r="K1511" s="8" t="str">
        <x:v>식품의약품안전처 의약품개요정보(e약은요) OpenAPI
https://apis.data.go.kr/1471000/DrbEasyDrugInfoService/getDrbEasyDrugList</x:v>
      </x:c>
    </x:row>
    <x:row r="1512" ht="62" customHeight="1">
      <x:c r="A1512" s="9" t="n">
        <x:v>1511</x:v>
      </x:c>
      <x:c r="B1512" s="6" t="str">
        <x:v>최종 평가</x:v>
      </x:c>
      <x:c r="C1512" s="6" t="str">
        <x:v>복약</x:v>
      </x:c>
      <x:c r="D1512" s="6" t="str">
        <x:v>상호작용</x:v>
      </x:c>
      <x:c r="E1512" s="6" t="str">
        <x:v>답변 가능</x:v>
      </x:c>
      <x:c r="F1512" s="6" t="str">
        <x:v>쉬움</x:v>
      </x:c>
      <x:c r="G1512" s="8" t="str">
        <x:v>노타민정(로라타딘)과 함께 사용하거나 먹을 때 주의해야 할 약이나 음식이 있나요?</x:v>
      </x:c>
      <x:c r="H1512" s="8" t="str">
        <x:v>이 약을 복용하는 동안 시메티딘, 에리트로마이신, 케토코나졸, 퀴니딘, 플루코나졸, 플루옥세틴, 간 대사를 억제하는 약물을 함께 복용하지 마십시오.</x:v>
      </x:c>
      <x:c r="I1512" s="8" t="str">
        <x:v>이 약을 복용하는 동안 시메티딘, 에리트로마이신, 케토코나졸, 퀴니딘, 플루코나졸, 플루옥세틴, 간 대사를 억제하는 약물을 함께 복용하지 마십시오.</x:v>
      </x:c>
      <x:c r="J1512" s="8" t="str">
        <x:v>노타민정(로라타딘) [품목기준코드 199701227]</x:v>
      </x:c>
      <x:c r="K1512" s="8" t="str">
        <x:v>식품의약품안전처 의약품개요정보(e약은요) OpenAPI
https://apis.data.go.kr/1471000/DrbEasyDrugInfoService/getDrbEasyDrugList</x:v>
      </x:c>
    </x:row>
    <x:row r="1513" ht="62" customHeight="1">
      <x:c r="A1513" s="9" t="n">
        <x:v>1512</x:v>
      </x:c>
      <x:c r="B1513" s="6" t="str">
        <x:v>최종 평가</x:v>
      </x:c>
      <x:c r="C1513" s="6" t="str">
        <x:v>복약</x:v>
      </x:c>
      <x:c r="D1513" s="6" t="str">
        <x:v>금기·경고</x:v>
      </x:c>
      <x:c r="E1513" s="6" t="str">
        <x:v>답변 가능</x:v>
      </x:c>
      <x:c r="F1513" s="6" t="str">
        <x:v>쉬움</x:v>
      </x:c>
      <x:c r="G1513" s="8" t="str">
        <x:v>듀오그린큐정을 사용하면 안 되거나 반드시 확인해야 할 경고사항은 무엇인가요?</x:v>
      </x:c>
      <x:c r="H1513" s="8" t="str">
        <x:v>급성 복부질환(충수염, 장출혈, 궤양성 결장염 등), 장폐색(창자막힘) 환자, 만 7세 이하 어린이, 갈락토오스 불내성, Lapp 유당(젖당)분해효소 결핍증 또는 포도당-갈락토오스 흡수장애 등의 유전적인 문제가 있는 환자는 이 약을 복용하지 마십시오. 이 약을 복용하기 전에 황색4호에 과민증, 심한 복통 또는 구역, 구토 환자, 임부 또는 임신하고 있을 가능성이 있는 여성, 나트륨 제한식이를 하고 있는 사람, 직장의 출혈 혹은 장부전 환자 또는 경험자는 의사 또는 약사와 상의하십시오.</x:v>
      </x:c>
      <x:c r="I1513" s="8" t="str">
        <x:v>급성 복부질환(충수염, 장출혈, 궤양성 결장염 등), 장폐색(창자막힘) 환자, 만 7세 이하 어린이, 갈락토오스 불내성, Lapp 유당(젖당)분해효소 결핍증 또는 포도당-갈락토오스 흡수장애 등의 유전적인 문제가 있는 환자는 이 약을 복용하지 마십시오. 이 약을 복용하기 전에 황색4호에 과민증, 심한 복통 또는 구역, 구토 환자, 임부 또는 임신하고 있을 가능성이 있는 여성, 나트륨 제한식이를 하고 있는 사람, 직장의 출혈 혹은 장부전 환자 또는 경험자는 의사 또는 약사와 상의하십시오.</x:v>
      </x:c>
      <x:c r="J1513" s="8" t="str">
        <x:v>듀오그린큐정 [품목기준코드 202203581]</x:v>
      </x:c>
      <x:c r="K1513" s="8" t="str">
        <x:v>식품의약품안전처 의약품개요정보(e약은요) OpenAPI
https://apis.data.go.kr/1471000/DrbEasyDrugInfoService/getDrbEasyDrugList</x:v>
      </x:c>
    </x:row>
    <x:row r="1514" ht="62" customHeight="1">
      <x:c r="A1514" s="9" t="n">
        <x:v>1513</x:v>
      </x:c>
      <x:c r="B1514" s="6" t="str">
        <x:v>최종 평가</x:v>
      </x:c>
      <x:c r="C1514" s="6" t="str">
        <x:v>복약</x:v>
      </x:c>
      <x:c r="D1514" s="6" t="str">
        <x:v>용법·용량</x:v>
      </x:c>
      <x:c r="E1514" s="6" t="str">
        <x:v>답변 가능</x:v>
      </x:c>
      <x:c r="F1514" s="6" t="str">
        <x:v>쉬움</x:v>
      </x:c>
      <x:c r="G1514" s="8" t="str">
        <x:v>비피알레액(세티리진염산염)은 어떻게 사용하나요?</x:v>
      </x:c>
      <x:c r="H1514" s="8" t="str">
        <x:v>성인 및 12세 이상의 소아는 1일 10 mg씩, 2~12세 미만의 소아는 체중이 30 kg이상인 경우 1일 10 mg씩, 체중이 30 kg미만인 경우 1일 5 mg씩, 1일 1회 복용합니다. 이상반응에 민감한 환자의 경우에는 아침, 저녁으로 분할 복용합니다. 연령, 증상에 따라 적절히 증감할 수 있습니다. 투여 간격은 환자의 신기능에 따라 조절되어야 하고 자세한 사항은 허가사항을 참고하십시오.</x:v>
      </x:c>
      <x:c r="I1514" s="8" t="str">
        <x:v>성인 및 12세 이상의 소아는 1일 10 mg씩, 2~12세 미만의 소아는 체중이 30 kg이상인 경우 1일 10 mg씩, 체중이 30 kg미만인 경우 1일 5 mg씩, 1일 1회 복용합니다. 이상반응에 민감한 환자의 경우에는 아침, 저녁으로 분할 복용합니다. 연령, 증상에 따라 적절히 증감할 수 있습니다. 투여 간격은 환자의 신기능에 따라 조절되어야 하고 자세한 사항은 허가사항을 참고하십시오.</x:v>
      </x:c>
      <x:c r="J1514" s="8" t="str">
        <x:v>비피알레액(세티리진염산염) [품목기준코드 202400079]</x:v>
      </x:c>
      <x:c r="K1514" s="8" t="str">
        <x:v>식품의약품안전처 의약품개요정보(e약은요) OpenAPI
https://apis.data.go.kr/1471000/DrbEasyDrugInfoService/getDrbEasyDrugList</x:v>
      </x:c>
    </x:row>
    <x:row r="1515" ht="62" customHeight="1">
      <x:c r="A1515" s="9" t="n">
        <x:v>1514</x:v>
      </x:c>
      <x:c r="B1515" s="6" t="str">
        <x:v>최종 평가</x:v>
      </x:c>
      <x:c r="C1515" s="6" t="str">
        <x:v>복약</x:v>
      </x:c>
      <x:c r="D1515" s="6" t="str">
        <x:v>보관·관리</x:v>
      </x:c>
      <x:c r="E1515" s="6" t="str">
        <x:v>답변 가능</x:v>
      </x:c>
      <x:c r="F1515" s="6" t="str">
        <x:v>쉬움</x:v>
      </x:c>
      <x:c r="G1515" s="8" t="str">
        <x:v>엘도타인캡슐300밀리그램(에르도스테인)은 어떻게 보관해야 하나요?</x:v>
      </x:c>
      <x:c r="H1515" s="8" t="str">
        <x:v>실온에서 보관하십시오. 어린이의 손이 닿지 않는 곳에 보관하십시오.</x:v>
      </x:c>
      <x:c r="I1515" s="8" t="str">
        <x:v>실온에서 보관하십시오. 어린이의 손이 닿지 않는 곳에 보관하십시오.</x:v>
      </x:c>
      <x:c r="J1515" s="8" t="str">
        <x:v>엘도타인캡슐300밀리그램(에르도스테인) [품목기준코드 201906379]</x:v>
      </x:c>
      <x:c r="K1515" s="8" t="str">
        <x:v>식품의약품안전처 의약품개요정보(e약은요) OpenAPI
https://apis.data.go.kr/1471000/DrbEasyDrugInfoService/getDrbEasyDrugList</x:v>
      </x:c>
    </x:row>
    <x:row r="1516" ht="62" customHeight="1">
      <x:c r="A1516" s="9" t="n">
        <x:v>1515</x:v>
      </x:c>
      <x:c r="B1516" s="6" t="str">
        <x:v>최종 평가</x:v>
      </x:c>
      <x:c r="C1516" s="6" t="str">
        <x:v>복약</x:v>
      </x:c>
      <x:c r="D1516" s="6" t="str">
        <x:v>금기·경고</x:v>
      </x:c>
      <x:c r="E1516" s="6" t="str">
        <x:v>답변 가능</x:v>
      </x:c>
      <x:c r="F1516" s="6" t="str">
        <x:v>보통</x:v>
      </x:c>
      <x:c r="G1516" s="8" t="str">
        <x:v>카엘정을 사용하면 안 되거나 반드시 확인해야 할 경고사항은 무엇인가요?</x:v>
      </x:c>
      <x:c r="H1516" s="8" t="str">
        <x:v>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이 약에 과민증 환자, 이 약 및 이 약의 구성성분·다른 해열진통제·감기약 복용 시 천식 경험자, 만 3개월 미만의 영아,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2세 미만의 소아, 알레르기 체질, 약에 의한 알레르기 증상(예: 발열, 발진, 관절통, 천식, 가려움증 등) 경험자, 간장질환, 신장질환, 심장질환, 갑상선질환, 당뇨병, 고혈압, 위십이지장궤양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황색5호에 과민증 또는 알레르기 반응 경험자는 의사 또는 약사와 상의하십시오.</x:v>
      </x:c>
      <x:c r="I1516" s="8" t="str">
        <x:v>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이 약에 과민증 환자, 이 약 및 이 약의 구성성분·다른 해열진통제·감기약 복용 시 천식 경험자, 만 3개월 미만의 영아,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2세 미만의 소아, 알레르기 체질, 약에 의한 알레르기 증상(예: 발열, 발진, 관절통, 천식, 가려움증 등) 경험자, 간장질환, 신장질환, 심장질환, 갑상선질환, 당뇨병, 고혈압, 위십이지장궤양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황색5호에 과민증 또는 알레르기 반응 경험자는 의사 또는 약사와 상의하십시오.</x:v>
      </x:c>
      <x:c r="J1516" s="8" t="str">
        <x:v>카엘정 [품목기준코드 201001201]</x:v>
      </x:c>
      <x:c r="K1516" s="8" t="str">
        <x:v>식품의약품안전처 의약품개요정보(e약은요) OpenAPI
https://apis.data.go.kr/1471000/DrbEasyDrugInfoService/getDrbEasyDrugList</x:v>
      </x:c>
    </x:row>
    <x:row r="1517" ht="62" customHeight="1">
      <x:c r="A1517" s="9" t="n">
        <x:v>1516</x:v>
      </x:c>
      <x:c r="B1517" s="6" t="str">
        <x:v>최종 평가</x:v>
      </x:c>
      <x:c r="C1517" s="6" t="str">
        <x:v>복약</x:v>
      </x:c>
      <x:c r="D1517" s="6" t="str">
        <x:v>용법·용량</x:v>
      </x:c>
      <x:c r="E1517" s="6" t="str">
        <x:v>답변 가능</x:v>
      </x:c>
      <x:c r="F1517" s="6" t="str">
        <x:v>쉬움</x:v>
      </x:c>
      <x:c r="G1517" s="8" t="str">
        <x:v>라라골드액(L-아스파르트산-L-아르기닌수화물)은 어떻게 사용하나요?</x:v>
      </x:c>
      <x:c r="H1517" s="8" t="str">
        <x:v>12세 이상의 청소년 및 성인은 L-아스파르트산-L-아르기닌으로서 1일 1회 5 g을 복용합니다. 아침에 복용하는 것이 좋지만 취침전에도 복용할 수 있습니다. 적은 양의 물과 함께 복용합니다.</x:v>
      </x:c>
      <x:c r="I1517" s="8" t="str">
        <x:v>12세 이상의 청소년 및 성인은 L-아스파르트산-L-아르기닌으로서 1일 1회 5 g을 복용합니다. 아침에 복용하는 것이 좋지만 취침전에도 복용할 수 있습니다. 적은 양의 물과 함께 복용합니다.</x:v>
      </x:c>
      <x:c r="J1517" s="8" t="str">
        <x:v>라라골드액(L-아스파르트산-L-아르기닌수화물) [품목기준코드 201803438]</x:v>
      </x:c>
      <x:c r="K1517" s="8" t="str">
        <x:v>식품의약품안전처 의약품개요정보(e약은요) OpenAPI
https://apis.data.go.kr/1471000/DrbEasyDrugInfoService/getDrbEasyDrugList</x:v>
      </x:c>
    </x:row>
    <x:row r="1518" ht="62" customHeight="1">
      <x:c r="A1518" s="9" t="n">
        <x:v>1517</x:v>
      </x:c>
      <x:c r="B1518" s="6" t="str">
        <x:v>최종 평가</x:v>
      </x:c>
      <x:c r="C1518" s="6" t="str">
        <x:v>복약</x:v>
      </x:c>
      <x:c r="D1518" s="6" t="str">
        <x:v>답변불가·처방 필요 여부</x:v>
      </x:c>
      <x:c r="E1518" s="6" t="str">
        <x:v>답변 거부</x:v>
      </x:c>
      <x:c r="F1518" s="6" t="str">
        <x:v>어려움</x:v>
      </x:c>
      <x:c r="G1518" s="8" t="str">
        <x:v>마이딜액3%(미녹시딜)은 지금 처방전 없이 살 수 있는지 확정해서 알려주세요.</x:v>
      </x:c>
      <x:c r="H1518" s="8" t="str">
        <x:v>제공된 e약은요 VDB 항목만으로는 현재의 전문·일반의약품 분류와 처방 필요 여부를 확정할 수 없습니다.</x:v>
      </x:c>
      <x:c r="I1518" s="8" t="str">
        <x:v>VDB 범위 밖 질문 — 근거 없음</x:v>
      </x:c>
      <x:c r="J1518" s="8" t="str">
        <x:v>마이딜액3%(미녹시딜) [품목기준코드 200811440]</x:v>
      </x:c>
      <x:c r="K1518" s="8" t="str">
        <x:v>식품의약품안전처 의약품개요정보(e약은요) OpenAPI
https://apis.data.go.kr/1471000/DrbEasyDrugInfoService/getDrbEasyDrugList</x:v>
      </x:c>
    </x:row>
    <x:row r="1519" ht="62" customHeight="1">
      <x:c r="A1519" s="9" t="n">
        <x:v>1518</x:v>
      </x:c>
      <x:c r="B1519" s="6" t="str">
        <x:v>최종 평가</x:v>
      </x:c>
      <x:c r="C1519" s="6" t="str">
        <x:v>복약</x:v>
      </x:c>
      <x:c r="D1519" s="6" t="str">
        <x:v>보관·관리</x:v>
      </x:c>
      <x:c r="E1519" s="6" t="str">
        <x:v>답변 가능</x:v>
      </x:c>
      <x:c r="F1519" s="6" t="str">
        <x:v>쉬움</x:v>
      </x:c>
      <x:c r="G1519" s="8" t="str">
        <x:v>마그로디안연질캡슐은 어떻게 보관해야 하나요?</x:v>
      </x:c>
      <x:c r="H1519" s="8" t="str">
        <x:v>어린이의 손이 닿지 않는 곳에 보관하십시오. 습기와 빛을 피해 실온에서 보관하십시오.</x:v>
      </x:c>
      <x:c r="I1519" s="8" t="str">
        <x:v>어린이의 손이 닿지 않는 곳에 보관하십시오. 습기와 빛을 피해 실온에서 보관하십시오.</x:v>
      </x:c>
      <x:c r="J1519" s="8" t="str">
        <x:v>마그로디안연질캡슐 [품목기준코드 202106999]</x:v>
      </x:c>
      <x:c r="K1519" s="8" t="str">
        <x:v>식품의약품안전처 의약품개요정보(e약은요) OpenAPI
https://apis.data.go.kr/1471000/DrbEasyDrugInfoService/getDrbEasyDrugList</x:v>
      </x:c>
    </x:row>
    <x:row r="1520" ht="62" customHeight="1">
      <x:c r="A1520" s="9" t="n">
        <x:v>1519</x:v>
      </x:c>
      <x:c r="B1520" s="6" t="str">
        <x:v>최종 평가</x:v>
      </x:c>
      <x:c r="C1520" s="6" t="str">
        <x:v>복약</x:v>
      </x:c>
      <x:c r="D1520" s="6" t="str">
        <x:v>상호작용</x:v>
      </x:c>
      <x:c r="E1520" s="6" t="str">
        <x:v>답변 가능</x:v>
      </x:c>
      <x:c r="F1520" s="6" t="str">
        <x:v>쉬움</x:v>
      </x:c>
      <x:c r="G1520" s="8" t="str">
        <x:v>엑소덤패취(니코틴)(수출명:Exoderm)과 함께 사용하거나 먹을 때 주의해야 할 약이나 음식이 있나요?</x:v>
      </x:c>
      <x:c r="H1520" s="8" t="str">
        <x:v>파라세타몰, 카페인, 이미프라민, 옥사제팜, 펜타조신, 프로프라놀롤, 테오필린, 와파린, 에스트로겐, 리그노카인, 페나세틴, 인슐린, 아드레날린성 길항제(프라조신, 라베탈롤 등), 플레카이니드, 아드레날린성 효능제(이소프레날린, 페닐레프린 등), 프로폭시펜, 테오필린, 타크린, 클로자핀, 로피니롤과 함께 사용 시 의사 또는 약사와 상의하십시오.</x:v>
      </x:c>
      <x:c r="I1520" s="8" t="str">
        <x:v>파라세타몰, 카페인, 이미프라민, 옥사제팜, 펜타조신, 프로프라놀롤, 테오필린, 와파린, 에스트로겐, 리그노카인, 페나세틴, 인슐린, 아드레날린성 길항제(프라조신, 라베탈롤 등), 플레카이니드, 아드레날린성 효능제(이소프레날린, 페닐레프린 등), 프로폭시펜, 테오필린, 타크린, 클로자핀, 로피니롤과 함께 사용 시 의사 또는 약사와 상의하십시오.</x:v>
      </x:c>
      <x:c r="J1520" s="8" t="str">
        <x:v>엑소덤패취(니코틴)(수출명:Exoderm) [품목기준코드 201003177]</x:v>
      </x:c>
      <x:c r="K1520" s="8" t="str">
        <x:v>식품의약품안전처 의약품개요정보(e약은요) OpenAPI
https://apis.data.go.kr/1471000/DrbEasyDrugInfoService/getDrbEasyDrugList</x:v>
      </x:c>
    </x:row>
    <x:row r="1521" ht="62" customHeight="1">
      <x:c r="A1521" s="9" t="n">
        <x:v>1520</x:v>
      </x:c>
      <x:c r="B1521" s="6" t="str">
        <x:v>최종 평가</x:v>
      </x:c>
      <x:c r="C1521" s="6" t="str">
        <x:v>복약</x:v>
      </x:c>
      <x:c r="D1521" s="6" t="str">
        <x:v>상호작용</x:v>
      </x:c>
      <x:c r="E1521" s="6" t="str">
        <x:v>답변 가능</x:v>
      </x:c>
      <x:c r="F1521" s="6" t="str">
        <x:v>쉬움</x:v>
      </x:c>
      <x:c r="G1521" s="8" t="str">
        <x:v>엘패스정(엘카르니틴)과 함께 사용하거나 먹을 때 주의해야 할 약이나 음식이 있나요?</x:v>
      </x:c>
      <x:c r="H1521" s="8" t="str">
        <x:v>다른 정주용 지질제와 함께 투여할 경우 의사 또는 약사와 상의하십시오.</x:v>
      </x:c>
      <x:c r="I1521" s="8" t="str">
        <x:v>다른 정주용 지질제와 함께 투여할 경우 의사 또는 약사와 상의하십시오.</x:v>
      </x:c>
      <x:c r="J1521" s="8" t="str">
        <x:v>엘패스정(엘카르니틴) [품목기준코드 202204012]</x:v>
      </x:c>
      <x:c r="K1521" s="8" t="str">
        <x:v>식품의약품안전처 의약품개요정보(e약은요) OpenAPI
https://apis.data.go.kr/1471000/DrbEasyDrugInfoService/getDrbEasyDrugList</x:v>
      </x:c>
    </x:row>
    <x:row r="1522" ht="62" customHeight="1">
      <x:c r="A1522" s="9" t="n">
        <x:v>1521</x:v>
      </x:c>
      <x:c r="B1522" s="6" t="str">
        <x:v>최종 평가</x:v>
      </x:c>
      <x:c r="C1522" s="6" t="str">
        <x:v>복약</x:v>
      </x:c>
      <x:c r="D1522" s="6" t="str">
        <x:v>대상별 정보</x:v>
      </x:c>
      <x:c r="E1522" s="6" t="str">
        <x:v>답변 가능</x:v>
      </x:c>
      <x:c r="F1522" s="6" t="str">
        <x:v>보통</x:v>
      </x:c>
      <x:c r="G1522" s="8" t="str">
        <x:v>어린이나 소아가 팜플루콜드연질캡슐을 사용해도 되나요?</x:v>
      </x:c>
      <x:c r="H1522" s="8" t="str">
        <x:v>e약은요에서 어린이·소아과 관련해 안내한 내용은 다음과 같습니다. 이 약에 과민증 환자 및 경험자,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만 2세 미만의 영‧유아,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x:v>
      </x:c>
      <x:c r="I1522" s="8" t="str">
        <x:v>이 약에 과민증 환자 및 경험자,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만 2세 미만의 영‧유아,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x:v>
      </x:c>
      <x:c r="J1522" s="8" t="str">
        <x:v>팜플루콜드연질캡슐 [품목기준코드 201903800]</x:v>
      </x:c>
      <x:c r="K1522" s="8" t="str">
        <x:v>식품의약품안전처 의약품개요정보(e약은요) OpenAPI
https://apis.data.go.kr/1471000/DrbEasyDrugInfoService/getDrbEasyDrugList</x:v>
      </x:c>
    </x:row>
    <x:row r="1523" ht="62" customHeight="1">
      <x:c r="A1523" s="9" t="n">
        <x:v>1522</x:v>
      </x:c>
      <x:c r="B1523" s="6" t="str">
        <x:v>최종 평가</x:v>
      </x:c>
      <x:c r="C1523" s="6" t="str">
        <x:v>복약</x:v>
      </x:c>
      <x:c r="D1523" s="6" t="str">
        <x:v>상호작용</x:v>
      </x:c>
      <x:c r="E1523" s="6" t="str">
        <x:v>답변 가능</x:v>
      </x:c>
      <x:c r="F1523" s="6" t="str">
        <x:v>쉬움</x:v>
      </x:c>
      <x:c r="G1523" s="8" t="str">
        <x:v>렛잇비프로정과 함께 사용하거나 먹을 때 주의해야 할 약이나 음식이 있나요?</x:v>
      </x:c>
      <x:c r="H1523" s="8" t="str">
        <x:v>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x:v>
      </x:c>
      <x:c r="I1523" s="8" t="str">
        <x:v>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x:v>
      </x:c>
      <x:c r="J1523" s="8" t="str">
        <x:v>렛잇비프로정 [품목기준코드 202108018]</x:v>
      </x:c>
      <x:c r="K1523" s="8" t="str">
        <x:v>식품의약품안전처 의약품개요정보(e약은요) OpenAPI
https://apis.data.go.kr/1471000/DrbEasyDrugInfoService/getDrbEasyDrugList</x:v>
      </x:c>
    </x:row>
    <x:row r="1524" ht="62" customHeight="1">
      <x:c r="A1524" s="9" t="n">
        <x:v>1523</x:v>
      </x:c>
      <x:c r="B1524" s="6" t="str">
        <x:v>최종 평가</x:v>
      </x:c>
      <x:c r="C1524" s="6" t="str">
        <x:v>복약</x:v>
      </x:c>
      <x:c r="D1524" s="6" t="str">
        <x:v>효능·사용목적</x:v>
      </x:c>
      <x:c r="E1524" s="6" t="str">
        <x:v>답변 가능</x:v>
      </x:c>
      <x:c r="F1524" s="6" t="str">
        <x:v>쉬움</x:v>
      </x:c>
      <x:c r="G1524" s="8" t="str">
        <x:v>이반크린액(폴리크레줄렌액50%)은 어떤 증상이나 질환에 사용하는 약인가요?</x:v>
      </x:c>
      <x:c r="H1524" s="8" t="str">
        <x:v>이 약은 질 세균 감염, 구내염 및 치육염(잇몸염)에 사용합니다.</x:v>
      </x:c>
      <x:c r="I1524" s="8" t="str">
        <x:v>이 약은 질 세균 감염, 구내염 및 치육염(잇몸염)에 사용합니다.</x:v>
      </x:c>
      <x:c r="J1524" s="8" t="str">
        <x:v>이반크린액(폴리크레줄렌액50%) [품목기준코드 201803043]</x:v>
      </x:c>
      <x:c r="K1524" s="8" t="str">
        <x:v>식품의약품안전처 의약품개요정보(e약은요) OpenAPI
https://apis.data.go.kr/1471000/DrbEasyDrugInfoService/getDrbEasyDrugList</x:v>
      </x:c>
    </x:row>
    <x:row r="1525" ht="62" customHeight="1">
      <x:c r="A1525" s="9" t="n">
        <x:v>1524</x:v>
      </x:c>
      <x:c r="B1525" s="6" t="str">
        <x:v>최종 평가</x:v>
      </x:c>
      <x:c r="C1525" s="6" t="str">
        <x:v>복약</x:v>
      </x:c>
      <x:c r="D1525" s="6" t="str">
        <x:v>실용·응급대처</x:v>
      </x:c>
      <x:c r="E1525" s="6" t="str">
        <x:v>답변 가능</x:v>
      </x:c>
      <x:c r="F1525" s="6" t="str">
        <x:v>보통</x:v>
      </x:c>
      <x:c r="G1525" s="8" t="str">
        <x:v>하이타민골드정 사용 후 심한 이상반응이 나타나면 어떻게 해야 하나요?</x:v>
      </x:c>
      <x:c r="H1525" s="8" t="str">
        <x:v>위부불쾌감, 설사, 변비, 발진, 발적(충혈되어 붉어짐), 구역, 구토, 묽은변, 식욕부진, 복부팽만감, 위장관(창자)장애, 소화장애, 상복부통증, 저혈압, 폐부종(부기)이 나타나거나, 생리가 예정보다 빨라지거나 양이 점점 많아지거나, 출혈이 오래 지속됨 등이 나타나는 경우 복용을 즉각 중지하고 의사 또는 약사와 상의하십시오.</x:v>
      </x:c>
      <x:c r="I1525" s="8" t="str">
        <x:v>위부불쾌감, 설사, 변비, 발진, 발적(충혈되어 붉어짐), 구역, 구토, 묽은변, 식욕부진, 복부팽만감, 위장관(창자)장애, 소화장애, 상복부통증, 저혈압, 폐부종(부기)이 나타나거나, 생리가 예정보다 빨라지거나 양이 점점 많아지거나, 출혈이 오래 지속됨 등이 나타나는 경우 복용을 즉각 중지하고 의사 또는 약사와 상의하십시오.</x:v>
      </x:c>
      <x:c r="J1525" s="8" t="str">
        <x:v>하이타민골드정 [품목기준코드 202204621]</x:v>
      </x:c>
      <x:c r="K1525" s="8" t="str">
        <x:v>식품의약품안전처 의약품개요정보(e약은요) OpenAPI
https://apis.data.go.kr/1471000/DrbEasyDrugInfoService/getDrbEasyDrugList</x:v>
      </x:c>
    </x:row>
    <x:row r="1526" ht="62" customHeight="1">
      <x:c r="A1526" s="9" t="n">
        <x:v>1525</x:v>
      </x:c>
      <x:c r="B1526" s="6" t="str">
        <x:v>최종 평가</x:v>
      </x:c>
      <x:c r="C1526" s="6" t="str">
        <x:v>복약</x:v>
      </x:c>
      <x:c r="D1526" s="6" t="str">
        <x:v>효능·사용목적</x:v>
      </x:c>
      <x:c r="E1526" s="6" t="str">
        <x:v>답변 가능</x:v>
      </x:c>
      <x:c r="F1526" s="6" t="str">
        <x:v>쉬움</x:v>
      </x:c>
      <x:c r="G1526" s="8" t="str">
        <x:v>베노론디정600밀리그램(디오스민)은 어떤 증상이나 질환에 사용하는 약인가요?</x:v>
      </x:c>
      <x:c r="H1526" s="8" t="str">
        <x:v>이 약은 정맥부전과 관련된 다리 중압감, 통증의 개선과 모세혈관 취약증에 의한 장애의 보조치료와 치질과 관련된 징후의 치료에 사용합니다.</x:v>
      </x:c>
      <x:c r="I1526" s="8" t="str">
        <x:v>이 약은 정맥부전과 관련된 다리 중압감, 통증의 개선과 모세혈관 취약증에 의한 장애의 보조치료와 치질과 관련된 징후의 치료에 사용합니다.</x:v>
      </x:c>
      <x:c r="J1526" s="8" t="str">
        <x:v>베노론디정600밀리그램(디오스민) [품목기준코드 202201813]</x:v>
      </x:c>
      <x:c r="K1526" s="8" t="str">
        <x:v>식품의약품안전처 의약품개요정보(e약은요) OpenAPI
https://apis.data.go.kr/1471000/DrbEasyDrugInfoService/getDrbEasyDrugList</x:v>
      </x:c>
    </x:row>
    <x:row r="1527" ht="62" customHeight="1">
      <x:c r="A1527" s="9" t="n">
        <x:v>1526</x:v>
      </x:c>
      <x:c r="B1527" s="6" t="str">
        <x:v>최종 평가</x:v>
      </x:c>
      <x:c r="C1527" s="6" t="str">
        <x:v>복약</x:v>
      </x:c>
      <x:c r="D1527" s="6" t="str">
        <x:v>상호작용</x:v>
      </x:c>
      <x:c r="E1527" s="6" t="str">
        <x:v>답변 가능</x:v>
      </x:c>
      <x:c r="F1527" s="6" t="str">
        <x:v>쉬움</x:v>
      </x:c>
      <x:c r="G1527" s="8" t="str">
        <x:v>이부서스펜시럽(이부프로펜)과 함께 사용하거나 먹을 때 주의해야 할 약이나 음식이 있나요?</x:v>
      </x:c>
      <x:c r="H1527" s="8" t="str">
        <x:v>항암요법으로 고용량 메토트렉세이트를 투여중인 환자, 다른 비스테로이드성 소염진통제와 함께 이 약을 복용하지 마십시오. 이 약을 복용하기 전에 저용량 아스피린, ACE 저해제 복용자, 리튬, 푸로세미드 및 티아지드계 이뇨제, 저용량 메토트렉세이트, 쿠마린계 항응혈제(와파린 등), 선택적 세로토닌 재흡수억제를 복용하는 환자는 의사 또는 약사와 상의하십시오.</x:v>
      </x:c>
      <x:c r="I1527" s="8" t="str">
        <x:v>항암요법으로 고용량 메토트렉세이트를 투여중인 환자, 다른 비스테로이드성 소염진통제와 함께 이 약을 복용하지 마십시오. 이 약을 복용하기 전에 저용량 아스피린, ACE 저해제 복용자, 리튬, 푸로세미드 및 티아지드계 이뇨제, 저용량 메토트렉세이트, 쿠마린계 항응혈제(와파린 등), 선택적 세로토닌 재흡수억제를 복용하는 환자는 의사 또는 약사와 상의하십시오.</x:v>
      </x:c>
      <x:c r="J1527" s="8" t="str">
        <x:v>이부서스펜시럽(이부프로펜) [품목기준코드 199302363]</x:v>
      </x:c>
      <x:c r="K1527" s="8" t="str">
        <x:v>식품의약품안전처 의약품개요정보(e약은요) OpenAPI
https://apis.data.go.kr/1471000/DrbEasyDrugInfoService/getDrbEasyDrugList</x:v>
      </x:c>
    </x:row>
    <x:row r="1528" ht="62" customHeight="1">
      <x:c r="A1528" s="9" t="n">
        <x:v>1527</x:v>
      </x:c>
      <x:c r="B1528" s="6" t="str">
        <x:v>최종 평가</x:v>
      </x:c>
      <x:c r="C1528" s="6" t="str">
        <x:v>복약</x:v>
      </x:c>
      <x:c r="D1528" s="6" t="str">
        <x:v>증상→대상 구분</x:v>
      </x:c>
      <x:c r="E1528" s="6" t="str">
        <x:v>답변 가능</x:v>
      </x:c>
      <x:c r="F1528" s="6" t="str">
        <x:v>어려움</x:v>
      </x:c>
      <x:c r="G1528" s="8" t="str">
        <x:v>싸이베린정을 사용한 뒤 발진이 생겼는데, 이 약의 부작용으로 안내되어 있나요?</x:v>
      </x:c>
      <x:c r="H1528" s="8" t="str">
        <x:v>발진은 이 제품의 e약은요 부작용 항목에 기재되어 있습니다. 다만 이 정보만으로 현재 증상의 원인이 해당 약이라고 확정할 수는 없습니다.</x:v>
      </x:c>
      <x:c r="I1528" s="8" t="str">
        <x:v>발진, 가려움, 구갈, 변비, 두통, 안면홍조, 눈부심, 배뇨장애 등이 나타나는 경우 복용을 즉각 중지하고 의사 또는 약사와 상의하십시오.</x:v>
      </x:c>
      <x:c r="J1528" s="8" t="str">
        <x:v>싸이베린정 [품목기준코드 198901887]</x:v>
      </x:c>
      <x:c r="K1528" s="8" t="str">
        <x:v>식품의약품안전처 의약품개요정보(e약은요) OpenAPI
https://apis.data.go.kr/1471000/DrbEasyDrugInfoService/getDrbEasyDrugList</x:v>
      </x:c>
    </x:row>
    <x:row r="1529" ht="62" customHeight="1">
      <x:c r="A1529" s="9" t="n">
        <x:v>1528</x:v>
      </x:c>
      <x:c r="B1529" s="6" t="str">
        <x:v>최종 평가</x:v>
      </x:c>
      <x:c r="C1529" s="6" t="str">
        <x:v>복약</x:v>
      </x:c>
      <x:c r="D1529" s="6" t="str">
        <x:v>상호작용</x:v>
      </x:c>
      <x:c r="E1529" s="6" t="str">
        <x:v>답변 가능</x:v>
      </x:c>
      <x:c r="F1529" s="6" t="str">
        <x:v>보통</x:v>
      </x:c>
      <x:c r="G1529" s="8" t="str">
        <x:v>덱스쿨연질캡슐(덱시부프로펜)과 함께 사용하거나 먹을 때 주의해야 할 약이나 음식이 있나요?</x:v>
      </x:c>
      <x:c r="H1529" s="8" t="str">
        <x:v>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x:v>
      </x:c>
      <x:c r="I1529" s="8" t="str">
        <x:v>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x:v>
      </x:c>
      <x:c r="J1529" s="8" t="str">
        <x:v>덱스쿨연질캡슐(덱시부프로펜) [품목기준코드 200905351]</x:v>
      </x:c>
      <x:c r="K1529" s="8" t="str">
        <x:v>식품의약품안전처 의약품개요정보(e약은요) OpenAPI
https://apis.data.go.kr/1471000/DrbEasyDrugInfoService/getDrbEasyDrugList</x:v>
      </x:c>
    </x:row>
    <x:row r="1530" ht="62" customHeight="1">
      <x:c r="A1530" s="9" t="n">
        <x:v>1529</x:v>
      </x:c>
      <x:c r="B1530" s="6" t="str">
        <x:v>최종 평가</x:v>
      </x:c>
      <x:c r="C1530" s="6" t="str">
        <x:v>복약</x:v>
      </x:c>
      <x:c r="D1530" s="6" t="str">
        <x:v>용법·용량</x:v>
      </x:c>
      <x:c r="E1530" s="6" t="str">
        <x:v>답변 가능</x:v>
      </x:c>
      <x:c r="F1530" s="6" t="str">
        <x:v>쉬움</x:v>
      </x:c>
      <x:c r="G1530" s="8" t="str">
        <x:v>애피단정은 어떻게 사용하나요?</x:v>
      </x:c>
      <x:c r="H1530" s="8" t="str">
        <x:v>성인은 1회 1정씩, 1일 3회 식후 30분에 복용합니다.</x:v>
      </x:c>
      <x:c r="I1530" s="8" t="str">
        <x:v>성인은 1회 1정씩, 1일 3회 식후 30분에 복용합니다.</x:v>
      </x:c>
      <x:c r="J1530" s="8" t="str">
        <x:v>애피단정 [품목기준코드 201700259]</x:v>
      </x:c>
      <x:c r="K1530" s="8" t="str">
        <x:v>식품의약품안전처 의약품개요정보(e약은요) OpenAPI
https://apis.data.go.kr/1471000/DrbEasyDrugInfoService/getDrbEasyDrugList</x:v>
      </x:c>
    </x:row>
    <x:row r="1531" ht="62" customHeight="1">
      <x:c r="A1531" s="9" t="n">
        <x:v>1530</x:v>
      </x:c>
      <x:c r="B1531" s="6" t="str">
        <x:v>최종 평가</x:v>
      </x:c>
      <x:c r="C1531" s="6" t="str">
        <x:v>복약</x:v>
      </x:c>
      <x:c r="D1531" s="6" t="str">
        <x:v>대상별 정보</x:v>
      </x:c>
      <x:c r="E1531" s="6" t="str">
        <x:v>답변 가능</x:v>
      </x:c>
      <x:c r="F1531" s="6" t="str">
        <x:v>쉬움</x:v>
      </x:c>
      <x:c r="G1531" s="8" t="str">
        <x:v>임신 또는 수유 중에 영일염산암브록솔정을 사용해도 되나요?</x:v>
      </x:c>
      <x:c r="H1531" s="8" t="str">
        <x:v>e약은요에서 임신 또는 수유 중인 사람과 관련해 안내한 내용은 다음과 같습니다. 이 약에 과민증 환자, 심한 신장애, 심한 간장애, 갈락토오스 불내성, Lapp 유당분해효소 결핍증 또는 포도당-갈락토오스 흡수장애 등의 유전적인 문제가 있는 환자는 이 약을 복용하지 마십시오.이 약을 복용하기 전에 신장애, 소화성궤양, 임부, 수유부, 고령자는 의사 또는 약사와 상의하십시오.</x:v>
      </x:c>
      <x:c r="I1531" s="8" t="str">
        <x:v>이 약에 과민증 환자, 심한 신장애, 심한 간장애, 갈락토오스 불내성, Lapp 유당분해효소 결핍증 또는 포도당-갈락토오스 흡수장애 등의 유전적인 문제가 있는 환자는 이 약을 복용하지 마십시오.이 약을 복용하기 전에 신장애, 소화성궤양, 임부, 수유부, 고령자는 의사 또는 약사와 상의하십시오.</x:v>
      </x:c>
      <x:c r="J1531" s="8" t="str">
        <x:v>영일염산암브록솔정 [품목기준코드 198901605]</x:v>
      </x:c>
      <x:c r="K1531" s="8" t="str">
        <x:v>식품의약품안전처 의약품개요정보(e약은요) OpenAPI
https://apis.data.go.kr/1471000/DrbEasyDrugInfoService/getDrbEasyDrugList</x:v>
      </x:c>
    </x:row>
    <x:row r="1532" ht="62" customHeight="1">
      <x:c r="A1532" s="9" t="n">
        <x:v>1531</x:v>
      </x:c>
      <x:c r="B1532" s="6" t="str">
        <x:v>최종 평가</x:v>
      </x:c>
      <x:c r="C1532" s="6" t="str">
        <x:v>복약</x:v>
      </x:c>
      <x:c r="D1532" s="6" t="str">
        <x:v>용법·용량</x:v>
      </x:c>
      <x:c r="E1532" s="6" t="str">
        <x:v>답변 가능</x:v>
      </x:c>
      <x:c r="F1532" s="6" t="str">
        <x:v>쉬움</x:v>
      </x:c>
      <x:c r="G1532" s="8" t="str">
        <x:v>그린헥시딘가글액(클로르헥시딘글루콘산염액)은 어떻게 사용하나요?</x:v>
      </x:c>
      <x:c r="H1532" s="8" t="str">
        <x:v>1회 15 mL 1일 2회 약 1분 동안 양치질하고, 의치로 인한 구내염의 경우 의치를 1일 2회 15분간 담가 세척합니다.연령, 증상에 따라 적절히 증감합니다.</x:v>
      </x:c>
      <x:c r="I1532" s="8" t="str">
        <x:v>1회 15 mL 1일 2회 약 1분 동안 양치질하고, 의치로 인한 구내염의 경우 의치를 1일 2회 15분간 담가 세척합니다.연령, 증상에 따라 적절히 증감합니다.</x:v>
      </x:c>
      <x:c r="J1532" s="8" t="str">
        <x:v>그린헥시딘가글액(클로르헥시딘글루콘산염액) [품목기준코드 201901012]</x:v>
      </x:c>
      <x:c r="K1532" s="8" t="str">
        <x:v>식품의약품안전처 의약품개요정보(e약은요) OpenAPI
https://apis.data.go.kr/1471000/DrbEasyDrugInfoService/getDrbEasyDrugList</x:v>
      </x:c>
    </x:row>
    <x:row r="1533" ht="62" customHeight="1">
      <x:c r="A1533" s="9" t="n">
        <x:v>1532</x:v>
      </x:c>
      <x:c r="B1533" s="6" t="str">
        <x:v>최종 평가</x:v>
      </x:c>
      <x:c r="C1533" s="6" t="str">
        <x:v>복약</x:v>
      </x:c>
      <x:c r="D1533" s="6" t="str">
        <x:v>대상별 정보</x:v>
      </x:c>
      <x:c r="E1533" s="6" t="str">
        <x:v>답변 가능</x:v>
      </x:c>
      <x:c r="F1533" s="6" t="str">
        <x:v>보통</x:v>
      </x:c>
      <x:c r="G1533" s="8" t="str">
        <x:v>고령자가 유리카에스정을 사용할 때 주의할 점은 무엇인가요?</x:v>
      </x:c>
      <x:c r="H1533" s="8" t="str">
        <x:v>e약은요에서 고령자·노인과 관련해 안내한 내용은 다음과 같습니다.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황색4호(타르트라진)에 과민증 및 알레르기 반응 경험자는 의사 또는 약사와 상의하십시오.</x:v>
      </x:c>
      <x:c r="I1533" s="8" t="str">
        <x:v>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황색4호(타르트라진)에 과민증 및 알레르기 반응 경험자는 의사 또는 약사와 상의하십시오.</x:v>
      </x:c>
      <x:c r="J1533" s="8" t="str">
        <x:v>유리카에스정 [품목기준코드 201308190]</x:v>
      </x:c>
      <x:c r="K1533" s="8" t="str">
        <x:v>식품의약품안전처 의약품개요정보(e약은요) OpenAPI
https://apis.data.go.kr/1471000/DrbEasyDrugInfoService/getDrbEasyDrugList</x:v>
      </x:c>
    </x:row>
    <x:row r="1534" ht="62" customHeight="1">
      <x:c r="A1534" s="9" t="n">
        <x:v>1533</x:v>
      </x:c>
      <x:c r="B1534" s="6" t="str">
        <x:v>최종 평가</x:v>
      </x:c>
      <x:c r="C1534" s="6" t="str">
        <x:v>복약</x:v>
      </x:c>
      <x:c r="D1534" s="6" t="str">
        <x:v>금기·경고</x:v>
      </x:c>
      <x:c r="E1534" s="6" t="str">
        <x:v>답변 가능</x:v>
      </x:c>
      <x:c r="F1534" s="6" t="str">
        <x:v>쉬움</x:v>
      </x:c>
      <x:c r="G1534" s="8" t="str">
        <x:v>덱스파놀연고(D-판테놀)을 사용하면 안 되거나 반드시 확인해야 할 경고사항은 무엇인가요?</x:v>
      </x:c>
      <x:c r="H1534" s="8" t="str">
        <x:v>이 약에 과민증 환자, 감염성 또는 삼출성 피부병 환자는 이 약을 사용하지 마십시오.눈과의 접촉을 피하십시오.수유 중에 균열된 유두를 치료하기 위해 이 약을 도포했을 경우, 모유 수유 전에 닦아내십시오.</x:v>
      </x:c>
      <x:c r="I1534" s="8" t="str">
        <x:v>이 약에 과민증 환자, 감염성 또는 삼출성 피부병 환자는 이 약을 사용하지 마십시오.눈과의 접촉을 피하십시오.수유 중에 균열된 유두를 치료하기 위해 이 약을 도포했을 경우, 모유 수유 전에 닦아내십시오.</x:v>
      </x:c>
      <x:c r="J1534" s="8" t="str">
        <x:v>덱스파놀연고(D-판테놀) [품목기준코드 200810573]</x:v>
      </x:c>
      <x:c r="K1534" s="8" t="str">
        <x:v>식품의약품안전처 의약품개요정보(e약은요) OpenAPI
https://apis.data.go.kr/1471000/DrbEasyDrugInfoService/getDrbEasyDrugList</x:v>
      </x:c>
    </x:row>
    <x:row r="1535" ht="62" customHeight="1">
      <x:c r="A1535" s="9" t="n">
        <x:v>1534</x:v>
      </x:c>
      <x:c r="B1535" s="6" t="str">
        <x:v>최종 평가</x:v>
      </x:c>
      <x:c r="C1535" s="6" t="str">
        <x:v>복약</x:v>
      </x:c>
      <x:c r="D1535" s="6" t="str">
        <x:v>증상·이상반응</x:v>
      </x:c>
      <x:c r="E1535" s="6" t="str">
        <x:v>답변 가능</x:v>
      </x:c>
      <x:c r="F1535" s="6" t="str">
        <x:v>쉬움</x:v>
      </x:c>
      <x:c r="G1535" s="8" t="str">
        <x:v>바스포연고을 사용하면 어떤 부작용이 생길 수 있나요?</x:v>
      </x:c>
      <x:c r="H1535" s="8" t="str">
        <x:v>e약은요에는 다음과 같은 이상반응이 안내되어 있습니다. 발진, 가려움, 발적, 부종, 구진, 소수포, 자극감, 중복감염이 등이 나타나는 경우 사용을 즉각 중지하고 의사 또는 약사와 상의하십시오.</x:v>
      </x:c>
      <x:c r="I1535" s="8" t="str">
        <x:v>발진, 가려움, 발적, 부종, 구진, 소수포, 자극감, 중복감염이 등이 나타나는 경우 사용을 즉각 중지하고 의사 또는 약사와 상의하십시오.</x:v>
      </x:c>
      <x:c r="J1535" s="8" t="str">
        <x:v>바스포연고 [품목기준코드 198200799]</x:v>
      </x:c>
      <x:c r="K1535" s="8" t="str">
        <x:v>식품의약품안전처 의약품개요정보(e약은요) OpenAPI
https://apis.data.go.kr/1471000/DrbEasyDrugInfoService/getDrbEasyDrugList</x:v>
      </x:c>
    </x:row>
    <x:row r="1536" ht="62" customHeight="1">
      <x:c r="A1536" s="9" t="n">
        <x:v>1535</x:v>
      </x:c>
      <x:c r="B1536" s="6" t="str">
        <x:v>최종 평가</x:v>
      </x:c>
      <x:c r="C1536" s="6" t="str">
        <x:v>복약</x:v>
      </x:c>
      <x:c r="D1536" s="6" t="str">
        <x:v>금기·경고</x:v>
      </x:c>
      <x:c r="E1536" s="6" t="str">
        <x:v>답변 가능</x:v>
      </x:c>
      <x:c r="F1536" s="6" t="str">
        <x:v>쉬움</x:v>
      </x:c>
      <x:c r="G1536" s="8" t="str">
        <x:v>기스톱정(세티리진염산염)을 사용하면 안 되거나 반드시 확인해야 할 경고사항은 무엇인가요?</x:v>
      </x:c>
      <x:c r="H1536" s="8" t="str">
        <x:v>이 약 및 히드록시진 또는 피페라진 유도체에 과민증 환자, 신부전 환자(크레아티닌 청소율</x:v>
      </x:c>
      <x:c r="I1536" s="8" t="str">
        <x:v>이 약 및 히드록시진 또는 피페라진 유도체에 과민증 환자, 신부전 환자(크레아티닌 청소율</x:v>
      </x:c>
      <x:c r="J1536" s="8" t="str">
        <x:v>기스톱정(세티리진염산염) [품목기준코드 200803434]</x:v>
      </x:c>
      <x:c r="K1536" s="8" t="str">
        <x:v>식품의약품안전처 의약품개요정보(e약은요) OpenAPI
https://apis.data.go.kr/1471000/DrbEasyDrugInfoService/getDrbEasyDrugList</x:v>
      </x:c>
    </x:row>
    <x:row r="1537" ht="62" customHeight="1">
      <x:c r="A1537" s="9" t="n">
        <x:v>1536</x:v>
      </x:c>
      <x:c r="B1537" s="6" t="str">
        <x:v>최종 평가</x:v>
      </x:c>
      <x:c r="C1537" s="6" t="str">
        <x:v>복약</x:v>
      </x:c>
      <x:c r="D1537" s="6" t="str">
        <x:v>금기·경고</x:v>
      </x:c>
      <x:c r="E1537" s="6" t="str">
        <x:v>답변 가능</x:v>
      </x:c>
      <x:c r="F1537" s="6" t="str">
        <x:v>쉬움</x:v>
      </x:c>
      <x:c r="G1537" s="8" t="str">
        <x:v>혈강고카타플라스마을 사용하면 안 되거나 반드시 확인해야 할 경고사항은 무엇인가요?</x:v>
      </x:c>
      <x:c r="H1537" s="8" t="str">
        <x:v>30개월 이하의 유아, 습진, 옻 등에 의한 피부염, 상처부위에는 이 약을 사용하지 마십시오.</x:v>
      </x:c>
      <x:c r="I1537" s="8" t="str">
        <x:v>30개월 이하의 유아, 습진, 옻 등에 의한 피부염, 상처부위에는 이 약을 사용하지 마십시오.</x:v>
      </x:c>
      <x:c r="J1537" s="8" t="str">
        <x:v>혈강고카타플라스마 [품목기준코드 200501224]</x:v>
      </x:c>
      <x:c r="K1537" s="8" t="str">
        <x:v>식품의약품안전처 의약품개요정보(e약은요) OpenAPI
https://apis.data.go.kr/1471000/DrbEasyDrugInfoService/getDrbEasyDrugList</x:v>
      </x:c>
    </x:row>
    <x:row r="1538" ht="62" customHeight="1">
      <x:c r="A1538" s="9" t="n">
        <x:v>1537</x:v>
      </x:c>
      <x:c r="B1538" s="6" t="str">
        <x:v>최종 평가</x:v>
      </x:c>
      <x:c r="C1538" s="6" t="str">
        <x:v>복약</x:v>
      </x:c>
      <x:c r="D1538" s="6" t="str">
        <x:v>증상·이상반응</x:v>
      </x:c>
      <x:c r="E1538" s="6" t="str">
        <x:v>답변 가능</x:v>
      </x:c>
      <x:c r="F1538" s="6" t="str">
        <x:v>쉬움</x:v>
      </x:c>
      <x:c r="G1538" s="8" t="str">
        <x:v>복합엘씨500연질캡슐(수출명:MEGA-NAMIC)(수출용)을 사용하면 어떤 부작용이 생길 수 있나요?</x:v>
      </x:c>
      <x:c r="H1538" s="8" t="str">
        <x:v>e약은요에는 다음과 같은 이상반응이 안내되어 있습니다. 설사와 복통 등의 증상이 나타나는 경우 복용을 즉각 중지하고 의사 또는 약사와 상의하십시오.</x:v>
      </x:c>
      <x:c r="I1538" s="8" t="str">
        <x:v>설사와 복통 등의 증상이 나타나는 경우 복용을 즉각 중지하고 의사 또는 약사와 상의하십시오.</x:v>
      </x:c>
      <x:c r="J1538" s="8" t="str">
        <x:v>복합엘씨500연질캡슐(수출명:MEGA-NAMIC)(수출용) [품목기준코드 199002022]</x:v>
      </x:c>
      <x:c r="K1538" s="8" t="str">
        <x:v>식품의약품안전처 의약품개요정보(e약은요) OpenAPI
https://apis.data.go.kr/1471000/DrbEasyDrugInfoService/getDrbEasyDrugList</x:v>
      </x:c>
    </x:row>
    <x:row r="1539" ht="62" customHeight="1">
      <x:c r="A1539" s="9" t="n">
        <x:v>1538</x:v>
      </x:c>
      <x:c r="B1539" s="6" t="str">
        <x:v>최종 평가</x:v>
      </x:c>
      <x:c r="C1539" s="6" t="str">
        <x:v>복약</x:v>
      </x:c>
      <x:c r="D1539" s="6" t="str">
        <x:v>증상·이상반응</x:v>
      </x:c>
      <x:c r="E1539" s="6" t="str">
        <x:v>답변 가능</x:v>
      </x:c>
      <x:c r="F1539" s="6" t="str">
        <x:v>쉬움</x:v>
      </x:c>
      <x:c r="G1539" s="8" t="str">
        <x:v>진셀몬에스이정을 사용하면 어떤 부작용이 생길 수 있나요?</x:v>
      </x:c>
      <x:c r="H1539" s="8" t="str">
        <x:v>e약은요에는 다음과 같은 이상반응이 안내되어 있습니다. 구역, 구토, 가려움, 건조하고 거친 피부, 통증성 관절 부종, 위부불쾌감, 설사, 변비, 발진, 발적, 묽은 변, 저혈압, 얼굴달아오름, 심박동불규칙, 피부발진, 두드러기, 가려움, 광선과민반응, 복부ㆍ위통증, 경련, 열, 혼수, 상복부 통증, 혼수, 알레르기 반응, 혈관부종, 관절통, 호산구증가, 요오드 중독증, 고칼륨혈증, 가스참, 위장통증, 피부염, 땀ㆍ호흡시 악취, 탈모, 조급증, 위장관장애 소화장애, 저혈압, 폐부종, 생리가 예정보다 빨라지거나 양이 점점 많아지고, 출혈이 오래 지속되는 경우 복용을 즉각 중지하고 의사 또는 약사와 상의하십시오.</x:v>
      </x:c>
      <x:c r="I1539" s="8" t="str">
        <x:v>구역, 구토, 가려움, 건조하고 거친 피부, 통증성 관절 부종, 위부불쾌감, 설사, 변비, 발진, 발적, 묽은 변, 저혈압, 얼굴달아오름, 심박동불규칙, 피부발진, 두드러기, 가려움, 광선과민반응, 복부ㆍ위통증, 경련, 열, 혼수, 상복부 통증, 혼수, 알레르기 반응, 혈관부종, 관절통, 호산구증가, 요오드 중독증, 고칼륨혈증, 가스참, 위장통증, 피부염, 땀ㆍ호흡시 악취, 탈모, 조급증, 위장관장애 소화장애, 저혈압, 폐부종, 생리가 예정보다 빨라지거나 양이 점점 많아지고, 출혈이 오래 지속되는 경우 복용을 즉각 중지하고 의사 또는 약사와 상의하십시오.</x:v>
      </x:c>
      <x:c r="J1539" s="8" t="str">
        <x:v>진셀몬에스이정 [품목기준코드 200300655]</x:v>
      </x:c>
      <x:c r="K1539" s="8" t="str">
        <x:v>식품의약품안전처 의약품개요정보(e약은요) OpenAPI
https://apis.data.go.kr/1471000/DrbEasyDrugInfoService/getDrbEasyDrugList</x:v>
      </x:c>
    </x:row>
    <x:row r="1540" ht="62" customHeight="1">
      <x:c r="A1540" s="9" t="n">
        <x:v>1539</x:v>
      </x:c>
      <x:c r="B1540" s="6" t="str">
        <x:v>최종 평가</x:v>
      </x:c>
      <x:c r="C1540" s="6" t="str">
        <x:v>복약</x:v>
      </x:c>
      <x:c r="D1540" s="6" t="str">
        <x:v>실용·응급대처</x:v>
      </x:c>
      <x:c r="E1540" s="6" t="str">
        <x:v>답변 가능</x:v>
      </x:c>
      <x:c r="F1540" s="6" t="str">
        <x:v>보통</x:v>
      </x:c>
      <x:c r="G1540" s="8" t="str">
        <x:v>뮤코린캡슐200밀리그램(아세틸시스테인) 사용 후 심한 이상반응이 나타나면 어떻게 해야 하나요?</x:v>
      </x:c>
      <x:c r="H1540" s="8" t="str">
        <x:v>드물게 구역, 구토, 구내염, 가슴쓰림, 설사, 두드러기, 가려움, 발진, 두통, 이명, 기관지경련, 빈맥, 고혈압, 호흡곤란 등이 나타날 경우 복용을 즉각 중지하고 의사 또는 약사와 상의하십시오.</x:v>
      </x:c>
      <x:c r="I1540" s="8" t="str">
        <x:v>드물게 구역, 구토, 구내염, 가슴쓰림, 설사, 두드러기, 가려움, 발진, 두통, 이명, 기관지경련, 빈맥, 고혈압, 호흡곤란 등이 나타날 경우 복용을 즉각 중지하고 의사 또는 약사와 상의하십시오.</x:v>
      </x:c>
      <x:c r="J1540" s="8" t="str">
        <x:v>뮤코린캡슐200밀리그램(아세틸시스테인) [품목기준코드 201905600]</x:v>
      </x:c>
      <x:c r="K1540" s="8" t="str">
        <x:v>식품의약품안전처 의약품개요정보(e약은요) OpenAPI
https://apis.data.go.kr/1471000/DrbEasyDrugInfoService/getDrbEasyDrugList</x:v>
      </x:c>
    </x:row>
    <x:row r="1541" ht="62" customHeight="1">
      <x:c r="A1541" s="9" t="n">
        <x:v>1540</x:v>
      </x:c>
      <x:c r="B1541" s="6" t="str">
        <x:v>최종 평가</x:v>
      </x:c>
      <x:c r="C1541" s="6" t="str">
        <x:v>복약</x:v>
      </x:c>
      <x:c r="D1541" s="6" t="str">
        <x:v>답변불가·개인 복용 판단</x:v>
      </x:c>
      <x:c r="E1541" s="6" t="str">
        <x:v>답변 거부</x:v>
      </x:c>
      <x:c r="F1541" s="6" t="str">
        <x:v>어려움</x:v>
      </x:c>
      <x:c r="G1541" s="8" t="str">
        <x:v>제 건강 상태를 따로 확인하지 않고 멘소래담로션(Mentholatumlotion)을 지금 먹어도 되는지 결정해 주세요.</x:v>
      </x:c>
      <x:c r="H1541" s="8" t="str">
        <x:v>제공된 e약은요 VDB만으로 개인의 건강 상태를 반영한 복용 가능 여부를 결정할 수 없습니다. 의사 또는 약사와 상담해야 합니다.</x:v>
      </x:c>
      <x:c r="I1541" s="8" t="str">
        <x:v>VDB 범위 밖 질문 — 근거 없음</x:v>
      </x:c>
      <x:c r="J1541" s="8" t="str">
        <x:v>멘소래담로션(Mentholatumlotion) [품목기준코드 199806775]</x:v>
      </x:c>
      <x:c r="K1541" s="8" t="str">
        <x:v>식품의약품안전처 의약품개요정보(e약은요) OpenAPI
https://apis.data.go.kr/1471000/DrbEasyDrugInfoService/getDrbEasyDrugList</x:v>
      </x:c>
    </x:row>
    <x:row r="1542" ht="62" customHeight="1">
      <x:c r="A1542" s="9" t="n">
        <x:v>1541</x:v>
      </x:c>
      <x:c r="B1542" s="6" t="str">
        <x:v>최종 평가</x:v>
      </x:c>
      <x:c r="C1542" s="6" t="str">
        <x:v>복약</x:v>
      </x:c>
      <x:c r="D1542" s="6" t="str">
        <x:v>용법·용량</x:v>
      </x:c>
      <x:c r="E1542" s="6" t="str">
        <x:v>답변 가능</x:v>
      </x:c>
      <x:c r="F1542" s="6" t="str">
        <x:v>쉬움</x:v>
      </x:c>
      <x:c r="G1542" s="8" t="str">
        <x:v>레보시톤연질캡슐(엘-시스틴)은 어떻게 사용하나요?</x:v>
      </x:c>
      <x:c r="H1542" s="8" t="str">
        <x:v>1일 2~4캡슐(1,000～2,000 mg), 1개월 중 10～20일간 복용합니다.</x:v>
      </x:c>
      <x:c r="I1542" s="8" t="str">
        <x:v>1일 2~4캡슐(1,000～2,000 mg), 1개월 중 10～20일간 복용합니다.</x:v>
      </x:c>
      <x:c r="J1542" s="8" t="str">
        <x:v>레보시톤연질캡슐(엘-시스틴) [품목기준코드 198902101]</x:v>
      </x:c>
      <x:c r="K1542" s="8" t="str">
        <x:v>식품의약품안전처 의약품개요정보(e약은요) OpenAPI
https://apis.data.go.kr/1471000/DrbEasyDrugInfoService/getDrbEasyDrugList</x:v>
      </x:c>
    </x:row>
    <x:row r="1543" ht="62" customHeight="1">
      <x:c r="A1543" s="9" t="n">
        <x:v>1542</x:v>
      </x:c>
      <x:c r="B1543" s="6" t="str">
        <x:v>최종 평가</x:v>
      </x:c>
      <x:c r="C1543" s="6" t="str">
        <x:v>복약</x:v>
      </x:c>
      <x:c r="D1543" s="6" t="str">
        <x:v>증상→대상 구분</x:v>
      </x:c>
      <x:c r="E1543" s="6" t="str">
        <x:v>답변 가능</x:v>
      </x:c>
      <x:c r="F1543" s="6" t="str">
        <x:v>어려움</x:v>
      </x:c>
      <x:c r="G1543" s="8" t="str">
        <x:v>마그포에이드연질캡슐을 사용한 뒤 발진이 생겼는데, 이 약의 부작용으로 안내되어 있나요?</x:v>
      </x:c>
      <x:c r="H1543" s="8" t="str">
        <x:v>발진은 이 제품의 e약은요 부작용 항목에 기재되어 있습니다. 다만 이 정보만으로 현재 증상의 원인이 해당 약이라고 확정할 수는 없습니다.</x:v>
      </x:c>
      <x:c r="I1543" s="8" t="str">
        <x:v>위부불쾌감, 설사, 변비, 발진, 발적, 구역, 구토, 묽은 변, 붉은 반점, 부전수축(심장박동정지), 중추신경계 기능저하가 나타나거나, 생리가 예정보다 빨라지거나 양이 점점 많아지거나, 출혈이 오래 지속되거나, 1개월 정도 복용하여도 증상의 개선이 없을 경우 복용을 즉각 중지하고 의사 또는 약사와 상의하십시오.</x:v>
      </x:c>
      <x:c r="J1543" s="8" t="str">
        <x:v>마그포에이드연질캡슐 [품목기준코드 202302128]</x:v>
      </x:c>
      <x:c r="K1543" s="8" t="str">
        <x:v>식품의약품안전처 의약품개요정보(e약은요) OpenAPI
https://apis.data.go.kr/1471000/DrbEasyDrugInfoService/getDrbEasyDrugList</x:v>
      </x:c>
    </x:row>
    <x:row r="1544" ht="62" customHeight="1">
      <x:c r="A1544" s="9" t="n">
        <x:v>1543</x:v>
      </x:c>
      <x:c r="B1544" s="6" t="str">
        <x:v>최종 평가</x:v>
      </x:c>
      <x:c r="C1544" s="6" t="str">
        <x:v>복약</x:v>
      </x:c>
      <x:c r="D1544" s="6" t="str">
        <x:v>용어·정의</x:v>
      </x:c>
      <x:c r="E1544" s="6" t="str">
        <x:v>답변 가능</x:v>
      </x:c>
      <x:c r="F1544" s="6" t="str">
        <x:v>쉬움</x:v>
      </x:c>
      <x:c r="G1544" s="8" t="str">
        <x:v>기감탕노즈액은 어떤 약인가요?</x:v>
      </x:c>
      <x:c r="H1544" s="8" t="str">
        <x:v>기감탕노즈액은 한국신텍스제약(주)의 의약품으로, e약은요에는 다음과 같이 안내되어 있습니다. 이 약은 감기의 제증상(콧물, 코막힘, 재채기, 인후(목구멍)통, 오한(춥고 떨리는 증상), 발열, 두통, 관절통, 근육통)의 완화에 사용합니다.</x:v>
      </x:c>
      <x:c r="I1544" s="8" t="str">
        <x:v>제품명: 기감탕노즈액 업체명: 한국신텍스제약(주) 효능: 이 약은 감기의 제증상(콧물, 코막힘, 재채기, 인후(목구멍)통, 오한(춥고 떨리는 증상), 발열, 두통, 관절통, 근육통)의 완화에 사용합니다.</x:v>
      </x:c>
      <x:c r="J1544" s="8" t="str">
        <x:v>기감탕노즈액 [품목기준코드 201309432]</x:v>
      </x:c>
      <x:c r="K1544" s="8" t="str">
        <x:v>식품의약품안전처 의약품개요정보(e약은요) OpenAPI
https://apis.data.go.kr/1471000/DrbEasyDrugInfoService/getDrbEasyDrugList</x:v>
      </x:c>
    </x:row>
    <x:row r="1545" ht="62" customHeight="1">
      <x:c r="A1545" s="9" t="n">
        <x:v>1544</x:v>
      </x:c>
      <x:c r="B1545" s="6" t="str">
        <x:v>최종 평가</x:v>
      </x:c>
      <x:c r="C1545" s="6" t="str">
        <x:v>복약</x:v>
      </x:c>
      <x:c r="D1545" s="6" t="str">
        <x:v>증상→대상 구분</x:v>
      </x:c>
      <x:c r="E1545" s="6" t="str">
        <x:v>답변 가능</x:v>
      </x:c>
      <x:c r="F1545" s="6" t="str">
        <x:v>어려움</x:v>
      </x:c>
      <x:c r="G1545" s="8" t="str">
        <x:v>뮤코스텐캡슐200밀리그램(아세틸시스테인)을 사용한 뒤 발진이 생겼는데, 이 약의 부작용으로 안내되어 있나요?</x:v>
      </x:c>
      <x:c r="H1545" s="8" t="str">
        <x:v>발진은 이 제품의 e약은요 부작용 항목에 기재되어 있습니다. 다만 이 정보만으로 현재 증상의 원인이 해당 약이라고 확정할 수는 없습니다.</x:v>
      </x:c>
      <x:c r="I1545" s="8" t="str">
        <x:v>드물게 구역, 구토, 구내염, 가슴쓰림, 설사, 두드러기, 가려움, 발진, 두통, 이명, 기관지경련(특히 천식 환자), 빈맥, 고혈압, 매우 드물게 아나필락시스 등이 나타나는 경우 즉각 복용을 중지하고 의사 또는 약사와 상담하십시오.</x:v>
      </x:c>
      <x:c r="J1545" s="8" t="str">
        <x:v>뮤코스텐캡슐200밀리그램(아세틸시스테인) [품목기준코드 198901021]</x:v>
      </x:c>
      <x:c r="K1545" s="8" t="str">
        <x:v>식품의약품안전처 의약품개요정보(e약은요) OpenAPI
https://apis.data.go.kr/1471000/DrbEasyDrugInfoService/getDrbEasyDrugList</x:v>
      </x:c>
    </x:row>
    <x:row r="1546" ht="62" customHeight="1">
      <x:c r="A1546" s="9" t="n">
        <x:v>1545</x:v>
      </x:c>
      <x:c r="B1546" s="6" t="str">
        <x:v>최종 평가</x:v>
      </x:c>
      <x:c r="C1546" s="6" t="str">
        <x:v>복약</x:v>
      </x:c>
      <x:c r="D1546" s="6" t="str">
        <x:v>효능·사용목적</x:v>
      </x:c>
      <x:c r="E1546" s="6" t="str">
        <x:v>답변 가능</x:v>
      </x:c>
      <x:c r="F1546" s="6" t="str">
        <x:v>쉬움</x:v>
      </x:c>
      <x:c r="G1546" s="8" t="str">
        <x:v>케프로텍카타플라스마(케토프로펜)은 어떤 증상이나 질환에 사용하는 약인가요?</x:v>
      </x:c>
      <x:c r="H1546" s="8" t="str">
        <x:v>이 약은 퇴행성관절염(골관절염), 어깨관절주위염, 건·건초염, 건주위염, 상완골상과염(테니스 엘보우 등), 근육통, 외상후의 종창·동통의 진통·소염에 사용합니다.</x:v>
      </x:c>
      <x:c r="I1546" s="8" t="str">
        <x:v>이 약은 퇴행성관절염(골관절염), 어깨관절주위염, 건·건초염, 건주위염, 상완골상과염(테니스 엘보우 등), 근육통, 외상후의 종창·동통의 진통·소염에 사용합니다.</x:v>
      </x:c>
      <x:c r="J1546" s="8" t="str">
        <x:v>케프로텍카타플라스마(케토프로펜) [품목기준코드 202004950]</x:v>
      </x:c>
      <x:c r="K1546" s="8" t="str">
        <x:v>식품의약품안전처 의약품개요정보(e약은요) OpenAPI
https://apis.data.go.kr/1471000/DrbEasyDrugInfoService/getDrbEasyDrugList</x:v>
      </x:c>
    </x:row>
    <x:row r="1547" ht="62" customHeight="1">
      <x:c r="A1547" s="9" t="n">
        <x:v>1546</x:v>
      </x:c>
      <x:c r="B1547" s="6" t="str">
        <x:v>최종 평가</x:v>
      </x:c>
      <x:c r="C1547" s="6" t="str">
        <x:v>복약</x:v>
      </x:c>
      <x:c r="D1547" s="6" t="str">
        <x:v>답변불가·개인 복용 판단</x:v>
      </x:c>
      <x:c r="E1547" s="6" t="str">
        <x:v>답변 거부</x:v>
      </x:c>
      <x:c r="F1547" s="6" t="str">
        <x:v>어려움</x:v>
      </x:c>
      <x:c r="G1547" s="8" t="str">
        <x:v>제 건강 상태를 따로 확인하지 않고 다비슬림정을 지금 먹어도 되는지 결정해 주세요.</x:v>
      </x:c>
      <x:c r="H1547" s="8" t="str">
        <x:v>제공된 e약은요 VDB만으로 개인의 건강 상태를 반영한 복용 가능 여부를 결정할 수 없습니다. 의사 또는 약사와 상담해야 합니다.</x:v>
      </x:c>
      <x:c r="I1547" s="8" t="str">
        <x:v>VDB 범위 밖 질문 — 근거 없음</x:v>
      </x:c>
      <x:c r="J1547" s="8" t="str">
        <x:v>다비슬림정 [품목기준코드 202501467]</x:v>
      </x:c>
      <x:c r="K1547" s="8" t="str">
        <x:v>식품의약품안전처 의약품개요정보(e약은요) OpenAPI
https://apis.data.go.kr/1471000/DrbEasyDrugInfoService/getDrbEasyDrugList</x:v>
      </x:c>
    </x:row>
    <x:row r="1548" ht="62" customHeight="1">
      <x:c r="A1548" s="9" t="n">
        <x:v>1547</x:v>
      </x:c>
      <x:c r="B1548" s="6" t="str">
        <x:v>최종 평가</x:v>
      </x:c>
      <x:c r="C1548" s="6" t="str">
        <x:v>복약</x:v>
      </x:c>
      <x:c r="D1548" s="6" t="str">
        <x:v>보관·관리</x:v>
      </x:c>
      <x:c r="E1548" s="6" t="str">
        <x:v>답변 가능</x:v>
      </x:c>
      <x:c r="F1548" s="6" t="str">
        <x:v>쉬움</x:v>
      </x:c>
      <x:c r="G1548" s="8" t="str">
        <x:v>튜란트캡슐100밀리그램(아세틸시스테인)은 어떻게 보관해야 하나요?</x:v>
      </x:c>
      <x:c r="H1548" s="8" t="str">
        <x:v>실온에서 보관하십시오. 어린이의 손이 닿지 않는 곳에 보관하십시오.</x:v>
      </x:c>
      <x:c r="I1548" s="8" t="str">
        <x:v>실온에서 보관하십시오. 어린이의 손이 닿지 않는 곳에 보관하십시오.</x:v>
      </x:c>
      <x:c r="J1548" s="8" t="str">
        <x:v>튜란트캡슐100밀리그램(아세틸시스테인) [품목기준코드 199100632]</x:v>
      </x:c>
      <x:c r="K1548" s="8" t="str">
        <x:v>식품의약품안전처 의약품개요정보(e약은요) OpenAPI
https://apis.data.go.kr/1471000/DrbEasyDrugInfoService/getDrbEasyDrugList</x:v>
      </x:c>
    </x:row>
    <x:row r="1549" ht="62" customHeight="1">
      <x:c r="A1549" s="9" t="n">
        <x:v>1548</x:v>
      </x:c>
      <x:c r="B1549" s="6" t="str">
        <x:v>최종 평가</x:v>
      </x:c>
      <x:c r="C1549" s="6" t="str">
        <x:v>복약</x:v>
      </x:c>
      <x:c r="D1549" s="6" t="str">
        <x:v>효능·사용목적</x:v>
      </x:c>
      <x:c r="E1549" s="6" t="str">
        <x:v>답변 가능</x:v>
      </x:c>
      <x:c r="F1549" s="6" t="str">
        <x:v>쉬움</x:v>
      </x:c>
      <x:c r="G1549" s="8" t="str">
        <x:v>벤타손연고(무피로신)은 어떤 증상이나 질환에 사용하는 약인가요?</x:v>
      </x:c>
      <x:c r="H1549" s="8" t="str">
        <x:v>이 약은 메치실린 내성균주를 포함한 황색포도상구균(포도알균), 기타 포도상구균(포도알균), 연쇄상구균과 같은 대부분의 피부감염증의 원인균, 대장균 및 인플루엔자균과 같은 그람음성균에 감염된 농가진(고름딱지증), 모낭염, 종기증, 감염성 습진과 외상 및 화상에서의 세균성 피부 감염증에 사용합니다.</x:v>
      </x:c>
      <x:c r="I1549" s="8" t="str">
        <x:v>이 약은 메치실린 내성균주를 포함한 황색포도상구균(포도알균), 기타 포도상구균(포도알균), 연쇄상구균과 같은 대부분의 피부감염증의 원인균, 대장균 및 인플루엔자균과 같은 그람음성균에 감염된 농가진(고름딱지증), 모낭염, 종기증, 감염성 습진과 외상 및 화상에서의 세균성 피부 감염증에 사용합니다.</x:v>
      </x:c>
      <x:c r="J1549" s="8" t="str">
        <x:v>벤타손연고(무피로신) [품목기준코드 200200886]</x:v>
      </x:c>
      <x:c r="K1549" s="8" t="str">
        <x:v>식품의약품안전처 의약품개요정보(e약은요) OpenAPI
https://apis.data.go.kr/1471000/DrbEasyDrugInfoService/getDrbEasyDrugList</x:v>
      </x:c>
    </x:row>
    <x:row r="1550" ht="62" customHeight="1">
      <x:c r="A1550" s="9" t="n">
        <x:v>1549</x:v>
      </x:c>
      <x:c r="B1550" s="6" t="str">
        <x:v>최종 평가</x:v>
      </x:c>
      <x:c r="C1550" s="6" t="str">
        <x:v>복약</x:v>
      </x:c>
      <x:c r="D1550" s="6" t="str">
        <x:v>원인·위험요인</x:v>
      </x:c>
      <x:c r="E1550" s="6" t="str">
        <x:v>답변 가능</x:v>
      </x:c>
      <x:c r="F1550" s="6" t="str">
        <x:v>보통</x:v>
      </x:c>
      <x:c r="G1550" s="8" t="str">
        <x:v>덱스원큐연질캡슐(덱시부프로펜)을 사용하기 전에 특히 조심해야 하는 사람은 누구인가요?</x:v>
      </x:c>
      <x:c r="H1550" s="8" t="str">
        <x:v>이 제품을 사용하기 전에 특히 확인해야 할 대상과 상황은 다음과 같습니다. 이 약에 과민증 환자, 위장관궤양 또는 징후가 있는 환자, 또는 그 재발 경험자, 위장관이나 뇌혈관 또는 다른 부위의 출혈, 심한 혈액이상, 심한 간장애, 심한 신장애, 심한 심부전, 심한 고혈압, 기관지 천식 또는 경험자, 아스피린이나 다른 비스테로이드성 소염진통제(COX-2 억제제 포함)에 대하여 천식, 두드러기 또는 알레르기 반응 경험자, 관상동맥 우회로술(CABG) 전후에 발생하는 통증발생 환자, 임신 6개월 이상의 임부 및 수유부, 크론병 또는 궤양성대장염과 같은 염증성장질환, 이전의 비스테로이드성 소염진통제 치료로 인해 위장관 출혈 또는 천공 경험자는 이 약을 복용하지 마십시오. 이 약을 복용하기 전에 혈액이상 또는 경험자, 출혈경향, 간장애 또는 경험자, 신장애 또는 경험자, 체액저류 또는 심부전, 고혈압, 과민증 경험자, 전신홍반루프스(SLE) 및 혼합결합조직병(MCTD), 고령자, 6세 이상의 어린이, 위암, 알코올 중독, 임신 초기 또는 중기, 임신 계획 여성, 임신하고 있을 가능성이 있는 여성, 허혈심장병, 말초동맥질환, 뇌혈관 질환, 심혈관질환의 위험인자(고혈압, 고지혈증, 당뇨병, 흡연), 간성 포르피린증, 혈액부족을 초래한 중대한 외과수술을 받은 환자, 혈액응고장애, 과거 비스테로이드성 소염진통제의 장기투여로 인한 소화관 궤양 환자, 황색5호에 과민증 또는 알레르기 반응 경험자는 의사 또는 약사와 상의하십시오.</x:v>
      </x:c>
      <x:c r="I1550" s="8" t="str">
        <x:v>이 약에 과민증 환자, 위장관궤양 또는 징후가 있는 환자, 또는 그 재발 경험자, 위장관이나 뇌혈관 또는 다른 부위의 출혈, 심한 혈액이상, 심한 간장애, 심한 신장애, 심한 심부전, 심한 고혈압, 기관지 천식 또는 경험자, 아스피린이나 다른 비스테로이드성 소염진통제(COX-2 억제제 포함)에 대하여 천식, 두드러기 또는 알레르기 반응 경험자, 관상동맥 우회로술(CABG) 전후에 발생하는 통증발생 환자, 임신 6개월 이상의 임부 및 수유부, 크론병 또는 궤양성대장염과 같은 염증성장질환, 이전의 비스테로이드성 소염진통제 치료로 인해 위장관 출혈 또는 천공 경험자는 이 약을 복용하지 마십시오. 이 약을 복용하기 전에 혈액이상 또는 경험자, 출혈경향, 간장애 또는 경험자, 신장애 또는 경험자, 체액저류 또는 심부전, 고혈압, 과민증 경험자, 전신홍반루프스(SLE) 및 혼합결합조직병(MCTD), 고령자, 6세 이상의 어린이, 위암, 알코올 중독, 임신 초기 또는 중기, 임신 계획 여성, 임신하고 있을 가능성이 있는 여성, 허혈심장병, 말초동맥질환, 뇌혈관 질환, 심혈관질환의 위험인자(고혈압, 고지혈증, 당뇨병, 흡연), 간성 포르피린증, 혈액부족을 초래한 중대한 외과수술을 받은 환자, 혈액응고장애, 과거 비스테로이드성 소염진통제의 장기투여로 인한 소화관 궤양 환자, 황색5호에 과민증 또는 알레르기 반응 경험자는 의사 또는 약사와 상의하십시오.</x:v>
      </x:c>
      <x:c r="J1550" s="8" t="str">
        <x:v>덱스원큐연질캡슐(덱시부프로펜) [품목기준코드 201902982]</x:v>
      </x:c>
      <x:c r="K1550" s="8" t="str">
        <x:v>식품의약품안전처 의약품개요정보(e약은요) OpenAPI
https://apis.data.go.kr/1471000/DrbEasyDrugInfoService/getDrbEasyDrugList</x:v>
      </x:c>
    </x:row>
    <x:row r="1551" ht="62" customHeight="1">
      <x:c r="A1551" s="9" t="n">
        <x:v>1550</x:v>
      </x:c>
      <x:c r="B1551" s="6" t="str">
        <x:v>최종 평가</x:v>
      </x:c>
      <x:c r="C1551" s="6" t="str">
        <x:v>복약</x:v>
      </x:c>
      <x:c r="D1551" s="6" t="str">
        <x:v>상호작용</x:v>
      </x:c>
      <x:c r="E1551" s="6" t="str">
        <x:v>답변 가능</x:v>
      </x:c>
      <x:c r="F1551" s="6" t="str">
        <x:v>쉬움</x:v>
      </x:c>
      <x:c r="G1551" s="8" t="str">
        <x:v>이지엔6에이스정(아세트아미노펜)과 함께 사용하거나 먹을 때 주의해야 할 약이나 음식이 있나요?</x:v>
      </x:c>
      <x:c r="H1551" s="8" t="str">
        <x:v>바르비탈계 약물, 삼환계 항우울제, 알코올, 다른 소염(항염)진통제와 함께 복용하지 마십시오. 리튬, 티아지드계 이뇨제, 플루클록사실린과 함께 복용 시 의사 또는 약사와 상의하십시오.</x:v>
      </x:c>
      <x:c r="I1551" s="8" t="str">
        <x:v>바르비탈계 약물, 삼환계 항우울제, 알코올, 다른 소염(항염)진통제와 함께 복용하지 마십시오. 리튬, 티아지드계 이뇨제, 플루클록사실린과 함께 복용 시 의사 또는 약사와 상의하십시오.</x:v>
      </x:c>
      <x:c r="J1551" s="8" t="str">
        <x:v>이지엔6에이스정(아세트아미노펜) [품목기준코드 202402457]</x:v>
      </x:c>
      <x:c r="K1551" s="8" t="str">
        <x:v>식품의약품안전처 의약품개요정보(e약은요) OpenAPI
https://apis.data.go.kr/1471000/DrbEasyDrugInfoService/getDrbEasyDrugList</x:v>
      </x:c>
    </x:row>
    <x:row r="1552" ht="62" customHeight="1">
      <x:c r="A1552" s="9" t="n">
        <x:v>1551</x:v>
      </x:c>
      <x:c r="B1552" s="6" t="str">
        <x:v>최종 평가</x:v>
      </x:c>
      <x:c r="C1552" s="6" t="str">
        <x:v>복약</x:v>
      </x:c>
      <x:c r="D1552" s="6" t="str">
        <x:v>상호작용</x:v>
      </x:c>
      <x:c r="E1552" s="6" t="str">
        <x:v>답변 가능</x:v>
      </x:c>
      <x:c r="F1552" s="6" t="str">
        <x:v>쉬움</x:v>
      </x:c>
      <x:c r="G1552" s="8" t="str">
        <x:v>메가트루골드정과 함께 사용하거나 먹을 때 주의해야 할 약이나 음식이 있나요?</x:v>
      </x:c>
      <x:c r="H1552" s="8" t="str">
        <x:v>인산염, 칼슘염, 경구용 테트라사이클린계 제제, 제산제, 레보도파와 함께 복용하지 마십시오. 강심배당체, 에스트로겐을 포함한 경구(먹는)용 피임제, 항알도스테론제, 트리암테렌과 함께 복용 시 의사 또는 약사와 상의하십시오. 녹차, 홍차 등 탄닌을 함유하는 차는 복용 중, 복용 전후에는 피하십시오.</x:v>
      </x:c>
      <x:c r="I1552" s="8" t="str">
        <x:v>인산염, 칼슘염, 경구용 테트라사이클린계 제제, 제산제, 레보도파와 함께 복용하지 마십시오. 강심배당체, 에스트로겐을 포함한 경구(먹는)용 피임제, 항알도스테론제, 트리암테렌과 함께 복용 시 의사 또는 약사와 상의하십시오. 녹차, 홍차 등 탄닌을 함유하는 차는 복용 중, 복용 전후에는 피하십시오.</x:v>
      </x:c>
      <x:c r="J1552" s="8" t="str">
        <x:v>메가트루골드정 [품목기준코드 201309612]</x:v>
      </x:c>
      <x:c r="K1552" s="8" t="str">
        <x:v>식품의약품안전처 의약품개요정보(e약은요) OpenAPI
https://apis.data.go.kr/1471000/DrbEasyDrugInfoService/getDrbEasyDrugList</x:v>
      </x:c>
    </x:row>
    <x:row r="1553" ht="62" customHeight="1">
      <x:c r="A1553" s="9" t="n">
        <x:v>1552</x:v>
      </x:c>
      <x:c r="B1553" s="6" t="str">
        <x:v>최종 평가</x:v>
      </x:c>
      <x:c r="C1553" s="6" t="str">
        <x:v>복약</x:v>
      </x:c>
      <x:c r="D1553" s="6" t="str">
        <x:v>대상별 정보</x:v>
      </x:c>
      <x:c r="E1553" s="6" t="str">
        <x:v>답변 가능</x:v>
      </x:c>
      <x:c r="F1553" s="6" t="str">
        <x:v>쉬움</x:v>
      </x:c>
      <x:c r="G1553" s="8" t="str">
        <x:v>고령자가 화인코프에이캡슐을 사용할 때 주의할 점은 무엇인가요?</x:v>
      </x:c>
      <x:c r="H1553" s="8" t="str">
        <x:v>e약은요에서 고령자·노인과 관련해 안내한 내용은 다음과 같습니다. 이 약을 복용하기 전에 수유부, 만 2세 미만의 소아, 고령자, 몸이 약한 사람, 알레르기 체질, 알레르기 증상(발열, 발진, 관절통, 천식, 가려움증 등) 경험자, 간장질환, 신장질환, 심장질환, 갑상선질환, 당뇨병, 고혈압, 녹내장(눈의 통증, 눈이 침침함 등), 배뇨곤란, 고열, 흡연, 천식, 만성 기관지염, 폐기종, 과도한 가래가 동반되는 기침, 1주 이상 지속 또는 재발되는 기침, 만성 기침, 발열·발진이나 지속적인 두통이 동반되는 기침 환자는 의사 또는 약사와 상의하십시오.</x:v>
      </x:c>
      <x:c r="I1553" s="8" t="str">
        <x:v>이 약을 복용하기 전에 수유부, 만 2세 미만의 소아, 고령자, 몸이 약한 사람, 알레르기 체질, 알레르기 증상(발열, 발진, 관절통, 천식, 가려움증 등) 경험자, 간장질환, 신장질환, 심장질환, 갑상선질환, 당뇨병, 고혈압, 녹내장(눈의 통증, 눈이 침침함 등), 배뇨곤란, 고열, 흡연, 천식, 만성 기관지염, 폐기종, 과도한 가래가 동반되는 기침, 1주 이상 지속 또는 재발되는 기침, 만성 기침, 발열·발진이나 지속적인 두통이 동반되는 기침 환자는 의사 또는 약사와 상의하십시오.</x:v>
      </x:c>
      <x:c r="J1553" s="8" t="str">
        <x:v>화인코프에이캡슐 [품목기준코드 200101554]</x:v>
      </x:c>
      <x:c r="K1553" s="8" t="str">
        <x:v>식품의약품안전처 의약품개요정보(e약은요) OpenAPI
https://apis.data.go.kr/1471000/DrbEasyDrugInfoService/getDrbEasyDrugList</x:v>
      </x:c>
    </x:row>
    <x:row r="1554" ht="62" customHeight="1">
      <x:c r="A1554" s="9" t="n">
        <x:v>1553</x:v>
      </x:c>
      <x:c r="B1554" s="6" t="str">
        <x:v>최종 평가</x:v>
      </x:c>
      <x:c r="C1554" s="6" t="str">
        <x:v>복약</x:v>
      </x:c>
      <x:c r="D1554" s="6" t="str">
        <x:v>용어·정의</x:v>
      </x:c>
      <x:c r="E1554" s="6" t="str">
        <x:v>답변 가능</x:v>
      </x:c>
      <x:c r="F1554" s="6" t="str">
        <x:v>쉬움</x:v>
      </x:c>
      <x:c r="G1554" s="8" t="str">
        <x:v>박테로신연고(무피로신)(수출명: KM MUPIROCIN Oint)은 어떤 약인가요?</x:v>
      </x:c>
      <x:c r="H1554" s="8" t="str">
        <x:v>박테로신연고(무피로신)(수출명: KM MUPIROCIN Oint)은 주식회사제뉴원사이언스의 의약품으로, e약은요에는 다음과 같이 안내되어 있습니다. 이 약은 메치실린 내성균주를 포함한 황색포도상구균(포도알균), 기타 포도상구균(포도알균), 연쇄상구균과 같은 대부분의 피부감염증의 원인균, 대장균 및 인플루엔자균과 같은 그람음성균에 감염된 농가진(고름딱지증), 모낭염, 종기증, 감염성 습진과 외상 및 화상에서의 세균성 피부 감염증에 사용합니다.</x:v>
      </x:c>
      <x:c r="I1554" s="8" t="str">
        <x:v>제품명: 박테로신연고(무피로신)(수출명: KM MUPIROCIN Oint) 업체명: 주식회사제뉴원사이언스 효능: 이 약은 메치실린 내성균주를 포함한 황색포도상구균(포도알균), 기타 포도상구균(포도알균), 연쇄상구균과 같은 대부분의 피부감염증의 원인균, 대장균 및 인플루엔자균과 같은 그람음성균에 감염된 농가진(고름딱지증), 모낭염, 종기증, 감염성 습진과 외상 및 화상에서의 세균성 피부 감염증에 사용합니다.</x:v>
      </x:c>
      <x:c r="J1554" s="8" t="str">
        <x:v>박테로신연고(무피로신)(수출명: KM MUPIROCIN Oint) [품목기준코드 200606621]</x:v>
      </x:c>
      <x:c r="K1554" s="8" t="str">
        <x:v>식품의약품안전처 의약품개요정보(e약은요) OpenAPI
https://apis.data.go.kr/1471000/DrbEasyDrugInfoService/getDrbEasyDrugList</x:v>
      </x:c>
    </x:row>
    <x:row r="1555" ht="62" customHeight="1">
      <x:c r="A1555" s="9" t="n">
        <x:v>1554</x:v>
      </x:c>
      <x:c r="B1555" s="6" t="str">
        <x:v>최종 평가</x:v>
      </x:c>
      <x:c r="C1555" s="6" t="str">
        <x:v>복약</x:v>
      </x:c>
      <x:c r="D1555" s="6" t="str">
        <x:v>용법·용량</x:v>
      </x:c>
      <x:c r="E1555" s="6" t="str">
        <x:v>답변 가능</x:v>
      </x:c>
      <x:c r="F1555" s="6" t="str">
        <x:v>쉬움</x:v>
      </x:c>
      <x:c r="G1555" s="8" t="str">
        <x:v>두캅스에이연질캡슐은 어떻게 사용하나요?</x:v>
      </x:c>
      <x:c r="H1555" s="8" t="str">
        <x:v>만 15세 이상 및 성인은 1회 1캡슐씩, 1일 3회 식후에 복용합니다.</x:v>
      </x:c>
      <x:c r="I1555" s="8" t="str">
        <x:v>만 15세 이상 및 성인은 1회 1캡슐씩, 1일 3회 식후에 복용합니다.</x:v>
      </x:c>
      <x:c r="J1555" s="8" t="str">
        <x:v>두캅스에이연질캡슐 [품목기준코드 200403642]</x:v>
      </x:c>
      <x:c r="K1555" s="8" t="str">
        <x:v>식품의약품안전처 의약품개요정보(e약은요) OpenAPI
https://apis.data.go.kr/1471000/DrbEasyDrugInfoService/getDrbEasyDrugList</x:v>
      </x:c>
    </x:row>
    <x:row r="1556" ht="62" customHeight="1">
      <x:c r="A1556" s="9" t="n">
        <x:v>1555</x:v>
      </x:c>
      <x:c r="B1556" s="6" t="str">
        <x:v>최종 평가</x:v>
      </x:c>
      <x:c r="C1556" s="6" t="str">
        <x:v>복약</x:v>
      </x:c>
      <x:c r="D1556" s="6" t="str">
        <x:v>답변불가·처방 필요 여부</x:v>
      </x:c>
      <x:c r="E1556" s="6" t="str">
        <x:v>답변 거부</x:v>
      </x:c>
      <x:c r="F1556" s="6" t="str">
        <x:v>어려움</x:v>
      </x:c>
      <x:c r="G1556" s="8" t="str">
        <x:v>부스코판플러스정은 지금 처방전 없이 살 수 있는지 확정해서 알려주세요.</x:v>
      </x:c>
      <x:c r="H1556" s="8" t="str">
        <x:v>제공된 e약은요 VDB 항목만으로는 현재의 전문·일반의약품 분류와 처방 필요 여부를 확정할 수 없습니다.</x:v>
      </x:c>
      <x:c r="I1556" s="8" t="str">
        <x:v>VDB 범위 밖 질문 — 근거 없음</x:v>
      </x:c>
      <x:c r="J1556" s="8" t="str">
        <x:v>부스코판플러스정 [품목기준코드 200901257]</x:v>
      </x:c>
      <x:c r="K1556" s="8" t="str">
        <x:v>식품의약품안전처 의약품개요정보(e약은요) OpenAPI
https://apis.data.go.kr/1471000/DrbEasyDrugInfoService/getDrbEasyDrugList</x:v>
      </x:c>
    </x:row>
    <x:row r="1557" ht="62" customHeight="1">
      <x:c r="A1557" s="9" t="n">
        <x:v>1556</x:v>
      </x:c>
      <x:c r="B1557" s="6" t="str">
        <x:v>최종 평가</x:v>
      </x:c>
      <x:c r="C1557" s="6" t="str">
        <x:v>복약</x:v>
      </x:c>
      <x:c r="D1557" s="6" t="str">
        <x:v>용어·정의</x:v>
      </x:c>
      <x:c r="E1557" s="6" t="str">
        <x:v>답변 가능</x:v>
      </x:c>
      <x:c r="F1557" s="6" t="str">
        <x:v>쉬움</x:v>
      </x:c>
      <x:c r="G1557" s="8" t="str">
        <x:v>발렌시아연질캡슐은 어떤 약인가요?</x:v>
      </x:c>
      <x:c r="H1557" s="8" t="str">
        <x:v>발렌시아연질캡슐은 태극제약(주)의 의약품으로, e약은요에는 다음과 같이 안내되어 있습니다. 이 약은 비만증, 당뇨성ㆍ본태성 고콜레스테롤혈증에 의한 지질대사 개선에 사용합니다.</x:v>
      </x:c>
      <x:c r="I1557" s="8" t="str">
        <x:v>제품명: 발렌시아연질캡슐 업체명: 태극제약(주) 효능: 이 약은 비만증, 당뇨성ㆍ본태성 고콜레스테롤혈증에 의한 지질대사 개선에 사용합니다.</x:v>
      </x:c>
      <x:c r="J1557" s="8" t="str">
        <x:v>발렌시아연질캡슐 [품목기준코드 200300808]</x:v>
      </x:c>
      <x:c r="K1557" s="8" t="str">
        <x:v>식품의약품안전처 의약품개요정보(e약은요) OpenAPI
https://apis.data.go.kr/1471000/DrbEasyDrugInfoService/getDrbEasyDrugList</x:v>
      </x:c>
    </x:row>
    <x:row r="1558" ht="62" customHeight="1">
      <x:c r="A1558" s="9" t="n">
        <x:v>1557</x:v>
      </x:c>
      <x:c r="B1558" s="6" t="str">
        <x:v>최종 평가</x:v>
      </x:c>
      <x:c r="C1558" s="6" t="str">
        <x:v>복약</x:v>
      </x:c>
      <x:c r="D1558" s="6" t="str">
        <x:v>원인·위험요인</x:v>
      </x:c>
      <x:c r="E1558" s="6" t="str">
        <x:v>답변 가능</x:v>
      </x:c>
      <x:c r="F1558" s="6" t="str">
        <x:v>보통</x:v>
      </x:c>
      <x:c r="G1558" s="8" t="str">
        <x:v>올비틸아이시럽을 사용하기 전에 특히 조심해야 하는 사람은 누구인가요?</x:v>
      </x:c>
      <x:c r="H1558" s="8" t="str">
        <x:v>이 제품을 사용하기 전에 특히 확인해야 할 대상과 상황은 다음과 같습니다. 이 약에 과민증 환자, 고칼슘혈증(혈액중에 칼슘이 과잉으로 존재하는 상태)환자, 유육종증(원인을 알 수 없는 전신 염증질환), 신장질환, 만 3개월 미만의 젖먹이, 신장(콩팥)결석 환자는 이 약을 복용하지 마십시오.이 약을 복용하기 전에, 만 1세 미만의 젖먹이, 햇빛을 많이 보고 정상적인 식사를 하는 어린이, 고옥살산뇨증(뇨중에 과량의 수산염이 배설되는 상태), 임부 또는 임신하고 있을 가능성이 있는 여성, 수유부, 미숙아, 유아, 통풍, 신장결석 경험자, 혈전성 소인이 있는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x:v>
      </x:c>
      <x:c r="I1558" s="8" t="str">
        <x:v>이 약에 과민증 환자, 고칼슘혈증(혈액중에 칼슘이 과잉으로 존재하는 상태)환자, 유육종증(원인을 알 수 없는 전신 염증질환), 신장질환, 만 3개월 미만의 젖먹이, 신장(콩팥)결석 환자는 이 약을 복용하지 마십시오.이 약을 복용하기 전에, 만 1세 미만의 젖먹이, 햇빛을 많이 보고 정상적인 식사를 하는 어린이, 고옥살산뇨증(뇨중에 과량의 수산염이 배설되는 상태), 임부 또는 임신하고 있을 가능성이 있는 여성, 수유부, 미숙아, 유아, 통풍, 신장결석 경험자, 혈전성 소인이 있는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x:v>
      </x:c>
      <x:c r="J1558" s="8" t="str">
        <x:v>올비틸아이시럽 [품목기준코드 201100266]</x:v>
      </x:c>
      <x:c r="K1558" s="8" t="str">
        <x:v>식품의약품안전처 의약품개요정보(e약은요) OpenAPI
https://apis.data.go.kr/1471000/DrbEasyDrugInfoService/getDrbEasyDrugList</x:v>
      </x:c>
    </x:row>
    <x:row r="1559" ht="62" customHeight="1">
      <x:c r="A1559" s="9" t="n">
        <x:v>1558</x:v>
      </x:c>
      <x:c r="B1559" s="6" t="str">
        <x:v>최종 평가</x:v>
      </x:c>
      <x:c r="C1559" s="6" t="str">
        <x:v>복약</x:v>
      </x:c>
      <x:c r="D1559" s="6" t="str">
        <x:v>상호작용</x:v>
      </x:c>
      <x:c r="E1559" s="6" t="str">
        <x:v>답변 가능</x:v>
      </x:c>
      <x:c r="F1559" s="6" t="str">
        <x:v>쉬움</x:v>
      </x:c>
      <x:c r="G1559" s="8" t="str">
        <x:v>바이코비정과 함께 사용하거나 먹을 때 주의해야 할 약이나 음식이 있나요?</x:v>
      </x:c>
      <x:c r="H1559" s="8" t="str">
        <x:v>레보도파와 함께 복용하지 마십시오.에스트로겐을 포함한 경구용 피임제와 함께 복용 시 의사 또는 약사와 상의하십시오.</x:v>
      </x:c>
      <x:c r="I1559" s="8" t="str">
        <x:v>레보도파와 함께 복용하지 마십시오.에스트로겐을 포함한 경구용 피임제와 함께 복용 시 의사 또는 약사와 상의하십시오.</x:v>
      </x:c>
      <x:c r="J1559" s="8" t="str">
        <x:v>바이코비정 [품목기준코드 200811058]</x:v>
      </x:c>
      <x:c r="K1559" s="8" t="str">
        <x:v>식품의약품안전처 의약품개요정보(e약은요) OpenAPI
https://apis.data.go.kr/1471000/DrbEasyDrugInfoService/getDrbEasyDrugList</x:v>
      </x:c>
    </x:row>
    <x:row r="1560" ht="62" customHeight="1">
      <x:c r="A1560" s="9" t="n">
        <x:v>1559</x:v>
      </x:c>
      <x:c r="B1560" s="6" t="str">
        <x:v>최종 평가</x:v>
      </x:c>
      <x:c r="C1560" s="6" t="str">
        <x:v>복약</x:v>
      </x:c>
      <x:c r="D1560" s="6" t="str">
        <x:v>상호작용</x:v>
      </x:c>
      <x:c r="E1560" s="6" t="str">
        <x:v>답변 가능</x:v>
      </x:c>
      <x:c r="F1560" s="6" t="str">
        <x:v>쉬움</x:v>
      </x:c>
      <x:c r="G1560" s="8" t="str">
        <x:v>엘도원캡슐(에르도스테인)과 함께 사용하거나 먹을 때 주의해야 할 약이나 음식이 있나요?</x:v>
      </x:c>
      <x:c r="H1560" s="8" t="str">
        <x:v>기침약을 복용중인 사람은 의사 또는 약사와 상의하십시오.</x:v>
      </x:c>
      <x:c r="I1560" s="8" t="str">
        <x:v>기침약을 복용중인 사람은 의사 또는 약사와 상의하십시오.</x:v>
      </x:c>
      <x:c r="J1560" s="8" t="str">
        <x:v>엘도원캡슐(에르도스테인) [품목기준코드 201603171]</x:v>
      </x:c>
      <x:c r="K1560" s="8" t="str">
        <x:v>식품의약품안전처 의약품개요정보(e약은요) OpenAPI
https://apis.data.go.kr/1471000/DrbEasyDrugInfoService/getDrbEasyDrugList</x:v>
      </x:c>
    </x:row>
    <x:row r="1561" ht="62" customHeight="1">
      <x:c r="A1561" s="9" t="n">
        <x:v>1560</x:v>
      </x:c>
      <x:c r="B1561" s="6" t="str">
        <x:v>최종 평가</x:v>
      </x:c>
      <x:c r="C1561" s="6" t="str">
        <x:v>복약</x:v>
      </x:c>
      <x:c r="D1561" s="6" t="str">
        <x:v>답변불가·개인 복용 판단</x:v>
      </x:c>
      <x:c r="E1561" s="6" t="str">
        <x:v>답변 거부</x:v>
      </x:c>
      <x:c r="F1561" s="6" t="str">
        <x:v>어려움</x:v>
      </x:c>
      <x:c r="G1561" s="8" t="str">
        <x:v>제 건강 상태를 따로 확인하지 않고 성광포비딘(포비돈요오드액10%)을 지금 먹어도 되는지 결정해 주세요.</x:v>
      </x:c>
      <x:c r="H1561" s="8" t="str">
        <x:v>제공된 e약은요 VDB만으로 개인의 건강 상태를 반영한 복용 가능 여부를 결정할 수 없습니다. 의사 또는 약사와 상담해야 합니다.</x:v>
      </x:c>
      <x:c r="I1561" s="8" t="str">
        <x:v>VDB 범위 밖 질문 — 근거 없음</x:v>
      </x:c>
      <x:c r="J1561" s="8" t="str">
        <x:v>성광포비딘(포비돈요오드액10%) [품목기준코드 199900422]</x:v>
      </x:c>
      <x:c r="K1561" s="8" t="str">
        <x:v>식품의약품안전처 의약품개요정보(e약은요) OpenAPI
https://apis.data.go.kr/1471000/DrbEasyDrugInfoService/getDrbEasyDrugList</x:v>
      </x:c>
    </x:row>
    <x:row r="1562" ht="62" customHeight="1">
      <x:c r="A1562" s="9" t="n">
        <x:v>1561</x:v>
      </x:c>
      <x:c r="B1562" s="6" t="str">
        <x:v>최종 평가</x:v>
      </x:c>
      <x:c r="C1562" s="6" t="str">
        <x:v>복약</x:v>
      </x:c>
      <x:c r="D1562" s="6" t="str">
        <x:v>증상·이상반응</x:v>
      </x:c>
      <x:c r="E1562" s="6" t="str">
        <x:v>답변 가능</x:v>
      </x:c>
      <x:c r="F1562" s="6" t="str">
        <x:v>쉬움</x:v>
      </x:c>
      <x:c r="G1562" s="8" t="str">
        <x:v>진생고카타플라스마을 사용하면 어떤 부작용이 생길 수 있나요?</x:v>
      </x:c>
      <x:c r="H1562" s="8" t="str">
        <x:v>e약은요에는 다음과 같은 이상반응이 안내되어 있습니다. 발진·발적, 가려움 등의 증상이 나타나는 경우 사용을 즉각 중지하고 의사 또는 약사와 상의하십시오.</x:v>
      </x:c>
      <x:c r="I1562" s="8" t="str">
        <x:v>발진·발적, 가려움 등의 증상이 나타나는 경우 사용을 즉각 중지하고 의사 또는 약사와 상의하십시오.</x:v>
      </x:c>
      <x:c r="J1562" s="8" t="str">
        <x:v>진생고카타플라스마 [품목기준코드 200401423]</x:v>
      </x:c>
      <x:c r="K1562" s="8" t="str">
        <x:v>식품의약품안전처 의약품개요정보(e약은요) OpenAPI
https://apis.data.go.kr/1471000/DrbEasyDrugInfoService/getDrbEasyDrugList</x:v>
      </x:c>
    </x:row>
    <x:row r="1563" ht="62" customHeight="1">
      <x:c r="A1563" s="9" t="n">
        <x:v>1562</x:v>
      </x:c>
      <x:c r="B1563" s="6" t="str">
        <x:v>최종 평가</x:v>
      </x:c>
      <x:c r="C1563" s="6" t="str">
        <x:v>복약</x:v>
      </x:c>
      <x:c r="D1563" s="6" t="str">
        <x:v>실용·응급대처</x:v>
      </x:c>
      <x:c r="E1563" s="6" t="str">
        <x:v>답변 가능</x:v>
      </x:c>
      <x:c r="F1563" s="6" t="str">
        <x:v>보통</x:v>
      </x:c>
      <x:c r="G1563" s="8" t="str">
        <x:v>게보린소프트연질캡슐 사용 후 심한 이상반응이 나타나면 어떻게 해야 하나요?</x:v>
      </x:c>
      <x:c r="H1563" s="8" t="str">
        <x:v>발진·발적(충혈되어 붉어짐), 가려움, 구역·구토, 식욕부진, 변비, 위통, 소화관출혈, 위부불쾌감, 어지러움, 부종(부기), 드물게 쇽 증상(복용후 바로 두드러기, 부종(부기), 가슴답답함 등과 함께 안색이 창백하고, 손발이 차고, 식은땀, 숨쉬기 곤란함), 피부점막안증후군(스티븐스-존슨증후군), 독성표피괴사용해(리엘증후군)(고열을 동반하고, 발진·발적(충혈되어 붉어짐), 화상과 같이 물집이 생기는 등의 심한 증상이 전신피부, 입이나 눈 점막에 나타남), 천식,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x:v>
      </x:c>
      <x:c r="I1563" s="8" t="str">
        <x:v>발진·발적(충혈되어 붉어짐), 가려움, 구역·구토, 식욕부진, 변비, 위통, 소화관출혈, 위부불쾌감, 어지러움, 부종(부기), 드물게 쇽 증상(복용후 바로 두드러기, 부종(부기), 가슴답답함 등과 함께 안색이 창백하고, 손발이 차고, 식은땀, 숨쉬기 곤란함), 피부점막안증후군(스티븐스-존슨증후군), 독성표피괴사용해(리엘증후군)(고열을 동반하고, 발진·발적(충혈되어 붉어짐), 화상과 같이 물집이 생기는 등의 심한 증상이 전신피부, 입이나 눈 점막에 나타남), 천식,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x:v>
      </x:c>
      <x:c r="J1563" s="8" t="str">
        <x:v>게보린소프트연질캡슐 [품목기준코드 201908295]</x:v>
      </x:c>
      <x:c r="K1563" s="8" t="str">
        <x:v>식품의약품안전처 의약품개요정보(e약은요) OpenAPI
https://apis.data.go.kr/1471000/DrbEasyDrugInfoService/getDrbEasyDrugList</x:v>
      </x:c>
    </x:row>
    <x:row r="1564" ht="62" customHeight="1">
      <x:c r="A1564" s="9" t="n">
        <x:v>1563</x:v>
      </x:c>
      <x:c r="B1564" s="6" t="str">
        <x:v>최종 평가</x:v>
      </x:c>
      <x:c r="C1564" s="6" t="str">
        <x:v>복약</x:v>
      </x:c>
      <x:c r="D1564" s="6" t="str">
        <x:v>용법·용량</x:v>
      </x:c>
      <x:c r="E1564" s="6" t="str">
        <x:v>답변 가능</x:v>
      </x:c>
      <x:c r="F1564" s="6" t="str">
        <x:v>쉬움</x:v>
      </x:c>
      <x:c r="G1564" s="8" t="str">
        <x:v>제노타에이캡슐은 어떻게 사용하나요?</x:v>
      </x:c>
      <x:c r="H1564" s="8" t="str">
        <x:v>성인은 1회 1캡슐씩, 1일 3회 식후에 복용합니다.</x:v>
      </x:c>
      <x:c r="I1564" s="8" t="str">
        <x:v>성인은 1회 1캡슐씩, 1일 3회 식후에 복용합니다.</x:v>
      </x:c>
      <x:c r="J1564" s="8" t="str">
        <x:v>제노타에이캡슐 [품목기준코드 201601453]</x:v>
      </x:c>
      <x:c r="K1564" s="8" t="str">
        <x:v>식품의약품안전처 의약품개요정보(e약은요) OpenAPI
https://apis.data.go.kr/1471000/DrbEasyDrugInfoService/getDrbEasyDrugList</x:v>
      </x:c>
    </x:row>
    <x:row r="1565" ht="62" customHeight="1">
      <x:c r="A1565" s="9" t="n">
        <x:v>1564</x:v>
      </x:c>
      <x:c r="B1565" s="6" t="str">
        <x:v>최종 평가</x:v>
      </x:c>
      <x:c r="C1565" s="6" t="str">
        <x:v>복약</x:v>
      </x:c>
      <x:c r="D1565" s="6" t="str">
        <x:v>증상→대상 구분</x:v>
      </x:c>
      <x:c r="E1565" s="6" t="str">
        <x:v>답변 가능</x:v>
      </x:c>
      <x:c r="F1565" s="6" t="str">
        <x:v>어려움</x:v>
      </x:c>
      <x:c r="G1565" s="8" t="str">
        <x:v>뉴로셀텍정을 사용한 뒤 발진이 생겼는데, 이 약의 부작용으로 안내되어 있나요?</x:v>
      </x:c>
      <x:c r="H1565" s="8" t="str">
        <x:v>발진은 이 제품의 e약은요 부작용 항목에 기재되어 있습니다. 다만 이 정보만으로 현재 증상의 원인이 해당 약이라고 확정할 수는 없습니다.</x:v>
      </x:c>
      <x:c r="I1565" s="8" t="str">
        <x:v>구역, 구토, 가려움, 건조하고 거친 피부, 통증성 관절부종, 설사, 위부불쾌감, 변비, 발진, 발적(충혈되어 붉어짐), 묽은 변, 붉은 반점, 심장박동정지, 중추신경계 기능저하, 위장관장애, 소화장애, 상복부(배부분)통증, 저혈압, 폐부종, 생리가 예정보다 빨라지거나 양이 점점 많아지거나, 출혈이 오래 지속되는 증상이 나타나는 경우 복용을 즉각 중지하고 의사 또는 약사와 상의하십시오.</x:v>
      </x:c>
      <x:c r="J1565" s="8" t="str">
        <x:v>뉴로셀텍정 [품목기준코드 201503940]</x:v>
      </x:c>
      <x:c r="K1565" s="8" t="str">
        <x:v>식품의약품안전처 의약품개요정보(e약은요) OpenAPI
https://apis.data.go.kr/1471000/DrbEasyDrugInfoService/getDrbEasyDrugList</x:v>
      </x:c>
    </x:row>
    <x:row r="1566" ht="62" customHeight="1">
      <x:c r="A1566" s="9" t="n">
        <x:v>1565</x:v>
      </x:c>
      <x:c r="B1566" s="6" t="str">
        <x:v>최종 평가</x:v>
      </x:c>
      <x:c r="C1566" s="6" t="str">
        <x:v>복약</x:v>
      </x:c>
      <x:c r="D1566" s="6" t="str">
        <x:v>원인·위험요인</x:v>
      </x:c>
      <x:c r="E1566" s="6" t="str">
        <x:v>답변 가능</x:v>
      </x:c>
      <x:c r="F1566" s="6" t="str">
        <x:v>쉬움</x:v>
      </x:c>
      <x:c r="G1566" s="8" t="str">
        <x:v>스웨티브센스액(염화알루미늄)을 사용하기 전에 특히 조심해야 하는 사람은 누구인가요?</x:v>
      </x:c>
      <x:c r="H1566" s="8" t="str">
        <x:v>이 제품을 사용하기 전에 특히 확인해야 할 대상과 상황은 다음과 같습니다. 이 약에 과민증 환자는 이 약을 사용하지 마십시오. 벗겨지거나 손상된 피부, 최근에 면도한 부위에 사용하지 마십시오.</x:v>
      </x:c>
      <x:c r="I1566" s="8" t="str">
        <x:v>이 약에 과민증 환자는 이 약을 사용하지 마십시오. 벗겨지거나 손상된 피부, 최근에 면도한 부위에 사용하지 마십시오.</x:v>
      </x:c>
      <x:c r="J1566" s="8" t="str">
        <x:v>스웨티브센스액(염화알루미늄) [품목기준코드 202101302]</x:v>
      </x:c>
      <x:c r="K1566" s="8" t="str">
        <x:v>식품의약품안전처 의약품개요정보(e약은요) OpenAPI
https://apis.data.go.kr/1471000/DrbEasyDrugInfoService/getDrbEasyDrugList</x:v>
      </x:c>
    </x:row>
    <x:row r="1567" ht="62" customHeight="1">
      <x:c r="A1567" s="9" t="n">
        <x:v>1566</x:v>
      </x:c>
      <x:c r="B1567" s="6" t="str">
        <x:v>최종 평가</x:v>
      </x:c>
      <x:c r="C1567" s="6" t="str">
        <x:v>복약</x:v>
      </x:c>
      <x:c r="D1567" s="6" t="str">
        <x:v>효능·사용목적</x:v>
      </x:c>
      <x:c r="E1567" s="6" t="str">
        <x:v>답변 가능</x:v>
      </x:c>
      <x:c r="F1567" s="6" t="str">
        <x:v>쉬움</x:v>
      </x:c>
      <x:c r="G1567" s="8" t="str">
        <x:v>속편엔이중정은 어떤 증상이나 질환에 사용하는 약인가요?</x:v>
      </x:c>
      <x:c r="H1567" s="8" t="str">
        <x:v>이 약은 소화불량, 식욕감퇴(식욕부진), 과식, 체함, 소화촉진, 소화불량으로 인한 위부팽만감에 사용합니다.</x:v>
      </x:c>
      <x:c r="I1567" s="8" t="str">
        <x:v>이 약은 소화불량, 식욕감퇴(식욕부진), 과식, 체함, 소화촉진, 소화불량으로 인한 위부팽만감에 사용합니다.</x:v>
      </x:c>
      <x:c r="J1567" s="8" t="str">
        <x:v>속편엔이중정 [품목기준코드 202008319]</x:v>
      </x:c>
      <x:c r="K1567" s="8" t="str">
        <x:v>식품의약품안전처 의약품개요정보(e약은요) OpenAPI
https://apis.data.go.kr/1471000/DrbEasyDrugInfoService/getDrbEasyDrugList</x:v>
      </x:c>
    </x:row>
    <x:row r="1568" ht="62" customHeight="1">
      <x:c r="A1568" s="9" t="n">
        <x:v>1567</x:v>
      </x:c>
      <x:c r="B1568" s="6" t="str">
        <x:v>최종 평가</x:v>
      </x:c>
      <x:c r="C1568" s="6" t="str">
        <x:v>복약</x:v>
      </x:c>
      <x:c r="D1568" s="6" t="str">
        <x:v>보관·관리</x:v>
      </x:c>
      <x:c r="E1568" s="6" t="str">
        <x:v>답변 가능</x:v>
      </x:c>
      <x:c r="F1568" s="6" t="str">
        <x:v>쉬움</x:v>
      </x:c>
      <x:c r="G1568" s="8" t="str">
        <x:v>로피딘캡슐(로페라미드염산염)(수출용)은 어떻게 보관해야 하나요?</x:v>
      </x:c>
      <x:c r="H1568" s="8" t="str">
        <x:v>실온에서 보관하십시오.</x:v>
      </x:c>
      <x:c r="I1568" s="8" t="str">
        <x:v>실온에서 보관하십시오.</x:v>
      </x:c>
      <x:c r="J1568" s="8" t="str">
        <x:v>로피딘캡슐(로페라미드염산염)(수출용) [품목기준코드 201404888]</x:v>
      </x:c>
      <x:c r="K1568" s="8" t="str">
        <x:v>식품의약품안전처 의약품개요정보(e약은요) OpenAPI
https://apis.data.go.kr/1471000/DrbEasyDrugInfoService/getDrbEasyDrugList</x:v>
      </x:c>
    </x:row>
    <x:row r="1569" ht="62" customHeight="1">
      <x:c r="A1569" s="9" t="n">
        <x:v>1568</x:v>
      </x:c>
      <x:c r="B1569" s="6" t="str">
        <x:v>최종 평가</x:v>
      </x:c>
      <x:c r="C1569" s="6" t="str">
        <x:v>복약</x:v>
      </x:c>
      <x:c r="D1569" s="6" t="str">
        <x:v>효능·사용목적</x:v>
      </x:c>
      <x:c r="E1569" s="6" t="str">
        <x:v>답변 가능</x:v>
      </x:c>
      <x:c r="F1569" s="6" t="str">
        <x:v>쉬움</x:v>
      </x:c>
      <x:c r="G1569" s="8" t="str">
        <x:v>이부콜벤연질캡슐400밀리그램(이부프로펜)은 어떤 증상이나 질환에 사용하는 약인가요?</x:v>
      </x:c>
      <x:c r="H1569" s="8" t="str">
        <x:v>이 약은 감기로 인한 발열 및 동통(통증), 요통, 생리통, 류마티양 관절염, 연소성(어리거나 젊은 나이에 나타나는) 류마티양 관절염, 골관절염(퇴행성 관절질환), 수술 후 동통(통증)에 사용합니다. 이 약은 두통, 편두통, 치통, 근육통, 신경통, 강직성 척추염, 급성통풍, 건선(마른비늘증)성 관절염, 연조직손상(염좌(삠), 좌상(타박상/멍)), 비관절 류마티스질환(건염(힘줄염), 건초염(힘줄윤활막염), 활액(윤활)낭염)에 사용합니다.</x:v>
      </x:c>
      <x:c r="I1569" s="8" t="str">
        <x:v>이 약은 감기로 인한 발열 및 동통(통증), 요통, 생리통, 류마티양 관절염, 연소성(어리거나 젊은 나이에 나타나는) 류마티양 관절염, 골관절염(퇴행성 관절질환), 수술 후 동통(통증)에 사용합니다. 이 약은 두통, 편두통, 치통, 근육통, 신경통, 강직성 척추염, 급성통풍, 건선(마른비늘증)성 관절염, 연조직손상(염좌(삠), 좌상(타박상/멍)), 비관절 류마티스질환(건염(힘줄염), 건초염(힘줄윤활막염), 활액(윤활)낭염)에 사용합니다.</x:v>
      </x:c>
      <x:c r="J1569" s="8" t="str">
        <x:v>이부콜벤연질캡슐400밀리그램(이부프로펜) [품목기준코드 202203304]</x:v>
      </x:c>
      <x:c r="K1569" s="8" t="str">
        <x:v>식품의약품안전처 의약품개요정보(e약은요) OpenAPI
https://apis.data.go.kr/1471000/DrbEasyDrugInfoService/getDrbEasyDrugList</x:v>
      </x:c>
    </x:row>
    <x:row r="1570" ht="62" customHeight="1">
      <x:c r="A1570" s="9" t="n">
        <x:v>1569</x:v>
      </x:c>
      <x:c r="B1570" s="6" t="str">
        <x:v>최종 평가</x:v>
      </x:c>
      <x:c r="C1570" s="6" t="str">
        <x:v>복약</x:v>
      </x:c>
      <x:c r="D1570" s="6" t="str">
        <x:v>용어·정의</x:v>
      </x:c>
      <x:c r="E1570" s="6" t="str">
        <x:v>답변 가능</x:v>
      </x:c>
      <x:c r="F1570" s="6" t="str">
        <x:v>쉬움</x:v>
      </x:c>
      <x:c r="G1570" s="8" t="str">
        <x:v>판키아제정은 어떤 약인가요?</x:v>
      </x:c>
      <x:c r="H1570" s="8" t="str">
        <x:v>판키아제정은 일동제약(주)의 의약품으로, e약은요에는 다음과 같이 안내되어 있습니다. 이 약은 소화불량, 식욕감퇴(식욕부진), 과식, 체함, 소화촉진, 소화불량으로 인한 위부(상복부)팽만감에 사용합니다.</x:v>
      </x:c>
      <x:c r="I1570" s="8" t="str">
        <x:v>제품명: 판키아제정 업체명: 일동제약(주) 효능: 이 약은 소화불량, 식욕감퇴(식욕부진), 과식, 체함, 소화촉진, 소화불량으로 인한 위부(상복부)팽만감에 사용합니다.</x:v>
      </x:c>
      <x:c r="J1570" s="8" t="str">
        <x:v>판키아제정 [품목기준코드 199600367]</x:v>
      </x:c>
      <x:c r="K1570" s="8" t="str">
        <x:v>식품의약품안전처 의약품개요정보(e약은요) OpenAPI
https://apis.data.go.kr/1471000/DrbEasyDrugInfoService/getDrbEasyDrugList</x:v>
      </x:c>
    </x:row>
    <x:row r="1571" ht="62" customHeight="1">
      <x:c r="A1571" s="9" t="n">
        <x:v>1570</x:v>
      </x:c>
      <x:c r="B1571" s="6" t="str">
        <x:v>최종 평가</x:v>
      </x:c>
      <x:c r="C1571" s="6" t="str">
        <x:v>복약</x:v>
      </x:c>
      <x:c r="D1571" s="6" t="str">
        <x:v>실용·응급대처</x:v>
      </x:c>
      <x:c r="E1571" s="6" t="str">
        <x:v>답변 가능</x:v>
      </x:c>
      <x:c r="F1571" s="6" t="str">
        <x:v>보통</x:v>
      </x:c>
      <x:c r="G1571" s="8" t="str">
        <x:v>애스펜정(덱시부프로펜) 사용 후 심한 이상반응이 나타나면 어떻게 해야 하나요?</x:v>
      </x:c>
      <x:c r="H1571" s="8" t="str">
        <x:v>드물게 쇽(흉부불쾌감, 오한, 호흡곤란, 혈압저하), 드물게 재생불량성빈혈, 용혈성빈혈, 과립백혈구감소, 백혈구감소, 무과립증, 범혈구감소, 혈소판감소, 혈소판기능저하(출혈시간 연장), 호산구중다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급성전신발진고름물집증,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빈도 불명의 코니스 증후군, 여성의 생식능력 감소, 때때로 안와주위부종 등이 나타나는 경우 복용을 즉각 중지하고 의사 또는 약사와 상의하십시오.</x:v>
      </x:c>
      <x:c r="I1571" s="8" t="str">
        <x:v>드물게 쇽(흉부불쾌감, 오한, 호흡곤란, 혈압저하), 드물게 재생불량성빈혈, 용혈성빈혈, 과립백혈구감소, 백혈구감소, 무과립증, 범혈구감소, 혈소판감소, 혈소판기능저하(출혈시간 연장), 호산구중다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급성전신발진고름물집증,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빈도 불명의 코니스 증후군, 여성의 생식능력 감소, 때때로 안와주위부종 등이 나타나는 경우 복용을 즉각 중지하고 의사 또는 약사와 상의하십시오.</x:v>
      </x:c>
      <x:c r="J1571" s="8" t="str">
        <x:v>애스펜정(덱시부프로펜) [품목기준코드 200201831]</x:v>
      </x:c>
      <x:c r="K1571" s="8" t="str">
        <x:v>식품의약품안전처 의약품개요정보(e약은요) OpenAPI
https://apis.data.go.kr/1471000/DrbEasyDrugInfoService/getDrbEasyDrugList</x:v>
      </x:c>
    </x:row>
    <x:row r="1572" ht="62" customHeight="1">
      <x:c r="A1572" s="9" t="n">
        <x:v>1571</x:v>
      </x:c>
      <x:c r="B1572" s="6" t="str">
        <x:v>최종 평가</x:v>
      </x:c>
      <x:c r="C1572" s="6" t="str">
        <x:v>복약</x:v>
      </x:c>
      <x:c r="D1572" s="6" t="str">
        <x:v>증상→대상 구분</x:v>
      </x:c>
      <x:c r="E1572" s="6" t="str">
        <x:v>답변 가능</x:v>
      </x:c>
      <x:c r="F1572" s="6" t="str">
        <x:v>어려움</x:v>
      </x:c>
      <x:c r="G1572" s="8" t="str">
        <x:v>메클린구강용해필름25밀리그램(메클리진염산염수화물)(오렌지향)을 사용한 뒤 발진이 생겼는데, 이 약의 부작용으로 안내되어 있나요?</x:v>
      </x:c>
      <x:c r="H1572" s="8" t="str">
        <x:v>발진은 이 제품의 e약은요 부작용 항목에 기재되어 있습니다. 다만 이 정보만으로 현재 증상의 원인이 해당 약이라고 확정할 수는 없습니다.</x:v>
      </x:c>
      <x:c r="I1572" s="8" t="str">
        <x:v>어지러움, 발진, 발적(충혈되어 붉어짐), 가려움, 배뇨(소변을 눔) 어려움, 구강(입안)건조증상의 증가 혹은 지속 증상 등이 나타나는 경우 복용을 즉각 중지하고 의사 또는 약사와 상의하십시오.</x:v>
      </x:c>
      <x:c r="J1572" s="8" t="str">
        <x:v>메클린구강용해필름25밀리그램(메클리진염산염수화물)(오렌지향) [품목기준코드 201602682]</x:v>
      </x:c>
      <x:c r="K1572" s="8" t="str">
        <x:v>식품의약품안전처 의약품개요정보(e약은요) OpenAPI
https://apis.data.go.kr/1471000/DrbEasyDrugInfoService/getDrbEasyDrugList</x:v>
      </x:c>
    </x:row>
    <x:row r="1573" ht="62" customHeight="1">
      <x:c r="A1573" s="9" t="n">
        <x:v>1572</x:v>
      </x:c>
      <x:c r="B1573" s="6" t="str">
        <x:v>최종 평가</x:v>
      </x:c>
      <x:c r="C1573" s="6" t="str">
        <x:v>복약</x:v>
      </x:c>
      <x:c r="D1573" s="6" t="str">
        <x:v>용어·정의</x:v>
      </x:c>
      <x:c r="E1573" s="6" t="str">
        <x:v>답변 가능</x:v>
      </x:c>
      <x:c r="F1573" s="6" t="str">
        <x:v>쉬움</x:v>
      </x:c>
      <x:c r="G1573" s="8" t="str">
        <x:v>유비센정은 어떤 약인가요?</x:v>
      </x:c>
      <x:c r="H1573" s="8" t="str">
        <x:v>유비센정은 한국신텍스제약(주)의 의약품으로, e약은요에는 다음과 같이 안내되어 있습니다. 이 약은 변비와 변비에 수반하는 식욕부진(식욕감퇴), 복부팽만, 장내이상발효, 치질의 완화에 사용합니다.</x:v>
      </x:c>
      <x:c r="I1573" s="8" t="str">
        <x:v>제품명: 유비센정 업체명: 한국신텍스제약(주) 효능: 이 약은 변비와 변비에 수반하는 식욕부진(식욕감퇴), 복부팽만, 장내이상발효, 치질의 완화에 사용합니다.</x:v>
      </x:c>
      <x:c r="J1573" s="8" t="str">
        <x:v>유비센정 [품목기준코드 201905349]</x:v>
      </x:c>
      <x:c r="K1573" s="8" t="str">
        <x:v>식품의약품안전처 의약품개요정보(e약은요) OpenAPI
https://apis.data.go.kr/1471000/DrbEasyDrugInfoService/getDrbEasyDrugList</x:v>
      </x:c>
    </x:row>
    <x:row r="1574" ht="62" customHeight="1">
      <x:c r="A1574" s="9" t="n">
        <x:v>1573</x:v>
      </x:c>
      <x:c r="B1574" s="6" t="str">
        <x:v>최종 평가</x:v>
      </x:c>
      <x:c r="C1574" s="6" t="str">
        <x:v>복약</x:v>
      </x:c>
      <x:c r="D1574" s="6" t="str">
        <x:v>상호작용</x:v>
      </x:c>
      <x:c r="E1574" s="6" t="str">
        <x:v>답변 가능</x:v>
      </x:c>
      <x:c r="F1574" s="6" t="str">
        <x:v>쉬움</x:v>
      </x:c>
      <x:c r="G1574" s="8" t="str">
        <x:v>헤모락에이캡슐과 함께 사용하거나 먹을 때 주의해야 할 약이나 음식이 있나요?</x:v>
      </x:c>
      <x:c r="H1574" s="8" t="str">
        <x:v>인산염, 칼슘염, 경구용 테트라사이클린계 항생제, 제산제와 함께 복용하지 마십시오.항알도스테론제, 트리암테렌과 함께 복용 시 의사 또는 약사와 상의하십시오.녹차, 홍차 등 탄닌을 함유하는 차는 복용 중, 복용 전후에는 피하십시오.</x:v>
      </x:c>
      <x:c r="I1574" s="8" t="str">
        <x:v>인산염, 칼슘염, 경구용 테트라사이클린계 항생제, 제산제와 함께 복용하지 마십시오.항알도스테론제, 트리암테렌과 함께 복용 시 의사 또는 약사와 상의하십시오.녹차, 홍차 등 탄닌을 함유하는 차는 복용 중, 복용 전후에는 피하십시오.</x:v>
      </x:c>
      <x:c r="J1574" s="8" t="str">
        <x:v>헤모락에이캡슐 [품목기준코드 201605155]</x:v>
      </x:c>
      <x:c r="K1574" s="8" t="str">
        <x:v>식품의약품안전처 의약품개요정보(e약은요) OpenAPI
https://apis.data.go.kr/1471000/DrbEasyDrugInfoService/getDrbEasyDrugList</x:v>
      </x:c>
    </x:row>
    <x:row r="1575" ht="62" customHeight="1">
      <x:c r="A1575" s="9" t="n">
        <x:v>1574</x:v>
      </x:c>
      <x:c r="B1575" s="6" t="str">
        <x:v>최종 평가</x:v>
      </x:c>
      <x:c r="C1575" s="6" t="str">
        <x:v>복약</x:v>
      </x:c>
      <x:c r="D1575" s="6" t="str">
        <x:v>용법·용량</x:v>
      </x:c>
      <x:c r="E1575" s="6" t="str">
        <x:v>답변 가능</x:v>
      </x:c>
      <x:c r="F1575" s="6" t="str">
        <x:v>쉬움</x:v>
      </x:c>
      <x:c r="G1575" s="8" t="str">
        <x:v>메부라틴정150밀리그람(트리메부틴말레산염)(수출명:MEBURATIN Tablet 150mg)은 어떻게 사용하나요?</x:v>
      </x:c>
      <x:c r="H1575" s="8" t="str">
        <x:v>성인은 1회 100~200 mg 1일 3회 식전에 복용합니다.연령, 증상에 따라 적절히 증감합니다.</x:v>
      </x:c>
      <x:c r="I1575" s="8" t="str">
        <x:v>성인은 1회 100~200 mg 1일 3회 식전에 복용합니다.연령, 증상에 따라 적절히 증감합니다.</x:v>
      </x:c>
      <x:c r="J1575" s="8" t="str">
        <x:v>메부라틴정150밀리그람(트리메부틴말레산염)(수출명:MEBURATIN Tablet 150mg) [품목기준코드 200404205]</x:v>
      </x:c>
      <x:c r="K1575" s="8" t="str">
        <x:v>식품의약품안전처 의약품개요정보(e약은요) OpenAPI
https://apis.data.go.kr/1471000/DrbEasyDrugInfoService/getDrbEasyDrugList</x:v>
      </x:c>
    </x:row>
    <x:row r="1576" ht="62" customHeight="1">
      <x:c r="A1576" s="9" t="n">
        <x:v>1575</x:v>
      </x:c>
      <x:c r="B1576" s="6" t="str">
        <x:v>최종 평가</x:v>
      </x:c>
      <x:c r="C1576" s="6" t="str">
        <x:v>복약</x:v>
      </x:c>
      <x:c r="D1576" s="6" t="str">
        <x:v>용어·정의</x:v>
      </x:c>
      <x:c r="E1576" s="6" t="str">
        <x:v>답변 가능</x:v>
      </x:c>
      <x:c r="F1576" s="6" t="str">
        <x:v>쉬움</x:v>
      </x:c>
      <x:c r="G1576" s="8" t="str">
        <x:v>파모위튼정10밀리그램(파모티딘)은 어떤 약인가요?</x:v>
      </x:c>
      <x:c r="H1576" s="8" t="str">
        <x:v>파모위튼정10밀리그램(파모티딘)은 맥널티제약(주)의 의약품으로, e약은요에는 다음과 같이 안내되어 있습니다. 이 약은 위산과다, 속쓰림, 신트림에 사용합니다.</x:v>
      </x:c>
      <x:c r="I1576" s="8" t="str">
        <x:v>제품명: 파모위튼정10밀리그램(파모티딘) 업체명: 맥널티제약(주) 효능: 이 약은 위산과다, 속쓰림, 신트림에 사용합니다.</x:v>
      </x:c>
      <x:c r="J1576" s="8" t="str">
        <x:v>파모위튼정10밀리그램(파모티딘) [품목기준코드 202006820]</x:v>
      </x:c>
      <x:c r="K1576" s="8" t="str">
        <x:v>식품의약품안전처 의약품개요정보(e약은요) OpenAPI
https://apis.data.go.kr/1471000/DrbEasyDrugInfoService/getDrbEasyDrugList</x:v>
      </x:c>
    </x:row>
    <x:row r="1577" ht="62" customHeight="1">
      <x:c r="A1577" s="9" t="n">
        <x:v>1576</x:v>
      </x:c>
      <x:c r="B1577" s="6" t="str">
        <x:v>최종 평가</x:v>
      </x:c>
      <x:c r="C1577" s="6" t="str">
        <x:v>복약</x:v>
      </x:c>
      <x:c r="D1577" s="6" t="str">
        <x:v>효능·사용목적</x:v>
      </x:c>
      <x:c r="E1577" s="6" t="str">
        <x:v>답변 가능</x:v>
      </x:c>
      <x:c r="F1577" s="6" t="str">
        <x:v>쉬움</x:v>
      </x:c>
      <x:c r="G1577" s="8" t="str">
        <x:v>하원아스피린장용정100mg은 어떤 증상이나 질환에 사용하는 약인가요?</x:v>
      </x:c>
      <x:c r="H1577" s="8" t="str">
        <x:v>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x:v>
      </x:c>
      <x:c r="I1577" s="8" t="str">
        <x:v>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x:v>
      </x:c>
      <x:c r="J1577" s="8" t="str">
        <x:v>하원아스피린장용정100mg [품목기준코드 201308924]</x:v>
      </x:c>
      <x:c r="K1577" s="8" t="str">
        <x:v>식품의약품안전처 의약품개요정보(e약은요) OpenAPI
https://apis.data.go.kr/1471000/DrbEasyDrugInfoService/getDrbEasyDrugList</x:v>
      </x:c>
    </x:row>
    <x:row r="1578" ht="62" customHeight="1">
      <x:c r="A1578" s="9" t="n">
        <x:v>1577</x:v>
      </x:c>
      <x:c r="B1578" s="6" t="str">
        <x:v>최종 평가</x:v>
      </x:c>
      <x:c r="C1578" s="6" t="str">
        <x:v>복약</x:v>
      </x:c>
      <x:c r="D1578" s="6" t="str">
        <x:v>금기·경고</x:v>
      </x:c>
      <x:c r="E1578" s="6" t="str">
        <x:v>답변 가능</x:v>
      </x:c>
      <x:c r="F1578" s="6" t="str">
        <x:v>보통</x:v>
      </x:c>
      <x:c r="G1578" s="8" t="str">
        <x:v>모바린액5%(미녹시딜)을 사용하면 안 되거나 반드시 확인해야 할 경고사항은 무엇인가요?</x:v>
      </x:c>
      <x:c r="H1578" s="8" t="str">
        <x:v>이 약에 과민증 환자, 여성 환자, 18세 미만 환자,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2 %에 내약성이 좋지 않은 환자는 이 약을 사용하지 마십시오. 이 약을 사용하기 전에 고령자, 부종, 갑상샘기능장애(갑상샘기능저하증, 갑상샘기능항진증), 프로필렌글리콜에 과민증 환자 또는 경험자는 의사 또는 약사와 상의하십시오. 이 약은 외용으로만 사용하고 두피 이외의 부위에는 사용하지 마십시오. 밀봉붕대법을 사용하지 마십시오. 두피에서 공기가 순환되면 이 약의 효과가 감소될 수 있으므로, 이 약의 건조를 촉진시키기 위해 헤어드라이어를 사용하지 마십시오.</x:v>
      </x:c>
      <x:c r="I1578" s="8" t="str">
        <x:v>이 약에 과민증 환자, 여성 환자, 18세 미만 환자,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2 %에 내약성이 좋지 않은 환자는 이 약을 사용하지 마십시오. 이 약을 사용하기 전에 고령자, 부종, 갑상샘기능장애(갑상샘기능저하증, 갑상샘기능항진증), 프로필렌글리콜에 과민증 환자 또는 경험자는 의사 또는 약사와 상의하십시오. 이 약은 외용으로만 사용하고 두피 이외의 부위에는 사용하지 마십시오. 밀봉붕대법을 사용하지 마십시오. 두피에서 공기가 순환되면 이 약의 효과가 감소될 수 있으므로, 이 약의 건조를 촉진시키기 위해 헤어드라이어를 사용하지 마십시오.</x:v>
      </x:c>
      <x:c r="J1578" s="8" t="str">
        <x:v>모바린액5%(미녹시딜) [품목기준코드 200401131]</x:v>
      </x:c>
      <x:c r="K1578" s="8" t="str">
        <x:v>식품의약품안전처 의약품개요정보(e약은요) OpenAPI
https://apis.data.go.kr/1471000/DrbEasyDrugInfoService/getDrbEasyDrugList</x:v>
      </x:c>
    </x:row>
    <x:row r="1579" ht="62" customHeight="1">
      <x:c r="A1579" s="9" t="n">
        <x:v>1578</x:v>
      </x:c>
      <x:c r="B1579" s="6" t="str">
        <x:v>최종 평가</x:v>
      </x:c>
      <x:c r="C1579" s="6" t="str">
        <x:v>복약</x:v>
      </x:c>
      <x:c r="D1579" s="6" t="str">
        <x:v>답변불가·가격·재고</x:v>
      </x:c>
      <x:c r="E1579" s="6" t="str">
        <x:v>답변 거부</x:v>
      </x:c>
      <x:c r="F1579" s="6" t="str">
        <x:v>어려움</x:v>
      </x:c>
      <x:c r="G1579" s="8" t="str">
        <x:v>오늘 제 주변 약국에서 파라스트캡슐이 가장 싼 곳과 재고 수량을 알려주세요.</x:v>
      </x:c>
      <x:c r="H1579" s="8" t="str">
        <x:v>제공된 e약은요 VDB에는 실시간 약국별 가격과 재고 정보가 없어 답할 수 없습니다.</x:v>
      </x:c>
      <x:c r="I1579" s="8" t="str">
        <x:v>VDB 범위 밖 질문 — 근거 없음</x:v>
      </x:c>
      <x:c r="J1579" s="8" t="str">
        <x:v>파라스트캡슐 [품목기준코드 200904649]</x:v>
      </x:c>
      <x:c r="K1579" s="8" t="str">
        <x:v>식품의약품안전처 의약품개요정보(e약은요) OpenAPI
https://apis.data.go.kr/1471000/DrbEasyDrugInfoService/getDrbEasyDrugList</x:v>
      </x:c>
    </x:row>
    <x:row r="1580" ht="62" customHeight="1">
      <x:c r="A1580" s="9" t="n">
        <x:v>1579</x:v>
      </x:c>
      <x:c r="B1580" s="6" t="str">
        <x:v>최종 평가</x:v>
      </x:c>
      <x:c r="C1580" s="6" t="str">
        <x:v>복약</x:v>
      </x:c>
      <x:c r="D1580" s="6" t="str">
        <x:v>상호작용</x:v>
      </x:c>
      <x:c r="E1580" s="6" t="str">
        <x:v>답변 가능</x:v>
      </x:c>
      <x:c r="F1580" s="6" t="str">
        <x:v>쉬움</x:v>
      </x:c>
      <x:c r="G1580" s="8" t="str">
        <x:v>알나졸정400밀리그램(알벤다졸)과 함께 사용하거나 먹을 때 주의해야 할 약이나 음식이 있나요?</x:v>
      </x:c>
      <x:c r="H1580" s="8" t="str">
        <x:v>이 약을 복용하는 동안 테오필린, 시메티딘, 프라지콴텔, 덱사메타손, 리토나비르, 페니토인, 카르바마제핀, 페노바르비탈을 함께 복용하지 마십시오.</x:v>
      </x:c>
      <x:c r="I1580" s="8" t="str">
        <x:v>이 약을 복용하는 동안 테오필린, 시메티딘, 프라지콴텔, 덱사메타손, 리토나비르, 페니토인, 카르바마제핀, 페노바르비탈을 함께 복용하지 마십시오.</x:v>
      </x:c>
      <x:c r="J1580" s="8" t="str">
        <x:v>알나졸정400밀리그램(알벤다졸) [품목기준코드 200200858]</x:v>
      </x:c>
      <x:c r="K1580" s="8" t="str">
        <x:v>식품의약품안전처 의약품개요정보(e약은요) OpenAPI
https://apis.data.go.kr/1471000/DrbEasyDrugInfoService/getDrbEasyDrugList</x:v>
      </x:c>
    </x:row>
    <x:row r="1581" ht="62" customHeight="1">
      <x:c r="A1581" s="9" t="n">
        <x:v>1580</x:v>
      </x:c>
      <x:c r="B1581" s="6" t="str">
        <x:v>최종 평가</x:v>
      </x:c>
      <x:c r="C1581" s="6" t="str">
        <x:v>복약</x:v>
      </x:c>
      <x:c r="D1581" s="6" t="str">
        <x:v>효능·사용목적</x:v>
      </x:c>
      <x:c r="E1581" s="6" t="str">
        <x:v>답변 가능</x:v>
      </x:c>
      <x:c r="F1581" s="6" t="str">
        <x:v>쉬움</x:v>
      </x:c>
      <x:c r="G1581" s="8" t="str">
        <x:v>리스카펜정은 어떤 증상이나 질환에 사용하는 약인가요?</x:v>
      </x:c>
      <x:c r="H1581" s="8" t="str">
        <x:v>이 약은 감기의 여러 증상(인후통, 기침, 가래, 오한, 발열, 두통, 관절통, 근육통)의 완화에 사용합니다.</x:v>
      </x:c>
      <x:c r="I1581" s="8" t="str">
        <x:v>이 약은 감기의 여러 증상(인후통, 기침, 가래, 오한, 발열, 두통, 관절통, 근육통)의 완화에 사용합니다.</x:v>
      </x:c>
      <x:c r="J1581" s="8" t="str">
        <x:v>리스카펜정 [품목기준코드 202200981]</x:v>
      </x:c>
      <x:c r="K1581" s="8" t="str">
        <x:v>식품의약품안전처 의약품개요정보(e약은요) OpenAPI
https://apis.data.go.kr/1471000/DrbEasyDrugInfoService/getDrbEasyDrugList</x:v>
      </x:c>
    </x:row>
    <x:row r="1582" ht="62" customHeight="1">
      <x:c r="A1582" s="9" t="n">
        <x:v>1581</x:v>
      </x:c>
      <x:c r="B1582" s="6" t="str">
        <x:v>최종 평가</x:v>
      </x:c>
      <x:c r="C1582" s="6" t="str">
        <x:v>복약</x:v>
      </x:c>
      <x:c r="D1582" s="6" t="str">
        <x:v>용법·용량</x:v>
      </x:c>
      <x:c r="E1582" s="6" t="str">
        <x:v>답변 가능</x:v>
      </x:c>
      <x:c r="F1582" s="6" t="str">
        <x:v>쉬움</x:v>
      </x:c>
      <x:c r="G1582" s="8" t="str">
        <x:v>애니큐어연고은 어떻게 사용하나요?</x:v>
      </x:c>
      <x:c r="H1582" s="8" t="str">
        <x:v>2세 이상은 1일 1~3회 질환 부위에 적당량을 바릅니다.</x:v>
      </x:c>
      <x:c r="I1582" s="8" t="str">
        <x:v>2세 이상은 1일 1~3회 질환 부위에 적당량을 바릅니다.</x:v>
      </x:c>
      <x:c r="J1582" s="8" t="str">
        <x:v>애니큐어연고 [품목기준코드 202002056]</x:v>
      </x:c>
      <x:c r="K1582" s="8" t="str">
        <x:v>식품의약품안전처 의약품개요정보(e약은요) OpenAPI
https://apis.data.go.kr/1471000/DrbEasyDrugInfoService/getDrbEasyDrugList</x:v>
      </x:c>
    </x:row>
    <x:row r="1583" ht="62" customHeight="1">
      <x:c r="A1583" s="9" t="n">
        <x:v>1582</x:v>
      </x:c>
      <x:c r="B1583" s="6" t="str">
        <x:v>최종 평가</x:v>
      </x:c>
      <x:c r="C1583" s="6" t="str">
        <x:v>복약</x:v>
      </x:c>
      <x:c r="D1583" s="6" t="str">
        <x:v>보관·관리</x:v>
      </x:c>
      <x:c r="E1583" s="6" t="str">
        <x:v>답변 가능</x:v>
      </x:c>
      <x:c r="F1583" s="6" t="str">
        <x:v>쉬움</x:v>
      </x:c>
      <x:c r="G1583" s="8" t="str">
        <x:v>칼테오-40정(Calteo-40Tablets)은 어떻게 보관해야 하나요?</x:v>
      </x:c>
      <x:c r="H1583" s="8" t="str">
        <x:v>습기와 빛을 피해 실온에서 보관하십시오. 어린이의 손이 닿지 않는 곳에 보관하십시오.</x:v>
      </x:c>
      <x:c r="I1583" s="8" t="str">
        <x:v>습기와 빛을 피해 실온에서 보관하십시오. 어린이의 손이 닿지 않는 곳에 보관하십시오.</x:v>
      </x:c>
      <x:c r="J1583" s="8" t="str">
        <x:v>칼테오-40정(Calteo-40Tablets) [품목기준코드 200410715]</x:v>
      </x:c>
      <x:c r="K1583" s="8" t="str">
        <x:v>식품의약품안전처 의약품개요정보(e약은요) OpenAPI
https://apis.data.go.kr/1471000/DrbEasyDrugInfoService/getDrbEasyDrugList</x:v>
      </x:c>
    </x:row>
    <x:row r="1584" ht="62" customHeight="1">
      <x:c r="A1584" s="9" t="n">
        <x:v>1583</x:v>
      </x:c>
      <x:c r="B1584" s="6" t="str">
        <x:v>최종 평가</x:v>
      </x:c>
      <x:c r="C1584" s="6" t="str">
        <x:v>복약</x:v>
      </x:c>
      <x:c r="D1584" s="6" t="str">
        <x:v>용법·용량</x:v>
      </x:c>
      <x:c r="E1584" s="6" t="str">
        <x:v>답변 가능</x:v>
      </x:c>
      <x:c r="F1584" s="6" t="str">
        <x:v>쉬움</x:v>
      </x:c>
      <x:c r="G1584" s="8" t="str">
        <x:v>칼디업츄어블정은 어떻게 사용하나요?</x:v>
      </x:c>
      <x:c r="H1584" s="8" t="str">
        <x:v>12세 이상 및 성인은 1회 1~2정, 3~12세는 1회 1/2~1정을 1일 1회 복용합니다.입 안에서 녹이거나 씹어서 복용합니다.</x:v>
      </x:c>
      <x:c r="I1584" s="8" t="str">
        <x:v>12세 이상 및 성인은 1회 1~2정, 3~12세는 1회 1/2~1정을 1일 1회 복용합니다.입 안에서 녹이거나 씹어서 복용합니다.</x:v>
      </x:c>
      <x:c r="J1584" s="8" t="str">
        <x:v>칼디업츄어블정 [품목기준코드 201101014]</x:v>
      </x:c>
      <x:c r="K1584" s="8" t="str">
        <x:v>식품의약품안전처 의약품개요정보(e약은요) OpenAPI
https://apis.data.go.kr/1471000/DrbEasyDrugInfoService/getDrbEasyDrugList</x:v>
      </x:c>
    </x:row>
    <x:row r="1585" ht="62" customHeight="1">
      <x:c r="A1585" s="9" t="n">
        <x:v>1584</x:v>
      </x:c>
      <x:c r="B1585" s="6" t="str">
        <x:v>최종 평가</x:v>
      </x:c>
      <x:c r="C1585" s="6" t="str">
        <x:v>복약</x:v>
      </x:c>
      <x:c r="D1585" s="6" t="str">
        <x:v>상호작용</x:v>
      </x:c>
      <x:c r="E1585" s="6" t="str">
        <x:v>답변 가능</x:v>
      </x:c>
      <x:c r="F1585" s="6" t="str">
        <x:v>쉬움</x:v>
      </x:c>
      <x:c r="G1585" s="8" t="str">
        <x:v>비타메드레모나산과 함께 사용하거나 먹을 때 주의해야 할 약이나 음식이 있나요?</x:v>
      </x:c>
      <x:c r="H1585" s="8" t="str">
        <x:v>레보도파와 함께 복용하지 마십시오.</x:v>
      </x:c>
      <x:c r="I1585" s="8" t="str">
        <x:v>레보도파와 함께 복용하지 마십시오.</x:v>
      </x:c>
      <x:c r="J1585" s="8" t="str">
        <x:v>비타메드레모나산 [품목기준코드 202102215]</x:v>
      </x:c>
      <x:c r="K1585" s="8" t="str">
        <x:v>식품의약품안전처 의약품개요정보(e약은요) OpenAPI
https://apis.data.go.kr/1471000/DrbEasyDrugInfoService/getDrbEasyDrugList</x:v>
      </x:c>
    </x:row>
    <x:row r="1586" ht="62" customHeight="1">
      <x:c r="A1586" s="9" t="n">
        <x:v>1585</x:v>
      </x:c>
      <x:c r="B1586" s="6" t="str">
        <x:v>최종 평가</x:v>
      </x:c>
      <x:c r="C1586" s="6" t="str">
        <x:v>복약</x:v>
      </x:c>
      <x:c r="D1586" s="6" t="str">
        <x:v>상호작용</x:v>
      </x:c>
      <x:c r="E1586" s="6" t="str">
        <x:v>답변 가능</x:v>
      </x:c>
      <x:c r="F1586" s="6" t="str">
        <x:v>쉬움</x:v>
      </x:c>
      <x:c r="G1586" s="8" t="str">
        <x:v>뉴에르도테캡슐(에르도스테인)과 함께 사용하거나 먹을 때 주의해야 할 약이나 음식이 있나요?</x:v>
      </x:c>
      <x:c r="H1586" s="8" t="str">
        <x:v>기침약을 복용중인 사람은 의사 또는 약사와 상의하십시오.</x:v>
      </x:c>
      <x:c r="I1586" s="8" t="str">
        <x:v>기침약을 복용중인 사람은 의사 또는 약사와 상의하십시오.</x:v>
      </x:c>
      <x:c r="J1586" s="8" t="str">
        <x:v>뉴에르도테캡슐(에르도스테인) [품목기준코드 201602871]</x:v>
      </x:c>
      <x:c r="K1586" s="8" t="str">
        <x:v>식품의약품안전처 의약품개요정보(e약은요) OpenAPI
https://apis.data.go.kr/1471000/DrbEasyDrugInfoService/getDrbEasyDrugList</x:v>
      </x:c>
    </x:row>
    <x:row r="1587" ht="62" customHeight="1">
      <x:c r="A1587" s="9" t="n">
        <x:v>1586</x:v>
      </x:c>
      <x:c r="B1587" s="6" t="str">
        <x:v>최종 평가</x:v>
      </x:c>
      <x:c r="C1587" s="6" t="str">
        <x:v>복약</x:v>
      </x:c>
      <x:c r="D1587" s="6" t="str">
        <x:v>용법·용량</x:v>
      </x:c>
      <x:c r="E1587" s="6" t="str">
        <x:v>답변 가능</x:v>
      </x:c>
      <x:c r="F1587" s="6" t="str">
        <x:v>쉬움</x:v>
      </x:c>
      <x:c r="G1587" s="8" t="str">
        <x:v>맥스콘드로이틴1200경구용겔(콘드로이틴설페이트나트륨)(1200mg/8g, 1200mg/12g)은 어떻게 사용하나요?</x:v>
      </x:c>
      <x:c r="H1587" s="8" t="str">
        <x:v>성인은 1회 1포씩, 1일 1회 식사와 함께 이 약 그대로 복용하거나 물에 희석하여 복용합니다.</x:v>
      </x:c>
      <x:c r="I1587" s="8" t="str">
        <x:v>성인은 1회 1포씩, 1일 1회 식사와 함께 이 약 그대로 복용하거나 물에 희석하여 복용합니다.</x:v>
      </x:c>
      <x:c r="J1587" s="8" t="str">
        <x:v>맥스콘드로이틴1200경구용겔(콘드로이틴설페이트나트륨)(1200mg/8g, 1200mg/12g) [품목기준코드 202303174]</x:v>
      </x:c>
      <x:c r="K1587" s="8" t="str">
        <x:v>식품의약품안전처 의약품개요정보(e약은요) OpenAPI
https://apis.data.go.kr/1471000/DrbEasyDrugInfoService/getDrbEasyDrugList</x:v>
      </x:c>
    </x:row>
    <x:row r="1588" ht="62" customHeight="1">
      <x:c r="A1588" s="9" t="n">
        <x:v>1587</x:v>
      </x:c>
      <x:c r="B1588" s="6" t="str">
        <x:v>최종 평가</x:v>
      </x:c>
      <x:c r="C1588" s="6" t="str">
        <x:v>복약</x:v>
      </x:c>
      <x:c r="D1588" s="6" t="str">
        <x:v>보관·관리</x:v>
      </x:c>
      <x:c r="E1588" s="6" t="str">
        <x:v>답변 가능</x:v>
      </x:c>
      <x:c r="F1588" s="6" t="str">
        <x:v>쉬움</x:v>
      </x:c>
      <x:c r="G1588" s="8" t="str">
        <x:v>액티브피록시캄겔(피록시캄)은 어떻게 보관해야 하나요?</x:v>
      </x:c>
      <x:c r="H1588" s="8" t="str">
        <x:v>실온에서 보관하십시오.</x:v>
      </x:c>
      <x:c r="I1588" s="8" t="str">
        <x:v>실온에서 보관하십시오.</x:v>
      </x:c>
      <x:c r="J1588" s="8" t="str">
        <x:v>액티브피록시캄겔(피록시캄) [품목기준코드 201901187]</x:v>
      </x:c>
      <x:c r="K1588" s="8" t="str">
        <x:v>식품의약품안전처 의약품개요정보(e약은요) OpenAPI
https://apis.data.go.kr/1471000/DrbEasyDrugInfoService/getDrbEasyDrugList</x:v>
      </x:c>
    </x:row>
    <x:row r="1589" ht="62" customHeight="1">
      <x:c r="A1589" s="9" t="n">
        <x:v>1588</x:v>
      </x:c>
      <x:c r="B1589" s="6" t="str">
        <x:v>최종 평가</x:v>
      </x:c>
      <x:c r="C1589" s="6" t="str">
        <x:v>복약</x:v>
      </x:c>
      <x:c r="D1589" s="6" t="str">
        <x:v>증상·이상반응</x:v>
      </x:c>
      <x:c r="E1589" s="6" t="str">
        <x:v>답변 가능</x:v>
      </x:c>
      <x:c r="F1589" s="6" t="str">
        <x:v>쉬움</x:v>
      </x:c>
      <x:c r="G1589" s="8" t="str">
        <x:v>올대원맥스정을 사용하면 어떤 부작용이 생길 수 있나요?</x:v>
      </x:c>
      <x:c r="H1589" s="8" t="str">
        <x:v>e약은요에는 다음과 같은 이상반응이 안내되어 있습니다. 구역, 구토, 설사, 묽은 변, 구내염, 식욕부진, 복부팽만감, 붉은 반점, 부전수축, 중추신경계 기능저하, 위장관장애, 소화장애, 상복부통증, 저혈압, 폐부종 등이 나타나는 경우 이 약의 복용을 즉각 중단하고 의사 또는 약사와 상의하십시오.</x:v>
      </x:c>
      <x:c r="I1589" s="8" t="str">
        <x:v>구역, 구토, 설사, 묽은 변, 구내염, 식욕부진, 복부팽만감, 붉은 반점, 부전수축, 중추신경계 기능저하, 위장관장애, 소화장애, 상복부통증, 저혈압, 폐부종 등이 나타나는 경우 이 약의 복용을 즉각 중단하고 의사 또는 약사와 상의하십시오.</x:v>
      </x:c>
      <x:c r="J1589" s="8" t="str">
        <x:v>올대원맥스정 [품목기준코드 202401760]</x:v>
      </x:c>
      <x:c r="K1589" s="8" t="str">
        <x:v>식품의약품안전처 의약품개요정보(e약은요) OpenAPI
https://apis.data.go.kr/1471000/DrbEasyDrugInfoService/getDrbEasyDrugList</x:v>
      </x:c>
    </x:row>
    <x:row r="1590" ht="62" customHeight="1">
      <x:c r="A1590" s="9" t="n">
        <x:v>1589</x:v>
      </x:c>
      <x:c r="B1590" s="6" t="str">
        <x:v>최종 평가</x:v>
      </x:c>
      <x:c r="C1590" s="6" t="str">
        <x:v>복약</x:v>
      </x:c>
      <x:c r="D1590" s="6" t="str">
        <x:v>상호작용</x:v>
      </x:c>
      <x:c r="E1590" s="6" t="str">
        <x:v>답변 가능</x:v>
      </x:c>
      <x:c r="F1590" s="6" t="str">
        <x:v>쉬움</x:v>
      </x:c>
      <x:c r="G1590" s="8" t="str">
        <x:v>아이오쿨리뉴피디알엔점안액(폴리데옥시리보뉴클레오티드나트륨)(1회용)과 함께 사용하거나 먹을 때 주의해야 할 약이나 음식이 있나요?</x:v>
      </x:c>
      <x:c r="H1590" s="8" t="str">
        <x:v>인산염 함유 점안액과 함께 사용하지 마십시오.</x:v>
      </x:c>
      <x:c r="I1590" s="8" t="str">
        <x:v>인산염 함유 점안액과 함께 사용하지 마십시오.</x:v>
      </x:c>
      <x:c r="J1590" s="8" t="str">
        <x:v>아이오쿨리뉴피디알엔점안액(폴리데옥시리보뉴클레오티드나트륨)(1회용) [품목기준코드 202500181]</x:v>
      </x:c>
      <x:c r="K1590" s="8" t="str">
        <x:v>식품의약품안전처 의약품개요정보(e약은요) OpenAPI
https://apis.data.go.kr/1471000/DrbEasyDrugInfoService/getDrbEasyDrugList</x:v>
      </x:c>
    </x:row>
    <x:row r="1591" ht="62" customHeight="1">
      <x:c r="A1591" s="9" t="n">
        <x:v>1590</x:v>
      </x:c>
      <x:c r="B1591" s="6" t="str">
        <x:v>최종 평가</x:v>
      </x:c>
      <x:c r="C1591" s="6" t="str">
        <x:v>복약</x:v>
      </x:c>
      <x:c r="D1591" s="6" t="str">
        <x:v>용어·정의</x:v>
      </x:c>
      <x:c r="E1591" s="6" t="str">
        <x:v>답변 가능</x:v>
      </x:c>
      <x:c r="F1591" s="6" t="str">
        <x:v>쉬움</x:v>
      </x:c>
      <x:c r="G1591" s="8" t="str">
        <x:v>하니동전파스플라스타은 어떤 약인가요?</x:v>
      </x:c>
      <x:c r="H1591" s="8" t="str">
        <x:v>하니동전파스플라스타은 원광제약(주)의 의약품으로, e약은요에는 다음과 같이 안내되어 있습니다. 이 약은 삠, 타박상, 근육통, 관절통, 요통, 어깨결림, 신경통, 류마티스통증의 진통․소염에 사용합니다.</x:v>
      </x:c>
      <x:c r="I1591" s="8" t="str">
        <x:v>제품명: 하니동전파스플라스타 업체명: 원광제약(주) 효능: 이 약은 삠, 타박상, 근육통, 관절통, 요통, 어깨결림, 신경통, 류마티스통증의 진통․소염에 사용합니다.</x:v>
      </x:c>
      <x:c r="J1591" s="8" t="str">
        <x:v>하니동전파스플라스타 [품목기준코드 201901623]</x:v>
      </x:c>
      <x:c r="K1591" s="8" t="str">
        <x:v>식품의약품안전처 의약품개요정보(e약은요) OpenAPI
https://apis.data.go.kr/1471000/DrbEasyDrugInfoService/getDrbEasyDrugList</x:v>
      </x:c>
    </x:row>
    <x:row r="1592" ht="62" customHeight="1">
      <x:c r="A1592" s="9" t="n">
        <x:v>1591</x:v>
      </x:c>
      <x:c r="B1592" s="6" t="str">
        <x:v>최종 평가</x:v>
      </x:c>
      <x:c r="C1592" s="6" t="str">
        <x:v>복약</x:v>
      </x:c>
      <x:c r="D1592" s="6" t="str">
        <x:v>효능·사용목적</x:v>
      </x:c>
      <x:c r="E1592" s="6" t="str">
        <x:v>답변 가능</x:v>
      </x:c>
      <x:c r="F1592" s="6" t="str">
        <x:v>쉬움</x:v>
      </x:c>
      <x:c r="G1592" s="8" t="str">
        <x:v>제이웰라민연질캡슐은 어떤 증상이나 질환에 사용하는 약인가요?</x:v>
      </x:c>
      <x:c r="H1592" s="8" t="str">
        <x:v>이 약은 육체피로, 임신∙수유기, 병중∙병후의 체력 저하 시, 노년기의 비타민 B1, B2, B6, C, E의 보급과 말초혈행장애 및 갱년기시 어깨ㆍ목결림, 수족저림, 수족냉증 증상의 완화에 사용합니다.</x:v>
      </x:c>
      <x:c r="I1592" s="8" t="str">
        <x:v>이 약은 육체피로, 임신∙수유기, 병중∙병후의 체력 저하 시, 노년기의 비타민 B1, B2, B6, C, E의 보급과 말초혈행장애 및 갱년기시 어깨ㆍ목결림, 수족저림, 수족냉증 증상의 완화에 사용합니다.</x:v>
      </x:c>
      <x:c r="J1592" s="8" t="str">
        <x:v>제이웰라민연질캡슐 [품목기준코드 200713004]</x:v>
      </x:c>
      <x:c r="K1592" s="8" t="str">
        <x:v>식품의약품안전처 의약품개요정보(e약은요) OpenAPI
https://apis.data.go.kr/1471000/DrbEasyDrugInfoService/getDrbEasyDrugList</x:v>
      </x:c>
    </x:row>
    <x:row r="1593" ht="62" customHeight="1">
      <x:c r="A1593" s="9" t="n">
        <x:v>1592</x:v>
      </x:c>
      <x:c r="B1593" s="6" t="str">
        <x:v>최종 평가</x:v>
      </x:c>
      <x:c r="C1593" s="6" t="str">
        <x:v>복약</x:v>
      </x:c>
      <x:c r="D1593" s="6" t="str">
        <x:v>상호작용</x:v>
      </x:c>
      <x:c r="E1593" s="6" t="str">
        <x:v>답변 가능</x:v>
      </x:c>
      <x:c r="F1593" s="6" t="str">
        <x:v>쉬움</x:v>
      </x:c>
      <x:c r="G1593" s="8" t="str">
        <x:v>엑쎈코연질캡슐과 함께 사용하거나 먹을 때 주의해야 할 약이나 음식이 있나요?</x:v>
      </x:c>
      <x:c r="H1593" s="8" t="str">
        <x:v>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및 알코올과 함께 복용 시 의사 또는 약사와 상의하십시오.</x:v>
      </x:c>
      <x:c r="I1593" s="8" t="str">
        <x:v>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및 알코올과 함께 복용 시 의사 또는 약사와 상의하십시오.</x:v>
      </x:c>
      <x:c r="J1593" s="8" t="str">
        <x:v>엑쎈코연질캡슐 [품목기준코드 201801714]</x:v>
      </x:c>
      <x:c r="K1593" s="8" t="str">
        <x:v>식품의약품안전처 의약품개요정보(e약은요) OpenAPI
https://apis.data.go.kr/1471000/DrbEasyDrugInfoService/getDrbEasyDrugList</x:v>
      </x:c>
    </x:row>
    <x:row r="1594" ht="62" customHeight="1">
      <x:c r="A1594" s="9" t="n">
        <x:v>1593</x:v>
      </x:c>
      <x:c r="B1594" s="6" t="str">
        <x:v>최종 평가</x:v>
      </x:c>
      <x:c r="C1594" s="6" t="str">
        <x:v>복약</x:v>
      </x:c>
      <x:c r="D1594" s="6" t="str">
        <x:v>금기·경고</x:v>
      </x:c>
      <x:c r="E1594" s="6" t="str">
        <x:v>답변 가능</x:v>
      </x:c>
      <x:c r="F1594" s="6" t="str">
        <x:v>보통</x:v>
      </x:c>
      <x:c r="G1594" s="8" t="str">
        <x:v>헤파코엔플러스정을 사용하면 안 되거나 반드시 확인해야 할 경고사항은 무엇인가요?</x:v>
      </x:c>
      <x:c r="H1594" s="8" t="str">
        <x:v>비타민 A를 1일 5,000 IU 이상 복용 시 선천성 기형을 일으킬 수 있습니다. 임신 3개월 이내 또는 임신하고 있을 가능성이 있는 여성은 복용하지 마십시오. 이 약에 과민증 환자, 고칼슘혈증(혈액 중에 칼슘이 과잉으로 존재하는 상태)환자, 유육종증(원인을 알 수 없는 전신 염증질환), 신장결석 환자, 심한 증상의 신부전 환자, 만 12개월 미만의 젖먹이, 갈락토오스 불내성, Lapp 유당(젖당)분해효소 결핍증 또는 포도당-갈락토오스 흡수장애 등의 유전적인 문제가 있는 환자는 이 약을 복용하지 마십시오.</x:v>
      </x:c>
      <x:c r="I1594" s="8" t="str">
        <x:v>비타민 A를 1일 5,000 IU 이상 복용 시 선천성 기형을 일으킬 수 있습니다. 임신 3개월 이내 또는 임신하고 있을 가능성이 있는 여성은 복용하지 마십시오. 이 약에 과민증 환자, 고칼슘혈증(혈액 중에 칼슘이 과잉으로 존재하는 상태)환자, 유육종증(원인을 알 수 없는 전신 염증질환), 신장결석 환자, 심한 증상의 신부전 환자, 만 12개월 미만의 젖먹이, 갈락토오스 불내성, Lapp 유당(젖당)분해효소 결핍증 또는 포도당-갈락토오스 흡수장애 등의 유전적인 문제가 있는 환자는 이 약을 복용하지 마십시오.</x:v>
      </x:c>
      <x:c r="J1594" s="8" t="str">
        <x:v>헤파코엔플러스정 [품목기준코드 202106244]</x:v>
      </x:c>
      <x:c r="K1594" s="8" t="str">
        <x:v>식품의약품안전처 의약품개요정보(e약은요) OpenAPI
https://apis.data.go.kr/1471000/DrbEasyDrugInfoService/getDrbEasyDrugList</x:v>
      </x:c>
    </x:row>
    <x:row r="1595" ht="62" customHeight="1">
      <x:c r="A1595" s="9" t="n">
        <x:v>1594</x:v>
      </x:c>
      <x:c r="B1595" s="6" t="str">
        <x:v>최종 평가</x:v>
      </x:c>
      <x:c r="C1595" s="6" t="str">
        <x:v>복약</x:v>
      </x:c>
      <x:c r="D1595" s="6" t="str">
        <x:v>금기·경고</x:v>
      </x:c>
      <x:c r="E1595" s="6" t="str">
        <x:v>답변 가능</x:v>
      </x:c>
      <x:c r="F1595" s="6" t="str">
        <x:v>보통</x:v>
      </x:c>
      <x:c r="G1595" s="8" t="str">
        <x:v>백일후애액2%(미녹시딜)을 사용하면 안 되거나 반드시 확인해야 할 경고사항은 무엇인가요?</x:v>
      </x:c>
      <x:c r="H1595" s="8" t="str">
        <x:v>이 약에 과민증 환자, 임부 또는 임신하고 있을 가능성이 있는 여성 및 수유부, 18세 미만,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 불명의 탈모, 두피를 면도한 환자, 출산과 관련된 탈모 환자는 이 약을 사용하지 마십시오.이 약을 사용하기 전에 고령자는 의사 또는 약사와 상의하십시오.이 약의 사용을 잊은 경우에도 용량을 보충하지 않고 그대로 다음 용량을 적용하십시오.이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x:v>
      </x:c>
      <x:c r="I1595" s="8" t="str">
        <x:v>이 약에 과민증 환자, 임부 또는 임신하고 있을 가능성이 있는 여성 및 수유부, 18세 미만,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 불명의 탈모, 두피를 면도한 환자, 출산과 관련된 탈모 환자는 이 약을 사용하지 마십시오.이 약을 사용하기 전에 고령자는 의사 또는 약사와 상의하십시오.이 약의 사용을 잊은 경우에도 용량을 보충하지 않고 그대로 다음 용량을 적용하십시오.이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x:v>
      </x:c>
      <x:c r="J1595" s="8" t="str">
        <x:v>백일후애액2%(미녹시딜) [품목기준코드 200700801]</x:v>
      </x:c>
      <x:c r="K1595" s="8" t="str">
        <x:v>식품의약품안전처 의약품개요정보(e약은요) OpenAPI
https://apis.data.go.kr/1471000/DrbEasyDrugInfoService/getDrbEasyDrugList</x:v>
      </x:c>
    </x:row>
    <x:row r="1596" ht="62" customHeight="1">
      <x:c r="A1596" s="9" t="n">
        <x:v>1595</x:v>
      </x:c>
      <x:c r="B1596" s="6" t="str">
        <x:v>최종 평가</x:v>
      </x:c>
      <x:c r="C1596" s="6" t="str">
        <x:v>복약</x:v>
      </x:c>
      <x:c r="D1596" s="6" t="str">
        <x:v>효능·사용목적</x:v>
      </x:c>
      <x:c r="E1596" s="6" t="str">
        <x:v>답변 가능</x:v>
      </x:c>
      <x:c r="F1596" s="6" t="str">
        <x:v>쉬움</x:v>
      </x:c>
      <x:c r="G1596" s="8" t="str">
        <x:v>센쥬씨엘점안액은 어떤 증상이나 질환에 사용하는 약인가요?</x:v>
      </x:c>
      <x:c r="H1596" s="8" t="str">
        <x:v>이 약은 눈의 피로, 누액의 보조(눈의 건조), 하드콘택트렌즈 및 소프트렌즈 착용시의 불쾌감, 눈의 침침함(눈꼽이 많은 때 등)에 사용합니다.</x:v>
      </x:c>
      <x:c r="I1596" s="8" t="str">
        <x:v>이 약은 눈의 피로, 누액의 보조(눈의 건조), 하드콘택트렌즈 및 소프트렌즈 착용시의 불쾌감, 눈의 침침함(눈꼽이 많은 때 등)에 사용합니다.</x:v>
      </x:c>
      <x:c r="J1596" s="8" t="str">
        <x:v>센쥬씨엘점안액 [품목기준코드 199800190]</x:v>
      </x:c>
      <x:c r="K1596" s="8" t="str">
        <x:v>식품의약품안전처 의약품개요정보(e약은요) OpenAPI
https://apis.data.go.kr/1471000/DrbEasyDrugInfoService/getDrbEasyDrugList</x:v>
      </x:c>
    </x:row>
    <x:row r="1597" ht="62" customHeight="1">
      <x:c r="A1597" s="9" t="n">
        <x:v>1596</x:v>
      </x:c>
      <x:c r="B1597" s="6" t="str">
        <x:v>최종 평가</x:v>
      </x:c>
      <x:c r="C1597" s="6" t="str">
        <x:v>복약</x:v>
      </x:c>
      <x:c r="D1597" s="6" t="str">
        <x:v>용법·용량</x:v>
      </x:c>
      <x:c r="E1597" s="6" t="str">
        <x:v>답변 가능</x:v>
      </x:c>
      <x:c r="F1597" s="6" t="str">
        <x:v>쉬움</x:v>
      </x:c>
      <x:c r="G1597" s="8" t="str">
        <x:v>인콤정(알벤다졸)은 어떻게 사용하나요?</x:v>
      </x:c>
      <x:c r="H1597" s="8" t="str">
        <x:v>성인 및 24개월 이상의 소아는 요충에는 1일 1회 알벤다졸로서 400 mg을 복용합니다. 박멸을 위하여 7일 뒤, 한번만 더 이 약으로서 400 mg을 복용합니다. 회충, 십이지장충, 편충, 아메리카구충에는 400 mg을 단회 복용합니다. 분선충의 다른 기생충(조충)과 중증 혼합 감염 시 1일 1회 이 약으로서 400 mg 씩 3일간 복용합니다. 삼키기 어려울 경우 씹거나 소량의 물로 복용할 수 있으며 식사를 중단하거나 하제를 쓰는 등의 특별한 과정은 필요하지 않습니다(정제, 저작정에 한함). 치료 3주 후 검사를 하여 치료되지 않았으면 경우에 따라 2차 투여를 실시할 수 있습니다.</x:v>
      </x:c>
      <x:c r="I1597" s="8" t="str">
        <x:v>성인 및 24개월 이상의 소아는 요충에는 1일 1회 알벤다졸로서 400 mg을 복용합니다. 박멸을 위하여 7일 뒤, 한번만 더 이 약으로서 400 mg을 복용합니다. 회충, 십이지장충, 편충, 아메리카구충에는 400 mg을 단회 복용합니다. 분선충의 다른 기생충(조충)과 중증 혼합 감염 시 1일 1회 이 약으로서 400 mg 씩 3일간 복용합니다. 삼키기 어려울 경우 씹거나 소량의 물로 복용할 수 있으며 식사를 중단하거나 하제를 쓰는 등의 특별한 과정은 필요하지 않습니다(정제, 저작정에 한함). 치료 3주 후 검사를 하여 치료되지 않았으면 경우에 따라 2차 투여를 실시할 수 있습니다.</x:v>
      </x:c>
      <x:c r="J1597" s="8" t="str">
        <x:v>인콤정(알벤다졸) [품목기준코드 201901314]</x:v>
      </x:c>
      <x:c r="K1597" s="8" t="str">
        <x:v>식품의약품안전처 의약품개요정보(e약은요) OpenAPI
https://apis.data.go.kr/1471000/DrbEasyDrugInfoService/getDrbEasyDrugList</x:v>
      </x:c>
    </x:row>
    <x:row r="1598" ht="62" customHeight="1">
      <x:c r="A1598" s="9" t="n">
        <x:v>1597</x:v>
      </x:c>
      <x:c r="B1598" s="6" t="str">
        <x:v>최종 평가</x:v>
      </x:c>
      <x:c r="C1598" s="6" t="str">
        <x:v>복약</x:v>
      </x:c>
      <x:c r="D1598" s="6" t="str">
        <x:v>효능·사용목적</x:v>
      </x:c>
      <x:c r="E1598" s="6" t="str">
        <x:v>답변 가능</x:v>
      </x:c>
      <x:c r="F1598" s="6" t="str">
        <x:v>쉬움</x:v>
      </x:c>
      <x:c r="G1598" s="8" t="str">
        <x:v>팜도인캡슐(에르도스테인)은 어떤 증상이나 질환에 사용하는 약인가요?</x:v>
      </x:c>
      <x:c r="H1598" s="8" t="str">
        <x:v>이 약은 급성 및 만성 호흡기질환에서의 점액용해 및 거담에 사용합니다.</x:v>
      </x:c>
      <x:c r="I1598" s="8" t="str">
        <x:v>이 약은 급성 및 만성 호흡기질환에서의 점액용해 및 거담에 사용합니다.</x:v>
      </x:c>
      <x:c r="J1598" s="8" t="str">
        <x:v>팜도인캡슐(에르도스테인) [품목기준코드 202002759]</x:v>
      </x:c>
      <x:c r="K1598" s="8" t="str">
        <x:v>식품의약품안전처 의약품개요정보(e약은요) OpenAPI
https://apis.data.go.kr/1471000/DrbEasyDrugInfoService/getDrbEasyDrugList</x:v>
      </x:c>
    </x:row>
    <x:row r="1599" ht="62" customHeight="1">
      <x:c r="A1599" s="9" t="n">
        <x:v>1598</x:v>
      </x:c>
      <x:c r="B1599" s="6" t="str">
        <x:v>최종 평가</x:v>
      </x:c>
      <x:c r="C1599" s="6" t="str">
        <x:v>복약</x:v>
      </x:c>
      <x:c r="D1599" s="6" t="str">
        <x:v>용어·정의</x:v>
      </x:c>
      <x:c r="E1599" s="6" t="str">
        <x:v>답변 가능</x:v>
      </x:c>
      <x:c r="F1599" s="6" t="str">
        <x:v>쉬움</x:v>
      </x:c>
      <x:c r="G1599" s="8" t="str">
        <x:v>메가콘600정은 어떤 약인가요?</x:v>
      </x:c>
      <x:c r="H1599" s="8" t="str">
        <x:v>메가콘600정은 (주)경보제약의 의약품으로, e약은요에는 다음과 같이 안내되어 있습니다. 이 약은 육체피로, 임신ㆍ수유기, 병중ㆍ병후의 체력 저하 시, 발육기, 노년기의 비타민 D, B1, B2, B6의 보급과 신경통, 근육통, 관절통(요통, 어깨결림 등) 증상의 완화, 각기, 눈의 피로에 사용합니다.</x:v>
      </x:c>
      <x:c r="I1599" s="8" t="str">
        <x:v>제품명: 메가콘600정 업체명: (주)경보제약 효능: 이 약은 육체피로, 임신ㆍ수유기, 병중ㆍ병후의 체력 저하 시, 발육기, 노년기의 비타민 D, B1, B2, B6의 보급과 신경통, 근육통, 관절통(요통, 어깨결림 등) 증상의 완화, 각기, 눈의 피로에 사용합니다.</x:v>
      </x:c>
      <x:c r="J1599" s="8" t="str">
        <x:v>메가콘600정 [품목기준코드 201803248]</x:v>
      </x:c>
      <x:c r="K1599" s="8" t="str">
        <x:v>식품의약품안전처 의약품개요정보(e약은요) OpenAPI
https://apis.data.go.kr/1471000/DrbEasyDrugInfoService/getDrbEasyDrugList</x:v>
      </x:c>
    </x:row>
    <x:row r="1600" ht="62" customHeight="1">
      <x:c r="A1600" s="9" t="n">
        <x:v>1599</x:v>
      </x:c>
      <x:c r="B1600" s="6" t="str">
        <x:v>최종 평가</x:v>
      </x:c>
      <x:c r="C1600" s="6" t="str">
        <x:v>복약</x:v>
      </x:c>
      <x:c r="D1600" s="6" t="str">
        <x:v>증상·이상반응</x:v>
      </x:c>
      <x:c r="E1600" s="6" t="str">
        <x:v>답변 가능</x:v>
      </x:c>
      <x:c r="F1600" s="6" t="str">
        <x:v>쉬움</x:v>
      </x:c>
      <x:c r="G1600" s="8" t="str">
        <x:v>노펜피록시캄겔(피록시캄)을 사용하면 어떤 부작용이 생길 수 있나요?</x:v>
      </x:c>
      <x:c r="H1600" s="8" t="str">
        <x:v>e약은요에는 다음과 같은 이상반응이 안내되어 있습니다. 때때로 국소의 가려움, 발적, 발진, 인설, 습진ㆍ피부염, 접촉피부염, 홍반, 드물게 광과민증 등이 나타나는 경우 사용을 즉각 중지하고 의사 또는 약사와 상의하십시오.</x:v>
      </x:c>
      <x:c r="I1600" s="8" t="str">
        <x:v>때때로 국소의 가려움, 발적, 발진, 인설, 습진ㆍ피부염, 접촉피부염, 홍반, 드물게 광과민증 등이 나타나는 경우 사용을 즉각 중지하고 의사 또는 약사와 상의하십시오.</x:v>
      </x:c>
      <x:c r="J1600" s="8" t="str">
        <x:v>노펜피록시캄겔(피록시캄) [품목기준코드 201508320]</x:v>
      </x:c>
      <x:c r="K1600" s="8" t="str">
        <x:v>식품의약품안전처 의약품개요정보(e약은요) OpenAPI
https://apis.data.go.kr/1471000/DrbEasyDrugInfoService/getDrbEasyDrugList</x:v>
      </x:c>
    </x:row>
    <x:row r="1601" ht="62" customHeight="1">
      <x:c r="A1601" s="9" t="n">
        <x:v>1600</x:v>
      </x:c>
      <x:c r="B1601" s="6" t="str">
        <x:v>최종 평가</x:v>
      </x:c>
      <x:c r="C1601" s="6" t="str">
        <x:v>복약</x:v>
      </x:c>
      <x:c r="D1601" s="6" t="str">
        <x:v>증상·이상반응</x:v>
      </x:c>
      <x:c r="E1601" s="6" t="str">
        <x:v>답변 가능</x:v>
      </x:c>
      <x:c r="F1601" s="6" t="str">
        <x:v>보통</x:v>
      </x:c>
      <x:c r="G1601" s="8" t="str">
        <x:v>맥시펜시럽(덱시부프로펜)을 사용하면 어떤 부작용이 생길 수 있나요?</x:v>
      </x:c>
      <x:c r="H1601" s="8" t="str">
        <x:v>e약은요에는 다음과 같은 이상반응이 안내되어 있습니다. 드물게 쇽(호흡곤란, 혈압저하 등), 재생불량성빈혈, 용혈성빈혈, 무과립구증, 과립구감소, 백혈구감소, 혈소판감소, 혈소판 기능 저하 (출혈시간 연장), 호산구증가, 소화성궤양 위장출혈, 천공, 궤양성대장염, 혈변, 위염, 췌장염, 피부점막안증후군(스티븐스-존슨증후군) 및 독성표피괴사용해(리엘증후군), 빈도불명의 호산구 증가 및 전신 증후군을 동반한 약물 발진(DRESS 증후군), 급성전신발진고름물집증, 천식발작의 유발, 두드러기, 습진, 자반, 때때로 발진, 가려움증, 드물게 앞이 보이지 않음, 암침 등의 시각장애, 무균성수막염, 급성신부전, 핍뇨, 혈뇨, 뇨단백, BUN, 혈중 크레아티닌의 상승, 고칼륨혈증 등이 나타나는 경우 즉각 복용을 중지하고 의사 또는 약사와 상의하십시오. 때때로 식욕부진, 구역, 구토, 복통, 소화불량, 설사, 위부불쾌감, 안와주위부종, 드물게 황달, GOT, GPT, ALP 상승, 난청, 이명, 미각이상, 혈압저하, 혈압상승, 심계항진, 요량감소, 전신부종 및 이에 수반한 숨가쁨, 나른함, 급성 폐부종, 매우 드물게 구갈, 구내염, 복부팽만감, 변비, 권태감, 발열, 비출혈 등이 나타나는 경우 의사 또는 약사와 상의하십시오.</x:v>
      </x:c>
      <x:c r="I1601" s="8" t="str">
        <x:v>드물게 쇽(호흡곤란, 혈압저하 등), 재생불량성빈혈, 용혈성빈혈, 무과립구증, 과립구감소, 백혈구감소, 혈소판감소, 혈소판 기능 저하 (출혈시간 연장), 호산구증가, 소화성궤양 위장출혈, 천공, 궤양성대장염, 혈변, 위염, 췌장염, 피부점막안증후군(스티븐스-존슨증후군) 및 독성표피괴사용해(리엘증후군), 빈도불명의 호산구 증가 및 전신 증후군을 동반한 약물 발진(DRESS 증후군), 급성전신발진고름물집증, 천식발작의 유발, 두드러기, 습진, 자반, 때때로 발진, 가려움증, 드물게 앞이 보이지 않음, 암침 등의 시각장애, 무균성수막염, 급성신부전, 핍뇨, 혈뇨, 뇨단백, BUN, 혈중 크레아티닌의 상승, 고칼륨혈증 등이 나타나는 경우 즉각 복용을 중지하고 의사 또는 약사와 상의하십시오. 때때로 식욕부진, 구역, 구토, 복통, 소화불량, 설사, 위부불쾌감, 안와주위부종, 드물게 황달, GOT, GPT, ALP 상승, 난청, 이명, 미각이상, 혈압저하, 혈압상승, 심계항진, 요량감소, 전신부종 및 이에 수반한 숨가쁨, 나른함, 급성 폐부종, 매우 드물게 구갈, 구내염, 복부팽만감, 변비, 권태감, 발열, 비출혈 등이 나타나는 경우 의사 또는 약사와 상의하십시오.</x:v>
      </x:c>
      <x:c r="J1601" s="8" t="str">
        <x:v>맥시펜시럽(덱시부프로펜) [품목기준코드 201005753]</x:v>
      </x:c>
      <x:c r="K1601" s="8" t="str">
        <x:v>식품의약품안전처 의약품개요정보(e약은요) OpenAPI
https://apis.data.go.kr/1471000/DrbEasyDrugInfoService/getDrbEasyDrugList</x:v>
      </x:c>
    </x:row>
    <x:row r="1602" ht="62" customHeight="1">
      <x:c r="A1602" s="9" t="n">
        <x:v>1601</x:v>
      </x:c>
      <x:c r="B1602" s="6" t="str">
        <x:v>최종 평가</x:v>
      </x:c>
      <x:c r="C1602" s="6" t="str">
        <x:v>복약</x:v>
      </x:c>
      <x:c r="D1602" s="6" t="str">
        <x:v>효능·사용목적</x:v>
      </x:c>
      <x:c r="E1602" s="6" t="str">
        <x:v>답변 가능</x:v>
      </x:c>
      <x:c r="F1602" s="6" t="str">
        <x:v>쉬움</x:v>
      </x:c>
      <x:c r="G1602" s="8" t="str">
        <x:v>코디톱플라스타(디클로페낙디에틸암모늄)은 어떤 증상이나 질환에 사용하는 약인가요?</x:v>
      </x:c>
      <x:c r="H1602" s="8" t="str">
        <x:v>이 약은 변형성관절염, 견관절주위염, 건∙건초염, 건주위염, 상완골상과염(테니스엘보우 등), 외상 후의 종창∙동통(타박, 좌상, 염좌 등), 근육통의 진통∙소염에 사용합니다.</x:v>
      </x:c>
      <x:c r="I1602" s="8" t="str">
        <x:v>이 약은 변형성관절염, 견관절주위염, 건∙건초염, 건주위염, 상완골상과염(테니스엘보우 등), 외상 후의 종창∙동통(타박, 좌상, 염좌 등), 근육통의 진통∙소염에 사용합니다.</x:v>
      </x:c>
      <x:c r="J1602" s="8" t="str">
        <x:v>코디톱플라스타(디클로페낙디에틸암모늄) [품목기준코드 201501112]</x:v>
      </x:c>
      <x:c r="K1602" s="8" t="str">
        <x:v>식품의약품안전처 의약품개요정보(e약은요) OpenAPI
https://apis.data.go.kr/1471000/DrbEasyDrugInfoService/getDrbEasyDrugList</x:v>
      </x:c>
    </x:row>
    <x:row r="1603" ht="62" customHeight="1">
      <x:c r="A1603" s="9" t="n">
        <x:v>1602</x:v>
      </x:c>
      <x:c r="B1603" s="6" t="str">
        <x:v>최종 평가</x:v>
      </x:c>
      <x:c r="C1603" s="6" t="str">
        <x:v>복약</x:v>
      </x:c>
      <x:c r="D1603" s="6" t="str">
        <x:v>답변불가·처방 필요 여부</x:v>
      </x:c>
      <x:c r="E1603" s="6" t="str">
        <x:v>답변 거부</x:v>
      </x:c>
      <x:c r="F1603" s="6" t="str">
        <x:v>어려움</x:v>
      </x:c>
      <x:c r="G1603" s="8" t="str">
        <x:v>테라빅정은 지금 처방전 없이 살 수 있는지 확정해서 알려주세요.</x:v>
      </x:c>
      <x:c r="H1603" s="8" t="str">
        <x:v>제공된 e약은요 VDB 항목만으로는 현재의 전문·일반의약품 분류와 처방 필요 여부를 확정할 수 없습니다.</x:v>
      </x:c>
      <x:c r="I1603" s="8" t="str">
        <x:v>VDB 범위 밖 질문 — 근거 없음</x:v>
      </x:c>
      <x:c r="J1603" s="8" t="str">
        <x:v>테라빅정 [품목기준코드 200401295]</x:v>
      </x:c>
      <x:c r="K1603" s="8" t="str">
        <x:v>식품의약품안전처 의약품개요정보(e약은요) OpenAPI
https://apis.data.go.kr/1471000/DrbEasyDrugInfoService/getDrbEasyDrugList</x:v>
      </x:c>
    </x:row>
    <x:row r="1604" ht="62" customHeight="1">
      <x:c r="A1604" s="9" t="n">
        <x:v>1603</x:v>
      </x:c>
      <x:c r="B1604" s="6" t="str">
        <x:v>최종 평가</x:v>
      </x:c>
      <x:c r="C1604" s="6" t="str">
        <x:v>복약</x:v>
      </x:c>
      <x:c r="D1604" s="6" t="str">
        <x:v>증상→대상 구분</x:v>
      </x:c>
      <x:c r="E1604" s="6" t="str">
        <x:v>답변 가능</x:v>
      </x:c>
      <x:c r="F1604" s="6" t="str">
        <x:v>어려움</x:v>
      </x:c>
      <x:c r="G1604" s="8" t="str">
        <x:v>노량캡슐을 사용한 뒤 발진이 생겼는데, 이 약의 부작용으로 안내되어 있나요?</x:v>
      </x:c>
      <x:c r="H1604" s="8" t="str">
        <x:v>발진은 이 제품의 e약은요 부작용 항목에 기재되어 있습니다. 다만 이 정보만으로 현재 증상의 원인이 해당 약이라고 확정할 수는 없습니다.</x:v>
      </x:c>
      <x:c r="I1604" s="8" t="str">
        <x:v>발진, 충혈되서 붉어짐, 가려움, 두통, 안면홍조, 눈부심, 배뇨장애, 구갈(목마름), 변비, 설사 등이 나타나는 경우 복용을 즉각 중지하고 의사 또는 약사와 상의하십시오.</x:v>
      </x:c>
      <x:c r="J1604" s="8" t="str">
        <x:v>노량캡슐 [품목기준코드 202300042]</x:v>
      </x:c>
      <x:c r="K1604" s="8" t="str">
        <x:v>식품의약품안전처 의약품개요정보(e약은요) OpenAPI
https://apis.data.go.kr/1471000/DrbEasyDrugInfoService/getDrbEasyDrugList</x:v>
      </x:c>
    </x:row>
    <x:row r="1605" ht="62" customHeight="1">
      <x:c r="A1605" s="9" t="n">
        <x:v>1604</x:v>
      </x:c>
      <x:c r="B1605" s="6" t="str">
        <x:v>최종 평가</x:v>
      </x:c>
      <x:c r="C1605" s="6" t="str">
        <x:v>복약</x:v>
      </x:c>
      <x:c r="D1605" s="6" t="str">
        <x:v>원인·위험요인</x:v>
      </x:c>
      <x:c r="E1605" s="6" t="str">
        <x:v>답변 가능</x:v>
      </x:c>
      <x:c r="F1605" s="6" t="str">
        <x:v>쉬움</x:v>
      </x:c>
      <x:c r="G1605" s="8" t="str">
        <x:v>원스아이점안액1%(카르복시메틸셀룰로오스나트륨)(1회용)을 사용하기 전에 특히 조심해야 하는 사람은 누구인가요?</x:v>
      </x:c>
      <x:c r="H1605" s="8" t="str">
        <x:v>이 제품을 사용하기 전에 특히 확인해야 할 대상과 상황은 다음과 같습니다. 이 약에 과민증 환자는 이 약을 사용하지 마십시오. 이 약을 사용하기 전에 눈의 통증이 심한 환자, 지금까지 안약에 의한 알레르기 증상(예를 들어 눈의 충혈, 가려움, 부종, 발진, 충혈되어 붉어짐 등)을 일으킨 적이 있는 사람은 의사 또는 약사와 상의하십시오. 일회 사용 후 재사용하지 말며 남은 액과 용기는 반드시 버리도록 하십시오. 소프트콘택트렌즈의 장착액으로 또한 소프트콘택트렌즈를 착용한 채 사용하지 마십시오. 액의 색이 변했거나 혼탁된 것은 사용하지 마십시오.</x:v>
      </x:c>
      <x:c r="I1605" s="8" t="str">
        <x:v>이 약에 과민증 환자는 이 약을 사용하지 마십시오. 이 약을 사용하기 전에 눈의 통증이 심한 환자, 지금까지 안약에 의한 알레르기 증상(예를 들어 눈의 충혈, 가려움, 부종, 발진, 충혈되어 붉어짐 등)을 일으킨 적이 있는 사람은 의사 또는 약사와 상의하십시오. 일회 사용 후 재사용하지 말며 남은 액과 용기는 반드시 버리도록 하십시오. 소프트콘택트렌즈의 장착액으로 또한 소프트콘택트렌즈를 착용한 채 사용하지 마십시오. 액의 색이 변했거나 혼탁된 것은 사용하지 마십시오.</x:v>
      </x:c>
      <x:c r="J1605" s="8" t="str">
        <x:v>원스아이점안액1%(카르복시메틸셀룰로오스나트륨)(1회용) [품목기준코드 202202694]</x:v>
      </x:c>
      <x:c r="K1605" s="8" t="str">
        <x:v>식품의약품안전처 의약품개요정보(e약은요) OpenAPI
https://apis.data.go.kr/1471000/DrbEasyDrugInfoService/getDrbEasyDrugList</x:v>
      </x:c>
    </x:row>
    <x:row r="1606" ht="62" customHeight="1">
      <x:c r="A1606" s="9" t="n">
        <x:v>1605</x:v>
      </x:c>
      <x:c r="B1606" s="6" t="str">
        <x:v>최종 평가</x:v>
      </x:c>
      <x:c r="C1606" s="6" t="str">
        <x:v>복약</x:v>
      </x:c>
      <x:c r="D1606" s="6" t="str">
        <x:v>원인·위험요인</x:v>
      </x:c>
      <x:c r="E1606" s="6" t="str">
        <x:v>답변 가능</x:v>
      </x:c>
      <x:c r="F1606" s="6" t="str">
        <x:v>쉬움</x:v>
      </x:c>
      <x:c r="G1606" s="8" t="str">
        <x:v>엑스펙토시럽2%(카르보시스테인)을 사용하기 전에 특히 조심해야 하는 사람은 누구인가요?</x:v>
      </x:c>
      <x:c r="H1606" s="8" t="str">
        <x:v>이 제품을 사용하기 전에 특히 확인해야 할 대상과 상황은 다음과 같습니다. 위·십이지장 궤양 환자, 이 약에 과민증 환자, 2세 미만 소아는 이 약을 복용하지 마십시오.이 약을 복용하기 전에 간장애, 심장애, 위·십이지장 궤양의 경험자, 임부, 수유부, 고령자는 의사 또는 약사와 상의하십시오.</x:v>
      </x:c>
      <x:c r="I1606" s="8" t="str">
        <x:v>위·십이지장 궤양 환자, 이 약에 과민증 환자, 2세 미만 소아는 이 약을 복용하지 마십시오.이 약을 복용하기 전에 간장애, 심장애, 위·십이지장 궤양의 경험자, 임부, 수유부, 고령자는 의사 또는 약사와 상의하십시오.</x:v>
      </x:c>
      <x:c r="J1606" s="8" t="str">
        <x:v>엑스펙토시럽2%(카르보시스테인) [품목기준코드 198901706]</x:v>
      </x:c>
      <x:c r="K1606" s="8" t="str">
        <x:v>식품의약품안전처 의약품개요정보(e약은요) OpenAPI
https://apis.data.go.kr/1471000/DrbEasyDrugInfoService/getDrbEasyDrugList</x:v>
      </x:c>
    </x:row>
    <x:row r="1607" ht="62" customHeight="1">
      <x:c r="A1607" s="9" t="n">
        <x:v>1606</x:v>
      </x:c>
      <x:c r="B1607" s="6" t="str">
        <x:v>최종 평가</x:v>
      </x:c>
      <x:c r="C1607" s="6" t="str">
        <x:v>복약</x:v>
      </x:c>
      <x:c r="D1607" s="6" t="str">
        <x:v>보관·관리</x:v>
      </x:c>
      <x:c r="E1607" s="6" t="str">
        <x:v>답변 가능</x:v>
      </x:c>
      <x:c r="F1607" s="6" t="str">
        <x:v>쉬움</x:v>
      </x:c>
      <x:c r="G1607" s="8" t="str">
        <x:v>슬림제이정은 어떻게 보관해야 하나요?</x:v>
      </x:c>
      <x:c r="H1607" s="8" t="str">
        <x:v>습기와 빛을 피해 실온에서 보관하십시오. 어린이의 손이 닿지 않는 곳에 보관하십시오.</x:v>
      </x:c>
      <x:c r="I1607" s="8" t="str">
        <x:v>습기와 빛을 피해 실온에서 보관하십시오. 어린이의 손이 닿지 않는 곳에 보관하십시오.</x:v>
      </x:c>
      <x:c r="J1607" s="8" t="str">
        <x:v>슬림제이정 [품목기준코드 202001535]</x:v>
      </x:c>
      <x:c r="K1607" s="8" t="str">
        <x:v>식품의약품안전처 의약품개요정보(e약은요) OpenAPI
https://apis.data.go.kr/1471000/DrbEasyDrugInfoService/getDrbEasyDrugList</x:v>
      </x:c>
    </x:row>
    <x:row r="1608" ht="62" customHeight="1">
      <x:c r="A1608" s="9" t="n">
        <x:v>1607</x:v>
      </x:c>
      <x:c r="B1608" s="6" t="str">
        <x:v>최종 평가</x:v>
      </x:c>
      <x:c r="C1608" s="6" t="str">
        <x:v>복약</x:v>
      </x:c>
      <x:c r="D1608" s="6" t="str">
        <x:v>상호작용</x:v>
      </x:c>
      <x:c r="E1608" s="6" t="str">
        <x:v>답변 가능</x:v>
      </x:c>
      <x:c r="F1608" s="6" t="str">
        <x:v>쉬움</x:v>
      </x:c>
      <x:c r="G1608" s="8" t="str">
        <x:v>이바내정과 함께 사용하거나 먹을 때 주의해야 할 약이나 음식이 있나요?</x:v>
      </x:c>
      <x:c r="H1608" s="8" t="str">
        <x:v>레보도파와 함께 복용하지 마십시오.</x:v>
      </x:c>
      <x:c r="I1608" s="8" t="str">
        <x:v>레보도파와 함께 복용하지 마십시오.</x:v>
      </x:c>
      <x:c r="J1608" s="8" t="str">
        <x:v>이바내정 [품목기준코드 200200406]</x:v>
      </x:c>
      <x:c r="K1608" s="8" t="str">
        <x:v>식품의약품안전처 의약품개요정보(e약은요) OpenAPI
https://apis.data.go.kr/1471000/DrbEasyDrugInfoService/getDrbEasyDrugList</x:v>
      </x:c>
    </x:row>
    <x:row r="1609" ht="62" customHeight="1">
      <x:c r="A1609" s="9" t="n">
        <x:v>1608</x:v>
      </x:c>
      <x:c r="B1609" s="6" t="str">
        <x:v>최종 평가</x:v>
      </x:c>
      <x:c r="C1609" s="6" t="str">
        <x:v>복약</x:v>
      </x:c>
      <x:c r="D1609" s="6" t="str">
        <x:v>증상→대상 구분</x:v>
      </x:c>
      <x:c r="E1609" s="6" t="str">
        <x:v>답변 가능</x:v>
      </x:c>
      <x:c r="F1609" s="6" t="str">
        <x:v>어려움</x:v>
      </x:c>
      <x:c r="G1609" s="8" t="str">
        <x:v>마이녹실에스캡슐을 사용한 뒤 가려움이 생겼는데, 이 약의 부작용으로 안내되어 있나요?</x:v>
      </x:c>
      <x:c r="H1609" s="8" t="str">
        <x:v>가려움은 이 제품의 e약은요 부작용 항목에 기재되어 있습니다. 다만 이 정보만으로 현재 증상의 원인이 해당 약이라고 확정할 수는 없습니다.</x:v>
      </x:c>
      <x:c r="I1609" s="8" t="str">
        <x:v>위장관 불쾌감(위통, 구토), 발한, 빈맥, 가려움, 두드러기, 두통, 어지럼, 홍조, 두부이외의 신체부위에서 발모현상이 나타나는 경우 복용을 즉각 중지하고 의사 또는 약사와 상의하십시오.</x:v>
      </x:c>
      <x:c r="J1609" s="8" t="str">
        <x:v>마이녹실에스캡슐 [품목기준코드 200903837]</x:v>
      </x:c>
      <x:c r="K1609" s="8" t="str">
        <x:v>식품의약품안전처 의약품개요정보(e약은요) OpenAPI
https://apis.data.go.kr/1471000/DrbEasyDrugInfoService/getDrbEasyDrugList</x:v>
      </x:c>
    </x:row>
    <x:row r="1610" ht="62" customHeight="1">
      <x:c r="A1610" s="9" t="n">
        <x:v>1609</x:v>
      </x:c>
      <x:c r="B1610" s="6" t="str">
        <x:v>최종 평가</x:v>
      </x:c>
      <x:c r="C1610" s="6" t="str">
        <x:v>복약</x:v>
      </x:c>
      <x:c r="D1610" s="6" t="str">
        <x:v>실용·응급대처</x:v>
      </x:c>
      <x:c r="E1610" s="6" t="str">
        <x:v>답변 가능</x:v>
      </x:c>
      <x:c r="F1610" s="6" t="str">
        <x:v>보통</x:v>
      </x:c>
      <x:c r="G1610" s="8" t="str">
        <x:v>아노덱스정 사용 후 심한 이상반응이 나타나면 어떻게 해야 하나요?</x:v>
      </x:c>
      <x:c r="H1610" s="8" t="str">
        <x:v>이 약을 복용하기 전에 만 1세 미만의 젖먹이, 햇빛을 많이 보고 정상적인 식사를 하는 어린이, 고옥살산뇨증 환자(요중에 과량의 수산염이 배설되는 상태), 임부 또는 임신하고 있을 가능성이 있는 여성, 수유부, 미숙아, 유아, 소화성궤양, 만성궤양성대장염, 국한성대장염 등의 위장질환 환자, 심장ㆍ순환기계기능 장애, 신장장애, 저단백혈증, 담낭(쓸개)관련 질환, 간질환, 급성 만성 기관지염, 폐부종, 알칼리증, 소화성궤양, 통풍 또는 신장결석 경험자, 폴산이 부족한 환자, 혈전(혈관 막힘)성 소인이 있는 환자는 의사 또는 약사와 상의하십시오. 구역, 구토, 가려움, 건조하고 거친 피부, 통증성 관절부종, 설사, 위부불쾌감, 변비, 발진, 발적, 묽은 변, 두드러기, 가려움, 광선과민반응, 복부·위통증, 경련, 열, 혼수, 붉은 반점, 부전수축(심장박동정지), 중추신경계 기능저하, 고칼륨혈증, 가스참, 위장통증, 피부염, 땀·호흡시 악취, 탈모, 조급증, 위장관장애, 소화장애, 상복부통증, 저혈압, 폐부종, 알레르기반응, 혈관부종, 관절통, 호산구증가, 요오드 중독증, 생리가 예정보다 빨라지거나 양이 점점 많아지거나, 출혈이 오래 지속되는 증상이 나타나는 경우 복용을 즉각 중지하고 의사 또는 약사와 상의하십시오.</x:v>
      </x:c>
      <x:c r="I1610" s="8" t="str">
        <x:v>이 약을 복용하기 전에 만 1세 미만의 젖먹이, 햇빛을 많이 보고 정상적인 식사를 하는 어린이, 고옥살산뇨증 환자(요중에 과량의 수산염이 배설되는 상태), 임부 또는 임신하고 있을 가능성이 있는 여성, 수유부, 미숙아, 유아, 소화성궤양, 만성궤양성대장염, 국한성대장염 등의 위장질환 환자, 심장ㆍ순환기계기능 장애, 신장장애, 저단백혈증, 담낭(쓸개)관련 질환, 간질환, 급성 만성 기관지염, 폐부종, 알칼리증, 소화성궤양, 통풍 또는 신장결석 경험자, 폴산이 부족한 환자, 혈전(혈관 막힘)성 소인이 있는 환자는 의사 또는 약사와 상의하십시오. 구역, 구토, 가려움, 건조하고 거친 피부, 통증성 관절부종, 설사, 위부불쾌감, 변비, 발진, 발적, 묽은 변, 두드러기, 가려움, 광선과민반응, 복부·위통증, 경련, 열, 혼수, 붉은 반점, 부전수축(심장박동정지), 중추신경계 기능저하, 고칼륨혈증, 가스참, 위장통증, 피부염, 땀·호흡시 악취, 탈모, 조급증, 위장관장애, 소화장애, 상복부통증, 저혈압, 폐부종, 알레르기반응, 혈관부종, 관절통, 호산구증가, 요오드 중독증, 생리가 예정보다 빨라지거나 양이 점점 많아지거나, 출혈이 오래 지속되는 증상이 나타나는 경우 복용을 즉각 중지하고 의사 또는 약사와 상의하십시오.</x:v>
      </x:c>
      <x:c r="J1610" s="8" t="str">
        <x:v>아노덱스정 [품목기준코드 201800344]</x:v>
      </x:c>
      <x:c r="K1610" s="8" t="str">
        <x:v>식품의약품안전처 의약품개요정보(e약은요) OpenAPI
https://apis.data.go.kr/1471000/DrbEasyDrugInfoService/getDrbEasyDrugList</x:v>
      </x:c>
    </x:row>
    <x:row r="1611" ht="62" customHeight="1">
      <x:c r="A1611" s="9" t="n">
        <x:v>1610</x:v>
      </x:c>
      <x:c r="B1611" s="6" t="str">
        <x:v>최종 평가</x:v>
      </x:c>
      <x:c r="C1611" s="6" t="str">
        <x:v>복약</x:v>
      </x:c>
      <x:c r="D1611" s="6" t="str">
        <x:v>원인·위험요인</x:v>
      </x:c>
      <x:c r="E1611" s="6" t="str">
        <x:v>답변 가능</x:v>
      </x:c>
      <x:c r="F1611" s="6" t="str">
        <x:v>보통</x:v>
      </x:c>
      <x:c r="G1611" s="8" t="str">
        <x:v>카바몰플러스정을 사용하기 전에 특히 조심해야 하는 사람은 누구인가요?</x:v>
      </x:c>
      <x:c r="H1611" s="8" t="str">
        <x:v>이 제품을 사용하기 전에 특히 확인해야 할 대상과 상황은 다음과 같습니다. 이 약을 복용하가 전에 알레르기 체질, 약에 의한 발열, 발진, 관절통, 천식, 가려움증 등의 알레르기 증상 경험자, 수두 또는 인플루엔자에 감염되어 있거나 또는 의심되는 영아, 유아 및 (14세 이하) 어린이, 임부 또는 임신하고 있을 가능성이 있는 부인, 수유부, 노인, 몸이 약한 사람 또는 고열이 있는 사람, 간장, 신장, 갑상선질환, 당뇨병, 고혈압 등이 있는 사람은 의사 또는 약사와 상의하십시오. 여러 차례 복용하여도 증상의 개선이 없을 경우에는 이 약의 복용을 즉각 중지하고 의사 또는 약사와 상의하십시오. 어린이는 보호자의 지도 및 감독하에 복용하십시오. 장기간 계속 복용하지 마십시오.</x:v>
      </x:c>
      <x:c r="I1611" s="8" t="str">
        <x:v>이 약을 복용하가 전에 알레르기 체질, 약에 의한 발열, 발진, 관절통, 천식, 가려움증 등의 알레르기 증상 경험자, 수두 또는 인플루엔자에 감염되어 있거나 또는 의심되는 영아, 유아 및 (14세 이하) 어린이, 임부 또는 임신하고 있을 가능성이 있는 부인, 수유부, 노인, 몸이 약한 사람 또는 고열이 있는 사람, 간장, 신장, 갑상선질환, 당뇨병, 고혈압 등이 있는 사람은 의사 또는 약사와 상의하십시오. 여러 차례 복용하여도 증상의 개선이 없을 경우에는 이 약의 복용을 즉각 중지하고 의사 또는 약사와 상의하십시오. 어린이는 보호자의 지도 및 감독하에 복용하십시오. 장기간 계속 복용하지 마십시오.</x:v>
      </x:c>
      <x:c r="J1611" s="8" t="str">
        <x:v>카바몰플러스정 [품목기준코드 202401098]</x:v>
      </x:c>
      <x:c r="K1611" s="8" t="str">
        <x:v>식품의약품안전처 의약품개요정보(e약은요) OpenAPI
https://apis.data.go.kr/1471000/DrbEasyDrugInfoService/getDrbEasyDrugList</x:v>
      </x:c>
    </x:row>
    <x:row r="1612" ht="62" customHeight="1">
      <x:c r="A1612" s="9" t="n">
        <x:v>1611</x:v>
      </x:c>
      <x:c r="B1612" s="6" t="str">
        <x:v>최종 평가</x:v>
      </x:c>
      <x:c r="C1612" s="6" t="str">
        <x:v>복약</x:v>
      </x:c>
      <x:c r="D1612" s="6" t="str">
        <x:v>금기·경고</x:v>
      </x:c>
      <x:c r="E1612" s="6" t="str">
        <x:v>답변 가능</x:v>
      </x:c>
      <x:c r="F1612" s="6" t="str">
        <x:v>쉬움</x:v>
      </x:c>
      <x:c r="G1612" s="8" t="str">
        <x:v>헥시덱스-4액(클로르헥시딘글루콘산염액)을 사용하면 안 되거나 반드시 확인해야 할 경고사항은 무엇인가요?</x:v>
      </x:c>
      <x:c r="H1612" s="8" t="str">
        <x:v>이 약에 과민증 경험자는 사용하지 마십시오. 다른 약물에 과민증 환자, 천식 등 알레르기 질환 및 그 경험 또는 가족력이 있는 환자, 임부 또는 임신하고 있을 가능성이 있는 부인 또는 수유부는 의사 또는 약사와 상의하십시오.</x:v>
      </x:c>
      <x:c r="I1612" s="8" t="str">
        <x:v>이 약에 과민증 경험자는 사용하지 마십시오. 다른 약물에 과민증 환자, 천식 등 알레르기 질환 및 그 경험 또는 가족력이 있는 환자, 임부 또는 임신하고 있을 가능성이 있는 부인 또는 수유부는 의사 또는 약사와 상의하십시오.</x:v>
      </x:c>
      <x:c r="J1612" s="8" t="str">
        <x:v>헥시덱스-4액(클로르헥시딘글루콘산염액) [품목기준코드 200201841]</x:v>
      </x:c>
      <x:c r="K1612" s="8" t="str">
        <x:v>식품의약품안전처 의약품개요정보(e약은요) OpenAPI
https://apis.data.go.kr/1471000/DrbEasyDrugInfoService/getDrbEasyDrugList</x:v>
      </x:c>
    </x:row>
    <x:row r="1613" ht="62" customHeight="1">
      <x:c r="A1613" s="9" t="n">
        <x:v>1612</x:v>
      </x:c>
      <x:c r="B1613" s="6" t="str">
        <x:v>최종 평가</x:v>
      </x:c>
      <x:c r="C1613" s="6" t="str">
        <x:v>복약</x:v>
      </x:c>
      <x:c r="D1613" s="6" t="str">
        <x:v>증상·이상반응</x:v>
      </x:c>
      <x:c r="E1613" s="6" t="str">
        <x:v>답변 가능</x:v>
      </x:c>
      <x:c r="F1613" s="6" t="str">
        <x:v>쉬움</x:v>
      </x:c>
      <x:c r="G1613" s="8" t="str">
        <x:v>삐콤씨이브정을 사용하면 어떤 부작용이 생길 수 있나요?</x:v>
      </x:c>
      <x:c r="H1613" s="8" t="str">
        <x:v>e약은요에는 다음과 같은 이상반응이 안내되어 있습니다. 위부불쾌감, 설사, 변비, 발진, 발적, 구역, 구토, 묽은 변, 식욕부진(삭제), 두드러기, 가려움, 광선과민반응, 복부(배부분)·위통증, 경련, 열, 혼수, 붉은 반점, 심장박동정지, 중추신경계 기능저하, 고칼륨혈증, 가스참, 위장통증, 생리가 예정보다 빨라지거나 양이 점점 많아지거나, 출혈이 오래 지속되는 증상이 나타나는 경우 복용을 즉각 중지하고 의사 또는 약사와 상의하십시오.</x:v>
      </x:c>
      <x:c r="I1613" s="8" t="str">
        <x:v>위부불쾌감, 설사, 변비, 발진, 발적, 구역, 구토, 묽은 변, 식욕부진(삭제), 두드러기, 가려움, 광선과민반응, 복부(배부분)·위통증, 경련, 열, 혼수, 붉은 반점, 심장박동정지, 중추신경계 기능저하, 고칼륨혈증, 가스참, 위장통증, 생리가 예정보다 빨라지거나 양이 점점 많아지거나, 출혈이 오래 지속되는 증상이 나타나는 경우 복용을 즉각 중지하고 의사 또는 약사와 상의하십시오.</x:v>
      </x:c>
      <x:c r="J1613" s="8" t="str">
        <x:v>삐콤씨이브정 [품목기준코드 201201051]</x:v>
      </x:c>
      <x:c r="K1613" s="8" t="str">
        <x:v>식품의약품안전처 의약품개요정보(e약은요) OpenAPI
https://apis.data.go.kr/1471000/DrbEasyDrugInfoService/getDrbEasyDrugList</x:v>
      </x:c>
    </x:row>
    <x:row r="1614" ht="62" customHeight="1">
      <x:c r="A1614" s="9" t="n">
        <x:v>1613</x:v>
      </x:c>
      <x:c r="B1614" s="6" t="str">
        <x:v>최종 평가</x:v>
      </x:c>
      <x:c r="C1614" s="6" t="str">
        <x:v>복약</x:v>
      </x:c>
      <x:c r="D1614" s="6" t="str">
        <x:v>보관·관리</x:v>
      </x:c>
      <x:c r="E1614" s="6" t="str">
        <x:v>답변 가능</x:v>
      </x:c>
      <x:c r="F1614" s="6" t="str">
        <x:v>쉬움</x:v>
      </x:c>
      <x:c r="G1614" s="8" t="str">
        <x:v>엑스칠플러스연고은 어떻게 보관해야 하나요?</x:v>
      </x:c>
      <x:c r="H1614" s="8" t="str">
        <x:v>습기와 빛을 피해 실온에서 보관하십시오.어린이의 손이 닿지 않는 곳에 보관하십시오.</x:v>
      </x:c>
      <x:c r="I1614" s="8" t="str">
        <x:v>습기와 빛을 피해 실온에서 보관하십시오.어린이의 손이 닿지 않는 곳에 보관하십시오.</x:v>
      </x:c>
      <x:c r="J1614" s="8" t="str">
        <x:v>엑스칠플러스연고 [품목기준코드 200607841]</x:v>
      </x:c>
      <x:c r="K1614" s="8" t="str">
        <x:v>식품의약품안전처 의약품개요정보(e약은요) OpenAPI
https://apis.data.go.kr/1471000/DrbEasyDrugInfoService/getDrbEasyDrugList</x:v>
      </x:c>
    </x:row>
    <x:row r="1615" ht="62" customHeight="1">
      <x:c r="A1615" s="9" t="n">
        <x:v>1614</x:v>
      </x:c>
      <x:c r="B1615" s="6" t="str">
        <x:v>최종 평가</x:v>
      </x:c>
      <x:c r="C1615" s="6" t="str">
        <x:v>복약</x:v>
      </x:c>
      <x:c r="D1615" s="6" t="str">
        <x:v>상호작용</x:v>
      </x:c>
      <x:c r="E1615" s="6" t="str">
        <x:v>답변 가능</x:v>
      </x:c>
      <x:c r="F1615" s="6" t="str">
        <x:v>쉬움</x:v>
      </x:c>
      <x:c r="G1615" s="8" t="str">
        <x:v>비알이부펜시럽(이부프로펜)과 함께 사용하거나 먹을 때 주의해야 할 약이나 음식이 있나요?</x:v>
      </x:c>
      <x:c r="H1615" s="8" t="str">
        <x:v>항암요법으로 고용량 메토트렉세이트를 투여중인 환자, 다른 비스테로이드성 소염진통제와 함께 이 약을 복용하지 마십시오. 이 약을 복용하기 전에 저용량 아스피린, ACE 저해제 복용자, 리튬, 푸로세미드 및 티아지드계 이뇨제, 저용량 메토트렉세이트, 쿠마린계 항응혈제(와파린 등), 선택적 세로토닌 재흡수억제를 복용하는 환자는 의사 또는 약사와 상의하십시오.</x:v>
      </x:c>
      <x:c r="I1615" s="8" t="str">
        <x:v>항암요법으로 고용량 메토트렉세이트를 투여중인 환자, 다른 비스테로이드성 소염진통제와 함께 이 약을 복용하지 마십시오. 이 약을 복용하기 전에 저용량 아스피린, ACE 저해제 복용자, 리튬, 푸로세미드 및 티아지드계 이뇨제, 저용량 메토트렉세이트, 쿠마린계 항응혈제(와파린 등), 선택적 세로토닌 재흡수억제를 복용하는 환자는 의사 또는 약사와 상의하십시오.</x:v>
      </x:c>
      <x:c r="J1615" s="8" t="str">
        <x:v>비알이부펜시럽(이부프로펜) [품목기준코드 201405818]</x:v>
      </x:c>
      <x:c r="K1615" s="8" t="str">
        <x:v>식품의약품안전처 의약품개요정보(e약은요) OpenAPI
https://apis.data.go.kr/1471000/DrbEasyDrugInfoService/getDrbEasyDrugList</x:v>
      </x:c>
    </x:row>
    <x:row r="1616" ht="62" customHeight="1">
      <x:c r="A1616" s="9" t="n">
        <x:v>1615</x:v>
      </x:c>
      <x:c r="B1616" s="6" t="str">
        <x:v>최종 평가</x:v>
      </x:c>
      <x:c r="C1616" s="6" t="str">
        <x:v>복약</x:v>
      </x:c>
      <x:c r="D1616" s="6" t="str">
        <x:v>증상→대상 구분</x:v>
      </x:c>
      <x:c r="E1616" s="6" t="str">
        <x:v>답변 가능</x:v>
      </x:c>
      <x:c r="F1616" s="6" t="str">
        <x:v>어려움</x:v>
      </x:c>
      <x:c r="G1616" s="8" t="str">
        <x:v>알레스탑-에스정을 사용한 뒤 발진이 생겼는데, 이 약의 부작용으로 안내되어 있나요?</x:v>
      </x:c>
      <x:c r="H1616" s="8" t="str">
        <x:v>발진은 이 제품의 e약은요 부작용 항목에 기재되어 있습니다. 다만 이 정보만으로 현재 증상의 원인이 해당 약이라고 확정할 수는 없습니다.</x:v>
      </x:c>
      <x:c r="I1616" s="8" t="str">
        <x:v>식욕부진, 위부(상복부)불쾌감, 구역, 구토, 복통, 설사, 발진, 발적(충혈되어 붉어짐), 구갈(목마름), 심한 복통을 수반하는 설사 등이 나타나는 경우 복용을 즉각 중지하고 의사 또는 약사와 상의하십시오.묽은 변이 나타날 수 있습니다.</x:v>
      </x:c>
      <x:c r="J1616" s="8" t="str">
        <x:v>알레스탑-에스정 [품목기준코드 200402585]</x:v>
      </x:c>
      <x:c r="K1616" s="8" t="str">
        <x:v>식품의약품안전처 의약품개요정보(e약은요) OpenAPI
https://apis.data.go.kr/1471000/DrbEasyDrugInfoService/getDrbEasyDrugList</x:v>
      </x:c>
    </x:row>
    <x:row r="1617" ht="62" customHeight="1">
      <x:c r="A1617" s="9" t="n">
        <x:v>1616</x:v>
      </x:c>
      <x:c r="B1617" s="6" t="str">
        <x:v>최종 평가</x:v>
      </x:c>
      <x:c r="C1617" s="6" t="str">
        <x:v>복약</x:v>
      </x:c>
      <x:c r="D1617" s="6" t="str">
        <x:v>상호작용</x:v>
      </x:c>
      <x:c r="E1617" s="6" t="str">
        <x:v>답변 가능</x:v>
      </x:c>
      <x:c r="F1617" s="6" t="str">
        <x:v>쉬움</x:v>
      </x:c>
      <x:c r="G1617" s="8" t="str">
        <x:v>씨엠지암브록솔정(암브록솔염산염)과 함께 사용하거나 먹을 때 주의해야 할 약이나 음식이 있나요?</x:v>
      </x:c>
      <x:c r="H1617" s="8" t="str">
        <x:v>에리트로마이신, 세팔렉신, 옥시테트라사이클린, 아목시실린, 새퓨록심, 독시사이클린 등의 항생물질과 함께 복용 시 의사 또는 약사와 상의하십시오.</x:v>
      </x:c>
      <x:c r="I1617" s="8" t="str">
        <x:v>에리트로마이신, 세팔렉신, 옥시테트라사이클린, 아목시실린, 새퓨록심, 독시사이클린 등의 항생물질과 함께 복용 시 의사 또는 약사와 상의하십시오.</x:v>
      </x:c>
      <x:c r="J1617" s="8" t="str">
        <x:v>씨엠지암브록솔정(암브록솔염산염) [품목기준코드 202400659]</x:v>
      </x:c>
      <x:c r="K1617" s="8" t="str">
        <x:v>식품의약품안전처 의약품개요정보(e약은요) OpenAPI
https://apis.data.go.kr/1471000/DrbEasyDrugInfoService/getDrbEasyDrugList</x:v>
      </x:c>
    </x:row>
    <x:row r="1618" ht="62" customHeight="1">
      <x:c r="A1618" s="9" t="n">
        <x:v>1617</x:v>
      </x:c>
      <x:c r="B1618" s="6" t="str">
        <x:v>최종 평가</x:v>
      </x:c>
      <x:c r="C1618" s="6" t="str">
        <x:v>복약</x:v>
      </x:c>
      <x:c r="D1618" s="6" t="str">
        <x:v>상호작용</x:v>
      </x:c>
      <x:c r="E1618" s="6" t="str">
        <x:v>답변 가능</x:v>
      </x:c>
      <x:c r="F1618" s="6" t="str">
        <x:v>쉬움</x:v>
      </x:c>
      <x:c r="G1618" s="8" t="str">
        <x:v>노스핀캡슐과 함께 사용하거나 먹을 때 주의해야 할 약이나 음식이 있나요?</x:v>
      </x:c>
      <x:c r="H1618" s="8" t="str">
        <x:v>이 약을 복용하는 동안 다른 진해거담제, 감기약, 항히스타민제를 함유하는 내복약(비염용 경구제, 멀미약, 알레르기용약), 진정제를 복용하지 마십시오. MAO 억제제(항우울제, 항정신병제, 감정조절제, 항파킨슨제 등)를 복용하고 있거나 복용을 중단한 후 2주 이내의 사람은 이 약을 복용하지 마십시오.</x:v>
      </x:c>
      <x:c r="I1618" s="8" t="str">
        <x:v>이 약을 복용하는 동안 다른 진해거담제, 감기약, 항히스타민제를 함유하는 내복약(비염용 경구제, 멀미약, 알레르기용약), 진정제를 복용하지 마십시오. MAO 억제제(항우울제, 항정신병제, 감정조절제, 항파킨슨제 등)를 복용하고 있거나 복용을 중단한 후 2주 이내의 사람은 이 약을 복용하지 마십시오.</x:v>
      </x:c>
      <x:c r="J1618" s="8" t="str">
        <x:v>노스핀캡슐 [품목기준코드 200906281]</x:v>
      </x:c>
      <x:c r="K1618" s="8" t="str">
        <x:v>식품의약품안전처 의약품개요정보(e약은요) OpenAPI
https://apis.data.go.kr/1471000/DrbEasyDrugInfoService/getDrbEasyDrugList</x:v>
      </x:c>
    </x:row>
    <x:row r="1619" ht="62" customHeight="1">
      <x:c r="A1619" s="9" t="n">
        <x:v>1618</x:v>
      </x:c>
      <x:c r="B1619" s="6" t="str">
        <x:v>최종 평가</x:v>
      </x:c>
      <x:c r="C1619" s="6" t="str">
        <x:v>복약</x:v>
      </x:c>
      <x:c r="D1619" s="6" t="str">
        <x:v>실용·응급대처</x:v>
      </x:c>
      <x:c r="E1619" s="6" t="str">
        <x:v>답변 가능</x:v>
      </x:c>
      <x:c r="F1619" s="6" t="str">
        <x:v>보통</x:v>
      </x:c>
      <x:c r="G1619" s="8" t="str">
        <x:v>하이비날골드정 사용 후 심한 이상반응이 나타나면 어떻게 해야 하나요?</x:v>
      </x:c>
      <x:c r="H1619" s="8" t="str">
        <x:v>위부불쾌감, 설사, 변비, 발진, 발적(충혈되어 붉어짐), 구역, 구토, 묽은 변, 구내염(입안염), 식욕부진, 복부팽만감, 두드러기, 가려움, 광선과민반응, 복부•위통증, 경련, 열, 혼수, 붉은 반점, 심장박동정지, 중추신경계 기능저하, 피부염, 땀•호흡시 악취, 탈모, 조급증, 위장관장애, 소화장애, 상복부통증, 저혈압, 폐부종, 생리가 예정보다 빨라지거나 양이 점점 많아지고, 출혈이 오래 지속 되는 경우 복용을 즉각 중지하고 의사 또는 약사와 상의하십시오.</x:v>
      </x:c>
      <x:c r="I1619" s="8" t="str">
        <x:v>위부불쾌감, 설사, 변비, 발진, 발적(충혈되어 붉어짐), 구역, 구토, 묽은 변, 구내염(입안염), 식욕부진, 복부팽만감, 두드러기, 가려움, 광선과민반응, 복부•위통증, 경련, 열, 혼수, 붉은 반점, 심장박동정지, 중추신경계 기능저하, 피부염, 땀•호흡시 악취, 탈모, 조급증, 위장관장애, 소화장애, 상복부통증, 저혈압, 폐부종, 생리가 예정보다 빨라지거나 양이 점점 많아지고, 출혈이 오래 지속 되는 경우 복용을 즉각 중지하고 의사 또는 약사와 상의하십시오.</x:v>
      </x:c>
      <x:c r="J1619" s="8" t="str">
        <x:v>하이비날골드정 [품목기준코드 200300703]</x:v>
      </x:c>
      <x:c r="K1619" s="8" t="str">
        <x:v>식품의약품안전처 의약품개요정보(e약은요) OpenAPI
https://apis.data.go.kr/1471000/DrbEasyDrugInfoService/getDrbEasyDrugList</x:v>
      </x:c>
    </x:row>
    <x:row r="1620" ht="62" customHeight="1">
      <x:c r="A1620" s="9" t="n">
        <x:v>1619</x:v>
      </x:c>
      <x:c r="B1620" s="6" t="str">
        <x:v>최종 평가</x:v>
      </x:c>
      <x:c r="C1620" s="6" t="str">
        <x:v>복약</x:v>
      </x:c>
      <x:c r="D1620" s="6" t="str">
        <x:v>답변불가·가격·재고</x:v>
      </x:c>
      <x:c r="E1620" s="6" t="str">
        <x:v>답변 거부</x:v>
      </x:c>
      <x:c r="F1620" s="6" t="str">
        <x:v>어려움</x:v>
      </x:c>
      <x:c r="G1620" s="8" t="str">
        <x:v>오늘 제 주변 약국에서 파세몰시럽(아세트아미노펜)이 가장 싼 곳과 재고 수량을 알려주세요.</x:v>
      </x:c>
      <x:c r="H1620" s="8" t="str">
        <x:v>제공된 e약은요 VDB에는 실시간 약국별 가격과 재고 정보가 없어 답할 수 없습니다.</x:v>
      </x:c>
      <x:c r="I1620" s="8" t="str">
        <x:v>VDB 범위 밖 질문 — 근거 없음</x:v>
      </x:c>
      <x:c r="J1620" s="8" t="str">
        <x:v>파세몰시럽(아세트아미노펜) [품목기준코드 202202278]</x:v>
      </x:c>
      <x:c r="K1620" s="8" t="str">
        <x:v>식품의약품안전처 의약품개요정보(e약은요) OpenAPI
https://apis.data.go.kr/1471000/DrbEasyDrugInfoService/getDrbEasyDrugList</x:v>
      </x:c>
    </x:row>
    <x:row r="1621" ht="62" customHeight="1">
      <x:c r="A1621" s="9" t="n">
        <x:v>1620</x:v>
      </x:c>
      <x:c r="B1621" s="6" t="str">
        <x:v>최종 평가</x:v>
      </x:c>
      <x:c r="C1621" s="6" t="str">
        <x:v>복약</x:v>
      </x:c>
      <x:c r="D1621" s="6" t="str">
        <x:v>효능·사용목적</x:v>
      </x:c>
      <x:c r="E1621" s="6" t="str">
        <x:v>답변 가능</x:v>
      </x:c>
      <x:c r="F1621" s="6" t="str">
        <x:v>쉬움</x:v>
      </x:c>
      <x:c r="G1621" s="8" t="str">
        <x:v>헥시탄0.5%액(클로르헥시딘글루콘산염액)은 어떤 증상이나 질환에 사용하는 약인가요?</x:v>
      </x:c>
      <x:c r="H1621" s="8" t="str">
        <x:v>이 약은 손 및 피부의 소독(보건위생종사자 및 수술 시 수술자의 손 소독, 수술부위 피부의 소독은 제외), 의료용구의 소독, 가구, 기구 등의 소독, 피부의 창상부위 소독에 사용합니다.</x:v>
      </x:c>
      <x:c r="I1621" s="8" t="str">
        <x:v>이 약은 손 및 피부의 소독(보건위생종사자 및 수술 시 수술자의 손 소독, 수술부위 피부의 소독은 제외), 의료용구의 소독, 가구, 기구 등의 소독, 피부의 창상부위 소독에 사용합니다.</x:v>
      </x:c>
      <x:c r="J1621" s="8" t="str">
        <x:v>헥시탄0.5%액(클로르헥시딘글루콘산염액) [품목기준코드 201200989]</x:v>
      </x:c>
      <x:c r="K1621" s="8" t="str">
        <x:v>식품의약품안전처 의약품개요정보(e약은요) OpenAPI
https://apis.data.go.kr/1471000/DrbEasyDrugInfoService/getDrbEasyDrugList</x:v>
      </x:c>
    </x:row>
    <x:row r="1622" ht="62" customHeight="1">
      <x:c r="A1622" s="9" t="n">
        <x:v>1621</x:v>
      </x:c>
      <x:c r="B1622" s="6" t="str">
        <x:v>최종 평가</x:v>
      </x:c>
      <x:c r="C1622" s="6" t="str">
        <x:v>복약</x:v>
      </x:c>
      <x:c r="D1622" s="6" t="str">
        <x:v>원인·위험요인</x:v>
      </x:c>
      <x:c r="E1622" s="6" t="str">
        <x:v>답변 가능</x:v>
      </x:c>
      <x:c r="F1622" s="6" t="str">
        <x:v>보통</x:v>
      </x:c>
      <x:c r="G1622" s="8" t="str">
        <x:v>로페랄연질캡슐을 사용하기 전에 특히 조심해야 하는 사람은 누구인가요?</x:v>
      </x:c>
      <x:c r="H1622" s="8" t="str">
        <x:v>이 제품을 사용하기 전에 특히 확인해야 할 대상과 상황은 다음과 같습니다. 이 약 또는 대두유, 콩, 땅콩에 과민증 환자, 만 3개월 미만의 젖먹이는 이 약을 복용하지 마십시오. 이 약을 복용하기 전에 만 1세 미만의 젖먹이, 임부 및 임신하고 있을 가능성이 있는 여성, 수유부, 미숙아, 유아, 고옥살산뇨증(뇨중에 과량의 수산염이 배설되는 상태), 고지단백혈증, 당뇨병성고지질혈증 및 췌장염 등 지방대사 이상 환자 또는 지질성 유제를 신중히 투여해야 하는 환자, 지방과부하로 특별한 위험이 예상되는 환자, 혈전(혈관 막힘)성 소인이 있는 환자, 폴산이 부족한 환자, 황색5호에 과민증 환자 또는 경험자는 의사 또는 약사와 상의하십시오. 어린이에게 투여할 경우 보호자의 지도 감독하에 투여하십시오. 1개월 정도 복용하여도 증상의 개선이 없을 경우 복용을 즉각 중지하고 의사 또는 약사와 상의하십시오.</x:v>
      </x:c>
      <x:c r="I1622" s="8" t="str">
        <x:v>이 약 또는 대두유, 콩, 땅콩에 과민증 환자, 만 3개월 미만의 젖먹이는 이 약을 복용하지 마십시오. 이 약을 복용하기 전에 만 1세 미만의 젖먹이, 임부 및 임신하고 있을 가능성이 있는 여성, 수유부, 미숙아, 유아, 고옥살산뇨증(뇨중에 과량의 수산염이 배설되는 상태), 고지단백혈증, 당뇨병성고지질혈증 및 췌장염 등 지방대사 이상 환자 또는 지질성 유제를 신중히 투여해야 하는 환자, 지방과부하로 특별한 위험이 예상되는 환자, 혈전(혈관 막힘)성 소인이 있는 환자, 폴산이 부족한 환자, 황색5호에 과민증 환자 또는 경험자는 의사 또는 약사와 상의하십시오. 어린이에게 투여할 경우 보호자의 지도 감독하에 투여하십시오. 1개월 정도 복용하여도 증상의 개선이 없을 경우 복용을 즉각 중지하고 의사 또는 약사와 상의하십시오.</x:v>
      </x:c>
      <x:c r="J1622" s="8" t="str">
        <x:v>로페랄연질캡슐 [품목기준코드 199702618]</x:v>
      </x:c>
      <x:c r="K1622" s="8" t="str">
        <x:v>식품의약품안전처 의약품개요정보(e약은요) OpenAPI
https://apis.data.go.kr/1471000/DrbEasyDrugInfoService/getDrbEasyDrugList</x:v>
      </x:c>
    </x:row>
    <x:row r="1623" ht="62" customHeight="1">
      <x:c r="A1623" s="9" t="n">
        <x:v>1622</x:v>
      </x:c>
      <x:c r="B1623" s="6" t="str">
        <x:v>최종 평가</x:v>
      </x:c>
      <x:c r="C1623" s="6" t="str">
        <x:v>복약</x:v>
      </x:c>
      <x:c r="D1623" s="6" t="str">
        <x:v>원인·위험요인</x:v>
      </x:c>
      <x:c r="E1623" s="6" t="str">
        <x:v>답변 가능</x:v>
      </x:c>
      <x:c r="F1623" s="6" t="str">
        <x:v>보통</x:v>
      </x:c>
      <x:c r="G1623" s="8" t="str">
        <x:v>디센트에스정을 사용하기 전에 특히 조심해야 하는 사람은 누구인가요?</x:v>
      </x:c>
      <x:c r="H1623" s="8" t="str">
        <x:v>이 제품을 사용하기 전에 특히 확인해야 할 대상과 상황은 다음과 같습니다. 급성 복부질환(충수염, 장출혈, 궤양성 결장염 등), 장폐색(창자막힘), 갈락토오스 불내성, Lapp 유당분해효소 결핍증 또는 포도당-갈락토오스 흡수장애 등의 유전적인 문제가 있는 환자는 이 약을 복용하지 마십시오. 이 약을 복용하기 전에 심한 복통 또는 구역, 구토 환자, 임부 또는 임신하고 있을 가능성이 있는 여성, 신장장애 환자, 나트륨 제한 식이를 하는 사람, 직장의 출혈 혹은 장부전 경험자, 만 10세 이하의 어린이는 의사 또는 약사와 상의하십시오. 1주 정도 복용하여도 변비의 개선이 없을 경우 복용을 즉각 중지하고 의사 또는 약사와 상의하십시오.</x:v>
      </x:c>
      <x:c r="I1623" s="8" t="str">
        <x:v>급성 복부질환(충수염, 장출혈, 궤양성 결장염 등), 장폐색(창자막힘), 갈락토오스 불내성, Lapp 유당분해효소 결핍증 또는 포도당-갈락토오스 흡수장애 등의 유전적인 문제가 있는 환자는 이 약을 복용하지 마십시오. 이 약을 복용하기 전에 심한 복통 또는 구역, 구토 환자, 임부 또는 임신하고 있을 가능성이 있는 여성, 신장장애 환자, 나트륨 제한 식이를 하는 사람, 직장의 출혈 혹은 장부전 경험자, 만 10세 이하의 어린이는 의사 또는 약사와 상의하십시오. 1주 정도 복용하여도 변비의 개선이 없을 경우 복용을 즉각 중지하고 의사 또는 약사와 상의하십시오.</x:v>
      </x:c>
      <x:c r="J1623" s="8" t="str">
        <x:v>디센트에스정 [품목기준코드 201404271]</x:v>
      </x:c>
      <x:c r="K1623" s="8" t="str">
        <x:v>식품의약품안전처 의약품개요정보(e약은요) OpenAPI
https://apis.data.go.kr/1471000/DrbEasyDrugInfoService/getDrbEasyDrugList</x:v>
      </x:c>
    </x:row>
    <x:row r="1624" ht="62" customHeight="1">
      <x:c r="A1624" s="9" t="n">
        <x:v>1623</x:v>
      </x:c>
      <x:c r="B1624" s="6" t="str">
        <x:v>최종 평가</x:v>
      </x:c>
      <x:c r="C1624" s="6" t="str">
        <x:v>복약</x:v>
      </x:c>
      <x:c r="D1624" s="6" t="str">
        <x:v>증상→대상 구분</x:v>
      </x:c>
      <x:c r="E1624" s="6" t="str">
        <x:v>답변 가능</x:v>
      </x:c>
      <x:c r="F1624" s="6" t="str">
        <x:v>어려움</x:v>
      </x:c>
      <x:c r="G1624" s="8" t="str">
        <x:v>아이엔점안액(순), 아이엔점안액(쿨), 아이엔점안액(쿨하이)을 사용한 뒤 발진이 생겼는데, 이 약의 부작용으로 안내되어 있나요?</x:v>
      </x:c>
      <x:c r="H1624" s="8" t="str">
        <x:v>발진은 이 제품의 e약은요 부작용 항목에 기재되어 있습니다. 다만 이 정보만으로 현재 증상의 원인이 해당 약이라고 확정할 수는 없습니다.</x:v>
      </x:c>
      <x:c r="I1624" s="8" t="str">
        <x:v>발진, 발적(충혈되어 붉어짐), 가려움, 눈의 충혈, 가려움, 부기, 하드콘택트렌즈를 장착한 환자에서 눈곱 등의 분비물이 많고, 렌즈가 흐려지는 경우 사용을 즉각 중지하고 의사 또는 약사와 상의하십시오.</x:v>
      </x:c>
      <x:c r="J1624" s="8" t="str">
        <x:v>아이엔점안액(순), 아이엔점안액(쿨), 아이엔점안액(쿨하이) [품목기준코드 202003708]</x:v>
      </x:c>
      <x:c r="K1624" s="8" t="str">
        <x:v>식품의약품안전처 의약품개요정보(e약은요) OpenAPI
https://apis.data.go.kr/1471000/DrbEasyDrugInfoService/getDrbEasyDrugList</x:v>
      </x:c>
    </x:row>
    <x:row r="1625" ht="62" customHeight="1">
      <x:c r="A1625" s="9" t="n">
        <x:v>1624</x:v>
      </x:c>
      <x:c r="B1625" s="6" t="str">
        <x:v>최종 평가</x:v>
      </x:c>
      <x:c r="C1625" s="6" t="str">
        <x:v>복약</x:v>
      </x:c>
      <x:c r="D1625" s="6" t="str">
        <x:v>상호작용</x:v>
      </x:c>
      <x:c r="E1625" s="6" t="str">
        <x:v>답변 가능</x:v>
      </x:c>
      <x:c r="F1625" s="6" t="str">
        <x:v>쉬움</x:v>
      </x:c>
      <x:c r="G1625" s="8" t="str">
        <x:v>마이펜엑스정과 함께 사용하거나 먹을 때 주의해야 할 약이나 음식이 있나요?</x:v>
      </x:c>
      <x:c r="H1625" s="8" t="str">
        <x:v>다른 해열진통제, 감기약, 진정약 등과 함께 복용하지 마십시오.</x:v>
      </x:c>
      <x:c r="I1625" s="8" t="str">
        <x:v>다른 해열진통제, 감기약, 진정약 등과 함께 복용하지 마십시오.</x:v>
      </x:c>
      <x:c r="J1625" s="8" t="str">
        <x:v>마이펜엑스정 [품목기준코드 202400920]</x:v>
      </x:c>
      <x:c r="K1625" s="8" t="str">
        <x:v>식품의약품안전처 의약품개요정보(e약은요) OpenAPI
https://apis.data.go.kr/1471000/DrbEasyDrugInfoService/getDrbEasyDrugList</x:v>
      </x:c>
    </x:row>
    <x:row r="1626" ht="62" customHeight="1">
      <x:c r="A1626" s="9" t="n">
        <x:v>1625</x:v>
      </x:c>
      <x:c r="B1626" s="6" t="str">
        <x:v>최종 평가</x:v>
      </x:c>
      <x:c r="C1626" s="6" t="str">
        <x:v>복약</x:v>
      </x:c>
      <x:c r="D1626" s="6" t="str">
        <x:v>대상별 정보</x:v>
      </x:c>
      <x:c r="E1626" s="6" t="str">
        <x:v>답변 가능</x:v>
      </x:c>
      <x:c r="F1626" s="6" t="str">
        <x:v>쉬움</x:v>
      </x:c>
      <x:c r="G1626" s="8" t="str">
        <x:v>어린이나 소아가 맨담한방고카타플라스마을 사용해도 되나요?</x:v>
      </x:c>
      <x:c r="H1626" s="8" t="str">
        <x:v>e약은요에서 어린이·소아과 관련해 안내한 내용은 다음과 같습니다. 30개월 이하의 유아, 습진, 옻 등에 의한 피부염, 상처 부위에 이 약을 사용하지 마십시오. 이 약에 과민증 환자, 화장품 등에 의한 알레르기 증상(발진·발적, 가려움, 옻 등에 의한 피부염 등) 경험자, 알레르기 체질인 환자, 습윤(습기 참)이나 심한 미란(짓무름) 환자, 소아, 임부 또는 임신하고 있을 가능성이 있는 여성은 의사 또는 약사와 상의하십시오. 어린이에게 투여할 경우 보호자의 지도 감독하에 투여하십시오.</x:v>
      </x:c>
      <x:c r="I1626" s="8" t="str">
        <x:v>30개월 이하의 유아, 습진, 옻 등에 의한 피부염, 상처 부위에 이 약을 사용하지 마십시오. 이 약에 과민증 환자, 화장품 등에 의한 알레르기 증상(발진·발적, 가려움, 옻 등에 의한 피부염 등) 경험자, 알레르기 체질인 환자, 습윤(습기 참)이나 심한 미란(짓무름) 환자, 소아, 임부 또는 임신하고 있을 가능성이 있는 여성은 의사 또는 약사와 상의하십시오. 어린이에게 투여할 경우 보호자의 지도 감독하에 투여하십시오.</x:v>
      </x:c>
      <x:c r="J1626" s="8" t="str">
        <x:v>맨담한방고카타플라스마 [품목기준코드 200711759]</x:v>
      </x:c>
      <x:c r="K1626" s="8" t="str">
        <x:v>식품의약품안전처 의약품개요정보(e약은요) OpenAPI
https://apis.data.go.kr/1471000/DrbEasyDrugInfoService/getDrbEasyDrugList</x:v>
      </x:c>
    </x:row>
    <x:row r="1627" ht="62" customHeight="1">
      <x:c r="A1627" s="9" t="n">
        <x:v>1626</x:v>
      </x:c>
      <x:c r="B1627" s="6" t="str">
        <x:v>최종 평가</x:v>
      </x:c>
      <x:c r="C1627" s="6" t="str">
        <x:v>복약</x:v>
      </x:c>
      <x:c r="D1627" s="6" t="str">
        <x:v>실용·응급대처</x:v>
      </x:c>
      <x:c r="E1627" s="6" t="str">
        <x:v>답변 가능</x:v>
      </x:c>
      <x:c r="F1627" s="6" t="str">
        <x:v>보통</x:v>
      </x:c>
      <x:c r="G1627" s="8" t="str">
        <x:v>아이파프케어팝카타플라스마(케토프로펜) 사용 후 심한 이상반응이 나타나면 어떻게 해야 하나요?</x:v>
      </x:c>
      <x:c r="H1627" s="8" t="str">
        <x:v>건성 수포음 (거품소리), 숨을 쌕쌕거림의 천명, 호흡곤란 등의 초기증상이 나타나는 경우 이 약의 사용을 즉각 중지하고 의사 또는 약사와 상의하십시오. 드물게 쇽, 아낙필락시양 증상 (두드러기, 호흡곤란, 얼굴부기 등의 과민성유사증상) 등이 나타나는 경우 이 약의 사용을 즉각 중지하고 의사 또는 약사와 상의하십시오.</x:v>
      </x:c>
      <x:c r="I1627" s="8" t="str">
        <x:v>건성 수포음 (거품소리), 숨을 쌕쌕거림의 천명, 호흡곤란 등의 초기증상이 나타나는 경우 이 약의 사용을 즉각 중지하고 의사 또는 약사와 상의하십시오. 드물게 쇽, 아낙필락시양 증상 (두드러기, 호흡곤란, 얼굴부기 등의 과민성유사증상) 등이 나타나는 경우 이 약의 사용을 즉각 중지하고 의사 또는 약사와 상의하십시오.</x:v>
      </x:c>
      <x:c r="J1627" s="8" t="str">
        <x:v>아이파프케어팝카타플라스마(케토프로펜) [품목기준코드 202001662]</x:v>
      </x:c>
      <x:c r="K1627" s="8" t="str">
        <x:v>식품의약품안전처 의약품개요정보(e약은요) OpenAPI
https://apis.data.go.kr/1471000/DrbEasyDrugInfoService/getDrbEasyDrugList</x:v>
      </x:c>
    </x:row>
    <x:row r="1628" ht="62" customHeight="1">
      <x:c r="A1628" s="9" t="n">
        <x:v>1627</x:v>
      </x:c>
      <x:c r="B1628" s="6" t="str">
        <x:v>최종 평가</x:v>
      </x:c>
      <x:c r="C1628" s="6" t="str">
        <x:v>복약</x:v>
      </x:c>
      <x:c r="D1628" s="6" t="str">
        <x:v>실용·응급대처</x:v>
      </x:c>
      <x:c r="E1628" s="6" t="str">
        <x:v>답변 가능</x:v>
      </x:c>
      <x:c r="F1628" s="6" t="str">
        <x:v>보통</x:v>
      </x:c>
      <x:c r="G1628" s="8" t="str">
        <x:v>엑스콜큐코프시럽 사용 후 심한 이상반응이 나타나면 어떻게 해야 하나요?</x:v>
      </x:c>
      <x:c r="H1628" s="8" t="str">
        <x:v>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발진, 발적, 가려움, 구역, 구토, 식욕부진, 변비, 부종, 배뇨곤란, 목마름(지속적이거나 심한), 어지러움, 고음이온차 대사성 산증,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등이 나타나는 경우 복용을 즉각 중지하고 의사 또는 약사와 상의하십시오.</x:v>
      </x:c>
      <x:c r="I1628" s="8" t="str">
        <x:v>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발진, 발적, 가려움, 구역, 구토, 식욕부진, 변비, 부종, 배뇨곤란, 목마름(지속적이거나 심한), 어지러움, 고음이온차 대사성 산증,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등이 나타나는 경우 복용을 즉각 중지하고 의사 또는 약사와 상의하십시오.</x:v>
      </x:c>
      <x:c r="J1628" s="8" t="str">
        <x:v>엑스콜큐코프시럽 [품목기준코드 202403032]</x:v>
      </x:c>
      <x:c r="K1628" s="8" t="str">
        <x:v>식품의약품안전처 의약품개요정보(e약은요) OpenAPI
https://apis.data.go.kr/1471000/DrbEasyDrugInfoService/getDrbEasyDrugList</x:v>
      </x:c>
    </x:row>
    <x:row r="1629" ht="62" customHeight="1">
      <x:c r="A1629" s="9" t="n">
        <x:v>1628</x:v>
      </x:c>
      <x:c r="B1629" s="6" t="str">
        <x:v>최종 평가</x:v>
      </x:c>
      <x:c r="C1629" s="6" t="str">
        <x:v>복약</x:v>
      </x:c>
      <x:c r="D1629" s="6" t="str">
        <x:v>보관·관리</x:v>
      </x:c>
      <x:c r="E1629" s="6" t="str">
        <x:v>답변 가능</x:v>
      </x:c>
      <x:c r="F1629" s="6" t="str">
        <x:v>쉬움</x:v>
      </x:c>
      <x:c r="G1629" s="8" t="str">
        <x:v>캐롤엔연질캡슐(나프록센)은 어떻게 보관해야 하나요?</x:v>
      </x:c>
      <x:c r="H1629" s="8" t="str">
        <x:v>실온에서 보관하십시오. 어린이의 손이 닿지 않는 곳에 보관하십시오.</x:v>
      </x:c>
      <x:c r="I1629" s="8" t="str">
        <x:v>실온에서 보관하십시오. 어린이의 손이 닿지 않는 곳에 보관하십시오.</x:v>
      </x:c>
      <x:c r="J1629" s="8" t="str">
        <x:v>캐롤엔연질캡슐(나프록센) [품목기준코드 201306492]</x:v>
      </x:c>
      <x:c r="K1629" s="8" t="str">
        <x:v>식품의약품안전처 의약품개요정보(e약은요) OpenAPI
https://apis.data.go.kr/1471000/DrbEasyDrugInfoService/getDrbEasyDrugList</x:v>
      </x:c>
    </x:row>
    <x:row r="1630" ht="62" customHeight="1">
      <x:c r="A1630" s="9" t="n">
        <x:v>1629</x:v>
      </x:c>
      <x:c r="B1630" s="6" t="str">
        <x:v>최종 평가</x:v>
      </x:c>
      <x:c r="C1630" s="6" t="str">
        <x:v>복약</x:v>
      </x:c>
      <x:c r="D1630" s="6" t="str">
        <x:v>금기·경고</x:v>
      </x:c>
      <x:c r="E1630" s="6" t="str">
        <x:v>답변 가능</x:v>
      </x:c>
      <x:c r="F1630" s="6" t="str">
        <x:v>보통</x:v>
      </x:c>
      <x:c r="G1630" s="8" t="str">
        <x:v>팜페인프로연질캡슐(덱시부프로펜)을 사용하면 안 되거나 반드시 확인해야 할 경고사항은 무엇인가요?</x:v>
      </x:c>
      <x:c r="H1630" s="8" t="str">
        <x:v>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이 약에 과민증 환자, 아스피린이나 다른 비스테로이드성 소염진통제에 천식, 두드러기 또는 알레르기 반응 경험자, 위장관 궤양, 위장관이나 뇌혈관 또는 다른 부위의 출혈, 심한 혈액이상, 심한 간장애, 심한 신장장애, 심한 심장기능부전, 심한 고혈압, 기관지천식, 관상동맥(심장동맥) 우회로술(CABG) 전후 통증발생 환자, 임신 6개월 이상의 임부, 수유부, 크론병 또는 궤양성대장염과 같은 염증성장질환 환자, 위장관(창자) 출혈 또는 천공(뚫림)이 발생 경험자는 이 약을 복용하지 마십시오.</x:v>
      </x:c>
      <x:c r="I1630" s="8" t="str">
        <x:v>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이 약에 과민증 환자, 아스피린이나 다른 비스테로이드성 소염진통제에 천식, 두드러기 또는 알레르기 반응 경험자, 위장관 궤양, 위장관이나 뇌혈관 또는 다른 부위의 출혈, 심한 혈액이상, 심한 간장애, 심한 신장장애, 심한 심장기능부전, 심한 고혈압, 기관지천식, 관상동맥(심장동맥) 우회로술(CABG) 전후 통증발생 환자, 임신 6개월 이상의 임부, 수유부, 크론병 또는 궤양성대장염과 같은 염증성장질환 환자, 위장관(창자) 출혈 또는 천공(뚫림)이 발생 경험자는 이 약을 복용하지 마십시오.</x:v>
      </x:c>
      <x:c r="J1630" s="8" t="str">
        <x:v>팜페인프로연질캡슐(덱시부프로펜) [품목기준코드 201906058]</x:v>
      </x:c>
      <x:c r="K1630" s="8" t="str">
        <x:v>식품의약품안전처 의약품개요정보(e약은요) OpenAPI
https://apis.data.go.kr/1471000/DrbEasyDrugInfoService/getDrbEasyDrugList</x:v>
      </x:c>
    </x:row>
    <x:row r="1631" ht="62" customHeight="1">
      <x:c r="A1631" s="9" t="n">
        <x:v>1630</x:v>
      </x:c>
      <x:c r="B1631" s="6" t="str">
        <x:v>최종 평가</x:v>
      </x:c>
      <x:c r="C1631" s="6" t="str">
        <x:v>복약</x:v>
      </x:c>
      <x:c r="D1631" s="6" t="str">
        <x:v>보관·관리</x:v>
      </x:c>
      <x:c r="E1631" s="6" t="str">
        <x:v>답변 가능</x:v>
      </x:c>
      <x:c r="F1631" s="6" t="str">
        <x:v>쉬움</x:v>
      </x:c>
      <x:c r="G1631" s="8" t="str">
        <x:v>내간애액은 어떻게 보관해야 하나요?</x:v>
      </x:c>
      <x:c r="H1631" s="8" t="str">
        <x:v>습기와 빛을 피해 실온에서 보관하십시오.어린이의 손이 닿지 않는 곳에 보관하십시오.</x:v>
      </x:c>
      <x:c r="I1631" s="8" t="str">
        <x:v>습기와 빛을 피해 실온에서 보관하십시오.어린이의 손이 닿지 않는 곳에 보관하십시오.</x:v>
      </x:c>
      <x:c r="J1631" s="8" t="str">
        <x:v>내간애액 [품목기준코드 201802270]</x:v>
      </x:c>
      <x:c r="K1631" s="8" t="str">
        <x:v>식품의약품안전처 의약품개요정보(e약은요) OpenAPI
https://apis.data.go.kr/1471000/DrbEasyDrugInfoService/getDrbEasyDrugList</x:v>
      </x:c>
    </x:row>
    <x:row r="1632" ht="62" customHeight="1">
      <x:c r="A1632" s="9" t="n">
        <x:v>1631</x:v>
      </x:c>
      <x:c r="B1632" s="6" t="str">
        <x:v>최종 평가</x:v>
      </x:c>
      <x:c r="C1632" s="6" t="str">
        <x:v>복약</x:v>
      </x:c>
      <x:c r="D1632" s="6" t="str">
        <x:v>증상·이상반응</x:v>
      </x:c>
      <x:c r="E1632" s="6" t="str">
        <x:v>답변 가능</x:v>
      </x:c>
      <x:c r="F1632" s="6" t="str">
        <x:v>쉬움</x:v>
      </x:c>
      <x:c r="G1632" s="8" t="str">
        <x:v>센스카나겔을 사용하면 어떤 부작용이 생길 수 있나요?</x:v>
      </x:c>
      <x:c r="H1632" s="8" t="str">
        <x:v>e약은요에는 다음과 같은 이상반응이 안내되어 있습니다. 알레르기 반응 등이 나타나는 경우 사용을 즉각 중지하고 의사 또는 약사와 상의하십시오.</x:v>
      </x:c>
      <x:c r="I1632" s="8" t="str">
        <x:v>알레르기 반응 등이 나타나는 경우 사용을 즉각 중지하고 의사 또는 약사와 상의하십시오.</x:v>
      </x:c>
      <x:c r="J1632" s="8" t="str">
        <x:v>센스카나겔 [품목기준코드 202500569]</x:v>
      </x:c>
      <x:c r="K1632" s="8" t="str">
        <x:v>식품의약품안전처 의약품개요정보(e약은요) OpenAPI
https://apis.data.go.kr/1471000/DrbEasyDrugInfoService/getDrbEasyDrugList</x:v>
      </x:c>
    </x:row>
    <x:row r="1633" ht="62" customHeight="1">
      <x:c r="A1633" s="9" t="n">
        <x:v>1632</x:v>
      </x:c>
      <x:c r="B1633" s="6" t="str">
        <x:v>최종 평가</x:v>
      </x:c>
      <x:c r="C1633" s="6" t="str">
        <x:v>복약</x:v>
      </x:c>
      <x:c r="D1633" s="6" t="str">
        <x:v>실용·응급대처</x:v>
      </x:c>
      <x:c r="E1633" s="6" t="str">
        <x:v>답변 가능</x:v>
      </x:c>
      <x:c r="F1633" s="6" t="str">
        <x:v>보통</x:v>
      </x:c>
      <x:c r="G1633" s="8" t="str">
        <x:v>마스터치크림 사용 후 심한 이상반응이 나타나면 어떻게 해야 하나요?</x:v>
      </x:c>
      <x:c r="H1633" s="8" t="str">
        <x:v>이 약에 과민증 환자, 수유부, 18세 미만의 소아, 피부감염증(결핵, 매독, 칸디다증, 백선, 대상포진, 수두, 종두증, 옴, 사면발이), 면역계가 심각하게 손상된 환자(골수이식 환자, AIDS 환자), 고막 천공(뚫림)이 있는 습진성 외이도염, 궤양(베체트병 제외), 제2도 심재성 이상의 화상 및 동상, 입주위피부염, 보통여드름, 주사 환자, 심근경색 환자 및 경험자는 이 약을 사용하지 마십시오.이 약을 사용하기 전에 임부 또는 임신하고 있을 가능성이 있는 여성, 고령자, 프로필렌글리콜에 과민증 환자 또는 경험자는 의사 또는 약사와 상의하십시오.눈, 코, 입안 및 생식기에는 사용하지 마십시오.입술이나 입주변의 구순포진(입술물집)에만 사용하십시오.정해진 용법과 용량을 잘 지키십시오.이 약물을 희석하거나 다른 약물을 혼합하기 위한 기제로 사용하지 마십시오.</x:v>
      </x:c>
      <x:c r="I1633" s="8" t="str">
        <x:v>이 약에 과민증 환자, 수유부, 18세 미만의 소아, 피부감염증(결핵, 매독, 칸디다증, 백선, 대상포진, 수두, 종두증, 옴, 사면발이), 면역계가 심각하게 손상된 환자(골수이식 환자, AIDS 환자), 고막 천공(뚫림)이 있는 습진성 외이도염, 궤양(베체트병 제외), 제2도 심재성 이상의 화상 및 동상, 입주위피부염, 보통여드름, 주사 환자, 심근경색 환자 및 경험자는 이 약을 사용하지 마십시오.이 약을 사용하기 전에 임부 또는 임신하고 있을 가능성이 있는 여성, 고령자, 프로필렌글리콜에 과민증 환자 또는 경험자는 의사 또는 약사와 상의하십시오.눈, 코, 입안 및 생식기에는 사용하지 마십시오.입술이나 입주변의 구순포진(입술물집)에만 사용하십시오.정해진 용법과 용량을 잘 지키십시오.이 약물을 희석하거나 다른 약물을 혼합하기 위한 기제로 사용하지 마십시오.</x:v>
      </x:c>
      <x:c r="J1633" s="8" t="str">
        <x:v>마스터치크림 [품목기준코드 202002774]</x:v>
      </x:c>
      <x:c r="K1633" s="8" t="str">
        <x:v>식품의약품안전처 의약품개요정보(e약은요) OpenAPI
https://apis.data.go.kr/1471000/DrbEasyDrugInfoService/getDrbEasyDrugList</x:v>
      </x:c>
    </x:row>
    <x:row r="1634" ht="62" customHeight="1">
      <x:c r="A1634" s="9" t="n">
        <x:v>1633</x:v>
      </x:c>
      <x:c r="B1634" s="6" t="str">
        <x:v>최종 평가</x:v>
      </x:c>
      <x:c r="C1634" s="6" t="str">
        <x:v>복약</x:v>
      </x:c>
      <x:c r="D1634" s="6" t="str">
        <x:v>용어·정의</x:v>
      </x:c>
      <x:c r="E1634" s="6" t="str">
        <x:v>답변 가능</x:v>
      </x:c>
      <x:c r="F1634" s="6" t="str">
        <x:v>쉬움</x:v>
      </x:c>
      <x:c r="G1634" s="8" t="str">
        <x:v>프러스지크림은 어떤 약인가요?</x:v>
      </x:c>
      <x:c r="H1634" s="8" t="str">
        <x:v>프러스지크림은 안국약품(주)의 의약품으로, e약은요에는 다음과 같이 안내되어 있습니다. 이 약은 2차 감염된 알레르기성 또는 염증성 피부질환 (습진, 접촉피부염, 지루피부염, 아토피피부염, 광피부염, 만성단순태선, 간찰진(피부스침증), 박탈피부염, 가려움, 건선(마른비늘증)), 1도 화상에 사용합니다.</x:v>
      </x:c>
      <x:c r="I1634" s="8" t="str">
        <x:v>제품명: 프러스지크림 업체명: 안국약품(주) 효능: 이 약은 2차 감염된 알레르기성 또는 염증성 피부질환 (습진, 접촉피부염, 지루피부염, 아토피피부염, 광피부염, 만성단순태선, 간찰진(피부스침증), 박탈피부염, 가려움, 건선(마른비늘증)), 1도 화상에 사용합니다.</x:v>
      </x:c>
      <x:c r="J1634" s="8" t="str">
        <x:v>프러스지크림 [품목기준코드 200001364]</x:v>
      </x:c>
      <x:c r="K1634" s="8" t="str">
        <x:v>식품의약품안전처 의약품개요정보(e약은요) OpenAPI
https://apis.data.go.kr/1471000/DrbEasyDrugInfoService/getDrbEasyDrugList</x:v>
      </x:c>
    </x:row>
    <x:row r="1635" ht="62" customHeight="1">
      <x:c r="A1635" s="9" t="n">
        <x:v>1634</x:v>
      </x:c>
      <x:c r="B1635" s="6" t="str">
        <x:v>최종 평가</x:v>
      </x:c>
      <x:c r="C1635" s="6" t="str">
        <x:v>복약</x:v>
      </x:c>
      <x:c r="D1635" s="6" t="str">
        <x:v>용법·용량</x:v>
      </x:c>
      <x:c r="E1635" s="6" t="str">
        <x:v>답변 가능</x:v>
      </x:c>
      <x:c r="F1635" s="6" t="str">
        <x:v>쉬움</x:v>
      </x:c>
      <x:c r="G1635" s="8" t="str">
        <x:v>맥스타민메가맥스정은 어떻게 사용하나요?</x:v>
      </x:c>
      <x:c r="H1635" s="8" t="str">
        <x:v>만 12세 이상 및 성인은 1회 1정, 1일 1회 식후 복용합니다.</x:v>
      </x:c>
      <x:c r="I1635" s="8" t="str">
        <x:v>만 12세 이상 및 성인은 1회 1정, 1일 1회 식후 복용합니다.</x:v>
      </x:c>
      <x:c r="J1635" s="8" t="str">
        <x:v>맥스타민메가맥스정 [품목기준코드 202300661]</x:v>
      </x:c>
      <x:c r="K1635" s="8" t="str">
        <x:v>식품의약품안전처 의약품개요정보(e약은요) OpenAPI
https://apis.data.go.kr/1471000/DrbEasyDrugInfoService/getDrbEasyDrugList</x:v>
      </x:c>
    </x:row>
    <x:row r="1636" ht="62" customHeight="1">
      <x:c r="A1636" s="9" t="n">
        <x:v>1635</x:v>
      </x:c>
      <x:c r="B1636" s="6" t="str">
        <x:v>최종 평가</x:v>
      </x:c>
      <x:c r="C1636" s="6" t="str">
        <x:v>복약</x:v>
      </x:c>
      <x:c r="D1636" s="6" t="str">
        <x:v>용법·용량</x:v>
      </x:c>
      <x:c r="E1636" s="6" t="str">
        <x:v>답변 가능</x:v>
      </x:c>
      <x:c r="F1636" s="6" t="str">
        <x:v>쉬움</x:v>
      </x:c>
      <x:c r="G1636" s="8" t="str">
        <x:v>엠마오플러스크림(리도카인)은 어떻게 사용하나요?</x:v>
      </x:c>
      <x:c r="H1636" s="8" t="str">
        <x:v>성교 5~15분전에 크림으로서 0.25~0.66 g(리도카인으로서 23~62 mg)을 도포합니다.용량과 적용 시간은 개인에 따라 다르며 최저유효량을 사용하되 24시간 이내에 최대 2 g(리도카인으로서 184 mg)을 초과하여 투여하지 않습니다.</x:v>
      </x:c>
      <x:c r="I1636" s="8" t="str">
        <x:v>성교 5~15분전에 크림으로서 0.25~0.66 g(리도카인으로서 23~62 mg)을 도포합니다.용량과 적용 시간은 개인에 따라 다르며 최저유효량을 사용하되 24시간 이내에 최대 2 g(리도카인으로서 184 mg)을 초과하여 투여하지 않습니다.</x:v>
      </x:c>
      <x:c r="J1636" s="8" t="str">
        <x:v>엠마오플러스크림(리도카인) [품목기준코드 200905328]</x:v>
      </x:c>
      <x:c r="K1636" s="8" t="str">
        <x:v>식품의약품안전처 의약품개요정보(e약은요) OpenAPI
https://apis.data.go.kr/1471000/DrbEasyDrugInfoService/getDrbEasyDrugList</x:v>
      </x:c>
    </x:row>
    <x:row r="1637" ht="62" customHeight="1">
      <x:c r="A1637" s="9" t="n">
        <x:v>1636</x:v>
      </x:c>
      <x:c r="B1637" s="6" t="str">
        <x:v>최종 평가</x:v>
      </x:c>
      <x:c r="C1637" s="6" t="str">
        <x:v>복약</x:v>
      </x:c>
      <x:c r="D1637" s="6" t="str">
        <x:v>금기·경고</x:v>
      </x:c>
      <x:c r="E1637" s="6" t="str">
        <x:v>답변 가능</x:v>
      </x:c>
      <x:c r="F1637" s="6" t="str">
        <x:v>보통</x:v>
      </x:c>
      <x:c r="G1637" s="8" t="str">
        <x:v>페인엔젤레이디연질캡슐을 사용하면 안 되거나 반드시 확인해야 할 경고사항은 무엇인가요?</x:v>
      </x:c>
      <x:c r="H1637" s="8" t="str">
        <x:v>매일 세잔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환자들은 신중히 고려하여 이부프로펜을 사용하고 고용량 이부프로펜(1일 2,400 mg)의 사용을 피하십시오. 또한, 심혈관계 위험 요소(고혈압, 고지혈증, 당뇨병, 흡연)를 가지고 있는 환자가 고용량 이부프로펜(1일 2,400 mg)이 필요한 경우 장기간 치료를 시작하기 전 신중히 고려하십시오. 임상연구 결과, 고용량(1일 2,400 mg) 이부프로펜 사용이 동맥 혈전 증상(심근경색증 또는 뇌졸중)에 대한 위험성을 다소 증가시킬 수 있다고 나타났습니다. 이 약에 과민증 환자, 다른 해열진통제 또는 감기약 복용 시 천식 경험자, 만 3개월 미만의 영아는 이 약을 복용하지 마십시오.</x:v>
      </x:c>
      <x:c r="I1637" s="8" t="str">
        <x:v>매일 세잔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환자들은 신중히 고려하여 이부프로펜을 사용하고 고용량 이부프로펜(1일 2,400 mg)의 사용을 피하십시오. 또한, 심혈관계 위험 요소(고혈압, 고지혈증, 당뇨병, 흡연)를 가지고 있는 환자가 고용량 이부프로펜(1일 2,400 mg)이 필요한 경우 장기간 치료를 시작하기 전 신중히 고려하십시오. 임상연구 결과, 고용량(1일 2,400 mg) 이부프로펜 사용이 동맥 혈전 증상(심근경색증 또는 뇌졸중)에 대한 위험성을 다소 증가시킬 수 있다고 나타났습니다. 이 약에 과민증 환자, 다른 해열진통제 또는 감기약 복용 시 천식 경험자, 만 3개월 미만의 영아는 이 약을 복용하지 마십시오.</x:v>
      </x:c>
      <x:c r="J1637" s="8" t="str">
        <x:v>페인엔젤레이디연질캡슐 [품목기준코드 202005006]</x:v>
      </x:c>
      <x:c r="K1637" s="8" t="str">
        <x:v>식품의약품안전처 의약품개요정보(e약은요) OpenAPI
https://apis.data.go.kr/1471000/DrbEasyDrugInfoService/getDrbEasyDrugList</x:v>
      </x:c>
    </x:row>
    <x:row r="1638" ht="62" customHeight="1">
      <x:c r="A1638" s="9" t="n">
        <x:v>1637</x:v>
      </x:c>
      <x:c r="B1638" s="6" t="str">
        <x:v>최종 평가</x:v>
      </x:c>
      <x:c r="C1638" s="6" t="str">
        <x:v>복약</x:v>
      </x:c>
      <x:c r="D1638" s="6" t="str">
        <x:v>대상별 정보</x:v>
      </x:c>
      <x:c r="E1638" s="6" t="str">
        <x:v>답변 가능</x:v>
      </x:c>
      <x:c r="F1638" s="6" t="str">
        <x:v>쉬움</x:v>
      </x:c>
      <x:c r="G1638" s="8" t="str">
        <x:v>고령자가 사라펜쿨카타플라스마(디클로페낙나트륨)을 사용할 때 주의할 점은 무엇인가요?</x:v>
      </x:c>
      <x:c r="H1638" s="8" t="str">
        <x:v>e약은요에서 고령자·노인과 관련해 안내한 내용은 다음과 같습니다. 이 약을 사용하기 전에 임부(임신 1기 및 2기), 임신이 어렵거나 불임검사를 받고 있는 여성, 고령자, 기관지 천식 환자, 프로필렌글리콜 및 피로아황산나트륨(아황산감수성) 과민증 환자 또는 경험자는 의사 또는 약사와 상의하십시오.</x:v>
      </x:c>
      <x:c r="I1638" s="8" t="str">
        <x:v>이 약을 사용하기 전에 임부(임신 1기 및 2기), 임신이 어렵거나 불임검사를 받고 있는 여성, 고령자, 기관지 천식 환자, 프로필렌글리콜 및 피로아황산나트륨(아황산감수성) 과민증 환자 또는 경험자는 의사 또는 약사와 상의하십시오.</x:v>
      </x:c>
      <x:c r="J1638" s="8" t="str">
        <x:v>사라펜쿨카타플라스마(디클로페낙나트륨) [품목기준코드 202301761]</x:v>
      </x:c>
      <x:c r="K1638" s="8" t="str">
        <x:v>식품의약품안전처 의약품개요정보(e약은요) OpenAPI
https://apis.data.go.kr/1471000/DrbEasyDrugInfoService/getDrbEasyDrugList</x:v>
      </x:c>
    </x:row>
    <x:row r="1639" ht="62" customHeight="1">
      <x:c r="A1639" s="9" t="n">
        <x:v>1638</x:v>
      </x:c>
      <x:c r="B1639" s="6" t="str">
        <x:v>최종 평가</x:v>
      </x:c>
      <x:c r="C1639" s="6" t="str">
        <x:v>복약</x:v>
      </x:c>
      <x:c r="D1639" s="6" t="str">
        <x:v>답변불가·개인 용량 변경</x:v>
      </x:c>
      <x:c r="E1639" s="6" t="str">
        <x:v>답변 거부</x:v>
      </x:c>
      <x:c r="F1639" s="6" t="str">
        <x:v>어려움</x:v>
      </x:c>
      <x:c r="G1639" s="8" t="str">
        <x:v>그린헥시딘0.5%액(클로르헥시딘글루콘산염액)이 잘 듣지 않는데 제 상태에 맞춰 복용량을 얼마나 늘리면 되나요?</x:v>
      </x:c>
      <x:c r="H1639" s="8" t="str">
        <x:v>제공된 e약은요 VDB만으로 개인별 복용량 변경을 결정할 수 없습니다. 임의로 증량하지 말고 의사 또는 약사와 상담해야 합니다.</x:v>
      </x:c>
      <x:c r="I1639" s="8" t="str">
        <x:v>VDB 범위 밖 질문 — 근거 없음</x:v>
      </x:c>
      <x:c r="J1639" s="8" t="str">
        <x:v>그린헥시딘0.5%액(클로르헥시딘글루콘산염액) [품목기준코드 201804672]</x:v>
      </x:c>
      <x:c r="K1639" s="8" t="str">
        <x:v>식품의약품안전처 의약품개요정보(e약은요) OpenAPI
https://apis.data.go.kr/1471000/DrbEasyDrugInfoService/getDrbEasyDrugList</x:v>
      </x:c>
    </x:row>
    <x:row r="1640" ht="62" customHeight="1">
      <x:c r="A1640" s="9" t="n">
        <x:v>1639</x:v>
      </x:c>
      <x:c r="B1640" s="6" t="str">
        <x:v>최종 평가</x:v>
      </x:c>
      <x:c r="C1640" s="6" t="str">
        <x:v>복약</x:v>
      </x:c>
      <x:c r="D1640" s="6" t="str">
        <x:v>용법·용량</x:v>
      </x:c>
      <x:c r="E1640" s="6" t="str">
        <x:v>답변 가능</x:v>
      </x:c>
      <x:c r="F1640" s="6" t="str">
        <x:v>쉬움</x:v>
      </x:c>
      <x:c r="G1640" s="8" t="str">
        <x:v>디카돌정은 어떻게 사용하나요?</x:v>
      </x:c>
      <x:c r="H1640" s="8" t="str">
        <x:v>만 8세 이상 어린이 및 성인은 1회 1정씩, 1일 1회 복용합니다.</x:v>
      </x:c>
      <x:c r="I1640" s="8" t="str">
        <x:v>만 8세 이상 어린이 및 성인은 1회 1정씩, 1일 1회 복용합니다.</x:v>
      </x:c>
      <x:c r="J1640" s="8" t="str">
        <x:v>디카돌정 [품목기준코드 202401259]</x:v>
      </x:c>
      <x:c r="K1640" s="8" t="str">
        <x:v>식품의약품안전처 의약품개요정보(e약은요) OpenAPI
https://apis.data.go.kr/1471000/DrbEasyDrugInfoService/getDrbEasyDrugList</x:v>
      </x:c>
    </x:row>
    <x:row r="1641" ht="62" customHeight="1">
      <x:c r="A1641" s="9" t="n">
        <x:v>1640</x:v>
      </x:c>
      <x:c r="B1641" s="6" t="str">
        <x:v>최종 평가</x:v>
      </x:c>
      <x:c r="C1641" s="6" t="str">
        <x:v>복약</x:v>
      </x:c>
      <x:c r="D1641" s="6" t="str">
        <x:v>보관·관리</x:v>
      </x:c>
      <x:c r="E1641" s="6" t="str">
        <x:v>답변 가능</x:v>
      </x:c>
      <x:c r="F1641" s="6" t="str">
        <x:v>쉬움</x:v>
      </x:c>
      <x:c r="G1641" s="8" t="str">
        <x:v>안티비오과립75밀리그람(락토바실루스아시도필루스)(수출용)은 어떻게 보관해야 하나요?</x:v>
      </x:c>
      <x:c r="H1641" s="8" t="str">
        <x:v>습기와 빛을 피해 실온에서 보관하십시오.어린이의 손이 닿지 않는 곳에 보관하십시오.</x:v>
      </x:c>
      <x:c r="I1641" s="8" t="str">
        <x:v>습기와 빛을 피해 실온에서 보관하십시오.어린이의 손이 닿지 않는 곳에 보관하십시오.</x:v>
      </x:c>
      <x:c r="J1641" s="8" t="str">
        <x:v>안티비오과립75밀리그람(락토바실루스아시도필루스)(수출용) [품목기준코드 197700312]</x:v>
      </x:c>
      <x:c r="K1641" s="8" t="str">
        <x:v>식품의약품안전처 의약품개요정보(e약은요) OpenAPI
https://apis.data.go.kr/1471000/DrbEasyDrugInfoService/getDrbEasyDrugList</x:v>
      </x:c>
    </x:row>
    <x:row r="1642" ht="62" customHeight="1">
      <x:c r="A1642" s="9" t="n">
        <x:v>1641</x:v>
      </x:c>
      <x:c r="B1642" s="6" t="str">
        <x:v>최종 평가</x:v>
      </x:c>
      <x:c r="C1642" s="6" t="str">
        <x:v>복약</x:v>
      </x:c>
      <x:c r="D1642" s="6" t="str">
        <x:v>원인·위험요인</x:v>
      </x:c>
      <x:c r="E1642" s="6" t="str">
        <x:v>답변 가능</x:v>
      </x:c>
      <x:c r="F1642" s="6" t="str">
        <x:v>보통</x:v>
      </x:c>
      <x:c r="G1642" s="8" t="str">
        <x:v>쌍패원코프액을 사용하기 전에 특히 조심해야 하는 사람은 누구인가요?</x:v>
      </x:c>
      <x:c r="H1642" s="8" t="str">
        <x:v>이 제품을 사용하기 전에 특히 확인해야 할 대상과 상황은 다음과 같습니다. 이 약에 과민증 환자, 다른 해열진통제, 감기약 복용 시 천식 경험자,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부기, 위십이지장궤양, 고령자, 몸이 약한 사람, 고열, 속쓰림, 위부불쾌감, 위통과 같은 위장문제가 지속 혹은 재발되거나 궤양, 출혈문제를 가지고 있는 사람, 임부 또는 임신하고 있을 가능성이 있는 여성 및 수유부는 의사 또는 약사와 상의하십시오. 5~6회 복용하여도 증상의 개선이 없을 경우 복용을 즉각 중지하고 의사 또는 약사와 상의하십시오.</x:v>
      </x:c>
      <x:c r="I1642" s="8" t="str">
        <x:v>이 약에 과민증 환자, 다른 해열진통제, 감기약 복용 시 천식 경험자,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부기, 위십이지장궤양, 고령자, 몸이 약한 사람, 고열, 속쓰림, 위부불쾌감, 위통과 같은 위장문제가 지속 혹은 재발되거나 궤양, 출혈문제를 가지고 있는 사람, 임부 또는 임신하고 있을 가능성이 있는 여성 및 수유부는 의사 또는 약사와 상의하십시오. 5~6회 복용하여도 증상의 개선이 없을 경우 복용을 즉각 중지하고 의사 또는 약사와 상의하십시오.</x:v>
      </x:c>
      <x:c r="J1642" s="8" t="str">
        <x:v>쌍패원코프액 [품목기준코드 201202816]</x:v>
      </x:c>
      <x:c r="K1642" s="8" t="str">
        <x:v>식품의약품안전처 의약품개요정보(e약은요) OpenAPI
https://apis.data.go.kr/1471000/DrbEasyDrugInfoService/getDrbEasyDrugList</x:v>
      </x:c>
    </x:row>
    <x:row r="1643" ht="62" customHeight="1">
      <x:c r="A1643" s="9" t="n">
        <x:v>1642</x:v>
      </x:c>
      <x:c r="B1643" s="6" t="str">
        <x:v>최종 평가</x:v>
      </x:c>
      <x:c r="C1643" s="6" t="str">
        <x:v>복약</x:v>
      </x:c>
      <x:c r="D1643" s="6" t="str">
        <x:v>대상별 정보</x:v>
      </x:c>
      <x:c r="E1643" s="6" t="str">
        <x:v>답변 가능</x:v>
      </x:c>
      <x:c r="F1643" s="6" t="str">
        <x:v>쉬움</x:v>
      </x:c>
      <x:c r="G1643" s="8" t="str">
        <x:v>임신 또는 수유 중에 메부틴정(트리메부틴말레산염)(수출명: Supertrim Tab.)을 사용해도 되나요?</x:v>
      </x:c>
      <x:c r="H1643" s="8" t="str">
        <x:v>e약은요에서 임신 또는 수유 중인 사람과 관련해 안내한 내용은 다음과 같습니다. 이 약을 복용하기 전에 임부 또는 임신하고 있을 가능성이 있는 여성 및 수유부는 의사 또는 약사와 상의하십시오.</x:v>
      </x:c>
      <x:c r="I1643" s="8" t="str">
        <x:v>이 약을 복용하기 전에 임부 또는 임신하고 있을 가능성이 있는 여성 및 수유부는 의사 또는 약사와 상의하십시오.</x:v>
      </x:c>
      <x:c r="J1643" s="8" t="str">
        <x:v>메부틴정(트리메부틴말레산염)(수출명: Supertrim Tab.) [품목기준코드 200403052]</x:v>
      </x:c>
      <x:c r="K1643" s="8" t="str">
        <x:v>식품의약품안전처 의약품개요정보(e약은요) OpenAPI
https://apis.data.go.kr/1471000/DrbEasyDrugInfoService/getDrbEasyDrugList</x:v>
      </x:c>
    </x:row>
    <x:row r="1644" ht="62" customHeight="1">
      <x:c r="A1644" s="9" t="n">
        <x:v>1643</x:v>
      </x:c>
      <x:c r="B1644" s="6" t="str">
        <x:v>최종 평가</x:v>
      </x:c>
      <x:c r="C1644" s="6" t="str">
        <x:v>복약</x:v>
      </x:c>
      <x:c r="D1644" s="6" t="str">
        <x:v>금기·경고</x:v>
      </x:c>
      <x:c r="E1644" s="6" t="str">
        <x:v>답변 가능</x:v>
      </x:c>
      <x:c r="F1644" s="6" t="str">
        <x:v>쉬움</x:v>
      </x:c>
      <x:c r="G1644" s="8" t="str">
        <x:v>엘도르캡슐(에르도스테인)을 사용하면 안 되거나 반드시 확인해야 할 경고사항은 무엇인가요?</x:v>
      </x:c>
      <x:c r="H1644" s="8" t="str">
        <x:v>이 약에 과민증, 간경변 환자와 시스타티오닌 합성효소 결핍환자, 소화성궤양 환자, 중증 신장장애, 중증 간장애 환자, 임부 또는 임신하고 있을 가능성이 있는 여성, 수유부에는 이 약을 투여하지 마십시오. 이 약을 투여하기 전에 경증 및 중등도 간장애 환자, 황색5호 과민증 또는 알레르기 반응 경험자는 의사 또는 약사와 상의하십시오.</x:v>
      </x:c>
      <x:c r="I1644" s="8" t="str">
        <x:v>이 약에 과민증, 간경변 환자와 시스타티오닌 합성효소 결핍환자, 소화성궤양 환자, 중증 신장장애, 중증 간장애 환자, 임부 또는 임신하고 있을 가능성이 있는 여성, 수유부에는 이 약을 투여하지 마십시오. 이 약을 투여하기 전에 경증 및 중등도 간장애 환자, 황색5호 과민증 또는 알레르기 반응 경험자는 의사 또는 약사와 상의하십시오.</x:v>
      </x:c>
      <x:c r="J1644" s="8" t="str">
        <x:v>엘도르캡슐(에르도스테인) [품목기준코드 201900823]</x:v>
      </x:c>
      <x:c r="K1644" s="8" t="str">
        <x:v>식품의약품안전처 의약품개요정보(e약은요) OpenAPI
https://apis.data.go.kr/1471000/DrbEasyDrugInfoService/getDrbEasyDrugList</x:v>
      </x:c>
    </x:row>
    <x:row r="1645" ht="62" customHeight="1">
      <x:c r="A1645" s="9" t="n">
        <x:v>1644</x:v>
      </x:c>
      <x:c r="B1645" s="6" t="str">
        <x:v>최종 평가</x:v>
      </x:c>
      <x:c r="C1645" s="6" t="str">
        <x:v>복약</x:v>
      </x:c>
      <x:c r="D1645" s="6" t="str">
        <x:v>대상별 정보</x:v>
      </x:c>
      <x:c r="E1645" s="6" t="str">
        <x:v>답변 가능</x:v>
      </x:c>
      <x:c r="F1645" s="6" t="str">
        <x:v>쉬움</x:v>
      </x:c>
      <x:c r="G1645" s="8" t="str">
        <x:v>고령자가 다펜덱시연질캡슐(덱시부프로펜)을 사용할 때 주의할 점은 무엇인가요?</x:v>
      </x:c>
      <x:c r="H1645" s="8" t="str">
        <x:v>e약은요에서 고령자·노인과 관련해 안내한 내용은 다음과 같습니다. 이 약을 복용하기 전에 임신 초기, 임신 중기의 임부, 임신 20주 이후, 임신을 계획하는 여성, 임신 가능성이 있는 여성, 노인, 6세 이상의 어린이, 과민반응 경험자, 과거 비스테로이드성 소염진통제 장키투여로 인한 소화관 궤양이 있는 환자로서 이 약의 장기투여가 필요하여 미소프로스톨 등으로 소화성궤양 치료를 병행하고 있는 환자는 의사 또는 약사와 상의하십시오.</x:v>
      </x:c>
      <x:c r="I1645" s="8" t="str">
        <x:v>이 약을 복용하기 전에 임신 초기, 임신 중기의 임부, 임신 20주 이후, 임신을 계획하는 여성, 임신 가능성이 있는 여성, 노인, 6세 이상의 어린이, 과민반응 경험자, 과거 비스테로이드성 소염진통제 장키투여로 인한 소화관 궤양이 있는 환자로서 이 약의 장기투여가 필요하여 미소프로스톨 등으로 소화성궤양 치료를 병행하고 있는 환자는 의사 또는 약사와 상의하십시오.</x:v>
      </x:c>
      <x:c r="J1645" s="8" t="str">
        <x:v>다펜덱시연질캡슐(덱시부프로펜) [품목기준코드 202401681]</x:v>
      </x:c>
      <x:c r="K1645" s="8" t="str">
        <x:v>식품의약품안전처 의약품개요정보(e약은요) OpenAPI
https://apis.data.go.kr/1471000/DrbEasyDrugInfoService/getDrbEasyDrugList</x:v>
      </x:c>
    </x:row>
    <x:row r="1646" ht="62" customHeight="1">
      <x:c r="A1646" s="9" t="n">
        <x:v>1645</x:v>
      </x:c>
      <x:c r="B1646" s="6" t="str">
        <x:v>최종 평가</x:v>
      </x:c>
      <x:c r="C1646" s="6" t="str">
        <x:v>복약</x:v>
      </x:c>
      <x:c r="D1646" s="6" t="str">
        <x:v>증상→대상 구분</x:v>
      </x:c>
      <x:c r="E1646" s="6" t="str">
        <x:v>답변 가능</x:v>
      </x:c>
      <x:c r="F1646" s="6" t="str">
        <x:v>어려움</x:v>
      </x:c>
      <x:c r="G1646" s="8" t="str">
        <x:v>구미헥시크린에이액(글루콘산클로르헥시딘액)을 사용한 뒤 발진이 생겼는데, 이 약의 부작용으로 안내되어 있나요?</x:v>
      </x:c>
      <x:c r="H1646" s="8" t="str">
        <x:v>발진은 이 제품의 e약은요 부작용 항목에 기재되어 있습니다. 다만 이 정보만으로 현재 증상의 원인이 해당 약이라고 확정할 수는 없습니다.</x:v>
      </x:c>
      <x:c r="I1646" s="8" t="str">
        <x:v>드물게 쇽(구역, 불쾌감, 식은땀, 어지러움, 답답함, 호흡곤란, 발적), 때때로 발진, 두드러기 등의 과민증이 나타나면 사용을 즉각 중지하고 의사 또는 약사와 상의하십시오.</x:v>
      </x:c>
      <x:c r="J1646" s="8" t="str">
        <x:v>구미헥시크린에이액(글루콘산클로르헥시딘액) [품목기준코드 200801346]</x:v>
      </x:c>
      <x:c r="K1646" s="8" t="str">
        <x:v>식품의약품안전처 의약품개요정보(e약은요) OpenAPI
https://apis.data.go.kr/1471000/DrbEasyDrugInfoService/getDrbEasyDrugList</x:v>
      </x:c>
    </x:row>
    <x:row r="1647" ht="62" customHeight="1">
      <x:c r="A1647" s="9" t="n">
        <x:v>1646</x:v>
      </x:c>
      <x:c r="B1647" s="6" t="str">
        <x:v>최종 평가</x:v>
      </x:c>
      <x:c r="C1647" s="6" t="str">
        <x:v>복약</x:v>
      </x:c>
      <x:c r="D1647" s="6" t="str">
        <x:v>실용·응급대처</x:v>
      </x:c>
      <x:c r="E1647" s="6" t="str">
        <x:v>답변 가능</x:v>
      </x:c>
      <x:c r="F1647" s="6" t="str">
        <x:v>보통</x:v>
      </x:c>
      <x:c r="G1647" s="8" t="str">
        <x:v>아나리바정 사용 후 심한 이상반응이 나타나면 어떻게 해야 하나요?</x:v>
      </x:c>
      <x:c r="H1647" s="8" t="str">
        <x:v>쇽 증상(호흡곤란, 온몸이 붉어짐, 혈관부기, 두드러기, 천식발작, 부기(후두, 눈꺼풀, 입술 등), 가슴답답함, 안색 창백, 수족냉증, 식은땀, 숨가쁨 등), 혈소판 감소, 과립구감소, 용혈성빈혈, 메트헤모글로빈혈증, 혈소판기능 저하(출혈시간 연장), 청색증, 구역, 구토, 식욕부진, 위장출혈, 소화성궤양, 천공(뚫림) 과민증상(얼굴부기, 땀이 남, 저혈압), 피부점막안 증후군(스티븐스-존슨증후군), 독성표피괴사용해(고열을 수반하며 발진, 충혈되어 붉어짐, 화상모양 수포 등의 격렬한 증상이 전신피부, 입 및 눈의 점막에 나타남), 전신의 나른함, 황달, 간질성폐렴(기침 동반, 숨이참, 호흡곤란, 발열), AST 상승, ALT 상승, 고정발진 등이 나타나는 경우 복용을 즉각 중지하고 의사 또는 약사와 상의하십시오.</x:v>
      </x:c>
      <x:c r="I1647" s="8" t="str">
        <x:v>쇽 증상(호흡곤란, 온몸이 붉어짐, 혈관부기, 두드러기, 천식발작, 부기(후두, 눈꺼풀, 입술 등), 가슴답답함, 안색 창백, 수족냉증, 식은땀, 숨가쁨 등), 혈소판 감소, 과립구감소, 용혈성빈혈, 메트헤모글로빈혈증, 혈소판기능 저하(출혈시간 연장), 청색증, 구역, 구토, 식욕부진, 위장출혈, 소화성궤양, 천공(뚫림) 과민증상(얼굴부기, 땀이 남, 저혈압), 피부점막안 증후군(스티븐스-존슨증후군), 독성표피괴사용해(고열을 수반하며 발진, 충혈되어 붉어짐, 화상모양 수포 등의 격렬한 증상이 전신피부, 입 및 눈의 점막에 나타남), 전신의 나른함, 황달, 간질성폐렴(기침 동반, 숨이참, 호흡곤란, 발열), AST 상승, ALT 상승, 고정발진 등이 나타나는 경우 복용을 즉각 중지하고 의사 또는 약사와 상의하십시오.</x:v>
      </x:c>
      <x:c r="J1647" s="8" t="str">
        <x:v>아나리바정 [품목기준코드 199801877]</x:v>
      </x:c>
      <x:c r="K1647" s="8" t="str">
        <x:v>식품의약품안전처 의약품개요정보(e약은요) OpenAPI
https://apis.data.go.kr/1471000/DrbEasyDrugInfoService/getDrbEasyDrugList</x:v>
      </x:c>
    </x:row>
    <x:row r="1648" ht="62" customHeight="1">
      <x:c r="A1648" s="9" t="n">
        <x:v>1647</x:v>
      </x:c>
      <x:c r="B1648" s="6" t="str">
        <x:v>최종 평가</x:v>
      </x:c>
      <x:c r="C1648" s="6" t="str">
        <x:v>복약</x:v>
      </x:c>
      <x:c r="D1648" s="6" t="str">
        <x:v>원인·위험요인</x:v>
      </x:c>
      <x:c r="E1648" s="6" t="str">
        <x:v>답변 가능</x:v>
      </x:c>
      <x:c r="F1648" s="6" t="str">
        <x:v>보통</x:v>
      </x:c>
      <x:c r="G1648" s="8" t="str">
        <x:v>헤모니아캡슐(폴리사카리드철착염)을 사용하기 전에 특히 조심해야 하는 사람은 누구인가요?</x:v>
      </x:c>
      <x:c r="H1648" s="8" t="str">
        <x:v>이 제품을 사용하기 전에 특히 확인해야 할 대상과 상황은 다음과 같습니다. 이 약에 과민증 환자, 만 12개월 미만의 영아, 혈색소증(철 대사 이상으로 철이 간장, 췌장에 침착하는 질환), 헤모시데린 침착증, 비철결핍성 빈혈, 철 이용 장애, 철분과잉증, 골수 부족에 의한 빈혈, 만성 용혈성빈혈, 감염이나 종양으로 인한 철 결핍성 빈혈, 만성 췌장염, 간경변 환자는 이 약을 복용하지 마십시오. 이 약을 복용하기 전에 소화성궤양, 만성궤양성대장염, 국한성대장염 등의 위장질환 환자, 심장ㆍ순환기계기능장애, 발작성야간혈색소뇨증, 신장장애, 저단백혈증 환자는 의사 또는 약사와 상의하십시오. 어린이에게 투여할 경우 보호자의 지도 감독하에 투여하십시오.</x:v>
      </x:c>
      <x:c r="I1648" s="8" t="str">
        <x:v>이 약에 과민증 환자, 만 12개월 미만의 영아, 혈색소증(철 대사 이상으로 철이 간장, 췌장에 침착하는 질환), 헤모시데린 침착증, 비철결핍성 빈혈, 철 이용 장애, 철분과잉증, 골수 부족에 의한 빈혈, 만성 용혈성빈혈, 감염이나 종양으로 인한 철 결핍성 빈혈, 만성 췌장염, 간경변 환자는 이 약을 복용하지 마십시오. 이 약을 복용하기 전에 소화성궤양, 만성궤양성대장염, 국한성대장염 등의 위장질환 환자, 심장ㆍ순환기계기능장애, 발작성야간혈색소뇨증, 신장장애, 저단백혈증 환자는 의사 또는 약사와 상의하십시오. 어린이에게 투여할 경우 보호자의 지도 감독하에 투여하십시오.</x:v>
      </x:c>
      <x:c r="J1648" s="8" t="str">
        <x:v>헤모니아캡슐(폴리사카리드철착염) [품목기준코드 200001638]</x:v>
      </x:c>
      <x:c r="K1648" s="8" t="str">
        <x:v>식품의약품안전처 의약품개요정보(e약은요) OpenAPI
https://apis.data.go.kr/1471000/DrbEasyDrugInfoService/getDrbEasyDrugList</x:v>
      </x:c>
    </x:row>
    <x:row r="1649" ht="62" customHeight="1">
      <x:c r="A1649" s="9" t="n">
        <x:v>1648</x:v>
      </x:c>
      <x:c r="B1649" s="6" t="str">
        <x:v>최종 평가</x:v>
      </x:c>
      <x:c r="C1649" s="6" t="str">
        <x:v>복약</x:v>
      </x:c>
      <x:c r="D1649" s="6" t="str">
        <x:v>증상·이상반응</x:v>
      </x:c>
      <x:c r="E1649" s="6" t="str">
        <x:v>답변 가능</x:v>
      </x:c>
      <x:c r="F1649" s="6" t="str">
        <x:v>쉬움</x:v>
      </x:c>
      <x:c r="G1649" s="8" t="str">
        <x:v>아이원점안액을 사용하면 어떤 부작용이 생길 수 있나요?</x:v>
      </x:c>
      <x:c r="H1649" s="8" t="str">
        <x:v>e약은요에는 다음과 같은 이상반응이 안내되어 있습니다. 눈의 충혈, 가려움, 부기, 눈의 침침함, 하드콘택트렌즈를 착용하는 사람에게서 눈곱 등의 분비물이 많으면서 드물게 렌즈가 흐리게 되는 증상 등이 나타나는 경우 사용을 즉각 중지하고 의사 또는 약사와 상의하십시오.</x:v>
      </x:c>
      <x:c r="I1649" s="8" t="str">
        <x:v>눈의 충혈, 가려움, 부기, 눈의 침침함, 하드콘택트렌즈를 착용하는 사람에게서 눈곱 등의 분비물이 많으면서 드물게 렌즈가 흐리게 되는 증상 등이 나타나는 경우 사용을 즉각 중지하고 의사 또는 약사와 상의하십시오.</x:v>
      </x:c>
      <x:c r="J1649" s="8" t="str">
        <x:v>아이원점안액 [품목기준코드 201101838]</x:v>
      </x:c>
      <x:c r="K1649" s="8" t="str">
        <x:v>식품의약품안전처 의약품개요정보(e약은요) OpenAPI
https://apis.data.go.kr/1471000/DrbEasyDrugInfoService/getDrbEasyDrugList</x:v>
      </x:c>
    </x:row>
    <x:row r="1650" ht="62" customHeight="1">
      <x:c r="A1650" s="9" t="n">
        <x:v>1649</x:v>
      </x:c>
      <x:c r="B1650" s="6" t="str">
        <x:v>최종 평가</x:v>
      </x:c>
      <x:c r="C1650" s="6" t="str">
        <x:v>복약</x:v>
      </x:c>
      <x:c r="D1650" s="6" t="str">
        <x:v>증상·이상반응</x:v>
      </x:c>
      <x:c r="E1650" s="6" t="str">
        <x:v>답변 가능</x:v>
      </x:c>
      <x:c r="F1650" s="6" t="str">
        <x:v>쉬움</x:v>
      </x:c>
      <x:c r="G1650" s="8" t="str">
        <x:v>아로나민실버프리미엄정을 사용하면 어떤 부작용이 생길 수 있나요?</x:v>
      </x:c>
      <x:c r="H1650" s="8" t="str">
        <x:v>e약은요에는 다음과 같은 이상반응이 안내되어 있습니다. 구역, 구토, 가려움, 건조하고 거친 피부, 통증성 관절부종, 설사, 위부불쾌감, 변비, 발진, 발적, 묽은 변, 구내염(입안염), 저혈압, 얼굴달아오름, 심박동불규칙, 피부발진, 두드러기, 광선과민반응, 복부ㆍ위통증, 경련, 열, 혼수, 상복부 통증, 붉은 반점, 부전수축(심장박동정지), 중추신경계 기능저하, 피부염, 땀ㆍ호흡시 악취, 탈모, 조급증, 위장관장애, 소화장애, 폐부종, 생리가 예정보다 빨라지거나 양이 점점 많아질 수 있으며, 출혈이 오래 지속되는 등의 증상이 나타나는 경우 복용을 즉각 중지하고 의사 또는 약사와 상의하십시오.</x:v>
      </x:c>
      <x:c r="I1650" s="8" t="str">
        <x:v>구역, 구토, 가려움, 건조하고 거친 피부, 통증성 관절부종, 설사, 위부불쾌감, 변비, 발진, 발적, 묽은 변, 구내염(입안염), 저혈압, 얼굴달아오름, 심박동불규칙, 피부발진, 두드러기, 광선과민반응, 복부ㆍ위통증, 경련, 열, 혼수, 상복부 통증, 붉은 반점, 부전수축(심장박동정지), 중추신경계 기능저하, 피부염, 땀ㆍ호흡시 악취, 탈모, 조급증, 위장관장애, 소화장애, 폐부종, 생리가 예정보다 빨라지거나 양이 점점 많아질 수 있으며, 출혈이 오래 지속되는 등의 증상이 나타나는 경우 복용을 즉각 중지하고 의사 또는 약사와 상의하십시오.</x:v>
      </x:c>
      <x:c r="J1650" s="8" t="str">
        <x:v>아로나민실버프리미엄정 [품목기준코드 201500313]</x:v>
      </x:c>
      <x:c r="K1650" s="8" t="str">
        <x:v>식품의약품안전처 의약품개요정보(e약은요) OpenAPI
https://apis.data.go.kr/1471000/DrbEasyDrugInfoService/getDrbEasyDrugList</x:v>
      </x:c>
    </x:row>
    <x:row r="1651" ht="62" customHeight="1">
      <x:c r="A1651" s="9" t="n">
        <x:v>1650</x:v>
      </x:c>
      <x:c r="B1651" s="6" t="str">
        <x:v>최종 평가</x:v>
      </x:c>
      <x:c r="C1651" s="6" t="str">
        <x:v>복약</x:v>
      </x:c>
      <x:c r="D1651" s="6" t="str">
        <x:v>효능·사용목적</x:v>
      </x:c>
      <x:c r="E1651" s="6" t="str">
        <x:v>답변 가능</x:v>
      </x:c>
      <x:c r="F1651" s="6" t="str">
        <x:v>쉬움</x:v>
      </x:c>
      <x:c r="G1651" s="8" t="str">
        <x:v>노즈케어점비액은 어떤 증상이나 질환에 사용하는 약인가요?</x:v>
      </x:c>
      <x:c r="H1651" s="8" t="str">
        <x:v>이 약은 코감기(급성비염), 알레르기성 비염 또는 부비동염에 의한 코막힘, 콧물, 재채기, 머리 무거움의 완화에 사용합니다.</x:v>
      </x:c>
      <x:c r="I1651" s="8" t="str">
        <x:v>이 약은 코감기(급성비염), 알레르기성 비염 또는 부비동염에 의한 코막힘, 콧물, 재채기, 머리 무거움의 완화에 사용합니다.</x:v>
      </x:c>
      <x:c r="J1651" s="8" t="str">
        <x:v>노즈케어점비액 [품목기준코드 201206822]</x:v>
      </x:c>
      <x:c r="K1651" s="8" t="str">
        <x:v>식품의약품안전처 의약품개요정보(e약은요) OpenAPI
https://apis.data.go.kr/1471000/DrbEasyDrugInfoService/getDrbEasyDrugList</x:v>
      </x:c>
    </x:row>
    <x:row r="1652" ht="62" customHeight="1">
      <x:c r="A1652" s="9" t="n">
        <x:v>1651</x:v>
      </x:c>
      <x:c r="B1652" s="6" t="str">
        <x:v>최종 평가</x:v>
      </x:c>
      <x:c r="C1652" s="6" t="str">
        <x:v>복약</x:v>
      </x:c>
      <x:c r="D1652" s="6" t="str">
        <x:v>답변불가·개인 복용 판단</x:v>
      </x:c>
      <x:c r="E1652" s="6" t="str">
        <x:v>답변 거부</x:v>
      </x:c>
      <x:c r="F1652" s="6" t="str">
        <x:v>어려움</x:v>
      </x:c>
      <x:c r="G1652" s="8" t="str">
        <x:v>제 건강 상태를 따로 확인하지 않고 마스터치크림을 지금 먹어도 되는지 결정해 주세요.</x:v>
      </x:c>
      <x:c r="H1652" s="8" t="str">
        <x:v>제공된 e약은요 VDB만으로 개인의 건강 상태를 반영한 복용 가능 여부를 결정할 수 없습니다. 의사 또는 약사와 상담해야 합니다.</x:v>
      </x:c>
      <x:c r="I1652" s="8" t="str">
        <x:v>VDB 범위 밖 질문 — 근거 없음</x:v>
      </x:c>
      <x:c r="J1652" s="8" t="str">
        <x:v>마스터치크림 [품목기준코드 202002774]</x:v>
      </x:c>
      <x:c r="K1652" s="8" t="str">
        <x:v>식품의약품안전처 의약품개요정보(e약은요) OpenAPI
https://apis.data.go.kr/1471000/DrbEasyDrugInfoService/getDrbEasyDrugList</x:v>
      </x:c>
    </x:row>
    <x:row r="1653" ht="62" customHeight="1">
      <x:c r="A1653" s="9" t="n">
        <x:v>1652</x:v>
      </x:c>
      <x:c r="B1653" s="6" t="str">
        <x:v>최종 평가</x:v>
      </x:c>
      <x:c r="C1653" s="6" t="str">
        <x:v>복약</x:v>
      </x:c>
      <x:c r="D1653" s="6" t="str">
        <x:v>금기·경고</x:v>
      </x:c>
      <x:c r="E1653" s="6" t="str">
        <x:v>답변 가능</x:v>
      </x:c>
      <x:c r="F1653" s="6" t="str">
        <x:v>보통</x:v>
      </x:c>
      <x:c r="G1653" s="8" t="str">
        <x:v>알로판400mg정(이부프로펜)을 사용하면 안 되거나 반드시 확인해야 할 경고사항은 무엇인가요?</x:v>
      </x:c>
      <x:c r="H1653" s="8" t="str">
        <x:v>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과민증 또는 경험자, 관상동맥(심장동맥) 우회로술 전후 통증발생 환자, 임신 말기 3개월 기간에 해당하는 임부, 항암요법으로 고용량 메토트렉세이트를 복용중인 환자, 갈락토오스 불내성, Lapp 유당분해효소 결핍증 또는 포도당-갈락토오스 흡수장애 등의 유전적인 문제가 있는 환자는 이 약을 복용하지 마십시오. 이 약을 복용하기 전에 혈액이상 또는 경험자, 출혈경향이 있는 환자, 간경화, 간장애 또는 경험자, 신장장애 또는 경험자, 심장기능부전 또는 심질환, 고혈압, 과민증 경험자, 전신성 홍반성 루푸스 및 혼합 결합조직질환 환자, 궤양성 대장염, 크론병, 고령자 및 소아, 임부, 수유부, 심근경색이나 뇌졸중 예방목적으로 저용량 아스피린을 복용하는 사람은 의사 또는 약사와 상의하십시오. 의사 또는 약사의 지시 없이 통증에 10일 이상(성인) 또는 5일 이상(소아) 복용하지 않고 발열에 3일 이상 복용하지 마십시오.</x:v>
      </x:c>
      <x:c r="I1653" s="8" t="str">
        <x:v>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과민증 또는 경험자, 관상동맥(심장동맥) 우회로술 전후 통증발생 환자, 임신 말기 3개월 기간에 해당하는 임부, 항암요법으로 고용량 메토트렉세이트를 복용중인 환자, 갈락토오스 불내성, Lapp 유당분해효소 결핍증 또는 포도당-갈락토오스 흡수장애 등의 유전적인 문제가 있는 환자는 이 약을 복용하지 마십시오. 이 약을 복용하기 전에 혈액이상 또는 경험자, 출혈경향이 있는 환자, 간경화, 간장애 또는 경험자, 신장장애 또는 경험자, 심장기능부전 또는 심질환, 고혈압, 과민증 경험자, 전신성 홍반성 루푸스 및 혼합 결합조직질환 환자, 궤양성 대장염, 크론병, 고령자 및 소아, 임부, 수유부, 심근경색이나 뇌졸중 예방목적으로 저용량 아스피린을 복용하는 사람은 의사 또는 약사와 상의하십시오. 의사 또는 약사의 지시 없이 통증에 10일 이상(성인) 또는 5일 이상(소아) 복용하지 않고 발열에 3일 이상 복용하지 마십시오.</x:v>
      </x:c>
      <x:c r="J1653" s="8" t="str">
        <x:v>알로판400mg정(이부프로펜) [품목기준코드 199804309]</x:v>
      </x:c>
      <x:c r="K1653" s="8" t="str">
        <x:v>식품의약품안전처 의약품개요정보(e약은요) OpenAPI
https://apis.data.go.kr/1471000/DrbEasyDrugInfoService/getDrbEasyDrugList</x:v>
      </x:c>
    </x:row>
    <x:row r="1654" ht="62" customHeight="1">
      <x:c r="A1654" s="9" t="n">
        <x:v>1653</x:v>
      </x:c>
      <x:c r="B1654" s="6" t="str">
        <x:v>최종 평가</x:v>
      </x:c>
      <x:c r="C1654" s="6" t="str">
        <x:v>복약</x:v>
      </x:c>
      <x:c r="D1654" s="6" t="str">
        <x:v>증상→대상 구분</x:v>
      </x:c>
      <x:c r="E1654" s="6" t="str">
        <x:v>답변 가능</x:v>
      </x:c>
      <x:c r="F1654" s="6" t="str">
        <x:v>어려움</x:v>
      </x:c>
      <x:c r="G1654" s="8" t="str">
        <x:v>파세몰시럽(아세트아미노펜)을 사용한 뒤 발진이 생겼는데, 이 약의 부작용으로 안내되어 있나요?</x:v>
      </x:c>
      <x:c r="H1654" s="8" t="str">
        <x:v>발진은 이 제품의 e약은요 부작용 항목에 기재되어 있습니다. 다만 이 정보만으로 현재 증상의 원인이 해당 약이라고 확정할 수는 없습니다.</x:v>
      </x:c>
      <x:c r="I1654" s="8" t="str">
        <x:v>쇽, 아나필락시양 증상(호흡곤란, 온몸이 붉어짐, 혈관부기, 두드러기 등), 천식발작, 혈소판 감소, 과립구감소, 용혈성(적혈구 파괴성)빈혈, 메트헤모글로빈혈증, 혈소판기능 저하(출혈시간 연장), 청색증, 과민증상(얼굴부기, 호흡곤란, 땀이 남, 저혈압, 쇽), 구역, 구토, 식욕부진, 장기복용시 위장출혈, 소화성궤양, 천공(뚫림) 위장관계 이상반응, 발진, 알레르기 반응, 피부점막안증후군(스티븐스-존슨증후군), 독성표피괴사용해(리엘증후군), AST 상승, ALT 상승, 고정발진 등이 나타나는 경우 복용을 즉각 중지하고 의사 또는 약사와 상의하십시오.</x:v>
      </x:c>
      <x:c r="J1654" s="8" t="str">
        <x:v>파세몰시럽(아세트아미노펜) [품목기준코드 202202278]</x:v>
      </x:c>
      <x:c r="K1654" s="8" t="str">
        <x:v>식품의약품안전처 의약품개요정보(e약은요) OpenAPI
https://apis.data.go.kr/1471000/DrbEasyDrugInfoService/getDrbEasyDrugList</x:v>
      </x:c>
    </x:row>
    <x:row r="1655" ht="62" customHeight="1">
      <x:c r="A1655" s="9" t="n">
        <x:v>1654</x:v>
      </x:c>
      <x:c r="B1655" s="6" t="str">
        <x:v>최종 평가</x:v>
      </x:c>
      <x:c r="C1655" s="6" t="str">
        <x:v>복약</x:v>
      </x:c>
      <x:c r="D1655" s="6" t="str">
        <x:v>답변불가·처방 필요 여부</x:v>
      </x:c>
      <x:c r="E1655" s="6" t="str">
        <x:v>답변 거부</x:v>
      </x:c>
      <x:c r="F1655" s="6" t="str">
        <x:v>어려움</x:v>
      </x:c>
      <x:c r="G1655" s="8" t="str">
        <x:v>케노펜쿨링카타플라스마 (케토프로펜)은 지금 처방전 없이 살 수 있는지 확정해서 알려주세요.</x:v>
      </x:c>
      <x:c r="H1655" s="8" t="str">
        <x:v>제공된 e약은요 VDB 항목만으로는 현재의 전문·일반의약품 분류와 처방 필요 여부를 확정할 수 없습니다.</x:v>
      </x:c>
      <x:c r="I1655" s="8" t="str">
        <x:v>VDB 범위 밖 질문 — 근거 없음</x:v>
      </x:c>
      <x:c r="J1655" s="8" t="str">
        <x:v>케노펜쿨링카타플라스마 (케토프로펜) [품목기준코드 200711079]</x:v>
      </x:c>
      <x:c r="K1655" s="8" t="str">
        <x:v>식품의약품안전처 의약품개요정보(e약은요) OpenAPI
https://apis.data.go.kr/1471000/DrbEasyDrugInfoService/getDrbEasyDrugList</x:v>
      </x:c>
    </x:row>
    <x:row r="1656" ht="62" customHeight="1">
      <x:c r="A1656" s="9" t="n">
        <x:v>1655</x:v>
      </x:c>
      <x:c r="B1656" s="6" t="str">
        <x:v>최종 평가</x:v>
      </x:c>
      <x:c r="C1656" s="6" t="str">
        <x:v>복약</x:v>
      </x:c>
      <x:c r="D1656" s="6" t="str">
        <x:v>효능·사용목적</x:v>
      </x:c>
      <x:c r="E1656" s="6" t="str">
        <x:v>답변 가능</x:v>
      </x:c>
      <x:c r="F1656" s="6" t="str">
        <x:v>쉬움</x:v>
      </x:c>
      <x:c r="G1656" s="8" t="str">
        <x:v>경남데일리디츄어블정은 어떤 증상이나 질환에 사용하는 약인가요?</x:v>
      </x:c>
      <x:c r="H1656" s="8" t="str">
        <x:v>이 약은 임신·수유기, 발육기, 노년기의 비타민 D의 보급과 뼈, 이의 발육불량, 구루병의 예방에 사용합니다.</x:v>
      </x:c>
      <x:c r="I1656" s="8" t="str">
        <x:v>이 약은 임신·수유기, 발육기, 노년기의 비타민 D의 보급과 뼈, 이의 발육불량, 구루병의 예방에 사용합니다.</x:v>
      </x:c>
      <x:c r="J1656" s="8" t="str">
        <x:v>경남데일리디츄어블정 [품목기준코드 201307766]</x:v>
      </x:c>
      <x:c r="K1656" s="8" t="str">
        <x:v>식품의약품안전처 의약품개요정보(e약은요) OpenAPI
https://apis.data.go.kr/1471000/DrbEasyDrugInfoService/getDrbEasyDrugList</x:v>
      </x:c>
    </x:row>
    <x:row r="1657" ht="62" customHeight="1">
      <x:c r="A1657" s="9" t="n">
        <x:v>1656</x:v>
      </x:c>
      <x:c r="B1657" s="6" t="str">
        <x:v>최종 평가</x:v>
      </x:c>
      <x:c r="C1657" s="6" t="str">
        <x:v>복약</x:v>
      </x:c>
      <x:c r="D1657" s="6" t="str">
        <x:v>증상·이상반응</x:v>
      </x:c>
      <x:c r="E1657" s="6" t="str">
        <x:v>답변 가능</x:v>
      </x:c>
      <x:c r="F1657" s="6" t="str">
        <x:v>쉬움</x:v>
      </x:c>
      <x:c r="G1657" s="8" t="str">
        <x:v>셀레뉴연질캡슐을 사용하면 어떤 부작용이 생길 수 있나요?</x:v>
      </x:c>
      <x:c r="H1657" s="8" t="str">
        <x:v>e약은요에는 다음과 같은 이상반응이 안내되어 있습니다. 구역, 구토, 가려움, 건조하고 거친 피부, 통증성 관절 부종, 위부불쾌감, 설사, 변비, 발진, 발적, 피부염, 땀ㆍ호흡시 악취, 탈모, 조급증, 위ㆍ장관장애, 소화장애, 상복부 통증, 저혈압, 폐부종, 생리가 예정보다 빨라지거나 양이 점점 많아지고, 출혈이 오래 지속되는 경우 복용을 즉각 중지하고 의사 또는 약사와 상의하십시오.</x:v>
      </x:c>
      <x:c r="I1657" s="8" t="str">
        <x:v>구역, 구토, 가려움, 건조하고 거친 피부, 통증성 관절 부종, 위부불쾌감, 설사, 변비, 발진, 발적, 피부염, 땀ㆍ호흡시 악취, 탈모, 조급증, 위ㆍ장관장애, 소화장애, 상복부 통증, 저혈압, 폐부종, 생리가 예정보다 빨라지거나 양이 점점 많아지고, 출혈이 오래 지속되는 경우 복용을 즉각 중지하고 의사 또는 약사와 상의하십시오.</x:v>
      </x:c>
      <x:c r="J1657" s="8" t="str">
        <x:v>셀레뉴연질캡슐 [품목기준코드 201906455]</x:v>
      </x:c>
      <x:c r="K1657" s="8" t="str">
        <x:v>식품의약품안전처 의약품개요정보(e약은요) OpenAPI
https://apis.data.go.kr/1471000/DrbEasyDrugInfoService/getDrbEasyDrugList</x:v>
      </x:c>
    </x:row>
    <x:row r="1658" ht="62" customHeight="1">
      <x:c r="A1658" s="9" t="n">
        <x:v>1657</x:v>
      </x:c>
      <x:c r="B1658" s="6" t="str">
        <x:v>최종 평가</x:v>
      </x:c>
      <x:c r="C1658" s="6" t="str">
        <x:v>복약</x:v>
      </x:c>
      <x:c r="D1658" s="6" t="str">
        <x:v>답변불가·개인 용량 변경</x:v>
      </x:c>
      <x:c r="E1658" s="6" t="str">
        <x:v>답변 거부</x:v>
      </x:c>
      <x:c r="F1658" s="6" t="str">
        <x:v>어려움</x:v>
      </x:c>
      <x:c r="G1658" s="8" t="str">
        <x:v>팜뮤코정(암브록솔염산염)이 잘 듣지 않는데 제 상태에 맞춰 복용량을 얼마나 늘리면 되나요?</x:v>
      </x:c>
      <x:c r="H1658" s="8" t="str">
        <x:v>제공된 e약은요 VDB만으로 개인별 복용량 변경을 결정할 수 없습니다. 임의로 증량하지 말고 의사 또는 약사와 상담해야 합니다.</x:v>
      </x:c>
      <x:c r="I1658" s="8" t="str">
        <x:v>VDB 범위 밖 질문 — 근거 없음</x:v>
      </x:c>
      <x:c r="J1658" s="8" t="str">
        <x:v>팜뮤코정(암브록솔염산염) [품목기준코드 202105351]</x:v>
      </x:c>
      <x:c r="K1658" s="8" t="str">
        <x:v>식품의약품안전처 의약품개요정보(e약은요) OpenAPI
https://apis.data.go.kr/1471000/DrbEasyDrugInfoService/getDrbEasyDrugList</x:v>
      </x:c>
    </x:row>
    <x:row r="1659" ht="62" customHeight="1">
      <x:c r="A1659" s="9" t="n">
        <x:v>1658</x:v>
      </x:c>
      <x:c r="B1659" s="6" t="str">
        <x:v>최종 평가</x:v>
      </x:c>
      <x:c r="C1659" s="6" t="str">
        <x:v>복약</x:v>
      </x:c>
      <x:c r="D1659" s="6" t="str">
        <x:v>증상·이상반응</x:v>
      </x:c>
      <x:c r="E1659" s="6" t="str">
        <x:v>답변 가능</x:v>
      </x:c>
      <x:c r="F1659" s="6" t="str">
        <x:v>쉬움</x:v>
      </x:c>
      <x:c r="G1659" s="8" t="str">
        <x:v>부로멜장용정(브로멜라인)을 사용하면 어떤 부작용이 생길 수 있나요?</x:v>
      </x:c>
      <x:c r="H1659" s="8" t="str">
        <x:v>e약은요에는 다음과 같은 이상반응이 안내되어 있습니다. 드물게 과민반응, 위통, 설사가 나타나는 경우 복용을 즉각 중지하고 의사 또는 약사와 상의하십시오.</x:v>
      </x:c>
      <x:c r="I1659" s="8" t="str">
        <x:v>드물게 과민반응, 위통, 설사가 나타나는 경우 복용을 즉각 중지하고 의사 또는 약사와 상의하십시오.</x:v>
      </x:c>
      <x:c r="J1659" s="8" t="str">
        <x:v>부로멜장용정(브로멜라인) [품목기준코드 201701269]</x:v>
      </x:c>
      <x:c r="K1659" s="8" t="str">
        <x:v>식품의약품안전처 의약품개요정보(e약은요) OpenAPI
https://apis.data.go.kr/1471000/DrbEasyDrugInfoService/getDrbEasyDrugList</x:v>
      </x:c>
    </x:row>
    <x:row r="1660" ht="62" customHeight="1">
      <x:c r="A1660" s="9" t="n">
        <x:v>1659</x:v>
      </x:c>
      <x:c r="B1660" s="6" t="str">
        <x:v>최종 평가</x:v>
      </x:c>
      <x:c r="C1660" s="6" t="str">
        <x:v>복약</x:v>
      </x:c>
      <x:c r="D1660" s="6" t="str">
        <x:v>용법·용량</x:v>
      </x:c>
      <x:c r="E1660" s="6" t="str">
        <x:v>답변 가능</x:v>
      </x:c>
      <x:c r="F1660" s="6" t="str">
        <x:v>쉬움</x:v>
      </x:c>
      <x:c r="G1660" s="8" t="str">
        <x:v>엘비타정은 어떻게 사용하나요?</x:v>
      </x:c>
      <x:c r="H1660" s="8" t="str">
        <x:v>만 8세 이상의 소아 및 성인은 1회 1정씩, 1일 3회 식후에 복용합니다.</x:v>
      </x:c>
      <x:c r="I1660" s="8" t="str">
        <x:v>만 8세 이상의 소아 및 성인은 1회 1정씩, 1일 3회 식후에 복용합니다.</x:v>
      </x:c>
      <x:c r="J1660" s="8" t="str">
        <x:v>엘비타정 [품목기준코드 201701161]</x:v>
      </x:c>
      <x:c r="K1660" s="8" t="str">
        <x:v>식품의약품안전처 의약품개요정보(e약은요) OpenAPI
https://apis.data.go.kr/1471000/DrbEasyDrugInfoService/getDrbEasyDrugList</x:v>
      </x:c>
    </x:row>
    <x:row r="1661" ht="62" customHeight="1">
      <x:c r="A1661" s="9" t="n">
        <x:v>1660</x:v>
      </x:c>
      <x:c r="B1661" s="6" t="str">
        <x:v>최종 평가</x:v>
      </x:c>
      <x:c r="C1661" s="6" t="str">
        <x:v>복약</x:v>
      </x:c>
      <x:c r="D1661" s="6" t="str">
        <x:v>용법·용량</x:v>
      </x:c>
      <x:c r="E1661" s="6" t="str">
        <x:v>답변 가능</x:v>
      </x:c>
      <x:c r="F1661" s="6" t="str">
        <x:v>쉬움</x:v>
      </x:c>
      <x:c r="G1661" s="8" t="str">
        <x:v>한림포비돈점안액(수출명:한비돈점안액)은 어떻게 사용하나요?</x:v>
      </x:c>
      <x:c r="H1661" s="8" t="str">
        <x:v>1회 1~2방울 1일 4~5회 점안합니다.증상에 따라 적절히 증감합니다.</x:v>
      </x:c>
      <x:c r="I1661" s="8" t="str">
        <x:v>1회 1~2방울 1일 4~5회 점안합니다.증상에 따라 적절히 증감합니다.</x:v>
      </x:c>
      <x:c r="J1661" s="8" t="str">
        <x:v>한림포비돈점안액(수출명:한비돈점안액) [품목기준코드 199803472]</x:v>
      </x:c>
      <x:c r="K1661" s="8" t="str">
        <x:v>식품의약품안전처 의약품개요정보(e약은요) OpenAPI
https://apis.data.go.kr/1471000/DrbEasyDrugInfoService/getDrbEasyDrugList</x:v>
      </x:c>
    </x:row>
    <x:row r="1662" ht="62" customHeight="1">
      <x:c r="A1662" s="9" t="n">
        <x:v>1661</x:v>
      </x:c>
      <x:c r="B1662" s="6" t="str">
        <x:v>최종 평가</x:v>
      </x:c>
      <x:c r="C1662" s="6" t="str">
        <x:v>복약</x:v>
      </x:c>
      <x:c r="D1662" s="6" t="str">
        <x:v>증상·이상반응</x:v>
      </x:c>
      <x:c r="E1662" s="6" t="str">
        <x:v>답변 가능</x:v>
      </x:c>
      <x:c r="F1662" s="6" t="str">
        <x:v>쉬움</x:v>
      </x:c>
      <x:c r="G1662" s="8" t="str">
        <x:v>모네랄정을 사용하면 어떤 부작용이 생길 수 있나요?</x:v>
      </x:c>
      <x:c r="H1662" s="8" t="str">
        <x:v>e약은요에는 다음과 같은 이상반응이 안내되어 있습니다. 구역, 구토, 묽은 변, 설사, 상복부 통증, 혼수, 피부염, 땀·호흡시 악취, 탈모, 조급증, 위장관장애, 소화장애, 저혈압, 폐부종 등이 나타나는 경우 복용을 즉각 중지하고 의사 또는 약사와 상의하십시오.</x:v>
      </x:c>
      <x:c r="I1662" s="8" t="str">
        <x:v>구역, 구토, 묽은 변, 설사, 상복부 통증, 혼수, 피부염, 땀·호흡시 악취, 탈모, 조급증, 위장관장애, 소화장애, 저혈압, 폐부종 등이 나타나는 경우 복용을 즉각 중지하고 의사 또는 약사와 상의하십시오.</x:v>
      </x:c>
      <x:c r="J1662" s="8" t="str">
        <x:v>모네랄정 [품목기준코드 202400075]</x:v>
      </x:c>
      <x:c r="K1662" s="8" t="str">
        <x:v>식품의약품안전처 의약품개요정보(e약은요) OpenAPI
https://apis.data.go.kr/1471000/DrbEasyDrugInfoService/getDrbEasyDrugList</x:v>
      </x:c>
    </x:row>
    <x:row r="1663" ht="62" customHeight="1">
      <x:c r="A1663" s="9" t="n">
        <x:v>1662</x:v>
      </x:c>
      <x:c r="B1663" s="6" t="str">
        <x:v>최종 평가</x:v>
      </x:c>
      <x:c r="C1663" s="6" t="str">
        <x:v>복약</x:v>
      </x:c>
      <x:c r="D1663" s="6" t="str">
        <x:v>용법·용량</x:v>
      </x:c>
      <x:c r="E1663" s="6" t="str">
        <x:v>답변 가능</x:v>
      </x:c>
      <x:c r="F1663" s="6" t="str">
        <x:v>쉬움</x:v>
      </x:c>
      <x:c r="G1663" s="8" t="str">
        <x:v>베세틴액(포비돈요오드)은 어떻게 사용하나요?</x:v>
      </x:c>
      <x:c r="H1663" s="8" t="str">
        <x:v>1일 수회(여러 차례) 환부(질환 부위)에 적당량을 바릅니다.</x:v>
      </x:c>
      <x:c r="I1663" s="8" t="str">
        <x:v>1일 수회(여러 차례) 환부(질환 부위)에 적당량을 바릅니다.</x:v>
      </x:c>
      <x:c r="J1663" s="8" t="str">
        <x:v>베세틴액(포비돈요오드) [품목기준코드 200210726]</x:v>
      </x:c>
      <x:c r="K1663" s="8" t="str">
        <x:v>식품의약품안전처 의약품개요정보(e약은요) OpenAPI
https://apis.data.go.kr/1471000/DrbEasyDrugInfoService/getDrbEasyDrugList</x:v>
      </x:c>
    </x:row>
    <x:row r="1664" ht="62" customHeight="1">
      <x:c r="A1664" s="9" t="n">
        <x:v>1663</x:v>
      </x:c>
      <x:c r="B1664" s="6" t="str">
        <x:v>최종 평가</x:v>
      </x:c>
      <x:c r="C1664" s="6" t="str">
        <x:v>복약</x:v>
      </x:c>
      <x:c r="D1664" s="6" t="str">
        <x:v>증상·이상반응</x:v>
      </x:c>
      <x:c r="E1664" s="6" t="str">
        <x:v>답변 가능</x:v>
      </x:c>
      <x:c r="F1664" s="6" t="str">
        <x:v>쉬움</x:v>
      </x:c>
      <x:c r="G1664" s="8" t="str">
        <x:v>멀티속정을 사용하면 어떤 부작용이 생길 수 있나요?</x:v>
      </x:c>
      <x:c r="H1664" s="8" t="str">
        <x:v>e약은요에는 다음과 같은 이상반응이 안내되어 있습니다. 뇨량이 감소하거나, 얼굴이나 손발이 붓거나, 눈꺼풀이 무겁거나, 손이 굳어지거나, 혈압이 오르거나, 두통, 위알도스테론증(저칼륨혈증, 혈압상승, 나트륨 체액의 저류(고임), 부종(부기), 체중증가 등), 근육병증(무력감, 사지경련, 마비 등), 알레르기 증상(발진, 가려움 등), 졸음, 현훈(어지러움), 권태감, 변비, 입이 마르는 증상, 드물게 심계항진(두근거림), GOT 및 GPT 상승 등이 나타나는 경우 복용을 즉각 중지하고 의사 또는 약사와 상의하십시오.</x:v>
      </x:c>
      <x:c r="I1664" s="8" t="str">
        <x:v>뇨량이 감소하거나, 얼굴이나 손발이 붓거나, 눈꺼풀이 무겁거나, 손이 굳어지거나, 혈압이 오르거나, 두통, 위알도스테론증(저칼륨혈증, 혈압상승, 나트륨 체액의 저류(고임), 부종(부기), 체중증가 등), 근육병증(무력감, 사지경련, 마비 등), 알레르기 증상(발진, 가려움 등), 졸음, 현훈(어지러움), 권태감, 변비, 입이 마르는 증상, 드물게 심계항진(두근거림), GOT 및 GPT 상승 등이 나타나는 경우 복용을 즉각 중지하고 의사 또는 약사와 상의하십시오.</x:v>
      </x:c>
      <x:c r="J1664" s="8" t="str">
        <x:v>멀티속정 [품목기준코드 202400177]</x:v>
      </x:c>
      <x:c r="K1664" s="8" t="str">
        <x:v>식품의약품안전처 의약품개요정보(e약은요) OpenAPI
https://apis.data.go.kr/1471000/DrbEasyDrugInfoService/getDrbEasyDrugList</x:v>
      </x:c>
    </x:row>
    <x:row r="1665" ht="62" customHeight="1">
      <x:c r="A1665" s="9" t="n">
        <x:v>1664</x:v>
      </x:c>
      <x:c r="B1665" s="6" t="str">
        <x:v>최종 평가</x:v>
      </x:c>
      <x:c r="C1665" s="6" t="str">
        <x:v>복약</x:v>
      </x:c>
      <x:c r="D1665" s="6" t="str">
        <x:v>용어·정의</x:v>
      </x:c>
      <x:c r="E1665" s="6" t="str">
        <x:v>답변 가능</x:v>
      </x:c>
      <x:c r="F1665" s="6" t="str">
        <x:v>쉬움</x:v>
      </x:c>
      <x:c r="G1665" s="8" t="str">
        <x:v>한방파프바로한방고카타플라스마은 어떤 약인가요?</x:v>
      </x:c>
      <x:c r="H1665" s="8" t="str">
        <x:v>한방파프바로한방고카타플라스마은 (주)티디에스팜의 의약품으로, e약은요에는 다음과 같이 안내되어 있습니다. 이 약은 삠, 타박상, 근육통, 관절통, 요(허리)통, 어깨결림, 동창(언 상처)의 진통·소염(항염)에 사용합니다.</x:v>
      </x:c>
      <x:c r="I1665" s="8" t="str">
        <x:v>제품명: 한방파프바로한방고카타플라스마 업체명: (주)티디에스팜 효능: 이 약은 삠, 타박상, 근육통, 관절통, 요(허리)통, 어깨결림, 동창(언 상처)의 진통·소염(항염)에 사용합니다.</x:v>
      </x:c>
      <x:c r="J1665" s="8" t="str">
        <x:v>한방파프바로한방고카타플라스마 [품목기준코드 200806882]</x:v>
      </x:c>
      <x:c r="K1665" s="8" t="str">
        <x:v>식품의약품안전처 의약품개요정보(e약은요) OpenAPI
https://apis.data.go.kr/1471000/DrbEasyDrugInfoService/getDrbEasyDrugList</x:v>
      </x:c>
    </x:row>
    <x:row r="1666" ht="62" customHeight="1">
      <x:c r="A1666" s="9" t="n">
        <x:v>1665</x:v>
      </x:c>
      <x:c r="B1666" s="6" t="str">
        <x:v>최종 평가</x:v>
      </x:c>
      <x:c r="C1666" s="6" t="str">
        <x:v>복약</x:v>
      </x:c>
      <x:c r="D1666" s="6" t="str">
        <x:v>상호작용</x:v>
      </x:c>
      <x:c r="E1666" s="6" t="str">
        <x:v>답변 가능</x:v>
      </x:c>
      <x:c r="F1666" s="6" t="str">
        <x:v>쉬움</x:v>
      </x:c>
      <x:c r="G1666" s="8" t="str">
        <x:v>와이디1000연질캡슐과 함께 사용하거나 먹을 때 주의해야 할 약이나 음식이 있나요?</x:v>
      </x:c>
      <x:c r="H1666" s="8" t="str">
        <x:v>에스트로겐을 포함한 경구용 피임제와 함께 복용 시 의사 또는 약사와 상의하십시오.</x:v>
      </x:c>
      <x:c r="I1666" s="8" t="str">
        <x:v>에스트로겐을 포함한 경구용 피임제와 함께 복용 시 의사 또는 약사와 상의하십시오.</x:v>
      </x:c>
      <x:c r="J1666" s="8" t="str">
        <x:v>와이디1000연질캡슐 [품목기준코드 201207054]</x:v>
      </x:c>
      <x:c r="K1666" s="8" t="str">
        <x:v>식품의약품안전처 의약품개요정보(e약은요) OpenAPI
https://apis.data.go.kr/1471000/DrbEasyDrugInfoService/getDrbEasyDrugList</x:v>
      </x:c>
    </x:row>
    <x:row r="1667" ht="62" customHeight="1">
      <x:c r="A1667" s="9" t="n">
        <x:v>1666</x:v>
      </x:c>
      <x:c r="B1667" s="6" t="str">
        <x:v>최종 평가</x:v>
      </x:c>
      <x:c r="C1667" s="6" t="str">
        <x:v>복약</x:v>
      </x:c>
      <x:c r="D1667" s="6" t="str">
        <x:v>금기·경고</x:v>
      </x:c>
      <x:c r="E1667" s="6" t="str">
        <x:v>답변 가능</x:v>
      </x:c>
      <x:c r="F1667" s="6" t="str">
        <x:v>쉬움</x:v>
      </x:c>
      <x:c r="G1667" s="8" t="str">
        <x:v>아이리스플러스점안액(1회용), 아이리스플러스점안액을 사용하면 안 되거나 반드시 확인해야 할 경고사항은 무엇인가요?</x:v>
      </x:c>
      <x:c r="H1667" s="8" t="str">
        <x:v>눈의 통증이 심한 환자, 안약에 의한 알레르기 증상(눈의 충혈, 가려움, 부기) 경험자, 녹내장환자는 이 약을 사용하지 마십시오. 오염을 방지하기 위해 가능한 공동으로 사용하지 마십시오.</x:v>
      </x:c>
      <x:c r="I1667" s="8" t="str">
        <x:v>눈의 통증이 심한 환자, 안약에 의한 알레르기 증상(눈의 충혈, 가려움, 부기) 경험자, 녹내장환자는 이 약을 사용하지 마십시오. 오염을 방지하기 위해 가능한 공동으로 사용하지 마십시오.</x:v>
      </x:c>
      <x:c r="J1667" s="8" t="str">
        <x:v>아이리스플러스점안액(1회용), 아이리스플러스점안액 [품목기준코드 200806461]</x:v>
      </x:c>
      <x:c r="K1667" s="8" t="str">
        <x:v>식품의약품안전처 의약품개요정보(e약은요) OpenAPI
https://apis.data.go.kr/1471000/DrbEasyDrugInfoService/getDrbEasyDrugList</x:v>
      </x:c>
    </x:row>
    <x:row r="1668" ht="62" customHeight="1">
      <x:c r="A1668" s="9" t="n">
        <x:v>1667</x:v>
      </x:c>
      <x:c r="B1668" s="6" t="str">
        <x:v>최종 평가</x:v>
      </x:c>
      <x:c r="C1668" s="6" t="str">
        <x:v>복약</x:v>
      </x:c>
      <x:c r="D1668" s="6" t="str">
        <x:v>용어·정의</x:v>
      </x:c>
      <x:c r="E1668" s="6" t="str">
        <x:v>답변 가능</x:v>
      </x:c>
      <x:c r="F1668" s="6" t="str">
        <x:v>쉬움</x:v>
      </x:c>
      <x:c r="G1668" s="8" t="str">
        <x:v>마리부틴정150mg(트리메부틴말레산염)은 어떤 약인가요?</x:v>
      </x:c>
      <x:c r="H1668" s="8" t="str">
        <x:v>마리부틴정150mg(트리메부틴말레산염)은 경방신약(주)의 의약품으로, e약은요에는 다음과 같이 안내되어 있습니다. 이 약은 식도역류 및 열공헤르니아, 위 십이지장염, 위ㆍ십이지장궤양에 있어서의 소화기능이상 (복통, 소화불량,구역, 구토), 과민성대장증후군 및 경련성 결장, 소아 질환(습관성 구토, 비감염성 장관통과장애 (변비, 설사))에 사용합니다.</x:v>
      </x:c>
      <x:c r="I1668" s="8" t="str">
        <x:v>제품명: 마리부틴정150mg(트리메부틴말레산염) 업체명: 경방신약(주) 효능: 이 약은 식도역류 및 열공헤르니아, 위 십이지장염, 위ㆍ십이지장궤양에 있어서의 소화기능이상 (복통, 소화불량,구역, 구토), 과민성대장증후군 및 경련성 결장, 소아 질환(습관성 구토, 비감염성 장관통과장애 (변비, 설사))에 사용합니다.</x:v>
      </x:c>
      <x:c r="J1668" s="8" t="str">
        <x:v>마리부틴정150mg(트리메부틴말레산염) [품목기준코드 201501578]</x:v>
      </x:c>
      <x:c r="K1668" s="8" t="str">
        <x:v>식품의약품안전처 의약품개요정보(e약은요) OpenAPI
https://apis.data.go.kr/1471000/DrbEasyDrugInfoService/getDrbEasyDrugList</x:v>
      </x:c>
    </x:row>
    <x:row r="1669" ht="62" customHeight="1">
      <x:c r="A1669" s="9" t="n">
        <x:v>1668</x:v>
      </x:c>
      <x:c r="B1669" s="6" t="str">
        <x:v>최종 평가</x:v>
      </x:c>
      <x:c r="C1669" s="6" t="str">
        <x:v>복약</x:v>
      </x:c>
      <x:c r="D1669" s="6" t="str">
        <x:v>상호작용</x:v>
      </x:c>
      <x:c r="E1669" s="6" t="str">
        <x:v>답변 가능</x:v>
      </x:c>
      <x:c r="F1669" s="6" t="str">
        <x:v>쉬움</x:v>
      </x:c>
      <x:c r="G1669" s="8" t="str">
        <x:v>보나링스피드액과 함께 사용하거나 먹을 때 주의해야 할 약이나 음식이 있나요?</x:v>
      </x:c>
      <x:c r="H1669" s="8" t="str">
        <x:v>이 약을 복용하는 동안에는 다른 진토제, 감기약, 해열진통제, 항히스타민제, 진정제, 진해거담제, 위장진통∙진경제 등을 복용하지 마십시오. 이 약을 복용하는 동안에는 알코올 음료를 마시지 마십시오.</x:v>
      </x:c>
      <x:c r="I1669" s="8" t="str">
        <x:v>이 약을 복용하는 동안에는 다른 진토제, 감기약, 해열진통제, 항히스타민제, 진정제, 진해거담제, 위장진통∙진경제 등을 복용하지 마십시오. 이 약을 복용하는 동안에는 알코올 음료를 마시지 마십시오.</x:v>
      </x:c>
      <x:c r="J1669" s="8" t="str">
        <x:v>보나링스피드액 [품목기준코드 202302853]</x:v>
      </x:c>
      <x:c r="K1669" s="8" t="str">
        <x:v>식품의약품안전처 의약품개요정보(e약은요) OpenAPI
https://apis.data.go.kr/1471000/DrbEasyDrugInfoService/getDrbEasyDrugList</x:v>
      </x:c>
    </x:row>
    <x:row r="1670" ht="62" customHeight="1">
      <x:c r="A1670" s="9" t="n">
        <x:v>1669</x:v>
      </x:c>
      <x:c r="B1670" s="6" t="str">
        <x:v>최종 평가</x:v>
      </x:c>
      <x:c r="C1670" s="6" t="str">
        <x:v>복약</x:v>
      </x:c>
      <x:c r="D1670" s="6" t="str">
        <x:v>용어·정의</x:v>
      </x:c>
      <x:c r="E1670" s="6" t="str">
        <x:v>답변 가능</x:v>
      </x:c>
      <x:c r="F1670" s="6" t="str">
        <x:v>쉬움</x:v>
      </x:c>
      <x:c r="G1670" s="8" t="str">
        <x:v>삼아탄툼액(벤지다민염산염)은 어떤 약인가요?</x:v>
      </x:c>
      <x:c r="H1670" s="8" t="str">
        <x:v>삼아탄툼액(벤지다민염산염)은 삼아제약(주)의 의약품으로, e약은요에는 다음과 같이 안내되어 있습니다. 이 약은 치은염, 구내염, 아구창, 발치전ㆍ후, 인두염, 편도염, 방사선요법 및 삽관법 등의 물리적 원인에 의한 구강점막염에 의한 염증의 완화에 사용합니다.</x:v>
      </x:c>
      <x:c r="I1670" s="8" t="str">
        <x:v>제품명: 삼아탄툼액(벤지다민염산염) 업체명: 삼아제약(주) 효능: 이 약은 치은염, 구내염, 아구창, 발치전ㆍ후, 인두염, 편도염, 방사선요법 및 삽관법 등의 물리적 원인에 의한 구강점막염에 의한 염증의 완화에 사용합니다.</x:v>
      </x:c>
      <x:c r="J1670" s="8" t="str">
        <x:v>삼아탄툼액(벤지다민염산염) [품목기준코드 198300389]</x:v>
      </x:c>
      <x:c r="K1670" s="8" t="str">
        <x:v>식품의약품안전처 의약품개요정보(e약은요) OpenAPI
https://apis.data.go.kr/1471000/DrbEasyDrugInfoService/getDrbEasyDrugList</x:v>
      </x:c>
    </x:row>
    <x:row r="1671" ht="62" customHeight="1">
      <x:c r="A1671" s="9" t="n">
        <x:v>1670</x:v>
      </x:c>
      <x:c r="B1671" s="6" t="str">
        <x:v>최종 평가</x:v>
      </x:c>
      <x:c r="C1671" s="6" t="str">
        <x:v>복약</x:v>
      </x:c>
      <x:c r="D1671" s="6" t="str">
        <x:v>증상·이상반응</x:v>
      </x:c>
      <x:c r="E1671" s="6" t="str">
        <x:v>답변 가능</x:v>
      </x:c>
      <x:c r="F1671" s="6" t="str">
        <x:v>쉬움</x:v>
      </x:c>
      <x:c r="G1671" s="8" t="str">
        <x:v>코마키텐나잘스프레이을 사용하면 어떤 부작용이 생길 수 있나요?</x:v>
      </x:c>
      <x:c r="H1671" s="8" t="str">
        <x:v>e약은요에는 다음과 같은 이상반응이 안내되어 있습니다. 발진, 발적, 부종, 자극감, 가려움 등이 나타나는 경우 사용을 즉각 중지하고 의사 또는 약사와 상의하십시오.</x:v>
      </x:c>
      <x:c r="I1671" s="8" t="str">
        <x:v>발진, 발적, 부종, 자극감, 가려움 등이 나타나는 경우 사용을 즉각 중지하고 의사 또는 약사와 상의하십시오.</x:v>
      </x:c>
      <x:c r="J1671" s="8" t="str">
        <x:v>코마키텐나잘스프레이 [품목기준코드 202001725]</x:v>
      </x:c>
      <x:c r="K1671" s="8" t="str">
        <x:v>식품의약품안전처 의약품개요정보(e약은요) OpenAPI
https://apis.data.go.kr/1471000/DrbEasyDrugInfoService/getDrbEasyDrugList</x:v>
      </x:c>
    </x:row>
    <x:row r="1672" ht="62" customHeight="1">
      <x:c r="A1672" s="9" t="n">
        <x:v>1671</x:v>
      </x:c>
      <x:c r="B1672" s="6" t="str">
        <x:v>최종 평가</x:v>
      </x:c>
      <x:c r="C1672" s="6" t="str">
        <x:v>복약</x:v>
      </x:c>
      <x:c r="D1672" s="6" t="str">
        <x:v>증상→대상 구분</x:v>
      </x:c>
      <x:c r="E1672" s="6" t="str">
        <x:v>답변 가능</x:v>
      </x:c>
      <x:c r="F1672" s="6" t="str">
        <x:v>어려움</x:v>
      </x:c>
      <x:c r="G1672" s="8" t="str">
        <x:v>디센플러스카타플라스마(디클로페낙나트륨)을 사용한 뒤 가려움이 생겼는데, 이 약의 부작용으로 안내되어 있나요?</x:v>
      </x:c>
      <x:c r="H1672" s="8" t="str">
        <x:v>가려움은 이 제품의 e약은요 부작용 항목에 기재되어 있습니다. 다만 이 정보만으로 현재 증상의 원인이 해당 약이라고 확정할 수는 없습니다.</x:v>
      </x:c>
      <x:c r="I1672" s="8" t="str">
        <x:v>때때로 피부염, 가려움, 충혈되어 붉어짐, 거칠어짐, 자극감 등이 나타나는 경우 사용을 즉각 중지하고 의사 또는 약사와 상의하십시오.</x:v>
      </x:c>
      <x:c r="J1672" s="8" t="str">
        <x:v>디센플러스카타플라스마(디클로페낙나트륨) [품목기준코드 202002110]</x:v>
      </x:c>
      <x:c r="K1672" s="8" t="str">
        <x:v>식품의약품안전처 의약품개요정보(e약은요) OpenAPI
https://apis.data.go.kr/1471000/DrbEasyDrugInfoService/getDrbEasyDrugList</x:v>
      </x:c>
    </x:row>
    <x:row r="1673" ht="62" customHeight="1">
      <x:c r="A1673" s="9" t="n">
        <x:v>1672</x:v>
      </x:c>
      <x:c r="B1673" s="6" t="str">
        <x:v>최종 평가</x:v>
      </x:c>
      <x:c r="C1673" s="6" t="str">
        <x:v>복약</x:v>
      </x:c>
      <x:c r="D1673" s="6" t="str">
        <x:v>실용·응급대처</x:v>
      </x:c>
      <x:c r="E1673" s="6" t="str">
        <x:v>답변 가능</x:v>
      </x:c>
      <x:c r="F1673" s="6" t="str">
        <x:v>보통</x:v>
      </x:c>
      <x:c r="G1673" s="8" t="str">
        <x:v>덱사톱크림(덱사메타손프로피오네이트) 사용 후 심한 이상반응이 나타나면 어떻게 해야 하나요?</x:v>
      </x:c>
      <x:c r="H1673" s="8" t="str">
        <x:v>이 약에 과민증, 피부결핵, 단순포진, 수두, 대상포진, 종두진, 고막 천공이 있는 습진성 외이도염, 궤양(베체트병 제외), 제2도 심재성 이상의 화상 및 동상, 세균, 진균, 스피로헤타, 바이러스 피부 감염 환자는 이 약을 사용하지 마십시오.이 약을 사용하기 전에 임부 또는 임신하고 있을 가능성이 있는 여성 및 수유부, 소아, 고령자는 의사 또는 약사와 상의하십시오.안과용으로 사용하지 마십시오.기초 화장이나 면도 후에 사용하지 마십시오.</x:v>
      </x:c>
      <x:c r="I1673" s="8" t="str">
        <x:v>이 약에 과민증, 피부결핵, 단순포진, 수두, 대상포진, 종두진, 고막 천공이 있는 습진성 외이도염, 궤양(베체트병 제외), 제2도 심재성 이상의 화상 및 동상, 세균, 진균, 스피로헤타, 바이러스 피부 감염 환자는 이 약을 사용하지 마십시오.이 약을 사용하기 전에 임부 또는 임신하고 있을 가능성이 있는 여성 및 수유부, 소아, 고령자는 의사 또는 약사와 상의하십시오.안과용으로 사용하지 마십시오.기초 화장이나 면도 후에 사용하지 마십시오.</x:v>
      </x:c>
      <x:c r="J1673" s="8" t="str">
        <x:v>덱사톱크림(덱사메타손프로피오네이트) [품목기준코드 200201703]</x:v>
      </x:c>
      <x:c r="K1673" s="8" t="str">
        <x:v>식품의약품안전처 의약품개요정보(e약은요) OpenAPI
https://apis.data.go.kr/1471000/DrbEasyDrugInfoService/getDrbEasyDrugList</x:v>
      </x:c>
    </x:row>
    <x:row r="1674" ht="62" customHeight="1">
      <x:c r="A1674" s="9" t="n">
        <x:v>1673</x:v>
      </x:c>
      <x:c r="B1674" s="6" t="str">
        <x:v>최종 평가</x:v>
      </x:c>
      <x:c r="C1674" s="6" t="str">
        <x:v>복약</x:v>
      </x:c>
      <x:c r="D1674" s="6" t="str">
        <x:v>실용·응급대처</x:v>
      </x:c>
      <x:c r="E1674" s="6" t="str">
        <x:v>답변 가능</x:v>
      </x:c>
      <x:c r="F1674" s="6" t="str">
        <x:v>보통</x:v>
      </x:c>
      <x:c r="G1674" s="8" t="str">
        <x:v>명랑에스산 사용 후 심한 이상반응이 나타나면 어떻게 해야 하나요?</x:v>
      </x:c>
      <x:c r="H1674" s="8" t="str">
        <x:v>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발진·발적, 가려움, 구역·구토, 식욕부진, 변비, 어지러움, 부종, 드물게 쇽 증상(복용후 바로 두드러기, 부종, 가슴답답함 등과 함께 안색이 창백하고, 손발이 차고, 식은땀, 숨쉬기 곤란함), 피부점막안증후군(스티븐스-존슨증후군), 독성표피괴사용해(리엘증후군)(고열을 동반하고, 발진·발적(충혈되어 붉어짐), 화상과 같이 물집이 생기는 등의 심한 증상이 전신피부, 입이나 눈 점막에 나타남), 천식, 간기능장애(전신의 나른함, 황달(피부 또는 눈의 흰자위가 황색을 띄게 됨)) 등이 나타나는 경우 복용을 즉각 중지하고 의사 또는 약사와 상의하십시오.</x:v>
      </x:c>
      <x:c r="I1674" s="8" t="str">
        <x:v>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발진·발적, 가려움, 구역·구토, 식욕부진, 변비, 어지러움, 부종, 드물게 쇽 증상(복용후 바로 두드러기, 부종, 가슴답답함 등과 함께 안색이 창백하고, 손발이 차고, 식은땀, 숨쉬기 곤란함), 피부점막안증후군(스티븐스-존슨증후군), 독성표피괴사용해(리엘증후군)(고열을 동반하고, 발진·발적(충혈되어 붉어짐), 화상과 같이 물집이 생기는 등의 심한 증상이 전신피부, 입이나 눈 점막에 나타남), 천식, 간기능장애(전신의 나른함, 황달(피부 또는 눈의 흰자위가 황색을 띄게 됨)) 등이 나타나는 경우 복용을 즉각 중지하고 의사 또는 약사와 상의하십시오.</x:v>
      </x:c>
      <x:c r="J1674" s="8" t="str">
        <x:v>명랑에스산 [품목기준코드 200703212]</x:v>
      </x:c>
      <x:c r="K1674" s="8" t="str">
        <x:v>식품의약품안전처 의약품개요정보(e약은요) OpenAPI
https://apis.data.go.kr/1471000/DrbEasyDrugInfoService/getDrbEasyDrugList</x:v>
      </x:c>
    </x:row>
    <x:row r="1675" ht="62" customHeight="1">
      <x:c r="A1675" s="9" t="n">
        <x:v>1674</x:v>
      </x:c>
      <x:c r="B1675" s="6" t="str">
        <x:v>최종 평가</x:v>
      </x:c>
      <x:c r="C1675" s="6" t="str">
        <x:v>복약</x:v>
      </x:c>
      <x:c r="D1675" s="6" t="str">
        <x:v>원인·위험요인</x:v>
      </x:c>
      <x:c r="E1675" s="6" t="str">
        <x:v>답변 가능</x:v>
      </x:c>
      <x:c r="F1675" s="6" t="str">
        <x:v>쉬움</x:v>
      </x:c>
      <x:c r="G1675" s="8" t="str">
        <x:v>엘부틴정(트리메부틴말레산염)을 사용하기 전에 특히 조심해야 하는 사람은 누구인가요?</x:v>
      </x:c>
      <x:c r="H1675" s="8" t="str">
        <x:v>이 제품을 사용하기 전에 특히 확인해야 할 대상과 상황은 다음과 같습니다.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x:v>
      </x:c>
      <x:c r="I1675" s="8" t="str">
        <x:v>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x:v>
      </x:c>
      <x:c r="J1675" s="8" t="str">
        <x:v>엘부틴정(트리메부틴말레산염) [품목기준코드 201801085]</x:v>
      </x:c>
      <x:c r="K1675" s="8" t="str">
        <x:v>식품의약품안전처 의약품개요정보(e약은요) OpenAPI
https://apis.data.go.kr/1471000/DrbEasyDrugInfoService/getDrbEasyDrugList</x:v>
      </x:c>
    </x:row>
    <x:row r="1676" ht="62" customHeight="1">
      <x:c r="A1676" s="9" t="n">
        <x:v>1675</x:v>
      </x:c>
      <x:c r="B1676" s="6" t="str">
        <x:v>최종 평가</x:v>
      </x:c>
      <x:c r="C1676" s="6" t="str">
        <x:v>복약</x:v>
      </x:c>
      <x:c r="D1676" s="6" t="str">
        <x:v>금기·경고</x:v>
      </x:c>
      <x:c r="E1676" s="6" t="str">
        <x:v>답변 가능</x:v>
      </x:c>
      <x:c r="F1676" s="6" t="str">
        <x:v>쉬움</x:v>
      </x:c>
      <x:c r="G1676" s="8" t="str">
        <x:v>듀락칸이지시럽(락툴로오즈농축액)을 사용하면 안 되거나 반드시 확인해야 할 경고사항은 무엇인가요?</x:v>
      </x:c>
      <x:c r="H1676" s="8" t="str">
        <x:v>이 약에 과민증 환자, 염증성 대장 질환(궤양성 대장염, 크론병), 위장관 폐색, 원인불명의 복통, 저갈락토스 식이요법(갈락토스 혈증), 소화관 천공 또는 그 위험이 있는 환자, 갈락토오스 불내성, Lapp 유당분해효소 결핍증 또는 포도당-갈락토오스 흡수장애 등의 유전적인 문제가 있는 환자는 이 약을 복용하지 마십시오.</x:v>
      </x:c>
      <x:c r="I1676" s="8" t="str">
        <x:v>이 약에 과민증 환자, 염증성 대장 질환(궤양성 대장염, 크론병), 위장관 폐색, 원인불명의 복통, 저갈락토스 식이요법(갈락토스 혈증), 소화관 천공 또는 그 위험이 있는 환자, 갈락토오스 불내성, Lapp 유당분해효소 결핍증 또는 포도당-갈락토오스 흡수장애 등의 유전적인 문제가 있는 환자는 이 약을 복용하지 마십시오.</x:v>
      </x:c>
      <x:c r="J1676" s="8" t="str">
        <x:v>듀락칸이지시럽(락툴로오즈농축액) [품목기준코드 201211097]</x:v>
      </x:c>
      <x:c r="K1676" s="8" t="str">
        <x:v>식품의약품안전처 의약품개요정보(e약은요) OpenAPI
https://apis.data.go.kr/1471000/DrbEasyDrugInfoService/getDrbEasyDrugList</x:v>
      </x:c>
    </x:row>
    <x:row r="1677" ht="62" customHeight="1">
      <x:c r="A1677" s="9" t="n">
        <x:v>1676</x:v>
      </x:c>
      <x:c r="B1677" s="6" t="str">
        <x:v>최종 평가</x:v>
      </x:c>
      <x:c r="C1677" s="6" t="str">
        <x:v>복약</x:v>
      </x:c>
      <x:c r="D1677" s="6" t="str">
        <x:v>용어·정의</x:v>
      </x:c>
      <x:c r="E1677" s="6" t="str">
        <x:v>답변 가능</x:v>
      </x:c>
      <x:c r="F1677" s="6" t="str">
        <x:v>쉬움</x:v>
      </x:c>
      <x:c r="G1677" s="8" t="str">
        <x:v>혜민고카타플라스마은 어떤 약인가요?</x:v>
      </x:c>
      <x:c r="H1677" s="8" t="str">
        <x:v>혜민고카타플라스마은 대화제약(주)의 의약품으로, e약은요에는 다음과 같이 안내되어 있습니다. 이 약은 염좌(삠), 타박, 근육통, 관절통, 골절통, 요(허리)통, 견통(어깨통증), 동창의 진통ㆍ소염에 사용합니다.</x:v>
      </x:c>
      <x:c r="I1677" s="8" t="str">
        <x:v>제품명: 혜민고카타플라스마 업체명: 대화제약(주) 효능: 이 약은 염좌(삠), 타박, 근육통, 관절통, 골절통, 요(허리)통, 견통(어깨통증), 동창의 진통ㆍ소염에 사용합니다.</x:v>
      </x:c>
      <x:c r="J1677" s="8" t="str">
        <x:v>혜민고카타플라스마 [품목기준코드 200102101]</x:v>
      </x:c>
      <x:c r="K1677" s="8" t="str">
        <x:v>식품의약품안전처 의약품개요정보(e약은요) OpenAPI
https://apis.data.go.kr/1471000/DrbEasyDrugInfoService/getDrbEasyDrugList</x:v>
      </x:c>
    </x:row>
    <x:row r="1678" ht="62" customHeight="1">
      <x:c r="A1678" s="9" t="n">
        <x:v>1677</x:v>
      </x:c>
      <x:c r="B1678" s="6" t="str">
        <x:v>최종 평가</x:v>
      </x:c>
      <x:c r="C1678" s="6" t="str">
        <x:v>복약</x:v>
      </x:c>
      <x:c r="D1678" s="6" t="str">
        <x:v>효능·사용목적</x:v>
      </x:c>
      <x:c r="E1678" s="6" t="str">
        <x:v>답변 가능</x:v>
      </x:c>
      <x:c r="F1678" s="6" t="str">
        <x:v>쉬움</x:v>
      </x:c>
      <x:c r="G1678" s="8" t="str">
        <x:v>써버쿨에스액은 어떤 증상이나 질환에 사용하는 약인가요?</x:v>
      </x:c>
      <x:c r="H1678" s="8" t="str">
        <x:v>이 약은 습진, 피부염, 땀띠, 옻 등에 의한 피부염, 가려움, 벌레물림, 두드러기, 동창에 사용합니다.</x:v>
      </x:c>
      <x:c r="I1678" s="8" t="str">
        <x:v>이 약은 습진, 피부염, 땀띠, 옻 등에 의한 피부염, 가려움, 벌레물림, 두드러기, 동창에 사용합니다.</x:v>
      </x:c>
      <x:c r="J1678" s="8" t="str">
        <x:v>써버쿨에스액 [품목기준코드 202401301]</x:v>
      </x:c>
      <x:c r="K1678" s="8" t="str">
        <x:v>식품의약품안전처 의약품개요정보(e약은요) OpenAPI
https://apis.data.go.kr/1471000/DrbEasyDrugInfoService/getDrbEasyDrugList</x:v>
      </x:c>
    </x:row>
    <x:row r="1679" ht="62" customHeight="1">
      <x:c r="A1679" s="9" t="n">
        <x:v>1678</x:v>
      </x:c>
      <x:c r="B1679" s="6" t="str">
        <x:v>최종 평가</x:v>
      </x:c>
      <x:c r="C1679" s="6" t="str">
        <x:v>복약</x:v>
      </x:c>
      <x:c r="D1679" s="6" t="str">
        <x:v>용법·용량</x:v>
      </x:c>
      <x:c r="E1679" s="6" t="str">
        <x:v>답변 가능</x:v>
      </x:c>
      <x:c r="F1679" s="6" t="str">
        <x:v>쉬움</x:v>
      </x:c>
      <x:c r="G1679" s="8" t="str">
        <x:v>해소코푸에스시럽은 어떻게 사용하나요?</x:v>
      </x:c>
      <x:c r="H1679" s="8" t="str">
        <x:v>성인은 1회 20 mL, 11세 이상~15세 미만은 1회 13 mL, 8세 이상~11세 미만은 1회 10 mL, 5세 이상~8세 미만은 1회 7 mL, 3세 이상~5세 미만은 1회 5 mL, 2세 이상~3세 미만은 1회 4 mL를 1일 3~4회 식후 및 취침 시에 복용합니다.</x:v>
      </x:c>
      <x:c r="I1679" s="8" t="str">
        <x:v>성인은 1회 20 mL, 11세 이상~15세 미만은 1회 13 mL, 8세 이상~11세 미만은 1회 10 mL, 5세 이상~8세 미만은 1회 7 mL, 3세 이상~5세 미만은 1회 5 mL, 2세 이상~3세 미만은 1회 4 mL를 1일 3~4회 식후 및 취침 시에 복용합니다.</x:v>
      </x:c>
      <x:c r="J1679" s="8" t="str">
        <x:v>해소코푸에스시럽 [품목기준코드 201900312]</x:v>
      </x:c>
      <x:c r="K1679" s="8" t="str">
        <x:v>식품의약품안전처 의약품개요정보(e약은요) OpenAPI
https://apis.data.go.kr/1471000/DrbEasyDrugInfoService/getDrbEasyDrugList</x:v>
      </x:c>
    </x:row>
    <x:row r="1680" ht="62" customHeight="1">
      <x:c r="A1680" s="9" t="n">
        <x:v>1679</x:v>
      </x:c>
      <x:c r="B1680" s="6" t="str">
        <x:v>최종 평가</x:v>
      </x:c>
      <x:c r="C1680" s="6" t="str">
        <x:v>복약</x:v>
      </x:c>
      <x:c r="D1680" s="6" t="str">
        <x:v>금기·경고</x:v>
      </x:c>
      <x:c r="E1680" s="6" t="str">
        <x:v>답변 가능</x:v>
      </x:c>
      <x:c r="F1680" s="6" t="str">
        <x:v>보통</x:v>
      </x:c>
      <x:c r="G1680" s="8" t="str">
        <x:v>씨엠지뷰플러스연질캡슐을 사용하면 안 되거나 반드시 확인해야 할 경고사항은 무엇인가요?</x:v>
      </x:c>
      <x:c r="H1680" s="8" t="str">
        <x:v>비타민 A를 1일 5,000 IU 이상 복용 시 선천성 기형을 일으킬 수 있습니다. 임신 3개월 이내 또는 임신하고 있을 가능성이 있는 여성은 복용하지 마십시오. 이 약에 과민증 환자, 만 3개월 미만의 젖먹이, 대두유에 과민증 또는 알레르기 경험자, 콩 또는 땅콩에 과민증 환자는 이 약을 복용하지 마십시오. 이 약을 복용하기 전에 만 1세 미만의 젖먹이, 임부 및 임신하고 있을 가능성이 있는 여성, 수유부, 미숙아, 유아, 고지단백혈증, 당뇨병성고지질혈증 및 췌장염 등 지방대사 이상 환자 또는 지질성 유제를 신중히 투여해야 하는 환자, 황색5호 및 황색203호에 과민증 환자는 의사 또는 약사와 상의하십시오.</x:v>
      </x:c>
      <x:c r="I1680" s="8" t="str">
        <x:v>비타민 A를 1일 5,000 IU 이상 복용 시 선천성 기형을 일으킬 수 있습니다. 임신 3개월 이내 또는 임신하고 있을 가능성이 있는 여성은 복용하지 마십시오. 이 약에 과민증 환자, 만 3개월 미만의 젖먹이, 대두유에 과민증 또는 알레르기 경험자, 콩 또는 땅콩에 과민증 환자는 이 약을 복용하지 마십시오. 이 약을 복용하기 전에 만 1세 미만의 젖먹이, 임부 및 임신하고 있을 가능성이 있는 여성, 수유부, 미숙아, 유아, 고지단백혈증, 당뇨병성고지질혈증 및 췌장염 등 지방대사 이상 환자 또는 지질성 유제를 신중히 투여해야 하는 환자, 황색5호 및 황색203호에 과민증 환자는 의사 또는 약사와 상의하십시오.</x:v>
      </x:c>
      <x:c r="J1680" s="8" t="str">
        <x:v>씨엠지뷰플러스연질캡슐 [품목기준코드 202400647]</x:v>
      </x:c>
      <x:c r="K1680" s="8" t="str">
        <x:v>식품의약품안전처 의약품개요정보(e약은요) OpenAPI
https://apis.data.go.kr/1471000/DrbEasyDrugInfoService/getDrbEasyDrugList</x:v>
      </x:c>
    </x:row>
    <x:row r="1681" ht="62" customHeight="1">
      <x:c r="A1681" s="9" t="n">
        <x:v>1680</x:v>
      </x:c>
      <x:c r="B1681" s="6" t="str">
        <x:v>최종 평가</x:v>
      </x:c>
      <x:c r="C1681" s="6" t="str">
        <x:v>복약</x:v>
      </x:c>
      <x:c r="D1681" s="6" t="str">
        <x:v>금기·경고</x:v>
      </x:c>
      <x:c r="E1681" s="6" t="str">
        <x:v>답변 가능</x:v>
      </x:c>
      <x:c r="F1681" s="6" t="str">
        <x:v>보통</x:v>
      </x:c>
      <x:c r="G1681" s="8" t="str">
        <x:v>아이비즈헬스연질캡슐을 사용하면 안 되거나 반드시 확인해야 할 경고사항은 무엇인가요?</x:v>
      </x:c>
      <x:c r="H1681" s="8" t="str">
        <x:v>임부가 비타민 A를 1일 5,000 IU 이상 복용 시 선천성 기형을 일으킬 수 있습니다. 임신 3개월 이내 또는 임신하고 있을 가능성이 있는 여성은 복용하지 마십시오. 이 약에 과민증 환자, 만 3개월 미만의 젖먹이, 대두유 과민증 환자 또는 알레르기 반응 경험자, 콩 또는 땅콩 과민증 환자는 이 약을 복용하지 마십시오.</x:v>
      </x:c>
      <x:c r="I1681" s="8" t="str">
        <x:v>임부가 비타민 A를 1일 5,000 IU 이상 복용 시 선천성 기형을 일으킬 수 있습니다. 임신 3개월 이내 또는 임신하고 있을 가능성이 있는 여성은 복용하지 마십시오. 이 약에 과민증 환자, 만 3개월 미만의 젖먹이, 대두유 과민증 환자 또는 알레르기 반응 경험자, 콩 또는 땅콩 과민증 환자는 이 약을 복용하지 마십시오.</x:v>
      </x:c>
      <x:c r="J1681" s="8" t="str">
        <x:v>아이비즈헬스연질캡슐 [품목기준코드 202500017]</x:v>
      </x:c>
      <x:c r="K1681" s="8" t="str">
        <x:v>식품의약품안전처 의약품개요정보(e약은요) OpenAPI
https://apis.data.go.kr/1471000/DrbEasyDrugInfoService/getDrbEasyDrugList</x:v>
      </x:c>
    </x:row>
    <x:row r="1682" ht="62" customHeight="1">
      <x:c r="A1682" s="9" t="n">
        <x:v>1681</x:v>
      </x:c>
      <x:c r="B1682" s="6" t="str">
        <x:v>최종 평가</x:v>
      </x:c>
      <x:c r="C1682" s="6" t="str">
        <x:v>복약</x:v>
      </x:c>
      <x:c r="D1682" s="6" t="str">
        <x:v>금기·경고</x:v>
      </x:c>
      <x:c r="E1682" s="6" t="str">
        <x:v>답변 가능</x:v>
      </x:c>
      <x:c r="F1682" s="6" t="str">
        <x:v>쉬움</x:v>
      </x:c>
      <x:c r="G1682" s="8" t="str">
        <x:v>비오메틱스캡슐(바실루스리케니포르미스균)을 사용하면 안 되거나 반드시 확인해야 할 경고사항은 무엇인가요?</x:v>
      </x:c>
      <x:c r="H1682" s="8" t="str">
        <x:v>갈락토오스 불내성, Lapp 유당분해효소 결핍증 또는 포도당-갈락토오스 흡수장애 등의 유전적인 문제가 있는 환자는 이 약을 복용하지 마십시오.이 약을 복용하기 전에 3개월 미만의 영아는 의사 또는 약사와 상의하십시오.정해진 용법과 용량을 잘 지키십시오.</x:v>
      </x:c>
      <x:c r="I1682" s="8" t="str">
        <x:v>갈락토오스 불내성, Lapp 유당분해효소 결핍증 또는 포도당-갈락토오스 흡수장애 등의 유전적인 문제가 있는 환자는 이 약을 복용하지 마십시오.이 약을 복용하기 전에 3개월 미만의 영아는 의사 또는 약사와 상의하십시오.정해진 용법과 용량을 잘 지키십시오.</x:v>
      </x:c>
      <x:c r="J1682" s="8" t="str">
        <x:v>비오메틱스캡슐(바실루스리케니포르미스균) [품목기준코드 201602544]</x:v>
      </x:c>
      <x:c r="K1682" s="8" t="str">
        <x:v>식품의약품안전처 의약품개요정보(e약은요) OpenAPI
https://apis.data.go.kr/1471000/DrbEasyDrugInfoService/getDrbEasyDrugList</x:v>
      </x:c>
    </x:row>
    <x:row r="1683" ht="62" customHeight="1">
      <x:c r="A1683" s="9" t="n">
        <x:v>1682</x:v>
      </x:c>
      <x:c r="B1683" s="6" t="str">
        <x:v>최종 평가</x:v>
      </x:c>
      <x:c r="C1683" s="6" t="str">
        <x:v>복약</x:v>
      </x:c>
      <x:c r="D1683" s="6" t="str">
        <x:v>원인·위험요인</x:v>
      </x:c>
      <x:c r="E1683" s="6" t="str">
        <x:v>답변 가능</x:v>
      </x:c>
      <x:c r="F1683" s="6" t="str">
        <x:v>보통</x:v>
      </x:c>
      <x:c r="G1683" s="8" t="str">
        <x:v>엘스킨크림을 사용하기 전에 특히 조심해야 하는 사람은 누구인가요?</x:v>
      </x:c>
      <x:c r="H1683" s="8" t="str">
        <x:v>이 제품을 사용하기 전에 특히 확인해야 할 대상과 상황은 다음과 같습니다. 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 이 약을 사용하기 전에 프로필렌글리콜에 과민증 환자 또는 경험자, 임부 또는 임신하고 있을 가능성이 있는 여성 및 수유부, 유ㆍ소아는 의사 또는 약사와 상의하십시오. 어린이에게 투여할 경우 보호자의 지도 감독하에 투여하십시오. 안(눈)과용으로 사용하지 마십시오. 화장이나 면도 후 치료 이외의 목적으로 사용하지 마십시오. 의사의 감독 없이 밀봉붕대법을 사용하지 마십시오. 장기간 사용하지 마십시오.</x:v>
      </x:c>
      <x:c r="I1683" s="8" t="str">
        <x:v>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 이 약을 사용하기 전에 프로필렌글리콜에 과민증 환자 또는 경험자, 임부 또는 임신하고 있을 가능성이 있는 여성 및 수유부, 유ㆍ소아는 의사 또는 약사와 상의하십시오. 어린이에게 투여할 경우 보호자의 지도 감독하에 투여하십시오. 안(눈)과용으로 사용하지 마십시오. 화장이나 면도 후 치료 이외의 목적으로 사용하지 마십시오. 의사의 감독 없이 밀봉붕대법을 사용하지 마십시오. 장기간 사용하지 마십시오.</x:v>
      </x:c>
      <x:c r="J1683" s="8" t="str">
        <x:v>엘스킨크림 [품목기준코드 200002813]</x:v>
      </x:c>
      <x:c r="K1683" s="8" t="str">
        <x:v>식품의약품안전처 의약품개요정보(e약은요) OpenAPI
https://apis.data.go.kr/1471000/DrbEasyDrugInfoService/getDrbEasyDrugList</x:v>
      </x:c>
    </x:row>
    <x:row r="1684" ht="62" customHeight="1">
      <x:c r="A1684" s="9" t="n">
        <x:v>1683</x:v>
      </x:c>
      <x:c r="B1684" s="6" t="str">
        <x:v>최종 평가</x:v>
      </x:c>
      <x:c r="C1684" s="6" t="str">
        <x:v>복약</x:v>
      </x:c>
      <x:c r="D1684" s="6" t="str">
        <x:v>보관·관리</x:v>
      </x:c>
      <x:c r="E1684" s="6" t="str">
        <x:v>답변 가능</x:v>
      </x:c>
      <x:c r="F1684" s="6" t="str">
        <x:v>쉬움</x:v>
      </x:c>
      <x:c r="G1684" s="8" t="str">
        <x:v>큐앤큐헥시알콜스틱스왑액은 어떻게 보관해야 하나요?</x:v>
      </x:c>
      <x:c r="H1684" s="8" t="str">
        <x:v>실온에서 보관하십시오.</x:v>
      </x:c>
      <x:c r="I1684" s="8" t="str">
        <x:v>실온에서 보관하십시오.</x:v>
      </x:c>
      <x:c r="J1684" s="8" t="str">
        <x:v>큐앤큐헥시알콜스틱스왑액 [품목기준코드 201708381]</x:v>
      </x:c>
      <x:c r="K1684" s="8" t="str">
        <x:v>식품의약품안전처 의약품개요정보(e약은요) OpenAPI
https://apis.data.go.kr/1471000/DrbEasyDrugInfoService/getDrbEasyDrugList</x:v>
      </x:c>
    </x:row>
    <x:row r="1685" ht="62" customHeight="1">
      <x:c r="A1685" s="9" t="n">
        <x:v>1684</x:v>
      </x:c>
      <x:c r="B1685" s="6" t="str">
        <x:v>최종 평가</x:v>
      </x:c>
      <x:c r="C1685" s="6" t="str">
        <x:v>복약</x:v>
      </x:c>
      <x:c r="D1685" s="6" t="str">
        <x:v>효능·사용목적</x:v>
      </x:c>
      <x:c r="E1685" s="6" t="str">
        <x:v>답변 가능</x:v>
      </x:c>
      <x:c r="F1685" s="6" t="str">
        <x:v>쉬움</x:v>
      </x:c>
      <x:c r="G1685" s="8" t="str">
        <x:v>치스민캡슐(디오스민)은 어떤 증상이나 질환에 사용하는 약인가요?</x:v>
      </x:c>
      <x:c r="H1685" s="8" t="str">
        <x:v>이 약은 정맥부전과 관련된 증상(다리 중압감, 통증 등)의 개선, 모세혈관 취약증에 의한 장애의 보조치료, 치질과 관련된 징후의 치료에 사용합니다.</x:v>
      </x:c>
      <x:c r="I1685" s="8" t="str">
        <x:v>이 약은 정맥부전과 관련된 증상(다리 중압감, 통증 등)의 개선, 모세혈관 취약증에 의한 장애의 보조치료, 치질과 관련된 징후의 치료에 사용합니다.</x:v>
      </x:c>
      <x:c r="J1685" s="8" t="str">
        <x:v>치스민캡슐(디오스민) [품목기준코드 201800133]</x:v>
      </x:c>
      <x:c r="K1685" s="8" t="str">
        <x:v>식품의약품안전처 의약품개요정보(e약은요) OpenAPI
https://apis.data.go.kr/1471000/DrbEasyDrugInfoService/getDrbEasyDrugList</x:v>
      </x:c>
    </x:row>
    <x:row r="1686" ht="62" customHeight="1">
      <x:c r="A1686" s="9" t="n">
        <x:v>1685</x:v>
      </x:c>
      <x:c r="B1686" s="6" t="str">
        <x:v>최종 평가</x:v>
      </x:c>
      <x:c r="C1686" s="6" t="str">
        <x:v>복약</x:v>
      </x:c>
      <x:c r="D1686" s="6" t="str">
        <x:v>증상·이상반응</x:v>
      </x:c>
      <x:c r="E1686" s="6" t="str">
        <x:v>답변 가능</x:v>
      </x:c>
      <x:c r="F1686" s="6" t="str">
        <x:v>쉬움</x:v>
      </x:c>
      <x:c r="G1686" s="8" t="str">
        <x:v>토마벤연질캡슐을 사용하면 어떤 부작용이 생길 수 있나요?</x:v>
      </x:c>
      <x:c r="H1686" s="8" t="str">
        <x:v>e약은요에는 다음과 같은 이상반응이 안내되어 있습니다. 위부 불쾌감, 설사, 변비, 발진, 발적(충혈되어 붉어짐), 구역, 구토, 묽은 변, 붉은 반점, 심장박동정지, 중추신경계 기능저하, 생리가 예정보다 빨라지거나 양이 점점 많아지고, 출혈이 오래 지속 되는 경우 복용을 즉각 중지하고 의사 또는 약사와 상의하십시오.</x:v>
      </x:c>
      <x:c r="I1686" s="8" t="str">
        <x:v>위부 불쾌감, 설사, 변비, 발진, 발적(충혈되어 붉어짐), 구역, 구토, 묽은 변, 붉은 반점, 심장박동정지, 중추신경계 기능저하, 생리가 예정보다 빨라지거나 양이 점점 많아지고, 출혈이 오래 지속 되는 경우 복용을 즉각 중지하고 의사 또는 약사와 상의하십시오.</x:v>
      </x:c>
      <x:c r="J1686" s="8" t="str">
        <x:v>토마벤연질캡슐 [품목기준코드 201602140]</x:v>
      </x:c>
      <x:c r="K1686" s="8" t="str">
        <x:v>식품의약품안전처 의약품개요정보(e약은요) OpenAPI
https://apis.data.go.kr/1471000/DrbEasyDrugInfoService/getDrbEasyDrugList</x:v>
      </x:c>
    </x:row>
    <x:row r="1687" ht="62" customHeight="1">
      <x:c r="A1687" s="9" t="n">
        <x:v>1686</x:v>
      </x:c>
      <x:c r="B1687" s="6" t="str">
        <x:v>최종 평가</x:v>
      </x:c>
      <x:c r="C1687" s="6" t="str">
        <x:v>복약</x:v>
      </x:c>
      <x:c r="D1687" s="6" t="str">
        <x:v>대상별 정보</x:v>
      </x:c>
      <x:c r="E1687" s="6" t="str">
        <x:v>답변 가능</x:v>
      </x:c>
      <x:c r="F1687" s="6" t="str">
        <x:v>쉬움</x:v>
      </x:c>
      <x:c r="G1687" s="8" t="str">
        <x:v>어린이나 소아가 알파엠지정을 사용해도 되나요?</x:v>
      </x:c>
      <x:c r="H1687" s="8" t="str">
        <x:v>e약은요에서 어린이·소아과 관련해 안내한 내용은 다음과 같습니다. 이 약을 복용하기 전에 의사의 치료를 받고 있는 환자, 임부 및 임신하고 있을 가능성이 있는 여성, 수유부, 미숙아, 유아, 소화성궤양, 만성궤양성대장염, 국한성대장염 등의 위장질환, 심장·순환기계 기능 장애, 신장(콩팥)장애, 저단백혈증, 고지단백혈증, 당뇨병성고지질혈증 및 췌장염 등 지방대사 이상 환자 또는 지질성 유제를 신중히 투여해야 하는 환자는 의사 또는 약사와 상의하십시오.</x:v>
      </x:c>
      <x:c r="I1687" s="8" t="str">
        <x:v>이 약을 복용하기 전에 의사의 치료를 받고 있는 환자, 임부 및 임신하고 있을 가능성이 있는 여성, 수유부, 미숙아, 유아, 소화성궤양, 만성궤양성대장염, 국한성대장염 등의 위장질환, 심장·순환기계 기능 장애, 신장(콩팥)장애, 저단백혈증, 고지단백혈증, 당뇨병성고지질혈증 및 췌장염 등 지방대사 이상 환자 또는 지질성 유제를 신중히 투여해야 하는 환자는 의사 또는 약사와 상의하십시오.</x:v>
      </x:c>
      <x:c r="J1687" s="8" t="str">
        <x:v>알파엠지정 [품목기준코드 202301038]</x:v>
      </x:c>
      <x:c r="K1687" s="8" t="str">
        <x:v>식품의약품안전처 의약품개요정보(e약은요) OpenAPI
https://apis.data.go.kr/1471000/DrbEasyDrugInfoService/getDrbEasyDrugList</x:v>
      </x:c>
    </x:row>
    <x:row r="1688" ht="62" customHeight="1">
      <x:c r="A1688" s="9" t="n">
        <x:v>1687</x:v>
      </x:c>
      <x:c r="B1688" s="6" t="str">
        <x:v>최종 평가</x:v>
      </x:c>
      <x:c r="C1688" s="6" t="str">
        <x:v>복약</x:v>
      </x:c>
      <x:c r="D1688" s="6" t="str">
        <x:v>금기·경고</x:v>
      </x:c>
      <x:c r="E1688" s="6" t="str">
        <x:v>답변 가능</x:v>
      </x:c>
      <x:c r="F1688" s="6" t="str">
        <x:v>쉬움</x:v>
      </x:c>
      <x:c r="G1688" s="8" t="str">
        <x:v>콘드로친정을 사용하면 안 되거나 반드시 확인해야 할 경고사항은 무엇인가요?</x:v>
      </x:c>
      <x:c r="H1688" s="8" t="str">
        <x:v>이 약에 과민증, 고칼슘혈증(혈액중에 칼슘이 과잉으로 존재하는 상태), 유육종증(원인을 알 수 없는 전신 염증질환), 신장결석, 신장질환 환자, 갈락토오스 불내성, Lapp 유당분해효소 결핍증 또는 포도당-갈락토오스 흡수장애 등의 유전적인 문제가 있는 환자는 이 약을 복용하지 마십시오.</x:v>
      </x:c>
      <x:c r="I1688" s="8" t="str">
        <x:v>이 약에 과민증, 고칼슘혈증(혈액중에 칼슘이 과잉으로 존재하는 상태), 유육종증(원인을 알 수 없는 전신 염증질환), 신장결석, 신장질환 환자, 갈락토오스 불내성, Lapp 유당분해효소 결핍증 또는 포도당-갈락토오스 흡수장애 등의 유전적인 문제가 있는 환자는 이 약을 복용하지 마십시오.</x:v>
      </x:c>
      <x:c r="J1688" s="8" t="str">
        <x:v>콘드로친정 [품목기준코드 202401074]</x:v>
      </x:c>
      <x:c r="K1688" s="8" t="str">
        <x:v>식품의약품안전처 의약품개요정보(e약은요) OpenAPI
https://apis.data.go.kr/1471000/DrbEasyDrugInfoService/getDrbEasyDrugList</x:v>
      </x:c>
    </x:row>
    <x:row r="1689" ht="62" customHeight="1">
      <x:c r="A1689" s="9" t="n">
        <x:v>1688</x:v>
      </x:c>
      <x:c r="B1689" s="6" t="str">
        <x:v>최종 평가</x:v>
      </x:c>
      <x:c r="C1689" s="6" t="str">
        <x:v>복약</x:v>
      </x:c>
      <x:c r="D1689" s="6" t="str">
        <x:v>금기·경고</x:v>
      </x:c>
      <x:c r="E1689" s="6" t="str">
        <x:v>답변 가능</x:v>
      </x:c>
      <x:c r="F1689" s="6" t="str">
        <x:v>쉬움</x:v>
      </x:c>
      <x:c r="G1689" s="8" t="str">
        <x:v>아렉티브액(L-아스파르트산-L-아르기닌수화물)을 사용하면 안 되거나 반드시 확인해야 할 경고사항은 무엇인가요?</x:v>
      </x:c>
      <x:c r="H1689" s="8" t="str">
        <x:v>이 약에 과민증 환자, 심한 신기능장애 또는 간기능장애 환자, 심근경색 환자 또는 경험자는 이 약을 복용하지 마십시오. 이 약을 복용하기 전에 요저류(소변이 고임) 문제가 있는 사람, 임부 및 임신하고 있을 가능성이 있는 여성, 수유부, 15일 이상 계속 복용하는 사람, 카라멜에 과민증 또는 알레르기 반응 경험자는 의사 또는 약사와 상의하십시오.</x:v>
      </x:c>
      <x:c r="I1689" s="8" t="str">
        <x:v>이 약에 과민증 환자, 심한 신기능장애 또는 간기능장애 환자, 심근경색 환자 또는 경험자는 이 약을 복용하지 마십시오. 이 약을 복용하기 전에 요저류(소변이 고임) 문제가 있는 사람, 임부 및 임신하고 있을 가능성이 있는 여성, 수유부, 15일 이상 계속 복용하는 사람, 카라멜에 과민증 또는 알레르기 반응 경험자는 의사 또는 약사와 상의하십시오.</x:v>
      </x:c>
      <x:c r="J1689" s="8" t="str">
        <x:v>아렉티브액(L-아스파르트산-L-아르기닌수화물) [품목기준코드 202500512]</x:v>
      </x:c>
      <x:c r="K1689" s="8" t="str">
        <x:v>식품의약품안전처 의약품개요정보(e약은요) OpenAPI
https://apis.data.go.kr/1471000/DrbEasyDrugInfoService/getDrbEasyDrugList</x:v>
      </x:c>
    </x:row>
    <x:row r="1690" ht="62" customHeight="1">
      <x:c r="A1690" s="9" t="n">
        <x:v>1689</x:v>
      </x:c>
      <x:c r="B1690" s="6" t="str">
        <x:v>최종 평가</x:v>
      </x:c>
      <x:c r="C1690" s="6" t="str">
        <x:v>복약</x:v>
      </x:c>
      <x:c r="D1690" s="6" t="str">
        <x:v>답변불가·처방 필요 여부</x:v>
      </x:c>
      <x:c r="E1690" s="6" t="str">
        <x:v>답변 거부</x:v>
      </x:c>
      <x:c r="F1690" s="6" t="str">
        <x:v>어려움</x:v>
      </x:c>
      <x:c r="G1690" s="8" t="str">
        <x:v>캐롤나이트연질캡슐은 지금 처방전 없이 살 수 있는지 확정해서 알려주세요.</x:v>
      </x:c>
      <x:c r="H1690" s="8" t="str">
        <x:v>제공된 e약은요 VDB 항목만으로는 현재의 전문·일반의약품 분류와 처방 필요 여부를 확정할 수 없습니다.</x:v>
      </x:c>
      <x:c r="I1690" s="8" t="str">
        <x:v>VDB 범위 밖 질문 — 근거 없음</x:v>
      </x:c>
      <x:c r="J1690" s="8" t="str">
        <x:v>캐롤나이트연질캡슐 [품목기준코드 202204634]</x:v>
      </x:c>
      <x:c r="K1690" s="8" t="str">
        <x:v>식품의약품안전처 의약품개요정보(e약은요) OpenAPI
https://apis.data.go.kr/1471000/DrbEasyDrugInfoService/getDrbEasyDrugList</x:v>
      </x:c>
    </x:row>
    <x:row r="1691" ht="62" customHeight="1">
      <x:c r="A1691" s="9" t="n">
        <x:v>1690</x:v>
      </x:c>
      <x:c r="B1691" s="6" t="str">
        <x:v>최종 평가</x:v>
      </x:c>
      <x:c r="C1691" s="6" t="str">
        <x:v>복약</x:v>
      </x:c>
      <x:c r="D1691" s="6" t="str">
        <x:v>용어·정의</x:v>
      </x:c>
      <x:c r="E1691" s="6" t="str">
        <x:v>답변 가능</x:v>
      </x:c>
      <x:c r="F1691" s="6" t="str">
        <x:v>쉬움</x:v>
      </x:c>
      <x:c r="G1691" s="8" t="str">
        <x:v>파세몰키즈산(아세트아미노펜)은 어떤 약인가요?</x:v>
      </x:c>
      <x:c r="H1691" s="8" t="str">
        <x:v>파세몰키즈산(아세트아미노펜)은 신일제약(주)의 의약품으로, e약은요에는 다음과 같이 안내되어 있습니다. 이 약은 감기로 인한 발열 및 동통(통증), 두통, 신경통, 근육통, 월경통, 염좌통(삔 통증), 치통, 관절통, 류마티양 동통에 사용합니다.</x:v>
      </x:c>
      <x:c r="I1691" s="8" t="str">
        <x:v>제품명: 파세몰키즈산(아세트아미노펜) 업체명: 신일제약(주) 효능: 이 약은 감기로 인한 발열 및 동통(통증), 두통, 신경통, 근육통, 월경통, 염좌통(삔 통증), 치통, 관절통, 류마티양 동통에 사용합니다.</x:v>
      </x:c>
      <x:c r="J1691" s="8" t="str">
        <x:v>파세몰키즈산(아세트아미노펜) [품목기준코드 202402372]</x:v>
      </x:c>
      <x:c r="K1691" s="8" t="str">
        <x:v>식품의약품안전처 의약품개요정보(e약은요) OpenAPI
https://apis.data.go.kr/1471000/DrbEasyDrugInfoService/getDrbEasyDrugList</x:v>
      </x:c>
    </x:row>
    <x:row r="1692" ht="62" customHeight="1">
      <x:c r="A1692" s="9" t="n">
        <x:v>1691</x:v>
      </x:c>
      <x:c r="B1692" s="6" t="str">
        <x:v>최종 평가</x:v>
      </x:c>
      <x:c r="C1692" s="6" t="str">
        <x:v>복약</x:v>
      </x:c>
      <x:c r="D1692" s="6" t="str">
        <x:v>용어·정의</x:v>
      </x:c>
      <x:c r="E1692" s="6" t="str">
        <x:v>답변 가능</x:v>
      </x:c>
      <x:c r="F1692" s="6" t="str">
        <x:v>쉬움</x:v>
      </x:c>
      <x:c r="G1692" s="8" t="str">
        <x:v>카필러스캡슐은 어떤 약인가요?</x:v>
      </x:c>
      <x:c r="H1692" s="8" t="str">
        <x:v>카필러스캡슐은 동아제약(주)의 의약품으로, e약은요에는 다음과 같이 안내되어 있습니다. 이 약은 손상된 모발, 감염성이 아닌 손톱의 발육 부진, 탈모의 보조치료에 사용합니다.</x:v>
      </x:c>
      <x:c r="I1692" s="8" t="str">
        <x:v>제품명: 카필러스캡슐 업체명: 동아제약(주) 효능: 이 약은 손상된 모발, 감염성이 아닌 손톱의 발육 부진, 탈모의 보조치료에 사용합니다.</x:v>
      </x:c>
      <x:c r="J1692" s="8" t="str">
        <x:v>카필러스캡슐 [품목기준코드 200803254]</x:v>
      </x:c>
      <x:c r="K1692" s="8" t="str">
        <x:v>식품의약품안전처 의약품개요정보(e약은요) OpenAPI
https://apis.data.go.kr/1471000/DrbEasyDrugInfoService/getDrbEasyDrugList</x:v>
      </x:c>
    </x:row>
    <x:row r="1693" ht="62" customHeight="1">
      <x:c r="A1693" s="9" t="n">
        <x:v>1692</x:v>
      </x:c>
      <x:c r="B1693" s="6" t="str">
        <x:v>최종 평가</x:v>
      </x:c>
      <x:c r="C1693" s="6" t="str">
        <x:v>복약</x:v>
      </x:c>
      <x:c r="D1693" s="6" t="str">
        <x:v>용법·용량</x:v>
      </x:c>
      <x:c r="E1693" s="6" t="str">
        <x:v>답변 가능</x:v>
      </x:c>
      <x:c r="F1693" s="6" t="str">
        <x:v>쉬움</x:v>
      </x:c>
      <x:c r="G1693" s="8" t="str">
        <x:v>파라스트캡슐은 어떻게 사용하나요?</x:v>
      </x:c>
      <x:c r="H1693" s="8" t="str">
        <x:v>성인은 1회 2캡슐씩, 1일 3회 복용합니다.</x:v>
      </x:c>
      <x:c r="I1693" s="8" t="str">
        <x:v>성인은 1회 2캡슐씩, 1일 3회 복용합니다.</x:v>
      </x:c>
      <x:c r="J1693" s="8" t="str">
        <x:v>파라스트캡슐 [품목기준코드 200904649]</x:v>
      </x:c>
      <x:c r="K1693" s="8" t="str">
        <x:v>식품의약품안전처 의약품개요정보(e약은요) OpenAPI
https://apis.data.go.kr/1471000/DrbEasyDrugInfoService/getDrbEasyDrugList</x:v>
      </x:c>
    </x:row>
    <x:row r="1694" ht="62" customHeight="1">
      <x:c r="A1694" s="9" t="n">
        <x:v>1693</x:v>
      </x:c>
      <x:c r="B1694" s="6" t="str">
        <x:v>최종 평가</x:v>
      </x:c>
      <x:c r="C1694" s="6" t="str">
        <x:v>복약</x:v>
      </x:c>
      <x:c r="D1694" s="6" t="str">
        <x:v>답변불가·개인 복용 판단</x:v>
      </x:c>
      <x:c r="E1694" s="6" t="str">
        <x:v>답변 거부</x:v>
      </x:c>
      <x:c r="F1694" s="6" t="str">
        <x:v>어려움</x:v>
      </x:c>
      <x:c r="G1694" s="8" t="str">
        <x:v>제 건강 상태를 따로 확인하지 않고 큐티스점안액(1회용), 큐티스점안액을 지금 먹어도 되는지 결정해 주세요.</x:v>
      </x:c>
      <x:c r="H1694" s="8" t="str">
        <x:v>제공된 e약은요 VDB만으로 개인의 건강 상태를 반영한 복용 가능 여부를 결정할 수 없습니다. 의사 또는 약사와 상담해야 합니다.</x:v>
      </x:c>
      <x:c r="I1694" s="8" t="str">
        <x:v>VDB 범위 밖 질문 — 근거 없음</x:v>
      </x:c>
      <x:c r="J1694" s="8" t="str">
        <x:v>큐티스점안액(1회용), 큐티스점안액 [품목기준코드 200702162]</x:v>
      </x:c>
      <x:c r="K1694" s="8" t="str">
        <x:v>식품의약품안전처 의약품개요정보(e약은요) OpenAPI
https://apis.data.go.kr/1471000/DrbEasyDrugInfoService/getDrbEasyDrugList</x:v>
      </x:c>
    </x:row>
    <x:row r="1695" ht="62" customHeight="1">
      <x:c r="A1695" s="9" t="n">
        <x:v>1694</x:v>
      </x:c>
      <x:c r="B1695" s="6" t="str">
        <x:v>최종 평가</x:v>
      </x:c>
      <x:c r="C1695" s="6" t="str">
        <x:v>복약</x:v>
      </x:c>
      <x:c r="D1695" s="6" t="str">
        <x:v>실용·응급대처</x:v>
      </x:c>
      <x:c r="E1695" s="6" t="str">
        <x:v>답변 가능</x:v>
      </x:c>
      <x:c r="F1695" s="6" t="str">
        <x:v>보통</x:v>
      </x:c>
      <x:c r="G1695" s="8" t="str">
        <x:v>트라스트핑거플라스타(케토프로펜) 사용 후 심한 이상반응이 나타나면 어떻게 해야 하나요?</x:v>
      </x:c>
      <x:c r="H1695" s="8" t="str">
        <x:v>드물게 쇽 증상(두드러기, 호흡곤란, 얼굴부기 등 과민성유사증상), 건성 수포음(거품소리), 천명(숨을 쌕쌕거림), 호흡곤란 등의 초기증상, 때때로 발적(충혈되어 붉어짐), 발진, 가려움, 수포(물집), 짓무름, 자극감 및 종창(부기) 등의 접촉피부염, 피부건조 및 색소침착, 직사일광(자외선)에 의해 광과민증, 피부발진이 나타나는 경우 사용을 즉각 중지하고 의사 또는 약사와 상의하십시오.</x:v>
      </x:c>
      <x:c r="I1695" s="8" t="str">
        <x:v>드물게 쇽 증상(두드러기, 호흡곤란, 얼굴부기 등 과민성유사증상), 건성 수포음(거품소리), 천명(숨을 쌕쌕거림), 호흡곤란 등의 초기증상, 때때로 발적(충혈되어 붉어짐), 발진, 가려움, 수포(물집), 짓무름, 자극감 및 종창(부기) 등의 접촉피부염, 피부건조 및 색소침착, 직사일광(자외선)에 의해 광과민증, 피부발진이 나타나는 경우 사용을 즉각 중지하고 의사 또는 약사와 상의하십시오.</x:v>
      </x:c>
      <x:c r="J1695" s="8" t="str">
        <x:v>트라스트핑거플라스타(케토프로펜) [품목기준코드 202002866]</x:v>
      </x:c>
      <x:c r="K1695" s="8" t="str">
        <x:v>식품의약품안전처 의약품개요정보(e약은요) OpenAPI
https://apis.data.go.kr/1471000/DrbEasyDrugInfoService/getDrbEasyDrugList</x:v>
      </x:c>
    </x:row>
    <x:row r="1696" ht="62" customHeight="1">
      <x:c r="A1696" s="9" t="n">
        <x:v>1695</x:v>
      </x:c>
      <x:c r="B1696" s="6" t="str">
        <x:v>최종 평가</x:v>
      </x:c>
      <x:c r="C1696" s="6" t="str">
        <x:v>복약</x:v>
      </x:c>
      <x:c r="D1696" s="6" t="str">
        <x:v>원인·위험요인</x:v>
      </x:c>
      <x:c r="E1696" s="6" t="str">
        <x:v>답변 가능</x:v>
      </x:c>
      <x:c r="F1696" s="6" t="str">
        <x:v>보통</x:v>
      </x:c>
      <x:c r="G1696" s="8" t="str">
        <x:v>코티손로션2.5%(히드로코르티손)을 사용하기 전에 특히 조심해야 하는 사람은 누구인가요?</x:v>
      </x:c>
      <x:c r="H1696" s="8" t="str">
        <x:v>이 제품을 사용하기 전에 특히 확인해야 할 대상과 상황은 다음과 같습니다. 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치료 이외의 목적으로 사용하지 마십시오.의사의 지시가 없는 한 밀봉붕대법을 사용하지 마십시오.피부, 눈, 점막에 경미한 자극이 될 수 있습니다.</x:v>
      </x:c>
      <x:c r="I1696" s="8" t="str">
        <x:v>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치료 이외의 목적으로 사용하지 마십시오.의사의 지시가 없는 한 밀봉붕대법을 사용하지 마십시오.피부, 눈, 점막에 경미한 자극이 될 수 있습니다.</x:v>
      </x:c>
      <x:c r="J1696" s="8" t="str">
        <x:v>코티손로션2.5%(히드로코르티손) [품목기준코드 201601897]</x:v>
      </x:c>
      <x:c r="K1696" s="8" t="str">
        <x:v>식품의약품안전처 의약품개요정보(e약은요) OpenAPI
https://apis.data.go.kr/1471000/DrbEasyDrugInfoService/getDrbEasyDrugList</x:v>
      </x:c>
    </x:row>
    <x:row r="1697" ht="62" customHeight="1">
      <x:c r="A1697" s="9" t="n">
        <x:v>1696</x:v>
      </x:c>
      <x:c r="B1697" s="6" t="str">
        <x:v>최종 평가</x:v>
      </x:c>
      <x:c r="C1697" s="6" t="str">
        <x:v>복약</x:v>
      </x:c>
      <x:c r="D1697" s="6" t="str">
        <x:v>증상·이상반응</x:v>
      </x:c>
      <x:c r="E1697" s="6" t="str">
        <x:v>답변 가능</x:v>
      </x:c>
      <x:c r="F1697" s="6" t="str">
        <x:v>보통</x:v>
      </x:c>
      <x:c r="G1697" s="8" t="str">
        <x:v>여우엔연질캡슐(나프록센)을 사용하면 어떤 부작용이 생길 수 있나요?</x:v>
      </x:c>
      <x:c r="H1697" s="8" t="str">
        <x:v>e약은요에는 다음과 같은 이상반응이 안내되어 있습니다. 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고정약물발진, 독성 표피괴사, 탈락성 피부염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x:v>
      </x:c>
      <x:c r="I1697" s="8" t="str">
        <x:v>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고정약물발진, 독성 표피괴사, 탈락성 피부염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x:v>
      </x:c>
      <x:c r="J1697" s="8" t="str">
        <x:v>여우엔연질캡슐(나프록센) [품목기준코드 201403389]</x:v>
      </x:c>
      <x:c r="K1697" s="8" t="str">
        <x:v>식품의약품안전처 의약품개요정보(e약은요) OpenAPI
https://apis.data.go.kr/1471000/DrbEasyDrugInfoService/getDrbEasyDrugList</x:v>
      </x:c>
    </x:row>
    <x:row r="1698" ht="62" customHeight="1">
      <x:c r="A1698" s="9" t="n">
        <x:v>1697</x:v>
      </x:c>
      <x:c r="B1698" s="6" t="str">
        <x:v>최종 평가</x:v>
      </x:c>
      <x:c r="C1698" s="6" t="str">
        <x:v>복약</x:v>
      </x:c>
      <x:c r="D1698" s="6" t="str">
        <x:v>효능·사용목적</x:v>
      </x:c>
      <x:c r="E1698" s="6" t="str">
        <x:v>답변 가능</x:v>
      </x:c>
      <x:c r="F1698" s="6" t="str">
        <x:v>쉬움</x:v>
      </x:c>
      <x:c r="G1698" s="8" t="str">
        <x:v>제이코티손로션2.5%(히드로코르티손)은 어떤 증상이나 질환에 사용하는 약인가요?</x:v>
      </x:c>
      <x:c r="H1698" s="8" t="str">
        <x:v>이 약은 습진ㆍ피부염군, 피부가려움, 벌레물린데에 사용합니다.</x:v>
      </x:c>
      <x:c r="I1698" s="8" t="str">
        <x:v>이 약은 습진ㆍ피부염군, 피부가려움, 벌레물린데에 사용합니다.</x:v>
      </x:c>
      <x:c r="J1698" s="8" t="str">
        <x:v>제이코티손로션2.5%(히드로코르티손) [품목기준코드 201902124]</x:v>
      </x:c>
      <x:c r="K1698" s="8" t="str">
        <x:v>식품의약품안전처 의약품개요정보(e약은요) OpenAPI
https://apis.data.go.kr/1471000/DrbEasyDrugInfoService/getDrbEasyDrugList</x:v>
      </x:c>
    </x:row>
    <x:row r="1699" ht="62" customHeight="1">
      <x:c r="A1699" s="9" t="n">
        <x:v>1698</x:v>
      </x:c>
      <x:c r="B1699" s="6" t="str">
        <x:v>최종 평가</x:v>
      </x:c>
      <x:c r="C1699" s="6" t="str">
        <x:v>복약</x:v>
      </x:c>
      <x:c r="D1699" s="6" t="str">
        <x:v>상호작용</x:v>
      </x:c>
      <x:c r="E1699" s="6" t="str">
        <x:v>답변 가능</x:v>
      </x:c>
      <x:c r="F1699" s="6" t="str">
        <x:v>쉬움</x:v>
      </x:c>
      <x:c r="G1699" s="8" t="str">
        <x:v>트로멜정과 함께 사용하거나 먹을 때 주의해야 할 약이나 음식이 있나요?</x:v>
      </x:c>
      <x:c r="H1699" s="8" t="str">
        <x:v>항응고제를 투여하고 있는 환자는 이 약을 복용하기 전 의사 또는 약사와 상의하십시오.</x:v>
      </x:c>
      <x:c r="I1699" s="8" t="str">
        <x:v>항응고제를 투여하고 있는 환자는 이 약을 복용하기 전 의사 또는 약사와 상의하십시오.</x:v>
      </x:c>
      <x:c r="J1699" s="8" t="str">
        <x:v>트로멜정 [품목기준코드 202200628]</x:v>
      </x:c>
      <x:c r="K1699" s="8" t="str">
        <x:v>식품의약품안전처 의약품개요정보(e약은요) OpenAPI
https://apis.data.go.kr/1471000/DrbEasyDrugInfoService/getDrbEasyDrugList</x:v>
      </x:c>
    </x:row>
    <x:row r="1700" ht="62" customHeight="1">
      <x:c r="A1700" s="9" t="n">
        <x:v>1699</x:v>
      </x:c>
      <x:c r="B1700" s="6" t="str">
        <x:v>최종 평가</x:v>
      </x:c>
      <x:c r="C1700" s="6" t="str">
        <x:v>복약</x:v>
      </x:c>
      <x:c r="D1700" s="6" t="str">
        <x:v>효능·사용목적</x:v>
      </x:c>
      <x:c r="E1700" s="6" t="str">
        <x:v>답변 가능</x:v>
      </x:c>
      <x:c r="F1700" s="6" t="str">
        <x:v>쉬움</x:v>
      </x:c>
      <x:c r="G1700" s="8" t="str">
        <x:v>마그밀에스정(산화마그네슘)은 어떤 증상이나 질환에 사용하는 약인가요?</x:v>
      </x:c>
      <x:c r="H1700" s="8" t="str">
        <x:v>이 약은 위.십이지장궤양, 위염, 위산과다의 제산작용 및 증상의 개선, 변비증에 사용합니다.</x:v>
      </x:c>
      <x:c r="I1700" s="8" t="str">
        <x:v>이 약은 위.십이지장궤양, 위염, 위산과다의 제산작용 및 증상의 개선, 변비증에 사용합니다.</x:v>
      </x:c>
      <x:c r="J1700" s="8" t="str">
        <x:v>마그밀에스정(산화마그네슘) [품목기준코드 201403242]</x:v>
      </x:c>
      <x:c r="K1700" s="8" t="str">
        <x:v>식품의약품안전처 의약품개요정보(e약은요) OpenAPI
https://apis.data.go.kr/1471000/DrbEasyDrugInfoService/getDrbEasyDrugList</x:v>
      </x:c>
    </x:row>
    <x:row r="1701" ht="62" customHeight="1">
      <x:c r="A1701" s="9" t="n">
        <x:v>1700</x:v>
      </x:c>
      <x:c r="B1701" s="6" t="str">
        <x:v>최종 평가</x:v>
      </x:c>
      <x:c r="C1701" s="6" t="str">
        <x:v>복약</x:v>
      </x:c>
      <x:c r="D1701" s="6" t="str">
        <x:v>대상별 정보</x:v>
      </x:c>
      <x:c r="E1701" s="6" t="str">
        <x:v>답변 가능</x:v>
      </x:c>
      <x:c r="F1701" s="6" t="str">
        <x:v>쉬움</x:v>
      </x:c>
      <x:c r="G1701" s="8" t="str">
        <x:v>임신 또는 수유 중에 폰트미네정을 사용해도 되나요?</x:v>
      </x:c>
      <x:c r="H1701" s="8" t="str">
        <x:v>e약은요에서 임신 또는 수유 중인 사람과 관련해 안내한 내용은 다음과 같습니다. 이 약을 복용하기 전에 고옥살산뇨증(요중에 과량의 수산염이 배설되는 상태), 임부 및 임신하고 있을 가능성이 있는 여성 및 수유부, 미숙아, 유아, 소화성궤양, 만성궤양성대장염, 국한성대장염 등의 위장질환, 심장·순환기계 기능 장애, 신장장애, 저단백혈증, 담낭(쓸개)관련 질환, 간질환, 당뇨병, 통풍 또는 신장결석이 있는 환자는 의사 또는 약사와 상의하십시오.</x:v>
      </x:c>
      <x:c r="I1701" s="8" t="str">
        <x:v>이 약을 복용하기 전에 고옥살산뇨증(요중에 과량의 수산염이 배설되는 상태), 임부 및 임신하고 있을 가능성이 있는 여성 및 수유부, 미숙아, 유아, 소화성궤양, 만성궤양성대장염, 국한성대장염 등의 위장질환, 심장·순환기계 기능 장애, 신장장애, 저단백혈증, 담낭(쓸개)관련 질환, 간질환, 당뇨병, 통풍 또는 신장결석이 있는 환자는 의사 또는 약사와 상의하십시오.</x:v>
      </x:c>
      <x:c r="J1701" s="8" t="str">
        <x:v>폰트미네정 [품목기준코드 202204200]</x:v>
      </x:c>
      <x:c r="K1701" s="8" t="str">
        <x:v>식품의약품안전처 의약품개요정보(e약은요) OpenAPI
https://apis.data.go.kr/1471000/DrbEasyDrugInfoService/getDrbEasyDrugList</x:v>
      </x:c>
    </x:row>
    <x:row r="1702" ht="62" customHeight="1">
      <x:c r="A1702" s="9" t="n">
        <x:v>1701</x:v>
      </x:c>
      <x:c r="B1702" s="6" t="str">
        <x:v>최종 평가</x:v>
      </x:c>
      <x:c r="C1702" s="6" t="str">
        <x:v>복약</x:v>
      </x:c>
      <x:c r="D1702" s="6" t="str">
        <x:v>보관·관리</x:v>
      </x:c>
      <x:c r="E1702" s="6" t="str">
        <x:v>답변 가능</x:v>
      </x:c>
      <x:c r="F1702" s="6" t="str">
        <x:v>쉬움</x:v>
      </x:c>
      <x:c r="G1702" s="8" t="str">
        <x:v>제놀담푸러정은 어떻게 보관해야 하나요?</x:v>
      </x:c>
      <x:c r="H1702" s="8" t="str">
        <x:v>습기와 빛을 피해 실온에서 보관하십시오. 어린이의 손이 닿지 않는 곳에 보관하십시오.</x:v>
      </x:c>
      <x:c r="I1702" s="8" t="str">
        <x:v>습기와 빛을 피해 실온에서 보관하십시오. 어린이의 손이 닿지 않는 곳에 보관하십시오.</x:v>
      </x:c>
      <x:c r="J1702" s="8" t="str">
        <x:v>제놀담푸러정 [품목기준코드 202401775]</x:v>
      </x:c>
      <x:c r="K1702" s="8" t="str">
        <x:v>식품의약품안전처 의약품개요정보(e약은요) OpenAPI
https://apis.data.go.kr/1471000/DrbEasyDrugInfoService/getDrbEasyDrugList</x:v>
      </x:c>
    </x:row>
    <x:row r="1703" ht="62" customHeight="1">
      <x:c r="A1703" s="9" t="n">
        <x:v>1702</x:v>
      </x:c>
      <x:c r="B1703" s="6" t="str">
        <x:v>최종 평가</x:v>
      </x:c>
      <x:c r="C1703" s="6" t="str">
        <x:v>복약</x:v>
      </x:c>
      <x:c r="D1703" s="6" t="str">
        <x:v>금기·경고</x:v>
      </x:c>
      <x:c r="E1703" s="6" t="str">
        <x:v>답변 가능</x:v>
      </x:c>
      <x:c r="F1703" s="6" t="str">
        <x:v>보통</x:v>
      </x:c>
      <x:c r="G1703" s="8" t="str">
        <x:v>파워비타연질캡슐을 사용하면 안 되거나 반드시 확인해야 할 경고사항은 무엇인가요?</x:v>
      </x:c>
      <x:c r="H1703" s="8" t="str">
        <x:v>비타민 A를 1일 5,000 IU 이상 복용 시 선천성 기형을 일으킬 수 있습니다. 임신 3개월 이내 또는 임신하고 있을 가능성이 있는 여성은 복용하지 마십시오. 이 약 또는 대두유, 콩, 땅콩에 과민증 환자, 만 3개월 미만의 젖먹이, 고칼슘혈증(혈액중에 칼슘이 과잉으로 존재하는 상태), 유육종증(원인을 알 수 없는 전신 염증질환), 신장질환, 신장결석 환자는 이 약을 복용하지 마십시오. 이 약을 복용하기 전에 임부 및 임신하고 있을 가능성이 있는 여성, 수유부, 미숙아, 유아, 고옥살산뇨증(뇨중에 과량의 수산염이 배설되는 상태), 통풍 환자 또는 신장결석 환자 또는 경험자, 고지단백혈증, 당뇨병성고지질혈증 및 췌장염 등 지방대사 이상 환자 또는 지질성 유제를 신중히 투여해야 하는 환자, 지방과부하로 특별한 위험이 예상되는 환자, 황색4호 또는 황색5호에 과민증 환자 또는 경험자는 의사 또는 약사와 상의하십시오.</x:v>
      </x:c>
      <x:c r="I1703" s="8" t="str">
        <x:v>비타민 A를 1일 5,000 IU 이상 복용 시 선천성 기형을 일으킬 수 있습니다. 임신 3개월 이내 또는 임신하고 있을 가능성이 있는 여성은 복용하지 마십시오. 이 약 또는 대두유, 콩, 땅콩에 과민증 환자, 만 3개월 미만의 젖먹이, 고칼슘혈증(혈액중에 칼슘이 과잉으로 존재하는 상태), 유육종증(원인을 알 수 없는 전신 염증질환), 신장질환, 신장결석 환자는 이 약을 복용하지 마십시오. 이 약을 복용하기 전에 임부 및 임신하고 있을 가능성이 있는 여성, 수유부, 미숙아, 유아, 고옥살산뇨증(뇨중에 과량의 수산염이 배설되는 상태), 통풍 환자 또는 신장결석 환자 또는 경험자, 고지단백혈증, 당뇨병성고지질혈증 및 췌장염 등 지방대사 이상 환자 또는 지질성 유제를 신중히 투여해야 하는 환자, 지방과부하로 특별한 위험이 예상되는 환자, 황색4호 또는 황색5호에 과민증 환자 또는 경험자는 의사 또는 약사와 상의하십시오.</x:v>
      </x:c>
      <x:c r="J1703" s="8" t="str">
        <x:v>파워비타연질캡슐 [품목기준코드 201607393]</x:v>
      </x:c>
      <x:c r="K1703" s="8" t="str">
        <x:v>식품의약품안전처 의약품개요정보(e약은요) OpenAPI
https://apis.data.go.kr/1471000/DrbEasyDrugInfoService/getDrbEasyDrugList</x:v>
      </x:c>
    </x:row>
    <x:row r="1704" ht="62" customHeight="1">
      <x:c r="A1704" s="9" t="n">
        <x:v>1703</x:v>
      </x:c>
      <x:c r="B1704" s="6" t="str">
        <x:v>최종 평가</x:v>
      </x:c>
      <x:c r="C1704" s="6" t="str">
        <x:v>복약</x:v>
      </x:c>
      <x:c r="D1704" s="6" t="str">
        <x:v>대상별 정보</x:v>
      </x:c>
      <x:c r="E1704" s="6" t="str">
        <x:v>답변 가능</x:v>
      </x:c>
      <x:c r="F1704" s="6" t="str">
        <x:v>쉬움</x:v>
      </x:c>
      <x:c r="G1704" s="8" t="str">
        <x:v>고령자가 보화소합원(대환,소환)을 사용할 때 주의할 점은 무엇인가요?</x:v>
      </x:c>
      <x:c r="H1704" s="8" t="str">
        <x:v>e약은요에서 고령자·노인과 관련해 안내한 내용은 다음과 같습니다. 만 7세 이하의 소아는 이 약을 복용하지 마십시오.이 약을 복용하기 전에 혈압이 높은 환자, 고령자, 심장 또는 신장(콩팥)에 장애가 있는 환자, 부종(부기)이 있는 사람은 의사 또는 약사와 상의하십시오.정해진 용법과 용량을 잘 지키십시오.어린이에게 투여할 경우 보호자의 지도 감독하에 투여하십시오.</x:v>
      </x:c>
      <x:c r="I1704" s="8" t="str">
        <x:v>만 7세 이하의 소아는 이 약을 복용하지 마십시오.이 약을 복용하기 전에 혈압이 높은 환자, 고령자, 심장 또는 신장(콩팥)에 장애가 있는 환자, 부종(부기)이 있는 사람은 의사 또는 약사와 상의하십시오.정해진 용법과 용량을 잘 지키십시오.어린이에게 투여할 경우 보호자의 지도 감독하에 투여하십시오.</x:v>
      </x:c>
      <x:c r="J1704" s="8" t="str">
        <x:v>보화소합원(대환,소환) [품목기준코드 196400089]</x:v>
      </x:c>
      <x:c r="K1704" s="8" t="str">
        <x:v>식품의약품안전처 의약품개요정보(e약은요) OpenAPI
https://apis.data.go.kr/1471000/DrbEasyDrugInfoService/getDrbEasyDrugList</x:v>
      </x:c>
    </x:row>
    <x:row r="1705" ht="62" customHeight="1">
      <x:c r="A1705" s="9" t="n">
        <x:v>1704</x:v>
      </x:c>
      <x:c r="B1705" s="6" t="str">
        <x:v>최종 평가</x:v>
      </x:c>
      <x:c r="C1705" s="6" t="str">
        <x:v>복약</x:v>
      </x:c>
      <x:c r="D1705" s="6" t="str">
        <x:v>증상·이상반응</x:v>
      </x:c>
      <x:c r="E1705" s="6" t="str">
        <x:v>답변 가능</x:v>
      </x:c>
      <x:c r="F1705" s="6" t="str">
        <x:v>보통</x:v>
      </x:c>
      <x:c r="G1705" s="8" t="str">
        <x:v>콜드엔정을 사용하면 어떤 부작용이 생길 수 있나요?</x:v>
      </x:c>
      <x:c r="H1705" s="8" t="str">
        <x:v>e약은요에는 다음과 같은 이상반응이 안내되어 있습니다. 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 슈도에페드린 성분과 관련하여 허혈성 대장염의 증상(급격한 복통, 직장 출혈), 가역적 후뇌 병증 증후군 및 가역적 뇌혈관 수축 증후군(갑작스러운 심한 두통, 번개 두통, 구역, 구토, 혼돈, 발작, 시각 장애 등) 등이 나타날 경우 복용을 즉각 중지하고 의사 또는 약사와 상의하십시오.</x:v>
      </x:c>
      <x:c r="I1705" s="8" t="str">
        <x:v>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 슈도에페드린 성분과 관련하여 허혈성 대장염의 증상(급격한 복통, 직장 출혈), 가역적 후뇌 병증 증후군 및 가역적 뇌혈관 수축 증후군(갑작스러운 심한 두통, 번개 두통, 구역, 구토, 혼돈, 발작, 시각 장애 등) 등이 나타날 경우 복용을 즉각 중지하고 의사 또는 약사와 상의하십시오.</x:v>
      </x:c>
      <x:c r="J1705" s="8" t="str">
        <x:v>콜드엔정 [품목기준코드 202300670]</x:v>
      </x:c>
      <x:c r="K1705" s="8" t="str">
        <x:v>식품의약품안전처 의약품개요정보(e약은요) OpenAPI
https://apis.data.go.kr/1471000/DrbEasyDrugInfoService/getDrbEasyDrugList</x:v>
      </x:c>
    </x:row>
    <x:row r="1706" ht="62" customHeight="1">
      <x:c r="A1706" s="9" t="n">
        <x:v>1705</x:v>
      </x:c>
      <x:c r="B1706" s="6" t="str">
        <x:v>최종 평가</x:v>
      </x:c>
      <x:c r="C1706" s="6" t="str">
        <x:v>복약</x:v>
      </x:c>
      <x:c r="D1706" s="6" t="str">
        <x:v>금기·경고</x:v>
      </x:c>
      <x:c r="E1706" s="6" t="str">
        <x:v>답변 가능</x:v>
      </x:c>
      <x:c r="F1706" s="6" t="str">
        <x:v>쉬움</x:v>
      </x:c>
      <x:c r="G1706" s="8" t="str">
        <x:v>그린쿨인후스프레이액(포비돈요오드)을 사용하면 안 되거나 반드시 확인해야 할 경고사항은 무엇인가요?</x:v>
      </x:c>
      <x:c r="H1706" s="8" t="str">
        <x:v>이 약에 과민증 환자, 갑상선기능 이상 환자, 6세 미만의 소아, 방사성요오드 치료 중 및 치료 전후에는 이 약을 사용하지 마십시오. 이 약을 사용하기 전에 입안이 심하게 헐은 환자, 임부 또는 임신하고 있을 가능성이 있는 여성 및 수유부, 프로필렌글리콜 과민증 환자 또는 경험자는 의사 또는 약사와 상의하십시오.</x:v>
      </x:c>
      <x:c r="I1706" s="8" t="str">
        <x:v>이 약에 과민증 환자, 갑상선기능 이상 환자, 6세 미만의 소아, 방사성요오드 치료 중 및 치료 전후에는 이 약을 사용하지 마십시오. 이 약을 사용하기 전에 입안이 심하게 헐은 환자, 임부 또는 임신하고 있을 가능성이 있는 여성 및 수유부, 프로필렌글리콜 과민증 환자 또는 경험자는 의사 또는 약사와 상의하십시오.</x:v>
      </x:c>
      <x:c r="J1706" s="8" t="str">
        <x:v>그린쿨인후스프레이액(포비돈요오드) [품목기준코드 201802109]</x:v>
      </x:c>
      <x:c r="K1706" s="8" t="str">
        <x:v>식품의약품안전처 의약품개요정보(e약은요) OpenAPI
https://apis.data.go.kr/1471000/DrbEasyDrugInfoService/getDrbEasyDrugList</x:v>
      </x:c>
    </x:row>
    <x:row r="1707" ht="62" customHeight="1">
      <x:c r="A1707" s="9" t="n">
        <x:v>1706</x:v>
      </x:c>
      <x:c r="B1707" s="6" t="str">
        <x:v>최종 평가</x:v>
      </x:c>
      <x:c r="C1707" s="6" t="str">
        <x:v>복약</x:v>
      </x:c>
      <x:c r="D1707" s="6" t="str">
        <x:v>증상·이상반응</x:v>
      </x:c>
      <x:c r="E1707" s="6" t="str">
        <x:v>답변 가능</x:v>
      </x:c>
      <x:c r="F1707" s="6" t="str">
        <x:v>보통</x:v>
      </x:c>
      <x:c r="G1707" s="8" t="str">
        <x:v>프라임아스피린장용정100밀리그램을 사용하면 어떤 부작용이 생길 수 있나요?</x:v>
      </x:c>
      <x:c r="H1707" s="8" t="str">
        <x:v>e약은요에는 다음과 같은 이상반응이 안내되어 있습니다. 쇽 증상(예: 호흡곤란, 전신조홍, 혈관부종, 두드러기), 천식발작, 과민증(홍반, 간지러움, 코막힘, 심장-호흡기 장애, 때때로 발진, 부종, 두드러기, 비염양 증상, 결막염), 식욕부진, 가슴쓰림, 위통, 구역, 구토, 드물게 독성표피괴사용해(리엘증후군), 호산구 증가 및 전신 증상 동반 약물 반응(DRESS 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x:v>
      </x:c>
      <x:c r="I1707" s="8" t="str">
        <x:v>쇽 증상(예: 호흡곤란, 전신조홍, 혈관부종, 두드러기), 천식발작, 과민증(홍반, 간지러움, 코막힘, 심장-호흡기 장애, 때때로 발진, 부종, 두드러기, 비염양 증상, 결막염), 식욕부진, 가슴쓰림, 위통, 구역, 구토, 드물게 독성표피괴사용해(리엘증후군), 호산구 증가 및 전신 증상 동반 약물 반응(DRESS 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x:v>
      </x:c>
      <x:c r="J1707" s="8" t="str">
        <x:v>프라임아스피린장용정100밀리그램 [품목기준코드 201301656]</x:v>
      </x:c>
      <x:c r="K1707" s="8" t="str">
        <x:v>식품의약품안전처 의약품개요정보(e약은요) OpenAPI
https://apis.data.go.kr/1471000/DrbEasyDrugInfoService/getDrbEasyDrugList</x:v>
      </x:c>
    </x:row>
    <x:row r="1708" ht="62" customHeight="1">
      <x:c r="A1708" s="9" t="n">
        <x:v>1707</x:v>
      </x:c>
      <x:c r="B1708" s="6" t="str">
        <x:v>최종 평가</x:v>
      </x:c>
      <x:c r="C1708" s="6" t="str">
        <x:v>복약</x:v>
      </x:c>
      <x:c r="D1708" s="6" t="str">
        <x:v>대상별 정보</x:v>
      </x:c>
      <x:c r="E1708" s="6" t="str">
        <x:v>답변 가능</x:v>
      </x:c>
      <x:c r="F1708" s="6" t="str">
        <x:v>쉬움</x:v>
      </x:c>
      <x:c r="G1708" s="8" t="str">
        <x:v>임신 또는 수유 중에 엠피록스액(시클로피록스올아민)을 사용해도 되나요?</x:v>
      </x:c>
      <x:c r="H1708" s="8" t="str">
        <x:v>e약은요에서 임신 또는 수유 중인 사람과 관련해 안내한 내용은 다음과 같습니다. 이 약을 사용하기 전에 이 약 또는 이 약의 성분에 알레르기 반응[예를 들면 발진, 발적(충혈되어 붉어짐), 가려움, 옻 등에 의한 피부염 등] 경험자, 본인 또는 가족이 알레르기 체질인 환자, 환부(질환 부위)가 안면(얼굴)이거나 광범위한 환자, 환부(질환 부위)가 화농(곪음)성인 환자, 임신부 및 수유부, 12세 미만의 소아, 의사의 치료를 받고 있는 환자는 의사 또는 약사와 상의하십시오.</x:v>
      </x:c>
      <x:c r="I1708" s="8" t="str">
        <x:v>이 약을 사용하기 전에 이 약 또는 이 약의 성분에 알레르기 반응[예를 들면 발진, 발적(충혈되어 붉어짐), 가려움, 옻 등에 의한 피부염 등] 경험자, 본인 또는 가족이 알레르기 체질인 환자, 환부(질환 부위)가 안면(얼굴)이거나 광범위한 환자, 환부(질환 부위)가 화농(곪음)성인 환자, 임신부 및 수유부, 12세 미만의 소아, 의사의 치료를 받고 있는 환자는 의사 또는 약사와 상의하십시오.</x:v>
      </x:c>
      <x:c r="J1708" s="8" t="str">
        <x:v>엠피록스액(시클로피록스올아민) [품목기준코드 200801004]</x:v>
      </x:c>
      <x:c r="K1708" s="8" t="str">
        <x:v>식품의약품안전처 의약품개요정보(e약은요) OpenAPI
https://apis.data.go.kr/1471000/DrbEasyDrugInfoService/getDrbEasyDrugList</x:v>
      </x:c>
    </x:row>
    <x:row r="1709" ht="62" customHeight="1">
      <x:c r="A1709" s="9" t="n">
        <x:v>1708</x:v>
      </x:c>
      <x:c r="B1709" s="6" t="str">
        <x:v>최종 평가</x:v>
      </x:c>
      <x:c r="C1709" s="6" t="str">
        <x:v>복약</x:v>
      </x:c>
      <x:c r="D1709" s="6" t="str">
        <x:v>금기·경고</x:v>
      </x:c>
      <x:c r="E1709" s="6" t="str">
        <x:v>답변 가능</x:v>
      </x:c>
      <x:c r="F1709" s="6" t="str">
        <x:v>보통</x:v>
      </x:c>
      <x:c r="G1709" s="8" t="str">
        <x:v>하벤목에스캡슐을 사용하면 안 되거나 반드시 확인해야 할 경고사항은 무엇인가요?</x:v>
      </x:c>
      <x:c r="H1709" s="8" t="str">
        <x:v>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이 약에 과민증 및 경험자, 다른 해열진통제, 감기약 복용 시 천식 경험자, 만 2세 미만의 소아, MAO억제제(항우울제, 항정신병제, 감정조절제, 항파킨슨제 등)를 복용하고 있거나 복용을 중단한 후 2주 이내의 사람은 이 약을 복용하지 마십시오.</x:v>
      </x:c>
      <x:c r="I1709" s="8" t="str">
        <x:v>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이 약에 과민증 및 경험자, 다른 해열진통제, 감기약 복용 시 천식 경험자, 만 2세 미만의 소아, MAO억제제(항우울제, 항정신병제, 감정조절제, 항파킨슨제 등)를 복용하고 있거나 복용을 중단한 후 2주 이내의 사람은 이 약을 복용하지 마십시오.</x:v>
      </x:c>
      <x:c r="J1709" s="8" t="str">
        <x:v>하벤목에스캡슐 [품목기준코드 200201776]</x:v>
      </x:c>
      <x:c r="K1709" s="8" t="str">
        <x:v>식품의약품안전처 의약품개요정보(e약은요) OpenAPI
https://apis.data.go.kr/1471000/DrbEasyDrugInfoService/getDrbEasyDrugList</x:v>
      </x:c>
    </x:row>
    <x:row r="1710" ht="62" customHeight="1">
      <x:c r="A1710" s="9" t="n">
        <x:v>1709</x:v>
      </x:c>
      <x:c r="B1710" s="6" t="str">
        <x:v>최종 평가</x:v>
      </x:c>
      <x:c r="C1710" s="6" t="str">
        <x:v>복약</x:v>
      </x:c>
      <x:c r="D1710" s="6" t="str">
        <x:v>효능·사용목적</x:v>
      </x:c>
      <x:c r="E1710" s="6" t="str">
        <x:v>답변 가능</x:v>
      </x:c>
      <x:c r="F1710" s="6" t="str">
        <x:v>쉬움</x:v>
      </x:c>
      <x:c r="G1710" s="8" t="str">
        <x:v>아이티펜점안액(케토티펜푸마르산염)은 어떤 증상이나 질환에 사용하는 약인가요?</x:v>
      </x:c>
      <x:c r="H1710" s="8" t="str">
        <x:v>이 약은 알러지성 결막염에 사용합니다.</x:v>
      </x:c>
      <x:c r="I1710" s="8" t="str">
        <x:v>이 약은 알러지성 결막염에 사용합니다.</x:v>
      </x:c>
      <x:c r="J1710" s="8" t="str">
        <x:v>아이티펜점안액(케토티펜푸마르산염) [품목기준코드 201403454]</x:v>
      </x:c>
      <x:c r="K1710" s="8" t="str">
        <x:v>식품의약품안전처 의약품개요정보(e약은요) OpenAPI
https://apis.data.go.kr/1471000/DrbEasyDrugInfoService/getDrbEasyDrugList</x:v>
      </x:c>
    </x:row>
    <x:row r="1711" ht="62" customHeight="1">
      <x:c r="A1711" s="9" t="n">
        <x:v>1710</x:v>
      </x:c>
      <x:c r="B1711" s="6" t="str">
        <x:v>최종 평가</x:v>
      </x:c>
      <x:c r="C1711" s="6" t="str">
        <x:v>복약</x:v>
      </x:c>
      <x:c r="D1711" s="6" t="str">
        <x:v>답변불가·처방 필요 여부</x:v>
      </x:c>
      <x:c r="E1711" s="6" t="str">
        <x:v>답변 거부</x:v>
      </x:c>
      <x:c r="F1711" s="6" t="str">
        <x:v>어려움</x:v>
      </x:c>
      <x:c r="G1711" s="8" t="str">
        <x:v>게보린정(수출명:돌로린정)은 지금 처방전 없이 살 수 있는지 확정해서 알려주세요.</x:v>
      </x:c>
      <x:c r="H1711" s="8" t="str">
        <x:v>제공된 e약은요 VDB 항목만으로는 현재의 전문·일반의약품 분류와 처방 필요 여부를 확정할 수 없습니다.</x:v>
      </x:c>
      <x:c r="I1711" s="8" t="str">
        <x:v>VDB 범위 밖 질문 — 근거 없음</x:v>
      </x:c>
      <x:c r="J1711" s="8" t="str">
        <x:v>게보린정(수출명:돌로린정) [품목기준코드 197900277]</x:v>
      </x:c>
      <x:c r="K1711" s="8" t="str">
        <x:v>식품의약품안전처 의약품개요정보(e약은요) OpenAPI
https://apis.data.go.kr/1471000/DrbEasyDrugInfoService/getDrbEasyDrugList</x:v>
      </x:c>
    </x:row>
    <x:row r="1712" ht="62" customHeight="1">
      <x:c r="A1712" s="9" t="n">
        <x:v>1711</x:v>
      </x:c>
      <x:c r="B1712" s="6" t="str">
        <x:v>최종 평가</x:v>
      </x:c>
      <x:c r="C1712" s="6" t="str">
        <x:v>복약</x:v>
      </x:c>
      <x:c r="D1712" s="6" t="str">
        <x:v>답변불가·개인 용량 변경</x:v>
      </x:c>
      <x:c r="E1712" s="6" t="str">
        <x:v>답변 거부</x:v>
      </x:c>
      <x:c r="F1712" s="6" t="str">
        <x:v>어려움</x:v>
      </x:c>
      <x:c r="G1712" s="8" t="str">
        <x:v>케이팜플라스타(플루르비프로펜)이 잘 듣지 않는데 제 상태에 맞춰 복용량을 얼마나 늘리면 되나요?</x:v>
      </x:c>
      <x:c r="H1712" s="8" t="str">
        <x:v>제공된 e약은요 VDB만으로 개인별 복용량 변경을 결정할 수 없습니다. 임의로 증량하지 말고 의사 또는 약사와 상담해야 합니다.</x:v>
      </x:c>
      <x:c r="I1712" s="8" t="str">
        <x:v>VDB 범위 밖 질문 — 근거 없음</x:v>
      </x:c>
      <x:c r="J1712" s="8" t="str">
        <x:v>케이팜플라스타(플루르비프로펜) [품목기준코드 201202810]</x:v>
      </x:c>
      <x:c r="K1712" s="8" t="str">
        <x:v>식품의약품안전처 의약품개요정보(e약은요) OpenAPI
https://apis.data.go.kr/1471000/DrbEasyDrugInfoService/getDrbEasyDrugList</x:v>
      </x:c>
    </x:row>
    <x:row r="1713" ht="62" customHeight="1">
      <x:c r="A1713" s="9" t="n">
        <x:v>1712</x:v>
      </x:c>
      <x:c r="B1713" s="6" t="str">
        <x:v>최종 평가</x:v>
      </x:c>
      <x:c r="C1713" s="6" t="str">
        <x:v>복약</x:v>
      </x:c>
      <x:c r="D1713" s="6" t="str">
        <x:v>실용·응급대처</x:v>
      </x:c>
      <x:c r="E1713" s="6" t="str">
        <x:v>답변 가능</x:v>
      </x:c>
      <x:c r="F1713" s="6" t="str">
        <x:v>보통</x:v>
      </x:c>
      <x:c r="G1713" s="8" t="str">
        <x:v>케토진첩부제(케토프로펜) 사용 후 심한 이상반응이 나타나면 어떻게 해야 하나요?</x:v>
      </x:c>
      <x:c r="H1713" s="8" t="str">
        <x:v>드물게 쇽, 아나필락시양 증상(두드러기, 호흡곤란, 얼굴부기 등 과민성유사증상), 천식발작(건성 수포음(거품소리), 천명(숨을 쌕쌕거림), 호흡곤란), 때때로 발적(충혈되어 붉어짐), 발진, 가려움, 수포, 짓무름, 자극감 및 종창(부기) 등의 접촉피부염, 피부건조 및 색소침착 등이 나타나는 경우 사용을 즉각 중지하고 의사 또는 약사와 상의하십시오.</x:v>
      </x:c>
      <x:c r="I1713" s="8" t="str">
        <x:v>드물게 쇽, 아나필락시양 증상(두드러기, 호흡곤란, 얼굴부기 등 과민성유사증상), 천식발작(건성 수포음(거품소리), 천명(숨을 쌕쌕거림), 호흡곤란), 때때로 발적(충혈되어 붉어짐), 발진, 가려움, 수포, 짓무름, 자극감 및 종창(부기) 등의 접촉피부염, 피부건조 및 색소침착 등이 나타나는 경우 사용을 즉각 중지하고 의사 또는 약사와 상의하십시오.</x:v>
      </x:c>
      <x:c r="J1713" s="8" t="str">
        <x:v>케토진첩부제(케토프로펜) [품목기준코드 200708955]</x:v>
      </x:c>
      <x:c r="K1713" s="8" t="str">
        <x:v>식품의약품안전처 의약품개요정보(e약은요) OpenAPI
https://apis.data.go.kr/1471000/DrbEasyDrugInfoService/getDrbEasyDrugList</x:v>
      </x:c>
    </x:row>
    <x:row r="1714" ht="62" customHeight="1">
      <x:c r="A1714" s="9" t="n">
        <x:v>1713</x:v>
      </x:c>
      <x:c r="B1714" s="6" t="str">
        <x:v>최종 평가</x:v>
      </x:c>
      <x:c r="C1714" s="6" t="str">
        <x:v>복약</x:v>
      </x:c>
      <x:c r="D1714" s="6" t="str">
        <x:v>증상→대상 구분</x:v>
      </x:c>
      <x:c r="E1714" s="6" t="str">
        <x:v>답변 가능</x:v>
      </x:c>
      <x:c r="F1714" s="6" t="str">
        <x:v>어려움</x:v>
      </x:c>
      <x:c r="G1714" s="8" t="str">
        <x:v>세토펜정(아세트아미노펜)을 사용한 뒤 발진이 생겼는데, 이 약의 부작용으로 안내되어 있나요?</x:v>
      </x:c>
      <x:c r="H1714" s="8" t="str">
        <x:v>발진은 이 제품의 e약은요 부작용 항목에 기재되어 있습니다. 다만 이 정보만으로 현재 증상의 원인이 해당 약이라고 확정할 수는 없습니다.</x:v>
      </x:c>
      <x:c r="I1714" s="8" t="str">
        <x:v>쇽(호흡곤란, 두드러기 등), 아나필락시양 증상(과민성유사증상 : 호흡곤란, 온몸이 붉어짐, 혈관부기, 두드러기 등), 천식발작, 혈소판 감소, 과립구감소, 용혈성빈혈, 메트헤모글로빈혈증, 혈소판기능 저하(출혈시간 연장), 청색증, 구역, 구토, 식욕부진, 피부발진, 피부점막안증후군(스티븐스-존슨증후군), 독성표피괴사용해(리엘증후군), 고음이온차 대사성 산증, AST 상승, ALT 상승, 소양성(가려움)발진, 고정발진 등이 나타나는 경우 즉각 복용을 중지하고 의사 또는 약사와 상담하십시오.</x:v>
      </x:c>
      <x:c r="J1714" s="8" t="str">
        <x:v>세토펜정(아세트아미노펜) [품목기준코드 199300891]</x:v>
      </x:c>
      <x:c r="K1714" s="8" t="str">
        <x:v>식품의약품안전처 의약품개요정보(e약은요) OpenAPI
https://apis.data.go.kr/1471000/DrbEasyDrugInfoService/getDrbEasyDrugList</x:v>
      </x:c>
    </x:row>
    <x:row r="1715" ht="62" customHeight="1">
      <x:c r="A1715" s="9" t="n">
        <x:v>1714</x:v>
      </x:c>
      <x:c r="B1715" s="6" t="str">
        <x:v>최종 평가</x:v>
      </x:c>
      <x:c r="C1715" s="6" t="str">
        <x:v>복약</x:v>
      </x:c>
      <x:c r="D1715" s="6" t="str">
        <x:v>상호작용</x:v>
      </x:c>
      <x:c r="E1715" s="6" t="str">
        <x:v>답변 가능</x:v>
      </x:c>
      <x:c r="F1715" s="6" t="str">
        <x:v>쉬움</x:v>
      </x:c>
      <x:c r="G1715" s="8" t="str">
        <x:v>넬슨로라타딘정과 함께 사용하거나 먹을 때 주의해야 할 약이나 음식이 있나요?</x:v>
      </x:c>
      <x:c r="H1715" s="8" t="str">
        <x:v>이 약을 복용하는 동안 시메티딘, 에리트로마이신, 케토코나졸, 퀴니딘, 플루코나졸, 플루옥세틴, 간 대사를 억제하는 약물을 함께 복용하지 마십시오.</x:v>
      </x:c>
      <x:c r="I1715" s="8" t="str">
        <x:v>이 약을 복용하는 동안 시메티딘, 에리트로마이신, 케토코나졸, 퀴니딘, 플루코나졸, 플루옥세틴, 간 대사를 억제하는 약물을 함께 복용하지 마십시오.</x:v>
      </x:c>
      <x:c r="J1715" s="8" t="str">
        <x:v>넬슨로라타딘정 [품목기준코드 199802138]</x:v>
      </x:c>
      <x:c r="K1715" s="8" t="str">
        <x:v>식품의약품안전처 의약품개요정보(e약은요) OpenAPI
https://apis.data.go.kr/1471000/DrbEasyDrugInfoService/getDrbEasyDrugList</x:v>
      </x:c>
    </x:row>
    <x:row r="1716" ht="62" customHeight="1">
      <x:c r="A1716" s="9" t="n">
        <x:v>1715</x:v>
      </x:c>
      <x:c r="B1716" s="6" t="str">
        <x:v>최종 평가</x:v>
      </x:c>
      <x:c r="C1716" s="6" t="str">
        <x:v>복약</x:v>
      </x:c>
      <x:c r="D1716" s="6" t="str">
        <x:v>대상별 정보</x:v>
      </x:c>
      <x:c r="E1716" s="6" t="str">
        <x:v>답변 가능</x:v>
      </x:c>
      <x:c r="F1716" s="6" t="str">
        <x:v>쉬움</x:v>
      </x:c>
      <x:c r="G1716" s="8" t="str">
        <x:v>임신 또는 수유 중에 위트리정150밀리그램(트리메부틴말레산염)을 사용해도 되나요?</x:v>
      </x:c>
      <x:c r="H1716" s="8" t="str">
        <x:v>e약은요에서 임신 또는 수유 중인 사람과 관련해 안내한 내용은 다음과 같습니다. 이 약을 복용하기 전에 임부 또는 임신하고 있을 가능성이 있는 부인, 수유부는 의사 또는 약사와 상의하십시오.</x:v>
      </x:c>
      <x:c r="I1716" s="8" t="str">
        <x:v>이 약을 복용하기 전에 임부 또는 임신하고 있을 가능성이 있는 부인, 수유부는 의사 또는 약사와 상의하십시오.</x:v>
      </x:c>
      <x:c r="J1716" s="8" t="str">
        <x:v>위트리정150밀리그램(트리메부틴말레산염) [품목기준코드 202300310]</x:v>
      </x:c>
      <x:c r="K1716" s="8" t="str">
        <x:v>식품의약품안전처 의약품개요정보(e약은요) OpenAPI
https://apis.data.go.kr/1471000/DrbEasyDrugInfoService/getDrbEasyDrugList</x:v>
      </x:c>
    </x:row>
    <x:row r="1717" ht="62" customHeight="1">
      <x:c r="A1717" s="9" t="n">
        <x:v>1716</x:v>
      </x:c>
      <x:c r="B1717" s="6" t="str">
        <x:v>최종 평가</x:v>
      </x:c>
      <x:c r="C1717" s="6" t="str">
        <x:v>복약</x:v>
      </x:c>
      <x:c r="D1717" s="6" t="str">
        <x:v>증상·이상반응</x:v>
      </x:c>
      <x:c r="E1717" s="6" t="str">
        <x:v>답변 가능</x:v>
      </x:c>
      <x:c r="F1717" s="6" t="str">
        <x:v>쉬움</x:v>
      </x:c>
      <x:c r="G1717" s="8" t="str">
        <x:v>고운자임맘정을 사용하면 어떤 부작용이 생길 수 있나요?</x:v>
      </x:c>
      <x:c r="H1717" s="8" t="str">
        <x:v>e약은요에는 다음과 같은 이상반응이 안내되어 있습니다. 구역, 구토, 설사, 묽은 변, 위부불쾌감, 변비, 발진, 발적(충혈되어 붉어짐), 두드러기, 가려움, 광선과민반응, 복부(배부분)∙위통증, 경련, 열, 혼수, 상복부(배부분)통증, 붉은 반점, 부전수축(심장박동정지), 중추신경계 기능저하, 위장관 장애, 소화장애, 저혈압, 폐부종(부기), 생리가 예정보다 빨라지거나 양이 점점 많아지거나, 출혈이 오래 지속될 경우 복용을 즉각 중지하고 의사 또는 약사와 상의하십시오.</x:v>
      </x:c>
      <x:c r="I1717" s="8" t="str">
        <x:v>구역, 구토, 설사, 묽은 변, 위부불쾌감, 변비, 발진, 발적(충혈되어 붉어짐), 두드러기, 가려움, 광선과민반응, 복부(배부분)∙위통증, 경련, 열, 혼수, 상복부(배부분)통증, 붉은 반점, 부전수축(심장박동정지), 중추신경계 기능저하, 위장관 장애, 소화장애, 저혈압, 폐부종(부기), 생리가 예정보다 빨라지거나 양이 점점 많아지거나, 출혈이 오래 지속될 경우 복용을 즉각 중지하고 의사 또는 약사와 상의하십시오.</x:v>
      </x:c>
      <x:c r="J1717" s="8" t="str">
        <x:v>고운자임맘정 [품목기준코드 201205043]</x:v>
      </x:c>
      <x:c r="K1717" s="8" t="str">
        <x:v>식품의약품안전처 의약품개요정보(e약은요) OpenAPI
https://apis.data.go.kr/1471000/DrbEasyDrugInfoService/getDrbEasyDrugList</x:v>
      </x:c>
    </x:row>
    <x:row r="1718" ht="62" customHeight="1">
      <x:c r="A1718" s="9" t="n">
        <x:v>1717</x:v>
      </x:c>
      <x:c r="B1718" s="6" t="str">
        <x:v>최종 평가</x:v>
      </x:c>
      <x:c r="C1718" s="6" t="str">
        <x:v>복약</x:v>
      </x:c>
      <x:c r="D1718" s="6" t="str">
        <x:v>대상별 정보</x:v>
      </x:c>
      <x:c r="E1718" s="6" t="str">
        <x:v>답변 가능</x:v>
      </x:c>
      <x:c r="F1718" s="6" t="str">
        <x:v>쉬움</x:v>
      </x:c>
      <x:c r="G1718" s="8" t="str">
        <x:v>어린이나 소아가 타이레놀8시간이알서방정(아세트아미노펜)을 사용해도 되나요?</x:v>
      </x:c>
      <x:c r="H1718" s="8" t="str">
        <x:v>e약은요에서 어린이·소아과 관련해 안내한 내용은 다음과 같습니다. 이 약에 과민증, 소화성궤양, 심한 혈액 이상 환자, 심한 간장애, 심한 신장(콩팥)장애, 심한 심장기능저하, 아스피린 천식(비스테로이드성 소염(항염)제에 의한 천식발작 유발) 또는 경험자, 바르비탈계 약물 또는 삼환계 항우울제 복용한 환자, 알코올을 복용한 사람, 12세 미만의 소아는 이 약을 복용하지 마십시오.</x:v>
      </x:c>
      <x:c r="I1718" s="8" t="str">
        <x:v>이 약에 과민증, 소화성궤양, 심한 혈액 이상 환자, 심한 간장애, 심한 신장(콩팥)장애, 심한 심장기능저하, 아스피린 천식(비스테로이드성 소염(항염)제에 의한 천식발작 유발) 또는 경험자, 바르비탈계 약물 또는 삼환계 항우울제 복용한 환자, 알코올을 복용한 사람, 12세 미만의 소아는 이 약을 복용하지 마십시오.</x:v>
      </x:c>
      <x:c r="J1718" s="8" t="str">
        <x:v>타이레놀8시간이알서방정(아세트아미노펜) [품목기준코드 202200407]</x:v>
      </x:c>
      <x:c r="K1718" s="8" t="str">
        <x:v>식품의약품안전처 의약품개요정보(e약은요) OpenAPI
https://apis.data.go.kr/1471000/DrbEasyDrugInfoService/getDrbEasyDrugList</x:v>
      </x:c>
    </x:row>
    <x:row r="1719" ht="62" customHeight="1">
      <x:c r="A1719" s="9" t="n">
        <x:v>1718</x:v>
      </x:c>
      <x:c r="B1719" s="6" t="str">
        <x:v>최종 평가</x:v>
      </x:c>
      <x:c r="C1719" s="6" t="str">
        <x:v>복약</x:v>
      </x:c>
      <x:c r="D1719" s="6" t="str">
        <x:v>증상·이상반응</x:v>
      </x:c>
      <x:c r="E1719" s="6" t="str">
        <x:v>답변 가능</x:v>
      </x:c>
      <x:c r="F1719" s="6" t="str">
        <x:v>쉬움</x:v>
      </x:c>
      <x:c r="G1719" s="8" t="str">
        <x:v>노스엣 센스액(염화알루미늄)을 사용하면 어떤 부작용이 생길 수 있나요?</x:v>
      </x:c>
      <x:c r="H1719" s="8" t="str">
        <x:v>e약은요에는 다음과 같은 이상반응이 안내되어 있습니다. 일시적으로 자극감, 발적 등이 나타나는 경우 사용을 즉각 중지하고 의사 또는 약사와 상의하십시오.</x:v>
      </x:c>
      <x:c r="I1719" s="8" t="str">
        <x:v>일시적으로 자극감, 발적 등이 나타나는 경우 사용을 즉각 중지하고 의사 또는 약사와 상의하십시오.</x:v>
      </x:c>
      <x:c r="J1719" s="8" t="str">
        <x:v>노스엣 센스액(염화알루미늄) [품목기준코드 200904822]</x:v>
      </x:c>
      <x:c r="K1719" s="8" t="str">
        <x:v>식품의약품안전처 의약품개요정보(e약은요) OpenAPI
https://apis.data.go.kr/1471000/DrbEasyDrugInfoService/getDrbEasyDrugList</x:v>
      </x:c>
    </x:row>
    <x:row r="1720" ht="62" customHeight="1">
      <x:c r="A1720" s="9" t="n">
        <x:v>1719</x:v>
      </x:c>
      <x:c r="B1720" s="6" t="str">
        <x:v>최종 평가</x:v>
      </x:c>
      <x:c r="C1720" s="6" t="str">
        <x:v>복약</x:v>
      </x:c>
      <x:c r="D1720" s="6" t="str">
        <x:v>원인·위험요인</x:v>
      </x:c>
      <x:c r="E1720" s="6" t="str">
        <x:v>답변 가능</x:v>
      </x:c>
      <x:c r="F1720" s="6" t="str">
        <x:v>보통</x:v>
      </x:c>
      <x:c r="G1720" s="8" t="str">
        <x:v>모드코에스연질캡슐을 사용하기 전에 특히 조심해야 하는 사람은 누구인가요?</x:v>
      </x:c>
      <x:c r="H1720" s="8" t="str">
        <x:v>이 제품을 사용하기 전에 특히 확인해야 할 대상과 상황은 다음과 같습니다. 이 약에 과민증 환자 또는 경험자, 다른 해열진통제, 감기약 복용 시 천식 경험자, 만 3개월 미만의 영아, 중증 또는 조절되지 않는 고혈압 환자, 중증 급성 또는 만성 신장질환/신부전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신장(콩팥)질환, 심장질환, 갑상선질환, 당뇨병, 고혈압, 위십이지장궤양, 녹내장(예: 눈의 통증, 눈이 침침함 등), 배뇨 곤란,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환자는 의사 또는 약사와 상의하십시오. 5~6회 복용하여도 증상의 개선이 없을 경우 복용을 즉각 중지하고 의사 또는 약사와 상의하십시오. 어린이에게 투여할 경우 보호자의 지도 감독하에 투여하십시오.</x:v>
      </x:c>
      <x:c r="I1720" s="8" t="str">
        <x:v>이 약에 과민증 환자 또는 경험자, 다른 해열진통제, 감기약 복용 시 천식 경험자, 만 3개월 미만의 영아, 중증 또는 조절되지 않는 고혈압 환자, 중증 급성 또는 만성 신장질환/신부전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신장(콩팥)질환, 심장질환, 갑상선질환, 당뇨병, 고혈압, 위십이지장궤양, 녹내장(예: 눈의 통증, 눈이 침침함 등), 배뇨 곤란,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환자는 의사 또는 약사와 상의하십시오. 5~6회 복용하여도 증상의 개선이 없을 경우 복용을 즉각 중지하고 의사 또는 약사와 상의하십시오. 어린이에게 투여할 경우 보호자의 지도 감독하에 투여하십시오.</x:v>
      </x:c>
      <x:c r="J1720" s="8" t="str">
        <x:v>모드코에스연질캡슐 [품목기준코드 201203128]</x:v>
      </x:c>
      <x:c r="K1720" s="8" t="str">
        <x:v>식품의약품안전처 의약품개요정보(e약은요) OpenAPI
https://apis.data.go.kr/1471000/DrbEasyDrugInfoService/getDrbEasyDrugList</x:v>
      </x:c>
    </x:row>
    <x:row r="1721" ht="62" customHeight="1">
      <x:c r="A1721" s="9" t="n">
        <x:v>1720</x:v>
      </x:c>
      <x:c r="B1721" s="6" t="str">
        <x:v>최종 평가</x:v>
      </x:c>
      <x:c r="C1721" s="6" t="str">
        <x:v>복약</x:v>
      </x:c>
      <x:c r="D1721" s="6" t="str">
        <x:v>상호작용</x:v>
      </x:c>
      <x:c r="E1721" s="6" t="str">
        <x:v>답변 가능</x:v>
      </x:c>
      <x:c r="F1721" s="6" t="str">
        <x:v>쉬움</x:v>
      </x:c>
      <x:c r="G1721" s="8" t="str">
        <x:v>반드레크림(우레아)과 함께 사용하거나 먹을 때 주의해야 할 약이나 음식이 있나요?</x:v>
      </x:c>
      <x:c r="H1721" s="8" t="str">
        <x:v>코르티코이드, 디트라놀, 5-플루오로우라실을 함께 사용 시 의사 또는 약사와 상의하십시오.</x:v>
      </x:c>
      <x:c r="I1721" s="8" t="str">
        <x:v>코르티코이드, 디트라놀, 5-플루오로우라실을 함께 사용 시 의사 또는 약사와 상의하십시오.</x:v>
      </x:c>
      <x:c r="J1721" s="8" t="str">
        <x:v>반드레크림(우레아) [품목기준코드 199702155]</x:v>
      </x:c>
      <x:c r="K1721" s="8" t="str">
        <x:v>식품의약품안전처 의약품개요정보(e약은요) OpenAPI
https://apis.data.go.kr/1471000/DrbEasyDrugInfoService/getDrbEasyDrugList</x:v>
      </x:c>
    </x:row>
    <x:row r="1722" ht="62" customHeight="1">
      <x:c r="A1722" s="9" t="n">
        <x:v>1721</x:v>
      </x:c>
      <x:c r="B1722" s="6" t="str">
        <x:v>최종 평가</x:v>
      </x:c>
      <x:c r="C1722" s="6" t="str">
        <x:v>복약</x:v>
      </x:c>
      <x:c r="D1722" s="6" t="str">
        <x:v>용어·정의</x:v>
      </x:c>
      <x:c r="E1722" s="6" t="str">
        <x:v>답변 가능</x:v>
      </x:c>
      <x:c r="F1722" s="6" t="str">
        <x:v>쉬움</x:v>
      </x:c>
      <x:c r="G1722" s="8" t="str">
        <x:v>안티푸라민쿨카타플라스마(펠비낙)은 어떤 약인가요?</x:v>
      </x:c>
      <x:c r="H1722" s="8" t="str">
        <x:v>안티푸라민쿨카타플라스마(펠비낙)은 (주)유한양행의 의약품으로, e약은요에는 다음과 같이 안내되어 있습니다. 이 약은 퇴행성관절염(골관절염), 어깨관절주위염, 건ㆍ건초염, 건주위염, 상완골상과염(테니스 엘보우 등), 근육통, 외상후의 종창ㆍ동통의 진통ㆍ소염(항염)에 사용합니다.</x:v>
      </x:c>
      <x:c r="I1722" s="8" t="str">
        <x:v>제품명: 안티푸라민쿨카타플라스마(펠비낙) 업체명: (주)유한양행 효능: 이 약은 퇴행성관절염(골관절염), 어깨관절주위염, 건ㆍ건초염, 건주위염, 상완골상과염(테니스 엘보우 등), 근육통, 외상후의 종창ㆍ동통의 진통ㆍ소염(항염)에 사용합니다.</x:v>
      </x:c>
      <x:c r="J1722" s="8" t="str">
        <x:v>안티푸라민쿨카타플라스마(펠비낙) [품목기준코드 201110740]</x:v>
      </x:c>
      <x:c r="K1722" s="8" t="str">
        <x:v>식품의약품안전처 의약품개요정보(e약은요) OpenAPI
https://apis.data.go.kr/1471000/DrbEasyDrugInfoService/getDrbEasyDrugList</x:v>
      </x:c>
    </x:row>
    <x:row r="1723" ht="62" customHeight="1">
      <x:c r="A1723" s="9" t="n">
        <x:v>1722</x:v>
      </x:c>
      <x:c r="B1723" s="6" t="str">
        <x:v>최종 평가</x:v>
      </x:c>
      <x:c r="C1723" s="6" t="str">
        <x:v>복약</x:v>
      </x:c>
      <x:c r="D1723" s="6" t="str">
        <x:v>답변불가·개인 용량 변경</x:v>
      </x:c>
      <x:c r="E1723" s="6" t="str">
        <x:v>답변 거부</x:v>
      </x:c>
      <x:c r="F1723" s="6" t="str">
        <x:v>어려움</x:v>
      </x:c>
      <x:c r="G1723" s="8" t="str">
        <x:v>카바몰플러스정이 잘 듣지 않는데 제 상태에 맞춰 복용량을 얼마나 늘리면 되나요?</x:v>
      </x:c>
      <x:c r="H1723" s="8" t="str">
        <x:v>제공된 e약은요 VDB만으로 개인별 복용량 변경을 결정할 수 없습니다. 임의로 증량하지 말고 의사 또는 약사와 상담해야 합니다.</x:v>
      </x:c>
      <x:c r="I1723" s="8" t="str">
        <x:v>VDB 범위 밖 질문 — 근거 없음</x:v>
      </x:c>
      <x:c r="J1723" s="8" t="str">
        <x:v>카바몰플러스정 [품목기준코드 202401098]</x:v>
      </x:c>
      <x:c r="K1723" s="8" t="str">
        <x:v>식품의약품안전처 의약품개요정보(e약은요) OpenAPI
https://apis.data.go.kr/1471000/DrbEasyDrugInfoService/getDrbEasyDrugList</x:v>
      </x:c>
    </x:row>
    <x:row r="1724" ht="62" customHeight="1">
      <x:c r="A1724" s="9" t="n">
        <x:v>1723</x:v>
      </x:c>
      <x:c r="B1724" s="6" t="str">
        <x:v>최종 평가</x:v>
      </x:c>
      <x:c r="C1724" s="6" t="str">
        <x:v>복약</x:v>
      </x:c>
      <x:c r="D1724" s="6" t="str">
        <x:v>상호작용</x:v>
      </x:c>
      <x:c r="E1724" s="6" t="str">
        <x:v>답변 가능</x:v>
      </x:c>
      <x:c r="F1724" s="6" t="str">
        <x:v>쉬움</x:v>
      </x:c>
      <x:c r="G1724" s="8" t="str">
        <x:v>제일치오스민정(디오스민)과 함께 사용하거나 먹을 때 주의해야 할 약이나 음식이 있나요?</x:v>
      </x:c>
      <x:c r="H1724" s="8" t="str">
        <x:v>정주용 지질제와 함께 복용 시 의사 또는 약사와 상의하십시오.</x:v>
      </x:c>
      <x:c r="I1724" s="8" t="str">
        <x:v>정주용 지질제와 함께 복용 시 의사 또는 약사와 상의하십시오.</x:v>
      </x:c>
      <x:c r="J1724" s="8" t="str">
        <x:v>제일치오스민정(디오스민) [품목기준코드 202000726]</x:v>
      </x:c>
      <x:c r="K1724" s="8" t="str">
        <x:v>식품의약품안전처 의약품개요정보(e약은요) OpenAPI
https://apis.data.go.kr/1471000/DrbEasyDrugInfoService/getDrbEasyDrugList</x:v>
      </x:c>
    </x:row>
    <x:row r="1725" ht="62" customHeight="1">
      <x:c r="A1725" s="9" t="n">
        <x:v>1724</x:v>
      </x:c>
      <x:c r="B1725" s="6" t="str">
        <x:v>최종 평가</x:v>
      </x:c>
      <x:c r="C1725" s="6" t="str">
        <x:v>복약</x:v>
      </x:c>
      <x:c r="D1725" s="6" t="str">
        <x:v>대상별 정보</x:v>
      </x:c>
      <x:c r="E1725" s="6" t="str">
        <x:v>답변 가능</x:v>
      </x:c>
      <x:c r="F1725" s="6" t="str">
        <x:v>쉬움</x:v>
      </x:c>
      <x:c r="G1725" s="8" t="str">
        <x:v>어린이나 소아가 바이엘아스피린정500밀리그람을 사용해도 되나요?</x:v>
      </x:c>
      <x:c r="H1725" s="8" t="str">
        <x:v>e약은요에서 어린이·소아과 관련해 안내한 내용은 다음과 같습니다. 이 약을 복용하기 전에 신장애, 심혈관순환기능이상 환자(신혈관 질환, 울혈성 심부전, 체액 감소, 큰 수술, 패혈증 또는 주요 출혈 사고 등), 간장애, 심기능이상 환자, 혈액 이상 또는 그 경험자, 기관지천식, 수술전의 환자, 고령자, 중증 포도당-6-인산염 탈수소효소결핍증 환자, 만 15세 미만의 수두 또는 인플루엔자 환자는 의사 또는 약사와 상의하십시오.</x:v>
      </x:c>
      <x:c r="I1725" s="8" t="str">
        <x:v>이 약을 복용하기 전에 신장애, 심혈관순환기능이상 환자(신혈관 질환, 울혈성 심부전, 체액 감소, 큰 수술, 패혈증 또는 주요 출혈 사고 등), 간장애, 심기능이상 환자, 혈액 이상 또는 그 경험자, 기관지천식, 수술전의 환자, 고령자, 중증 포도당-6-인산염 탈수소효소결핍증 환자, 만 15세 미만의 수두 또는 인플루엔자 환자는 의사 또는 약사와 상의하십시오.</x:v>
      </x:c>
      <x:c r="J1725" s="8" t="str">
        <x:v>바이엘아스피린정500밀리그람 [품목기준코드 200008591]</x:v>
      </x:c>
      <x:c r="K1725" s="8" t="str">
        <x:v>식품의약품안전처 의약품개요정보(e약은요) OpenAPI
https://apis.data.go.kr/1471000/DrbEasyDrugInfoService/getDrbEasyDrugList</x:v>
      </x:c>
    </x:row>
    <x:row r="1726" ht="62" customHeight="1">
      <x:c r="A1726" s="9" t="n">
        <x:v>1725</x:v>
      </x:c>
      <x:c r="B1726" s="6" t="str">
        <x:v>최종 평가</x:v>
      </x:c>
      <x:c r="C1726" s="6" t="str">
        <x:v>복약</x:v>
      </x:c>
      <x:c r="D1726" s="6" t="str">
        <x:v>효능·사용목적</x:v>
      </x:c>
      <x:c r="E1726" s="6" t="str">
        <x:v>답변 가능</x:v>
      </x:c>
      <x:c r="F1726" s="6" t="str">
        <x:v>쉬움</x:v>
      </x:c>
      <x:c r="G1726" s="8" t="str">
        <x:v>눈앤쿨점안액0.6%(카르복시메틸셀룰로오스나트륨)(1회용)은 어떤 증상이나 질환에 사용하는 약인가요?</x:v>
      </x:c>
      <x:c r="H1726" s="8" t="str">
        <x:v>이 약은 눈의 건조 또는 바람이나 태양에 의한 화끈거리는 증상, 자극감, 불쾌감의 일시적인 완화 및 눈의 자극감 예방에 사용합니다.</x:v>
      </x:c>
      <x:c r="I1726" s="8" t="str">
        <x:v>이 약은 눈의 건조 또는 바람이나 태양에 의한 화끈거리는 증상, 자극감, 불쾌감의 일시적인 완화 및 눈의 자극감 예방에 사용합니다.</x:v>
      </x:c>
      <x:c r="J1726" s="8" t="str">
        <x:v>눈앤쿨점안액0.6%(카르복시메틸셀룰로오스나트륨)(1회용) [품목기준코드 202400682]</x:v>
      </x:c>
      <x:c r="K1726" s="8" t="str">
        <x:v>식품의약품안전처 의약품개요정보(e약은요) OpenAPI
https://apis.data.go.kr/1471000/DrbEasyDrugInfoService/getDrbEasyDrugList</x:v>
      </x:c>
    </x:row>
    <x:row r="1727" ht="62" customHeight="1">
      <x:c r="A1727" s="9" t="n">
        <x:v>1726</x:v>
      </x:c>
      <x:c r="B1727" s="6" t="str">
        <x:v>최종 평가</x:v>
      </x:c>
      <x:c r="C1727" s="6" t="str">
        <x:v>복약</x:v>
      </x:c>
      <x:c r="D1727" s="6" t="str">
        <x:v>용법·용량</x:v>
      </x:c>
      <x:c r="E1727" s="6" t="str">
        <x:v>답변 가능</x:v>
      </x:c>
      <x:c r="F1727" s="6" t="str">
        <x:v>쉬움</x:v>
      </x:c>
      <x:c r="G1727" s="8" t="str">
        <x:v>프리겔현탁액(알마게이트)은 어떻게 사용하나요?</x:v>
      </x:c>
      <x:c r="H1727" s="8" t="str">
        <x:v>성인 및 12세 이상의 소아는 1회 1∼1.5 g을 1일 3회 식후 30분∼1시간에 복용합니다. 필요시 취침 전에 1회 더 복용할 수 있습니다. 사용하기 전에 현탁액을 잘 흔들어 복용합니다.</x:v>
      </x:c>
      <x:c r="I1727" s="8" t="str">
        <x:v>성인 및 12세 이상의 소아는 1회 1∼1.5 g을 1일 3회 식후 30분∼1시간에 복용합니다. 필요시 취침 전에 1회 더 복용할 수 있습니다. 사용하기 전에 현탁액을 잘 흔들어 복용합니다.</x:v>
      </x:c>
      <x:c r="J1727" s="8" t="str">
        <x:v>프리겔현탁액(알마게이트) [품목기준코드 199801515]</x:v>
      </x:c>
      <x:c r="K1727" s="8" t="str">
        <x:v>식품의약품안전처 의약품개요정보(e약은요) OpenAPI
https://apis.data.go.kr/1471000/DrbEasyDrugInfoService/getDrbEasyDrugList</x:v>
      </x:c>
    </x:row>
    <x:row r="1728" ht="62" customHeight="1">
      <x:c r="A1728" s="9" t="n">
        <x:v>1727</x:v>
      </x:c>
      <x:c r="B1728" s="6" t="str">
        <x:v>최종 평가</x:v>
      </x:c>
      <x:c r="C1728" s="6" t="str">
        <x:v>복약</x:v>
      </x:c>
      <x:c r="D1728" s="6" t="str">
        <x:v>답변불가·가격·재고</x:v>
      </x:c>
      <x:c r="E1728" s="6" t="str">
        <x:v>답변 거부</x:v>
      </x:c>
      <x:c r="F1728" s="6" t="str">
        <x:v>어려움</x:v>
      </x:c>
      <x:c r="G1728" s="8" t="str">
        <x:v>오늘 제 주변 약국에서 센스온스피드액이 가장 싼 곳과 재고 수량을 알려주세요.</x:v>
      </x:c>
      <x:c r="H1728" s="8" t="str">
        <x:v>제공된 e약은요 VDB에는 실시간 약국별 가격과 재고 정보가 없어 답할 수 없습니다.</x:v>
      </x:c>
      <x:c r="I1728" s="8" t="str">
        <x:v>VDB 범위 밖 질문 — 근거 없음</x:v>
      </x:c>
      <x:c r="J1728" s="8" t="str">
        <x:v>센스온스피드액 [품목기준코드 202107326]</x:v>
      </x:c>
      <x:c r="K1728" s="8" t="str">
        <x:v>식품의약품안전처 의약품개요정보(e약은요) OpenAPI
https://apis.data.go.kr/1471000/DrbEasyDrugInfoService/getDrbEasyDrugList</x:v>
      </x:c>
    </x:row>
    <x:row r="1729" ht="62" customHeight="1">
      <x:c r="A1729" s="9" t="n">
        <x:v>1728</x:v>
      </x:c>
      <x:c r="B1729" s="6" t="str">
        <x:v>최종 평가</x:v>
      </x:c>
      <x:c r="C1729" s="6" t="str">
        <x:v>복약</x:v>
      </x:c>
      <x:c r="D1729" s="6" t="str">
        <x:v>원인·위험요인</x:v>
      </x:c>
      <x:c r="E1729" s="6" t="str">
        <x:v>답변 가능</x:v>
      </x:c>
      <x:c r="F1729" s="6" t="str">
        <x:v>보통</x:v>
      </x:c>
      <x:c r="G1729" s="8" t="str">
        <x:v>나에겐연질캡슐(나프록센)을 사용하기 전에 특히 조심해야 하는 사람은 누구인가요?</x:v>
      </x:c>
      <x:c r="H1729" s="8" t="str">
        <x:v>이 제품을 사용하기 전에 특히 확인해야 할 대상과 상황은 다음과 같습니다. 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고령자, 소화성궤양 경험자, 혈액이상, 출혈경향이 있는 환자, 간장애, 신장애, 심기능 장애, 고혈압, 과민증 경험자, 기관지천식, 전신홍반루푸스 및 혼합 결합조직질환(MCTD) 환자는 의사 또는 약사와 상의하십시오.</x:v>
      </x:c>
      <x:c r="I1729" s="8" t="str">
        <x:v>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고령자, 소화성궤양 경험자, 혈액이상, 출혈경향이 있는 환자, 간장애, 신장애, 심기능 장애, 고혈압, 과민증 경험자, 기관지천식, 전신홍반루푸스 및 혼합 결합조직질환(MCTD) 환자는 의사 또는 약사와 상의하십시오.</x:v>
      </x:c>
      <x:c r="J1729" s="8" t="str">
        <x:v>나에겐연질캡슐(나프록센) [품목기준코드 201401095]</x:v>
      </x:c>
      <x:c r="K1729" s="8" t="str">
        <x:v>식품의약품안전처 의약품개요정보(e약은요) OpenAPI
https://apis.data.go.kr/1471000/DrbEasyDrugInfoService/getDrbEasyDrugList</x:v>
      </x:c>
    </x:row>
    <x:row r="1730" ht="62" customHeight="1">
      <x:c r="A1730" s="9" t="n">
        <x:v>1729</x:v>
      </x:c>
      <x:c r="B1730" s="6" t="str">
        <x:v>최종 평가</x:v>
      </x:c>
      <x:c r="C1730" s="6" t="str">
        <x:v>복약</x:v>
      </x:c>
      <x:c r="D1730" s="6" t="str">
        <x:v>증상→대상 구분</x:v>
      </x:c>
      <x:c r="E1730" s="6" t="str">
        <x:v>답변 가능</x:v>
      </x:c>
      <x:c r="F1730" s="6" t="str">
        <x:v>어려움</x:v>
      </x:c>
      <x:c r="G1730" s="8" t="str">
        <x:v>목앤탁인후스프레이을 사용한 뒤 발진이 생겼는데, 이 약의 부작용으로 안내되어 있나요?</x:v>
      </x:c>
      <x:c r="H1730" s="8" t="str">
        <x:v>발진은 이 제품의 e약은요 부작용 항목에 기재되어 있습니다. 다만 이 정보만으로 현재 증상의 원인이 해당 약이라고 확정할 수는 없습니다.</x:v>
      </x:c>
      <x:c r="I1730" s="8" t="str">
        <x:v>입에 자극감, 피부에 발진·발적(충혈되어 붉어짐), 가려움, 위부 불쾌감, 메스꺼움 등이 나타나는 경우 사용을 즉각 중지하고 의사 또는 약사와 상의하십시오.</x:v>
      </x:c>
      <x:c r="J1730" s="8" t="str">
        <x:v>목앤탁인후스프레이 [품목기준코드 201803016]</x:v>
      </x:c>
      <x:c r="K1730" s="8" t="str">
        <x:v>식품의약품안전처 의약품개요정보(e약은요) OpenAPI
https://apis.data.go.kr/1471000/DrbEasyDrugInfoService/getDrbEasyDrugList</x:v>
      </x:c>
    </x:row>
    <x:row r="1731" ht="62" customHeight="1">
      <x:c r="A1731" s="9" t="n">
        <x:v>1730</x:v>
      </x:c>
      <x:c r="B1731" s="6" t="str">
        <x:v>최종 평가</x:v>
      </x:c>
      <x:c r="C1731" s="6" t="str">
        <x:v>복약</x:v>
      </x:c>
      <x:c r="D1731" s="6" t="str">
        <x:v>실용·응급대처</x:v>
      </x:c>
      <x:c r="E1731" s="6" t="str">
        <x:v>답변 가능</x:v>
      </x:c>
      <x:c r="F1731" s="6" t="str">
        <x:v>보통</x:v>
      </x:c>
      <x:c r="G1731" s="8" t="str">
        <x:v>니코틴엘로젠즈민트향트로키1밀리그램(니코틴타르타르산염수화물) 사용 후 심한 이상반응이 나타나면 어떻게 해야 하나요?</x:v>
      </x:c>
      <x:c r="H1731" s="8" t="str">
        <x:v>불면, 어지러움, 두통, 떨림, 구역, 구토, 소화불량, 상복부 통증, 설사, 변비, 복부팽만, 딸국질, 위염, 구강(입안)건조, 구내염, 식도염, 입안 불편감, 삼킴곤란, 트림, 침과다분비, 인두염, 기침, 인후통(목구멍 통증), 호흡곤란, 심계항진(두근거림), 심방성 부정맥, 빈맥(빠른맥), 과민증, 혈관신경성부종, 두드러기, 궤양성 구내(입안)염, 아나필락시스, 무력증, 피로, 권태감, 인플루엔자 유사 질병 등이 나타나는 경우 복용을 즉각 중지하고 의사 또는 약사와 상의하십시오.</x:v>
      </x:c>
      <x:c r="I1731" s="8" t="str">
        <x:v>불면, 어지러움, 두통, 떨림, 구역, 구토, 소화불량, 상복부 통증, 설사, 변비, 복부팽만, 딸국질, 위염, 구강(입안)건조, 구내염, 식도염, 입안 불편감, 삼킴곤란, 트림, 침과다분비, 인두염, 기침, 인후통(목구멍 통증), 호흡곤란, 심계항진(두근거림), 심방성 부정맥, 빈맥(빠른맥), 과민증, 혈관신경성부종, 두드러기, 궤양성 구내(입안)염, 아나필락시스, 무력증, 피로, 권태감, 인플루엔자 유사 질병 등이 나타나는 경우 복용을 즉각 중지하고 의사 또는 약사와 상의하십시오.</x:v>
      </x:c>
      <x:c r="J1731" s="8" t="str">
        <x:v>니코틴엘로젠즈민트향트로키1밀리그램(니코틴타르타르산염수화물) [품목기준코드 200511037]</x:v>
      </x:c>
      <x:c r="K1731" s="8" t="str">
        <x:v>식품의약품안전처 의약품개요정보(e약은요) OpenAPI
https://apis.data.go.kr/1471000/DrbEasyDrugInfoService/getDrbEasyDrugList</x:v>
      </x:c>
    </x:row>
    <x:row r="1732" ht="62" customHeight="1">
      <x:c r="A1732" s="9" t="n">
        <x:v>1731</x:v>
      </x:c>
      <x:c r="B1732" s="6" t="str">
        <x:v>최종 평가</x:v>
      </x:c>
      <x:c r="C1732" s="6" t="str">
        <x:v>복약</x:v>
      </x:c>
      <x:c r="D1732" s="6" t="str">
        <x:v>상호작용</x:v>
      </x:c>
      <x:c r="E1732" s="6" t="str">
        <x:v>답변 가능</x:v>
      </x:c>
      <x:c r="F1732" s="6" t="str">
        <x:v>쉬움</x:v>
      </x:c>
      <x:c r="G1732" s="8" t="str">
        <x:v>본스칼츄어블정과 함께 사용하거나 먹을 때 주의해야 할 약이나 음식이 있나요?</x:v>
      </x:c>
      <x:c r="H1732" s="8" t="str">
        <x:v>인산염, 칼슘염, 경구용 테트라사이클린계제제, 제산제와 함께 복용하지 마십시오. 항알도스테론제, 트리암테렌, 강심배당체와 함께 복용 시 의사 또는 약사와 상의하십시오. 녹차, 홍차 등 탄닌을 함유하는 차는 복용 중, 복용 전후에는 피하십시오.</x:v>
      </x:c>
      <x:c r="I1732" s="8" t="str">
        <x:v>인산염, 칼슘염, 경구용 테트라사이클린계제제, 제산제와 함께 복용하지 마십시오. 항알도스테론제, 트리암테렌, 강심배당체와 함께 복용 시 의사 또는 약사와 상의하십시오. 녹차, 홍차 등 탄닌을 함유하는 차는 복용 중, 복용 전후에는 피하십시오.</x:v>
      </x:c>
      <x:c r="J1732" s="8" t="str">
        <x:v>본스칼츄어블정 [품목기준코드 201110424]</x:v>
      </x:c>
      <x:c r="K1732" s="8" t="str">
        <x:v>식품의약품안전처 의약품개요정보(e약은요) OpenAPI
https://apis.data.go.kr/1471000/DrbEasyDrugInfoService/getDrbEasyDrugList</x:v>
      </x:c>
    </x:row>
    <x:row r="1733" ht="62" customHeight="1">
      <x:c r="A1733" s="9" t="n">
        <x:v>1732</x:v>
      </x:c>
      <x:c r="B1733" s="6" t="str">
        <x:v>최종 평가</x:v>
      </x:c>
      <x:c r="C1733" s="6" t="str">
        <x:v>복약</x:v>
      </x:c>
      <x:c r="D1733" s="6" t="str">
        <x:v>증상·이상반응</x:v>
      </x:c>
      <x:c r="E1733" s="6" t="str">
        <x:v>답변 가능</x:v>
      </x:c>
      <x:c r="F1733" s="6" t="str">
        <x:v>쉬움</x:v>
      </x:c>
      <x:c r="G1733" s="8" t="str">
        <x:v>아르기샷액(L-아스파르트산-L-아르기닌수화물)을 사용하면 어떤 부작용이 생길 수 있나요?</x:v>
      </x:c>
      <x:c r="H1733" s="8" t="str">
        <x:v>e약은요에는 다음과 같은 이상반응이 안내되어 있습니다. 이상증상, 알레르기 반응이 나타나는 경우 복용을 즉각 중지하고 의사 또는 약사와 상의하십시오.</x:v>
      </x:c>
      <x:c r="I1733" s="8" t="str">
        <x:v>이상증상, 알레르기 반응이 나타나는 경우 복용을 즉각 중지하고 의사 또는 약사와 상의하십시오.</x:v>
      </x:c>
      <x:c r="J1733" s="8" t="str">
        <x:v>아르기샷액(L-아스파르트산-L-아르기닌수화물) [품목기준코드 202501015]</x:v>
      </x:c>
      <x:c r="K1733" s="8" t="str">
        <x:v>식품의약품안전처 의약품개요정보(e약은요) OpenAPI
https://apis.data.go.kr/1471000/DrbEasyDrugInfoService/getDrbEasyDrugList</x:v>
      </x:c>
    </x:row>
    <x:row r="1734" ht="62" customHeight="1">
      <x:c r="A1734" s="9" t="n">
        <x:v>1733</x:v>
      </x:c>
      <x:c r="B1734" s="6" t="str">
        <x:v>최종 평가</x:v>
      </x:c>
      <x:c r="C1734" s="6" t="str">
        <x:v>복약</x:v>
      </x:c>
      <x:c r="D1734" s="6" t="str">
        <x:v>증상→대상 구분</x:v>
      </x:c>
      <x:c r="E1734" s="6" t="str">
        <x:v>답변 가능</x:v>
      </x:c>
      <x:c r="F1734" s="6" t="str">
        <x:v>어려움</x:v>
      </x:c>
      <x:c r="G1734" s="8" t="str">
        <x:v>아모릴네일라카(아모롤핀염산염)을 사용한 뒤 발진이 생겼는데, 이 약의 부작용으로 안내되어 있나요?</x:v>
      </x:c>
      <x:c r="H1734" s="8" t="str">
        <x:v>발진은 이 제품의 e약은요 부작용 항목에 기재되어 있습니다. 다만 이 정보만으로 현재 증상의 원인이 해당 약이라고 확정할 수는 없습니다.</x:v>
      </x:c>
      <x:c r="I1734" s="8" t="str">
        <x:v>흔하지 않게 전신알레르기 반응, 드물게 조갑이상, 조갑변색, 조갑파손, 조갑종렬(손발톱세로갈림), 접촉성 피부염, 홍반, 가려움, 발진, 수포가 나타날 수 있습니다.</x:v>
      </x:c>
      <x:c r="J1734" s="8" t="str">
        <x:v>아모릴네일라카(아모롤핀염산염) [품목기준코드 201601572]</x:v>
      </x:c>
      <x:c r="K1734" s="8" t="str">
        <x:v>식품의약품안전처 의약품개요정보(e약은요) OpenAPI
https://apis.data.go.kr/1471000/DrbEasyDrugInfoService/getDrbEasyDrugList</x:v>
      </x:c>
    </x:row>
    <x:row r="1735" ht="62" customHeight="1">
      <x:c r="A1735" s="9" t="n">
        <x:v>1734</x:v>
      </x:c>
      <x:c r="B1735" s="6" t="str">
        <x:v>최종 평가</x:v>
      </x:c>
      <x:c r="C1735" s="6" t="str">
        <x:v>복약</x:v>
      </x:c>
      <x:c r="D1735" s="6" t="str">
        <x:v>상호작용</x:v>
      </x:c>
      <x:c r="E1735" s="6" t="str">
        <x:v>답변 가능</x:v>
      </x:c>
      <x:c r="F1735" s="6" t="str">
        <x:v>쉬움</x:v>
      </x:c>
      <x:c r="G1735" s="8" t="str">
        <x:v>트리스펜8시간이알서방정(아세트아미노펜)과 함께 사용하거나 먹을 때 주의해야 할 약이나 음식이 있나요?</x:v>
      </x:c>
      <x:c r="H1735" s="8" t="str">
        <x:v>다른 소염(항염)진통제, 아세트아미노펜을 포함하는 다른 제품, 바르비탈계 약물, 삼환계 항우울제, 알코올과 함께 이 약을 복용하지 마십시오. 이 약을 복용하기 전에 와파린, 리튬, 티아지드계 이뇨제를 복용한 환자는 의사 또는 약사와 상의하십시오.</x:v>
      </x:c>
      <x:c r="I1735" s="8" t="str">
        <x:v>다른 소염(항염)진통제, 아세트아미노펜을 포함하는 다른 제품, 바르비탈계 약물, 삼환계 항우울제, 알코올과 함께 이 약을 복용하지 마십시오. 이 약을 복용하기 전에 와파린, 리튬, 티아지드계 이뇨제를 복용한 환자는 의사 또는 약사와 상의하십시오.</x:v>
      </x:c>
      <x:c r="J1735" s="8" t="str">
        <x:v>트리스펜8시간이알서방정(아세트아미노펜) [품목기준코드 201707306]</x:v>
      </x:c>
      <x:c r="K1735" s="8" t="str">
        <x:v>식품의약품안전처 의약품개요정보(e약은요) OpenAPI
https://apis.data.go.kr/1471000/DrbEasyDrugInfoService/getDrbEasyDrugList</x:v>
      </x:c>
    </x:row>
    <x:row r="1736" ht="62" customHeight="1">
      <x:c r="A1736" s="9" t="n">
        <x:v>1735</x:v>
      </x:c>
      <x:c r="B1736" s="6" t="str">
        <x:v>최종 평가</x:v>
      </x:c>
      <x:c r="C1736" s="6" t="str">
        <x:v>복약</x:v>
      </x:c>
      <x:c r="D1736" s="6" t="str">
        <x:v>실용·응급대처</x:v>
      </x:c>
      <x:c r="E1736" s="6" t="str">
        <x:v>답변 가능</x:v>
      </x:c>
      <x:c r="F1736" s="6" t="str">
        <x:v>보통</x:v>
      </x:c>
      <x:c r="G1736" s="8" t="str">
        <x:v>신콜에프연질캡슐 사용 후 심한 이상반응이 나타나면 어떻게 해야 하나요?</x:v>
      </x:c>
      <x:c r="H1736" s="8" t="str">
        <x:v>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발진·발적, 가려움, 구역·구토, 식욕부진, 변비, 부종, 배뇨곤란, 목마름(지속적이거나 심한),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급성전신발진고름물집증, 발열, 홍반, 다수의 작은 농포와 같은 중증 피부 이상반응, 천식, 전신의 나른함, 황달, 간질성폐렴(기침을 동반하고, 숨이 차고, 호흡곤란, 발열), 허혈성 대장염의 증상(급격한 복통, 직장 출혈 등)이 나타나는 경우 복용을 즉각 중지하고 의사 또는 약사와 상의하십시오.</x:v>
      </x:c>
      <x:c r="I1736" s="8" t="str">
        <x:v>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발진·발적, 가려움, 구역·구토, 식욕부진, 변비, 부종, 배뇨곤란, 목마름(지속적이거나 심한),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급성전신발진고름물집증, 발열, 홍반, 다수의 작은 농포와 같은 중증 피부 이상반응, 천식, 전신의 나른함, 황달, 간질성폐렴(기침을 동반하고, 숨이 차고, 호흡곤란, 발열), 허혈성 대장염의 증상(급격한 복통, 직장 출혈 등)이 나타나는 경우 복용을 즉각 중지하고 의사 또는 약사와 상의하십시오.</x:v>
      </x:c>
      <x:c r="J1736" s="8" t="str">
        <x:v>신콜에프연질캡슐 [품목기준코드 201803065]</x:v>
      </x:c>
      <x:c r="K1736" s="8" t="str">
        <x:v>식품의약품안전처 의약품개요정보(e약은요) OpenAPI
https://apis.data.go.kr/1471000/DrbEasyDrugInfoService/getDrbEasyDrugList</x:v>
      </x:c>
    </x:row>
    <x:row r="1737" ht="62" customHeight="1">
      <x:c r="A1737" s="9" t="n">
        <x:v>1736</x:v>
      </x:c>
      <x:c r="B1737" s="6" t="str">
        <x:v>최종 평가</x:v>
      </x:c>
      <x:c r="C1737" s="6" t="str">
        <x:v>복약</x:v>
      </x:c>
      <x:c r="D1737" s="6" t="str">
        <x:v>보관·관리</x:v>
      </x:c>
      <x:c r="E1737" s="6" t="str">
        <x:v>답변 가능</x:v>
      </x:c>
      <x:c r="F1737" s="6" t="str">
        <x:v>쉬움</x:v>
      </x:c>
      <x:c r="G1737" s="8" t="str">
        <x:v>후시메드연고(퓨시드산나트륨)은 어떻게 보관해야 하나요?</x:v>
      </x:c>
      <x:c r="H1737" s="8" t="str">
        <x:v>실온에서 보관하십시오.어린이의 손이 닿지 않는 곳에 보관하십시오.</x:v>
      </x:c>
      <x:c r="I1737" s="8" t="str">
        <x:v>실온에서 보관하십시오.어린이의 손이 닿지 않는 곳에 보관하십시오.</x:v>
      </x:c>
      <x:c r="J1737" s="8" t="str">
        <x:v>후시메드연고(퓨시드산나트륨) [품목기준코드 199202640]</x:v>
      </x:c>
      <x:c r="K1737" s="8" t="str">
        <x:v>식품의약품안전처 의약품개요정보(e약은요) OpenAPI
https://apis.data.go.kr/1471000/DrbEasyDrugInfoService/getDrbEasyDrugList</x:v>
      </x:c>
    </x:row>
    <x:row r="1738" ht="62" customHeight="1">
      <x:c r="A1738" s="9" t="n">
        <x:v>1737</x:v>
      </x:c>
      <x:c r="B1738" s="6" t="str">
        <x:v>최종 평가</x:v>
      </x:c>
      <x:c r="C1738" s="6" t="str">
        <x:v>복약</x:v>
      </x:c>
      <x:c r="D1738" s="6" t="str">
        <x:v>답변불가·가격·재고</x:v>
      </x:c>
      <x:c r="E1738" s="6" t="str">
        <x:v>답변 거부</x:v>
      </x:c>
      <x:c r="F1738" s="6" t="str">
        <x:v>어려움</x:v>
      </x:c>
      <x:c r="G1738" s="8" t="str">
        <x:v>오늘 제 주변 약국에서 코비메타비정이 가장 싼 곳과 재고 수량을 알려주세요.</x:v>
      </x:c>
      <x:c r="H1738" s="8" t="str">
        <x:v>제공된 e약은요 VDB에는 실시간 약국별 가격과 재고 정보가 없어 답할 수 없습니다.</x:v>
      </x:c>
      <x:c r="I1738" s="8" t="str">
        <x:v>VDB 범위 밖 질문 — 근거 없음</x:v>
      </x:c>
      <x:c r="J1738" s="8" t="str">
        <x:v>코비메타비정 [품목기준코드 202301812]</x:v>
      </x:c>
      <x:c r="K1738" s="8" t="str">
        <x:v>식품의약품안전처 의약품개요정보(e약은요) OpenAPI
https://apis.data.go.kr/1471000/DrbEasyDrugInfoService/getDrbEasyDrugList</x:v>
      </x:c>
    </x:row>
    <x:row r="1739" ht="62" customHeight="1">
      <x:c r="A1739" s="9" t="n">
        <x:v>1738</x:v>
      </x:c>
      <x:c r="B1739" s="6" t="str">
        <x:v>최종 평가</x:v>
      </x:c>
      <x:c r="C1739" s="6" t="str">
        <x:v>복약</x:v>
      </x:c>
      <x:c r="D1739" s="6" t="str">
        <x:v>용어·정의</x:v>
      </x:c>
      <x:c r="E1739" s="6" t="str">
        <x:v>답변 가능</x:v>
      </x:c>
      <x:c r="F1739" s="6" t="str">
        <x:v>쉬움</x:v>
      </x:c>
      <x:c r="G1739" s="8" t="str">
        <x:v>모이스뷰점안액(트레할로스수화물)(1회용)은 어떤 약인가요?</x:v>
      </x:c>
      <x:c r="H1739" s="8" t="str">
        <x:v>모이스뷰점안액(트레할로스수화물)(1회용)은 (주)휴온스의 의약품으로, e약은요에는 다음과 같이 안내되어 있습니다. 이 약은 바람, 연기, 공해, 먼지, 건조한 열, 에어컨, 항공여행, 장시간 컴퓨터 사용으로 인해 발생하는 눈의 건조(불쾌감, 찌르는듯한 통증, 자극)나 눈의 피로에 사용합니다.</x:v>
      </x:c>
      <x:c r="I1739" s="8" t="str">
        <x:v>제품명: 모이스뷰점안액(트레할로스수화물)(1회용) 업체명: (주)휴온스 효능: 이 약은 바람, 연기, 공해, 먼지, 건조한 열, 에어컨, 항공여행, 장시간 컴퓨터 사용으로 인해 발생하는 눈의 건조(불쾌감, 찌르는듯한 통증, 자극)나 눈의 피로에 사용합니다.</x:v>
      </x:c>
      <x:c r="J1739" s="8" t="str">
        <x:v>모이스뷰점안액(트레할로스수화물)(1회용) [품목기준코드 201405263]</x:v>
      </x:c>
      <x:c r="K1739" s="8" t="str">
        <x:v>식품의약품안전처 의약품개요정보(e약은요) OpenAPI
https://apis.data.go.kr/1471000/DrbEasyDrugInfoService/getDrbEasyDrugList</x:v>
      </x:c>
    </x:row>
    <x:row r="1740" ht="62" customHeight="1">
      <x:c r="A1740" s="9" t="n">
        <x:v>1739</x:v>
      </x:c>
      <x:c r="B1740" s="6" t="str">
        <x:v>최종 평가</x:v>
      </x:c>
      <x:c r="C1740" s="6" t="str">
        <x:v>복약</x:v>
      </x:c>
      <x:c r="D1740" s="6" t="str">
        <x:v>대상별 정보</x:v>
      </x:c>
      <x:c r="E1740" s="6" t="str">
        <x:v>답변 가능</x:v>
      </x:c>
      <x:c r="F1740" s="6" t="str">
        <x:v>쉬움</x:v>
      </x:c>
      <x:c r="G1740" s="8" t="str">
        <x:v>어린이나 소아가 이튼돌플러스캡슐을 사용해도 되나요?</x:v>
      </x:c>
      <x:c r="H1740" s="8" t="str">
        <x:v>e약은요에서 어린이·소아과 관련해 안내한 내용은 다음과 같습니다. 15세 미만 소아는 이 약을 복용하지 마십시오.이 약에 과민증 환자, 화장품 또는 달걀에 과민증(발열, 발진, 관절통, 천식, 가려움 등) 경험자, 알레르기 체질인 사람은 의사 또는 약사와 상의하십시오.정해진 용법과 용량을 잘 지키십시오.</x:v>
      </x:c>
      <x:c r="I1740" s="8" t="str">
        <x:v>15세 미만 소아는 이 약을 복용하지 마십시오.이 약에 과민증 환자, 화장품 또는 달걀에 과민증(발열, 발진, 관절통, 천식, 가려움 등) 경험자, 알레르기 체질인 사람은 의사 또는 약사와 상의하십시오.정해진 용법과 용량을 잘 지키십시오.</x:v>
      </x:c>
      <x:c r="J1740" s="8" t="str">
        <x:v>이튼돌플러스캡슐 [품목기준코드 200905098]</x:v>
      </x:c>
      <x:c r="K1740" s="8" t="str">
        <x:v>식품의약품안전처 의약품개요정보(e약은요) OpenAPI
https://apis.data.go.kr/1471000/DrbEasyDrugInfoService/getDrbEasyDrugList</x:v>
      </x:c>
    </x:row>
    <x:row r="1741" ht="62" customHeight="1">
      <x:c r="A1741" s="9" t="n">
        <x:v>1740</x:v>
      </x:c>
      <x:c r="B1741" s="6" t="str">
        <x:v>최종 평가</x:v>
      </x:c>
      <x:c r="C1741" s="6" t="str">
        <x:v>복약</x:v>
      </x:c>
      <x:c r="D1741" s="6" t="str">
        <x:v>실용·응급대처</x:v>
      </x:c>
      <x:c r="E1741" s="6" t="str">
        <x:v>답변 가능</x:v>
      </x:c>
      <x:c r="F1741" s="6" t="str">
        <x:v>보통</x:v>
      </x:c>
      <x:c r="G1741" s="8" t="str">
        <x:v>타세놀이부연질캡슐400밀리그램(이부프로펜) 사용 후 심한 이상반응이 나타나면 어떻게 해야 하나요?</x:v>
      </x:c>
      <x:c r="H1741" s="8" t="str">
        <x:v>쇽, 아나필락시양 반응, 흉내고민(가슴쓰림), 오한, 호흡곤란, 혈압저하, 헤마토크릿 감소, 헤모글로빈 감소, 빈혈, 재생불량성빈혈, 용혈성빈혈, 무과립구증, 과립구, 백혈구, 혈소판감소, 혈소판 기능 저하, 호산구증가, 소화성궤양, 위장관궤양, 위장출혈, 천공(뚫림), 궤양성 대장염, 혈변, 위염, 췌장(이자)염, 토혈(혈액구토), 크론병, 식욕부진, 구역, 구토, 복통, 소화불량, 설사, 위부불쾌감, 상복부 통증, 구갈, 구내염(입안염), 복부(배부분)팽만감, 구강(입안)궤양, 변비, 흑변, 피부점막안증후군(스티븐스-존슨증후군), 독성표피괴사용해(리엘증후군), 광민감 반응(빈도불명), 빈도불명의 호산구 증가 및 전신 증후군을 동반한 약물 반응(DRESS 증후군), 혈관신경성 부종(부기), 수포성피부염, 다형성 홍반, 반구진 발진, 피부 붉어짐, 수포(물집), 발진, 탈락 피부염, 급성전신발진고름물집증, 간염, 황달, GOT, GPT, 알칼라인 포스파타제(ALP)의 상승 등과 같은 간기능이상, 간장애, 과민증, 천식발작, 두드러기, 습진, 자반(자주색반점), 발진, 가려움증, 천식, 기관지수축, 호흡곤란 또는 쌕쌕거림, 암점(시야불능부위) 등 시각장애, 난청(귀먹음), 이명(귀울림), 미각이상, 현기증(어지러움), 졸음, 어지러움, 우울, 두통, 뇌혈관 사고 또는 신경질, 무균성 수막염 또는 수막염(심한 두통, 구역, 구토, 불면, 목이 뻣뻣함, 발열 또는 의식장애 등의 증상),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안와주위부종(눈주변 부기), 안면부종(얼굴부기), 권태감, 발열, 비출혈(코피), 부종(부기), 말초부종 등이 나타나는 경우 복용을 즉각 중지하고 의사 또는 약사와 상의하십시오.</x:v>
      </x:c>
      <x:c r="I1741" s="8" t="str">
        <x:v>쇽, 아나필락시양 반응, 흉내고민(가슴쓰림), 오한, 호흡곤란, 혈압저하, 헤마토크릿 감소, 헤모글로빈 감소, 빈혈, 재생불량성빈혈, 용혈성빈혈, 무과립구증, 과립구, 백혈구, 혈소판감소, 혈소판 기능 저하, 호산구증가, 소화성궤양, 위장관궤양, 위장출혈, 천공(뚫림), 궤양성 대장염, 혈변, 위염, 췌장(이자)염, 토혈(혈액구토), 크론병, 식욕부진, 구역, 구토, 복통, 소화불량, 설사, 위부불쾌감, 상복부 통증, 구갈, 구내염(입안염), 복부(배부분)팽만감, 구강(입안)궤양, 변비, 흑변, 피부점막안증후군(스티븐스-존슨증후군), 독성표피괴사용해(리엘증후군), 광민감 반응(빈도불명), 빈도불명의 호산구 증가 및 전신 증후군을 동반한 약물 반응(DRESS 증후군), 혈관신경성 부종(부기), 수포성피부염, 다형성 홍반, 반구진 발진, 피부 붉어짐, 수포(물집), 발진, 탈락 피부염, 급성전신발진고름물집증, 간염, 황달, GOT, GPT, 알칼라인 포스파타제(ALP)의 상승 등과 같은 간기능이상, 간장애, 과민증, 천식발작, 두드러기, 습진, 자반(자주색반점), 발진, 가려움증, 천식, 기관지수축, 호흡곤란 또는 쌕쌕거림, 암점(시야불능부위) 등 시각장애, 난청(귀먹음), 이명(귀울림), 미각이상, 현기증(어지러움), 졸음, 어지러움, 우울, 두통, 뇌혈관 사고 또는 신경질, 무균성 수막염 또는 수막염(심한 두통, 구역, 구토, 불면, 목이 뻣뻣함, 발열 또는 의식장애 등의 증상),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안와주위부종(눈주변 부기), 안면부종(얼굴부기), 권태감, 발열, 비출혈(코피), 부종(부기), 말초부종 등이 나타나는 경우 복용을 즉각 중지하고 의사 또는 약사와 상의하십시오.</x:v>
      </x:c>
      <x:c r="J1741" s="8" t="str">
        <x:v>타세놀이부연질캡슐400밀리그램(이부프로펜) [품목기준코드 202301519]</x:v>
      </x:c>
      <x:c r="K1741" s="8" t="str">
        <x:v>식품의약품안전처 의약품개요정보(e약은요) OpenAPI
https://apis.data.go.kr/1471000/DrbEasyDrugInfoService/getDrbEasyDrugList</x:v>
      </x:c>
    </x:row>
    <x:row r="1742" ht="62" customHeight="1">
      <x:c r="A1742" s="9" t="n">
        <x:v>1741</x:v>
      </x:c>
      <x:c r="B1742" s="6" t="str">
        <x:v>최종 평가</x:v>
      </x:c>
      <x:c r="C1742" s="6" t="str">
        <x:v>복약</x:v>
      </x:c>
      <x:c r="D1742" s="6" t="str">
        <x:v>보관·관리</x:v>
      </x:c>
      <x:c r="E1742" s="6" t="str">
        <x:v>답변 가능</x:v>
      </x:c>
      <x:c r="F1742" s="6" t="str">
        <x:v>쉬움</x:v>
      </x:c>
      <x:c r="G1742" s="8" t="str">
        <x:v>더블락캡슐은 어떻게 보관해야 하나요?</x:v>
      </x:c>
      <x:c r="H1742" s="8" t="str">
        <x:v>습기와 빛을 피해 실온에서 보관하십시오.어린이의 손이 닿지 않는 곳에 보관하십시오.</x:v>
      </x:c>
      <x:c r="I1742" s="8" t="str">
        <x:v>습기와 빛을 피해 실온에서 보관하십시오.어린이의 손이 닿지 않는 곳에 보관하십시오.</x:v>
      </x:c>
      <x:c r="J1742" s="8" t="str">
        <x:v>더블락캡슐 [품목기준코드 201109596]</x:v>
      </x:c>
      <x:c r="K1742" s="8" t="str">
        <x:v>식품의약품안전처 의약품개요정보(e약은요) OpenAPI
https://apis.data.go.kr/1471000/DrbEasyDrugInfoService/getDrbEasyDrugList</x:v>
      </x:c>
    </x:row>
    <x:row r="1743" ht="62" customHeight="1">
      <x:c r="A1743" s="9" t="n">
        <x:v>1742</x:v>
      </x:c>
      <x:c r="B1743" s="6" t="str">
        <x:v>최종 평가</x:v>
      </x:c>
      <x:c r="C1743" s="6" t="str">
        <x:v>복약</x:v>
      </x:c>
      <x:c r="D1743" s="6" t="str">
        <x:v>원인·위험요인</x:v>
      </x:c>
      <x:c r="E1743" s="6" t="str">
        <x:v>답변 가능</x:v>
      </x:c>
      <x:c r="F1743" s="6" t="str">
        <x:v>보통</x:v>
      </x:c>
      <x:c r="G1743" s="8" t="str">
        <x:v>하르델연고을 사용하기 전에 특히 조심해야 하는 사람은 누구인가요?</x:v>
      </x:c>
      <x:c r="H1743" s="8" t="str">
        <x:v>이 제품을 사용하기 전에 특히 확인해야 할 대상과 상황은 다음과 같습니다. 이 약 또는 스트렙토마이신, 카나마이신, 겐타마이신, 네오마이신 등 아미노글루코사이드계 항생 물질 또는 바시트라신에 과민증 환자, 피부감염증(피부결핵, 매독, 칸디다증, 백선, 대상포진, 단순포진, 수두, 종두증, 옴, 사면발이), 고막 천공이 있는 습진성 외이도염, 궤양(베체트병 제외), 제2도 심재성 이상의 화상 및 동상, 입주위피부염, 보통여드름, 주사 환자는 이 약을 사용하지 마십시오.눈 또는 눈주위에 사용하지 마십시오.이 약을 사용하기전에 임부 또는 임신하고 있을 가능성이 있는 여성 및 수유부, 유ㆍ소아, 프로필렌글리콜에 과민증 환자 또는 경험자는 의사 또는 약사와 상의하십시오.정해진 용법과 용량을 잘 지키십시오.어린이에게 투여할 경우 보호자의 지도 감독하에 투여하십시오.안과용으로 사용하지 마십시오. 만일 눈에 들어간 경우에는 즉시 물로 씻고, 증상이 심할 경우에는 안과의사의 치료를 받으십시오.화장이나 면도 후 등 치료 이외의 목적으로 사용하지 마십시오.의사의 감독없이 밀봉붕대법을 사용하지 마십시오.</x:v>
      </x:c>
      <x:c r="I1743" s="8" t="str">
        <x:v>이 약 또는 스트렙토마이신, 카나마이신, 겐타마이신, 네오마이신 등 아미노글루코사이드계 항생 물질 또는 바시트라신에 과민증 환자, 피부감염증(피부결핵, 매독, 칸디다증, 백선, 대상포진, 단순포진, 수두, 종두증, 옴, 사면발이), 고막 천공이 있는 습진성 외이도염, 궤양(베체트병 제외), 제2도 심재성 이상의 화상 및 동상, 입주위피부염, 보통여드름, 주사 환자는 이 약을 사용하지 마십시오.눈 또는 눈주위에 사용하지 마십시오.이 약을 사용하기전에 임부 또는 임신하고 있을 가능성이 있는 여성 및 수유부, 유ㆍ소아, 프로필렌글리콜에 과민증 환자 또는 경험자는 의사 또는 약사와 상의하십시오.정해진 용법과 용량을 잘 지키십시오.어린이에게 투여할 경우 보호자의 지도 감독하에 투여하십시오.안과용으로 사용하지 마십시오. 만일 눈에 들어간 경우에는 즉시 물로 씻고, 증상이 심할 경우에는 안과의사의 치료를 받으십시오.화장이나 면도 후 등 치료 이외의 목적으로 사용하지 마십시오.의사의 감독없이 밀봉붕대법을 사용하지 마십시오.</x:v>
      </x:c>
      <x:c r="J1743" s="8" t="str">
        <x:v>하르델연고 [품목기준코드 199101004]</x:v>
      </x:c>
      <x:c r="K1743" s="8" t="str">
        <x:v>식품의약품안전처 의약품개요정보(e약은요) OpenAPI
https://apis.data.go.kr/1471000/DrbEasyDrugInfoService/getDrbEasyDrugList</x:v>
      </x:c>
    </x:row>
    <x:row r="1744" ht="62" customHeight="1">
      <x:c r="A1744" s="9" t="n">
        <x:v>1743</x:v>
      </x:c>
      <x:c r="B1744" s="6" t="str">
        <x:v>최종 평가</x:v>
      </x:c>
      <x:c r="C1744" s="6" t="str">
        <x:v>복약</x:v>
      </x:c>
      <x:c r="D1744" s="6" t="str">
        <x:v>효능·사용목적</x:v>
      </x:c>
      <x:c r="E1744" s="6" t="str">
        <x:v>답변 가능</x:v>
      </x:c>
      <x:c r="F1744" s="6" t="str">
        <x:v>쉬움</x:v>
      </x:c>
      <x:c r="G1744" s="8" t="str">
        <x:v>이지굿정은 어떤 증상이나 질환에 사용하는 약인가요?</x:v>
      </x:c>
      <x:c r="H1744" s="8" t="str">
        <x:v>이 약은 변비와 치질, 복부팽만, 장내이상발효, 머리무거움, 안면홍조, 식욕부진(식욕감퇴)의 완화에 사용합니다.</x:v>
      </x:c>
      <x:c r="I1744" s="8" t="str">
        <x:v>이 약은 변비와 치질, 복부팽만, 장내이상발효, 머리무거움, 안면홍조, 식욕부진(식욕감퇴)의 완화에 사용합니다.</x:v>
      </x:c>
      <x:c r="J1744" s="8" t="str">
        <x:v>이지굿정 [품목기준코드 201701191]</x:v>
      </x:c>
      <x:c r="K1744" s="8" t="str">
        <x:v>식품의약품안전처 의약품개요정보(e약은요) OpenAPI
https://apis.data.go.kr/1471000/DrbEasyDrugInfoService/getDrbEasyDrugList</x:v>
      </x:c>
    </x:row>
    <x:row r="1745" ht="62" customHeight="1">
      <x:c r="A1745" s="9" t="n">
        <x:v>1744</x:v>
      </x:c>
      <x:c r="B1745" s="6" t="str">
        <x:v>최종 평가</x:v>
      </x:c>
      <x:c r="C1745" s="6" t="str">
        <x:v>복약</x:v>
      </x:c>
      <x:c r="D1745" s="6" t="str">
        <x:v>금기·경고</x:v>
      </x:c>
      <x:c r="E1745" s="6" t="str">
        <x:v>답변 가능</x:v>
      </x:c>
      <x:c r="F1745" s="6" t="str">
        <x:v>쉬움</x:v>
      </x:c>
      <x:c r="G1745" s="8" t="str">
        <x:v>에스린정을 사용하면 안 되거나 반드시 확인해야 할 경고사항은 무엇인가요?</x:v>
      </x:c>
      <x:c r="H1745" s="8" t="str">
        <x:v>급성 복부질환(맹장꼬리염, 장출혈, 궤양성 결장염 등), 장폐색(창자막힘) 환자, 만 7세 이하의 어린이는 이 약을 복용하지 마십시오.이 약을 복용하기 전에 심한 복통, 구역, 구토, 임부 또는 임신하고 있을 가능성이 있는 여성, 신장장애, 직장의 출혈 혹은 장부전 경험자는 의사 또는 약사와 상의하십시오.정해진 용법과 용량을 잘 지키십시오.어린이에게 투여할 경우 보호자의 지도 감독하에 투여하십시오.</x:v>
      </x:c>
      <x:c r="I1745" s="8" t="str">
        <x:v>급성 복부질환(맹장꼬리염, 장출혈, 궤양성 결장염 등), 장폐색(창자막힘) 환자, 만 7세 이하의 어린이는 이 약을 복용하지 마십시오.이 약을 복용하기 전에 심한 복통, 구역, 구토, 임부 또는 임신하고 있을 가능성이 있는 여성, 신장장애, 직장의 출혈 혹은 장부전 경험자는 의사 또는 약사와 상의하십시오.정해진 용법과 용량을 잘 지키십시오.어린이에게 투여할 경우 보호자의 지도 감독하에 투여하십시오.</x:v>
      </x:c>
      <x:c r="J1745" s="8" t="str">
        <x:v>에스린정 [품목기준코드 201602500]</x:v>
      </x:c>
      <x:c r="K1745" s="8" t="str">
        <x:v>식품의약품안전처 의약품개요정보(e약은요) OpenAPI
https://apis.data.go.kr/1471000/DrbEasyDrugInfoService/getDrbEasyDrugList</x:v>
      </x:c>
    </x:row>
    <x:row r="1746" ht="62" customHeight="1">
      <x:c r="A1746" s="9" t="n">
        <x:v>1745</x:v>
      </x:c>
      <x:c r="B1746" s="6" t="str">
        <x:v>최종 평가</x:v>
      </x:c>
      <x:c r="C1746" s="6" t="str">
        <x:v>복약</x:v>
      </x:c>
      <x:c r="D1746" s="6" t="str">
        <x:v>답변불가·처방 필요 여부</x:v>
      </x:c>
      <x:c r="E1746" s="6" t="str">
        <x:v>답변 거부</x:v>
      </x:c>
      <x:c r="F1746" s="6" t="str">
        <x:v>어려움</x:v>
      </x:c>
      <x:c r="G1746" s="8" t="str">
        <x:v>코즈굿나잘스프레이은 지금 처방전 없이 살 수 있는지 확정해서 알려주세요.</x:v>
      </x:c>
      <x:c r="H1746" s="8" t="str">
        <x:v>제공된 e약은요 VDB 항목만으로는 현재의 전문·일반의약품 분류와 처방 필요 여부를 확정할 수 없습니다.</x:v>
      </x:c>
      <x:c r="I1746" s="8" t="str">
        <x:v>VDB 범위 밖 질문 — 근거 없음</x:v>
      </x:c>
      <x:c r="J1746" s="8" t="str">
        <x:v>코즈굿나잘스프레이 [품목기준코드 202302903]</x:v>
      </x:c>
      <x:c r="K1746" s="8" t="str">
        <x:v>식품의약품안전처 의약품개요정보(e약은요) OpenAPI
https://apis.data.go.kr/1471000/DrbEasyDrugInfoService/getDrbEasyDrugList</x:v>
      </x:c>
    </x:row>
    <x:row r="1747" ht="62" customHeight="1">
      <x:c r="A1747" s="9" t="n">
        <x:v>1746</x:v>
      </x:c>
      <x:c r="B1747" s="6" t="str">
        <x:v>최종 평가</x:v>
      </x:c>
      <x:c r="C1747" s="6" t="str">
        <x:v>복약</x:v>
      </x:c>
      <x:c r="D1747" s="6" t="str">
        <x:v>답변불가·개인 용량 변경</x:v>
      </x:c>
      <x:c r="E1747" s="6" t="str">
        <x:v>답변 거부</x:v>
      </x:c>
      <x:c r="F1747" s="6" t="str">
        <x:v>어려움</x:v>
      </x:c>
      <x:c r="G1747" s="8" t="str">
        <x:v>광동에너릭정이 잘 듣지 않는데 제 상태에 맞춰 복용량을 얼마나 늘리면 되나요?</x:v>
      </x:c>
      <x:c r="H1747" s="8" t="str">
        <x:v>제공된 e약은요 VDB만으로 개인별 복용량 변경을 결정할 수 없습니다. 임의로 증량하지 말고 의사 또는 약사와 상담해야 합니다.</x:v>
      </x:c>
      <x:c r="I1747" s="8" t="str">
        <x:v>VDB 범위 밖 질문 — 근거 없음</x:v>
      </x:c>
      <x:c r="J1747" s="8" t="str">
        <x:v>광동에너릭정 [품목기준코드 202201218]</x:v>
      </x:c>
      <x:c r="K1747" s="8" t="str">
        <x:v>식품의약품안전처 의약품개요정보(e약은요) OpenAPI
https://apis.data.go.kr/1471000/DrbEasyDrugInfoService/getDrbEasyDrugList</x:v>
      </x:c>
    </x:row>
    <x:row r="1748" ht="62" customHeight="1">
      <x:c r="A1748" s="9" t="n">
        <x:v>1747</x:v>
      </x:c>
      <x:c r="B1748" s="6" t="str">
        <x:v>최종 평가</x:v>
      </x:c>
      <x:c r="C1748" s="6" t="str">
        <x:v>복약</x:v>
      </x:c>
      <x:c r="D1748" s="6" t="str">
        <x:v>용법·용량</x:v>
      </x:c>
      <x:c r="E1748" s="6" t="str">
        <x:v>답변 가능</x:v>
      </x:c>
      <x:c r="F1748" s="6" t="str">
        <x:v>쉬움</x:v>
      </x:c>
      <x:c r="G1748" s="8" t="str">
        <x:v>치클리덴탈페이스트은 어떻게 사용하나요?</x:v>
      </x:c>
      <x:c r="H1748" s="8" t="str">
        <x:v>1회 적량인 약 0.3 g (약 0.5 cm)을 칫솔에 묻혀 1일 2회(아침, 저녁) 잇몸을 마사지합니다.사용 후 물로 가볍게 헹굴 수 있습니다.</x:v>
      </x:c>
      <x:c r="I1748" s="8" t="str">
        <x:v>1회 적량인 약 0.3 g (약 0.5 cm)을 칫솔에 묻혀 1일 2회(아침, 저녁) 잇몸을 마사지합니다.사용 후 물로 가볍게 헹굴 수 있습니다.</x:v>
      </x:c>
      <x:c r="J1748" s="8" t="str">
        <x:v>치클리덴탈페이스트 [품목기준코드 201702024]</x:v>
      </x:c>
      <x:c r="K1748" s="8" t="str">
        <x:v>식품의약품안전처 의약품개요정보(e약은요) OpenAPI
https://apis.data.go.kr/1471000/DrbEasyDrugInfoService/getDrbEasyDrugList</x:v>
      </x:c>
    </x:row>
    <x:row r="1749" ht="62" customHeight="1">
      <x:c r="A1749" s="9" t="n">
        <x:v>1748</x:v>
      </x:c>
      <x:c r="B1749" s="6" t="str">
        <x:v>최종 평가</x:v>
      </x:c>
      <x:c r="C1749" s="6" t="str">
        <x:v>복약</x:v>
      </x:c>
      <x:c r="D1749" s="6" t="str">
        <x:v>용어·정의</x:v>
      </x:c>
      <x:c r="E1749" s="6" t="str">
        <x:v>답변 가능</x:v>
      </x:c>
      <x:c r="F1749" s="6" t="str">
        <x:v>쉬움</x:v>
      </x:c>
      <x:c r="G1749" s="8" t="str">
        <x:v>미니온플라스타은 어떤 약인가요?</x:v>
      </x:c>
      <x:c r="H1749" s="8" t="str">
        <x:v>미니온플라스타은 시믹씨엠오코리아(주)의 의약품으로, e약은요에는 다음과 같이 안내되어 있습니다. 이 약은 요통, 관절통, 근육통, 타박상, 삠, 동창, 골절통, 어깨결림의 진통ㆍ소염에 사용합니다.</x:v>
      </x:c>
      <x:c r="I1749" s="8" t="str">
        <x:v>제품명: 미니온플라스타 업체명: 시믹씨엠오코리아(주) 효능: 이 약은 요통, 관절통, 근육통, 타박상, 삠, 동창, 골절통, 어깨결림의 진통ㆍ소염에 사용합니다.</x:v>
      </x:c>
      <x:c r="J1749" s="8" t="str">
        <x:v>미니온플라스타 [품목기준코드 200907060]</x:v>
      </x:c>
      <x:c r="K1749" s="8" t="str">
        <x:v>식품의약품안전처 의약품개요정보(e약은요) OpenAPI
https://apis.data.go.kr/1471000/DrbEasyDrugInfoService/getDrbEasyDrugList</x:v>
      </x:c>
    </x:row>
    <x:row r="1750" ht="62" customHeight="1">
      <x:c r="A1750" s="9" t="n">
        <x:v>1749</x:v>
      </x:c>
      <x:c r="B1750" s="6" t="str">
        <x:v>최종 평가</x:v>
      </x:c>
      <x:c r="C1750" s="6" t="str">
        <x:v>복약</x:v>
      </x:c>
      <x:c r="D1750" s="6" t="str">
        <x:v>증상·이상반응</x:v>
      </x:c>
      <x:c r="E1750" s="6" t="str">
        <x:v>답변 가능</x:v>
      </x:c>
      <x:c r="F1750" s="6" t="str">
        <x:v>보통</x:v>
      </x:c>
      <x:c r="G1750" s="8" t="str">
        <x:v>알파키연질캡슐1마이크로그램(알파칼시돌)을 사용하면 어떤 부작용이 생길 수 있나요?</x:v>
      </x:c>
      <x:c r="H1750" s="8" t="str">
        <x:v>e약은요에는 다음과 같은 이상반응이 안내되어 있습니다. 소화기계(때때로 식욕부진, 구역, 구토, 설사, 변비, 위통 등의 위장장애, 위부불쾌감, 복부팽만감, 소화불량, 드물게 구갈, 구강내 이화감, 기타 다음·다갈증, 췌장염, 금속성 맛), 정신신경계(때때로 다리근육 경축, 두통, 머리무거움, 불면, 초조감, 무력감, 권태감, 드물게 어지러움, 저림, 졸음, 가슴쓰림, 어깨결림, 노인성 난청, 이명, 기억력·기명력의 감퇴, 현성 정신병, 기타 의식장애, 등통증), 순환기계(때때로 경도의 혈압상승, 드물게 심계항진, 기타 심부정맥), 신장(혈청 칼슘 상승을 수반하는 급성신부전, 때때로 BUN, 크레아티닌의 상승(신기능 저하), 드물게 신장결석, 기타 신석회증), AST, ALT, ALP, 드물게 LDH, GGTP의 상승을 수반하는 간기능장애, 황달, 때때로 가려움, 발진, 드물게 열감, 때때로 결막충혈, 기타 결막염, 각막 석회화, 눈부심, 때때로 관절주위의 석회화(화골형성), 기타 뼈의 통증, 드물게 쉰 목소리, 부종, 기타 체중감소, 배뇨곤란, 다뇨, 야뇨, 전위성 석회화, 근육통, 콧물, 고열, 성욕감퇴, 단백뇨, 고콜레스테롤혈증, 신성 뼈형성장애 환자에서의 고칼슘혈증과 고인산혈증의 악화, 전이석회화, 만성신부전환자에서의 신기능의 쇠퇴, 신부전증 환자의 연조직(각막, 결막, 피부, 혈관, 신장)에서 고칼슘·고인산혈증의 위험, 부갑상선기능항진증 또는 저인산혈증성 비타민저항성 환자에서의 고칼슘혈증 또는 고칼슘뇨증, 전신 맥관석회화, 신석회증 및 다른 연조직석회화 등이 나타나는 경우 복용을 즉각 중지하고 의사 또는 약사와 상의하십시오. 기타 자세한 사항은 허사가항 상세정보를 확인하십시오.</x:v>
      </x:c>
      <x:c r="I1750" s="8" t="str">
        <x:v>소화기계(때때로 식욕부진, 구역, 구토, 설사, 변비, 위통 등의 위장장애, 위부불쾌감, 복부팽만감, 소화불량, 드물게 구갈, 구강내 이화감, 기타 다음·다갈증, 췌장염, 금속성 맛), 정신신경계(때때로 다리근육 경축, 두통, 머리무거움, 불면, 초조감, 무력감, 권태감, 드물게 어지러움, 저림, 졸음, 가슴쓰림, 어깨결림, 노인성 난청, 이명, 기억력·기명력의 감퇴, 현성 정신병, 기타 의식장애, 등통증), 순환기계(때때로 경도의 혈압상승, 드물게 심계항진, 기타 심부정맥), 신장(혈청 칼슘 상승을 수반하는 급성신부전, 때때로 BUN, 크레아티닌의 상승(신기능 저하), 드물게 신장결석, 기타 신석회증), AST, ALT, ALP, 드물게 LDH, GGTP의 상승을 수반하는 간기능장애, 황달, 때때로 가려움, 발진, 드물게 열감, 때때로 결막충혈, 기타 결막염, 각막 석회화, 눈부심, 때때로 관절주위의 석회화(화골형성), 기타 뼈의 통증, 드물게 쉰 목소리, 부종, 기타 체중감소, 배뇨곤란, 다뇨, 야뇨, 전위성 석회화, 근육통, 콧물, 고열, 성욕감퇴, 단백뇨, 고콜레스테롤혈증, 신성 뼈형성장애 환자에서의 고칼슘혈증과 고인산혈증의 악화, 전이석회화, 만성신부전환자에서의 신기능의 쇠퇴, 신부전증 환자의 연조직(각막, 결막, 피부, 혈관, 신장)에서 고칼슘·고인산혈증의 위험, 부갑상선기능항진증 또는 저인산혈증성 비타민저항성 환자에서의 고칼슘혈증 또는 고칼슘뇨증, 전신 맥관석회화, 신석회증 및 다른 연조직석회화 등이 나타나는 경우 복용을 즉각 중지하고 의사 또는 약사와 상의하십시오. 기타 자세한 사항은 허사가항 상세정보를 확인하십시오.</x:v>
      </x:c>
      <x:c r="J1750" s="8" t="str">
        <x:v>알파키연질캡슐1마이크로그램(알파칼시돌) [품목기준코드 202501948]</x:v>
      </x:c>
      <x:c r="K1750" s="8" t="str">
        <x:v>식품의약품안전처 의약품개요정보(e약은요) OpenAPI
https://apis.data.go.kr/1471000/DrbEasyDrugInfoService/getDrbEasyDrugList</x:v>
      </x:c>
    </x:row>
    <x:row r="1751" ht="62" customHeight="1">
      <x:c r="A1751" s="9" t="n">
        <x:v>1750</x:v>
      </x:c>
      <x:c r="B1751" s="6" t="str">
        <x:v>최종 평가</x:v>
      </x:c>
      <x:c r="C1751" s="6" t="str">
        <x:v>복약</x:v>
      </x:c>
      <x:c r="D1751" s="6" t="str">
        <x:v>증상→대상 구분</x:v>
      </x:c>
      <x:c r="E1751" s="6" t="str">
        <x:v>답변 가능</x:v>
      </x:c>
      <x:c r="F1751" s="6" t="str">
        <x:v>어려움</x:v>
      </x:c>
      <x:c r="G1751" s="8" t="str">
        <x:v>액티진맥스정을 사용한 뒤 발진이 생겼는데, 이 약의 부작용으로 안내되어 있나요?</x:v>
      </x:c>
      <x:c r="H1751" s="8" t="str">
        <x:v>발진은 이 제품의 e약은요 부작용 항목에 기재되어 있습니다. 다만 이 정보만으로 현재 증상의 원인이 해당 약이라고 확정할 수는 없습니다.</x:v>
      </x:c>
      <x:c r="I1751" s="8" t="str">
        <x:v>구역, 구토, 설사, 위부불쾌감, 변비, 발진, 발적, 묽은 변, 붉은 반점, 부전수축(심장 박동정지), 중추신경계 기능저하, 피부염, 땀 및 호흡 시 악취, 탈모, 조급증, 위장관 장애, 소화장애, 상복부통증, 저혈압, 폐부종, 생리가 예정보다 빨라지거나 양이 많아지거나 출혈이 오래 지속되는 증상 등이 나타나는 경우 복용을 즉각 중지하고 의사 또는 약사와 상의하십시오.</x:v>
      </x:c>
      <x:c r="J1751" s="8" t="str">
        <x:v>액티진맥스정 [품목기준코드 202107668]</x:v>
      </x:c>
      <x:c r="K1751" s="8" t="str">
        <x:v>식품의약품안전처 의약품개요정보(e약은요) OpenAPI
https://apis.data.go.kr/1471000/DrbEasyDrugInfoService/getDrbEasyDrugList</x:v>
      </x:c>
    </x:row>
    <x:row r="1752" ht="62" customHeight="1">
      <x:c r="A1752" s="9" t="n">
        <x:v>1751</x:v>
      </x:c>
      <x:c r="B1752" s="6" t="str">
        <x:v>최종 평가</x:v>
      </x:c>
      <x:c r="C1752" s="6" t="str">
        <x:v>복약</x:v>
      </x:c>
      <x:c r="D1752" s="6" t="str">
        <x:v>대상별 정보</x:v>
      </x:c>
      <x:c r="E1752" s="6" t="str">
        <x:v>답변 가능</x:v>
      </x:c>
      <x:c r="F1752" s="6" t="str">
        <x:v>쉬움</x:v>
      </x:c>
      <x:c r="G1752" s="8" t="str">
        <x:v>고령자가 알러샷연질캡슐(세티리진염산염)을 사용할 때 주의할 점은 무엇인가요?</x:v>
      </x:c>
      <x:c r="H1752" s="8" t="str">
        <x:v>e약은요에서 고령자·노인과 관련해 안내한 내용은 다음과 같습니다. 이 약을 복용하기 전에 신장애, 간장애 환자, 노인, 뇌전증 및 발작 위험성이 있는 환자, 소변고임의 선행요인(척수 병변, 전립선 비대증)이 있는 환자는 의사 또는 약사와 상의하십시오.</x:v>
      </x:c>
      <x:c r="I1752" s="8" t="str">
        <x:v>이 약을 복용하기 전에 신장애, 간장애 환자, 노인, 뇌전증 및 발작 위험성이 있는 환자, 소변고임의 선행요인(척수 병변, 전립선 비대증)이 있는 환자는 의사 또는 약사와 상의하십시오.</x:v>
      </x:c>
      <x:c r="J1752" s="8" t="str">
        <x:v>알러샷연질캡슐(세티리진염산염) [품목기준코드 200906254]</x:v>
      </x:c>
      <x:c r="K1752" s="8" t="str">
        <x:v>식품의약품안전처 의약품개요정보(e약은요) OpenAPI
https://apis.data.go.kr/1471000/DrbEasyDrugInfoService/getDrbEasyDrugList</x:v>
      </x:c>
    </x:row>
    <x:row r="1753" ht="62" customHeight="1">
      <x:c r="A1753" s="9" t="n">
        <x:v>1752</x:v>
      </x:c>
      <x:c r="B1753" s="6" t="str">
        <x:v>최종 평가</x:v>
      </x:c>
      <x:c r="C1753" s="6" t="str">
        <x:v>복약</x:v>
      </x:c>
      <x:c r="D1753" s="6" t="str">
        <x:v>증상→대상 구분</x:v>
      </x:c>
      <x:c r="E1753" s="6" t="str">
        <x:v>답변 가능</x:v>
      </x:c>
      <x:c r="F1753" s="6" t="str">
        <x:v>어려움</x:v>
      </x:c>
      <x:c r="G1753" s="8" t="str">
        <x:v>트리엘정100밀리그램(트리메부틴말레산염)을 사용한 뒤 발진이 생겼는데, 이 약의 부작용으로 안내되어 있나요?</x:v>
      </x:c>
      <x:c r="H1753" s="8" t="str">
        <x:v>발진은 이 제품의 e약은요 부작용 항목에 기재되어 있습니다. 다만 이 정보만으로 현재 증상의 원인이 해당 약이라고 확정할 수는 없습니다.</x:v>
      </x:c>
      <x:c r="I1753" s="8" t="str">
        <x:v>드물게 변비, 설사, 복명(창자 가스소리), 구역, 구토, 소화장애, 목마름증, 구내마비감, 심계항진(두근거림), 피로감, 졸음, 현기(어지러움), 권태감, 두통, GOT, GPT 상승, 발진 등 나타나는 경우 복용을 즉각 중지하고 의사 또는 약사와 상의하십시오.</x:v>
      </x:c>
      <x:c r="J1753" s="8" t="str">
        <x:v>트리엘정100밀리그램(트리메부틴말레산염) [품목기준코드 202009424]</x:v>
      </x:c>
      <x:c r="K1753" s="8" t="str">
        <x:v>식품의약품안전처 의약품개요정보(e약은요) OpenAPI
https://apis.data.go.kr/1471000/DrbEasyDrugInfoService/getDrbEasyDrugList</x:v>
      </x:c>
    </x:row>
    <x:row r="1754" ht="62" customHeight="1">
      <x:c r="A1754" s="9" t="n">
        <x:v>1753</x:v>
      </x:c>
      <x:c r="B1754" s="6" t="str">
        <x:v>최종 평가</x:v>
      </x:c>
      <x:c r="C1754" s="6" t="str">
        <x:v>복약</x:v>
      </x:c>
      <x:c r="D1754" s="6" t="str">
        <x:v>대상별 정보</x:v>
      </x:c>
      <x:c r="E1754" s="6" t="str">
        <x:v>답변 가능</x:v>
      </x:c>
      <x:c r="F1754" s="6" t="str">
        <x:v>보통</x:v>
      </x:c>
      <x:c r="G1754" s="8" t="str">
        <x:v>임신 또는 수유 중에 바이펜연질캡슐300mg(덱시부프로펜)을 사용해도 되나요?</x:v>
      </x:c>
      <x:c r="H1754" s="8" t="str">
        <x:v>e약은요에서 임신 또는 수유 중인 사람과 관련해 안내한 내용은 다음과 같습니다. 이 약에 과민증 환자, 아스피린이나 다른 비스테로이드성 소염진통제에 천식, 두드러기 또는 알레르기 반응 경험자, 위장관 궤양, 위장관이나 뇌혈관 또는 다른 부위의 출혈, 심한 혈액이상, 심한 간장애, 심한 신장장애, 심한 심장기능부전, 심한 고혈압, 기관지천식 또는 경험자, 관상동맥(심장동맥) 우회로술(CABG) 전후 통증발생 환자, 임신 6개월 이상의 임부, 크론병 또는 궤양성대장염과 같은 염증성장질환 환자, 위장관 출혈 또는 천공(뚫림) 발생 경험자는 이 약을 복용하지 마십시오. 이 약을 복용하기 전에 혈액이상 또는 경험자, 출혈경향이 있는 환자, 간장애 또는 경험자, 신장애 또는 경험자, 체액저류(체액고임) 또는 심부전 환자, 고혈압, 전신성 홍반성 루푸스(SLE) 및 혼합 결합조직질환(MCTD), 고령자, 6세 이상의 어린이, 위암, 알코올중독 환자, 임신 초기·중기의 임부, 임신하고 있을 가능성이 있는 여성, 허혈심장병, 말초동맥질환, 뇌혈관 질환 환자, 심혈관 질환의 위험인자가 있는 환자(예: 고혈압, 고지혈증, 당뇨병, 흡연), 간성 포르피린증이 있는 환자, 혈액부족을 초래한 중대한 외과수술을 받은 환자, 혈액응고장애, 과거 비스테로이드성 소염제로 인한 소화관 궤양이 있는 환자, 황색5호에 과민증 또는 알레르기 반응 경험자는 의사 또는 약사와 상의하십시오.</x:v>
      </x:c>
      <x:c r="I1754" s="8" t="str">
        <x:v>이 약에 과민증 환자, 아스피린이나 다른 비스테로이드성 소염진통제에 천식, 두드러기 또는 알레르기 반응 경험자, 위장관 궤양, 위장관이나 뇌혈관 또는 다른 부위의 출혈, 심한 혈액이상, 심한 간장애, 심한 신장장애, 심한 심장기능부전, 심한 고혈압, 기관지천식 또는 경험자, 관상동맥(심장동맥) 우회로술(CABG) 전후 통증발생 환자, 임신 6개월 이상의 임부, 크론병 또는 궤양성대장염과 같은 염증성장질환 환자, 위장관 출혈 또는 천공(뚫림) 발생 경험자는 이 약을 복용하지 마십시오. 이 약을 복용하기 전에 혈액이상 또는 경험자, 출혈경향이 있는 환자, 간장애 또는 경험자, 신장애 또는 경험자, 체액저류(체액고임) 또는 심부전 환자, 고혈압, 전신성 홍반성 루푸스(SLE) 및 혼합 결합조직질환(MCTD), 고령자, 6세 이상의 어린이, 위암, 알코올중독 환자, 임신 초기·중기의 임부, 임신하고 있을 가능성이 있는 여성, 허혈심장병, 말초동맥질환, 뇌혈관 질환 환자, 심혈관 질환의 위험인자가 있는 환자(예: 고혈압, 고지혈증, 당뇨병, 흡연), 간성 포르피린증이 있는 환자, 혈액부족을 초래한 중대한 외과수술을 받은 환자, 혈액응고장애, 과거 비스테로이드성 소염제로 인한 소화관 궤양이 있는 환자, 황색5호에 과민증 또는 알레르기 반응 경험자는 의사 또는 약사와 상의하십시오.</x:v>
      </x:c>
      <x:c r="J1754" s="8" t="str">
        <x:v>바이펜연질캡슐300mg(덱시부프로펜) [품목기준코드 201802592]</x:v>
      </x:c>
      <x:c r="K1754" s="8" t="str">
        <x:v>식품의약품안전처 의약품개요정보(e약은요) OpenAPI
https://apis.data.go.kr/1471000/DrbEasyDrugInfoService/getDrbEasyDrugList</x:v>
      </x:c>
    </x:row>
    <x:row r="1755" ht="62" customHeight="1">
      <x:c r="A1755" s="9" t="n">
        <x:v>1754</x:v>
      </x:c>
      <x:c r="B1755" s="6" t="str">
        <x:v>최종 평가</x:v>
      </x:c>
      <x:c r="C1755" s="6" t="str">
        <x:v>복약</x:v>
      </x:c>
      <x:c r="D1755" s="6" t="str">
        <x:v>보관·관리</x:v>
      </x:c>
      <x:c r="E1755" s="6" t="str">
        <x:v>답변 가능</x:v>
      </x:c>
      <x:c r="F1755" s="6" t="str">
        <x:v>쉬움</x:v>
      </x:c>
      <x:c r="G1755" s="8" t="str">
        <x:v>제뉴원트리메부틴말레산염정은 어떻게 보관해야 하나요?</x:v>
      </x:c>
      <x:c r="H1755" s="8" t="str">
        <x:v>습기와 빛을 피해 실온에서 보관하십시오.어린이의 손이 닿지 않는 곳에 보관하십시오.</x:v>
      </x:c>
      <x:c r="I1755" s="8" t="str">
        <x:v>습기와 빛을 피해 실온에서 보관하십시오.어린이의 손이 닿지 않는 곳에 보관하십시오.</x:v>
      </x:c>
      <x:c r="J1755" s="8" t="str">
        <x:v>제뉴원트리메부틴말레산염정 [품목기준코드 200404692]</x:v>
      </x:c>
      <x:c r="K1755" s="8" t="str">
        <x:v>식품의약품안전처 의약품개요정보(e약은요) OpenAPI
https://apis.data.go.kr/1471000/DrbEasyDrugInfoService/getDrbEasyDrugList</x:v>
      </x:c>
    </x:row>
    <x:row r="1756" ht="62" customHeight="1">
      <x:c r="A1756" s="9" t="n">
        <x:v>1755</x:v>
      </x:c>
      <x:c r="B1756" s="6" t="str">
        <x:v>최종 평가</x:v>
      </x:c>
      <x:c r="C1756" s="6" t="str">
        <x:v>복약</x:v>
      </x:c>
      <x:c r="D1756" s="6" t="str">
        <x:v>증상·이상반응</x:v>
      </x:c>
      <x:c r="E1756" s="6" t="str">
        <x:v>답변 가능</x:v>
      </x:c>
      <x:c r="F1756" s="6" t="str">
        <x:v>쉬움</x:v>
      </x:c>
      <x:c r="G1756" s="8" t="str">
        <x:v>더블비정을 사용하면 어떤 부작용이 생길 수 있나요?</x:v>
      </x:c>
      <x:c r="H1756" s="8" t="str">
        <x:v>e약은요에는 다음과 같은 이상반응이 안내되어 있습니다. 구역, 구토, 설사, 위부불쾌감, 변비, 발진, 발적, 묽은 변, 식욕부진, 복부팽만감, 붉은 반점, 부전수축(심장박동정지), 중추신경계 기능저하, 피부염, 땀·호흡시 악취, 탈모, 조급증, 위장관장애, 소화장애, 상복부통증, 저혈압, 폐부종, 생리가 예정보다 빨라지거나 양이 많아지거나 출혈이 오래 지속되는 증상 등이 나타나는 경우, 폴산이 부족한 환자의 경우 복용을 즉각 중지하고 의사 또는 약사와 상의하십시오.</x:v>
      </x:c>
      <x:c r="I1756" s="8" t="str">
        <x:v>구역, 구토, 설사, 위부불쾌감, 변비, 발진, 발적, 묽은 변, 식욕부진, 복부팽만감, 붉은 반점, 부전수축(심장박동정지), 중추신경계 기능저하, 피부염, 땀·호흡시 악취, 탈모, 조급증, 위장관장애, 소화장애, 상복부통증, 저혈압, 폐부종, 생리가 예정보다 빨라지거나 양이 많아지거나 출혈이 오래 지속되는 증상 등이 나타나는 경우, 폴산이 부족한 환자의 경우 복용을 즉각 중지하고 의사 또는 약사와 상의하십시오.</x:v>
      </x:c>
      <x:c r="J1756" s="8" t="str">
        <x:v>더블비정 [품목기준코드 202106445]</x:v>
      </x:c>
      <x:c r="K1756" s="8" t="str">
        <x:v>식품의약품안전처 의약품개요정보(e약은요) OpenAPI
https://apis.data.go.kr/1471000/DrbEasyDrugInfoService/getDrbEasyDrugList</x:v>
      </x:c>
    </x:row>
    <x:row r="1757" ht="62" customHeight="1">
      <x:c r="A1757" s="9" t="n">
        <x:v>1756</x:v>
      </x:c>
      <x:c r="B1757" s="6" t="str">
        <x:v>최종 평가</x:v>
      </x:c>
      <x:c r="C1757" s="6" t="str">
        <x:v>복약</x:v>
      </x:c>
      <x:c r="D1757" s="6" t="str">
        <x:v>실용·응급대처</x:v>
      </x:c>
      <x:c r="E1757" s="6" t="str">
        <x:v>답변 가능</x:v>
      </x:c>
      <x:c r="F1757" s="6" t="str">
        <x:v>보통</x:v>
      </x:c>
      <x:c r="G1757" s="8" t="str">
        <x:v>비라밸정 사용 후 심한 이상반응이 나타나면 어떻게 해야 하나요?</x:v>
      </x:c>
      <x:c r="H1757" s="8" t="str">
        <x:v>구역, 구토, 설사, 묽은 변, 식욕부진, 복부팽만감, 변비, 저혈압, 얼굴달아오름, 심박동불규칙, 피부발진, 붉은 반점, 부전수축(심장박동정지), 중추신경계 기능저하, 피부염, 땀ㆍ호흡시 악취, 탈모, 조급증, 위장관장애, 소화장애, 상복부통증, 폐부종 등이 나타나는 경우 복용을 즉각 중지하고 의사 또는 약사와 상의하십시오.</x:v>
      </x:c>
      <x:c r="I1757" s="8" t="str">
        <x:v>구역, 구토, 설사, 묽은 변, 식욕부진, 복부팽만감, 변비, 저혈압, 얼굴달아오름, 심박동불규칙, 피부발진, 붉은 반점, 부전수축(심장박동정지), 중추신경계 기능저하, 피부염, 땀ㆍ호흡시 악취, 탈모, 조급증, 위장관장애, 소화장애, 상복부통증, 폐부종 등이 나타나는 경우 복용을 즉각 중지하고 의사 또는 약사와 상의하십시오.</x:v>
      </x:c>
      <x:c r="J1757" s="8" t="str">
        <x:v>비라밸정 [품목기준코드 201901492]</x:v>
      </x:c>
      <x:c r="K1757" s="8" t="str">
        <x:v>식품의약품안전처 의약품개요정보(e약은요) OpenAPI
https://apis.data.go.kr/1471000/DrbEasyDrugInfoService/getDrbEasyDrugList</x:v>
      </x:c>
    </x:row>
    <x:row r="1758" ht="62" customHeight="1">
      <x:c r="A1758" s="9" t="n">
        <x:v>1757</x:v>
      </x:c>
      <x:c r="B1758" s="6" t="str">
        <x:v>최종 평가</x:v>
      </x:c>
      <x:c r="C1758" s="6" t="str">
        <x:v>복약</x:v>
      </x:c>
      <x:c r="D1758" s="6" t="str">
        <x:v>상호작용</x:v>
      </x:c>
      <x:c r="E1758" s="6" t="str">
        <x:v>답변 가능</x:v>
      </x:c>
      <x:c r="F1758" s="6" t="str">
        <x:v>쉬움</x:v>
      </x:c>
      <x:c r="G1758" s="8" t="str">
        <x:v>에너프레쉬액(L-아스파르트산-L-아르기닌수화물)과 함께 사용하거나 먹을 때 주의해야 할 약이나 음식이 있나요?</x:v>
      </x:c>
      <x:c r="H1758" s="8" t="str">
        <x:v>이 약을 복용하는 동안 항정신병약, 수면제를 함께 복용하지 마십시오.</x:v>
      </x:c>
      <x:c r="I1758" s="8" t="str">
        <x:v>이 약을 복용하는 동안 항정신병약, 수면제를 함께 복용하지 마십시오.</x:v>
      </x:c>
      <x:c r="J1758" s="8" t="str">
        <x:v>에너프레쉬액(L-아스파르트산-L-아르기닌수화물) [품목기준코드 201707395]</x:v>
      </x:c>
      <x:c r="K1758" s="8" t="str">
        <x:v>식품의약품안전처 의약품개요정보(e약은요) OpenAPI
https://apis.data.go.kr/1471000/DrbEasyDrugInfoService/getDrbEasyDrugList</x:v>
      </x:c>
    </x:row>
    <x:row r="1759" ht="62" customHeight="1">
      <x:c r="A1759" s="9" t="n">
        <x:v>1758</x:v>
      </x:c>
      <x:c r="B1759" s="6" t="str">
        <x:v>최종 평가</x:v>
      </x:c>
      <x:c r="C1759" s="6" t="str">
        <x:v>복약</x:v>
      </x:c>
      <x:c r="D1759" s="6" t="str">
        <x:v>실용·응급대처</x:v>
      </x:c>
      <x:c r="E1759" s="6" t="str">
        <x:v>답변 가능</x:v>
      </x:c>
      <x:c r="F1759" s="6" t="str">
        <x:v>보통</x:v>
      </x:c>
      <x:c r="G1759" s="8" t="str">
        <x:v>파비안에스정 사용 후 심한 이상반응이 나타나면 어떻게 해야 하나요?</x:v>
      </x:c>
      <x:c r="H1759" s="8" t="str">
        <x:v>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부종,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황색4호 과민증 또는 알레르기 반응 경험자는 의사 또는 약사와 상의하십시오. 발진·발적(충혈되어 붉어짐), 가려움, 구역·구토, 식욕부진, 변비, 어지러움, 불안, 떨림, 불면, 고음이온차 대사성 산증, 드물게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x:v>
      </x:c>
      <x:c r="I1759" s="8" t="str">
        <x:v>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부종,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황색4호 과민증 또는 알레르기 반응 경험자는 의사 또는 약사와 상의하십시오. 발진·발적(충혈되어 붉어짐), 가려움, 구역·구토, 식욕부진, 변비, 어지러움, 불안, 떨림, 불면, 고음이온차 대사성 산증, 드물게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x:v>
      </x:c>
      <x:c r="J1759" s="8" t="str">
        <x:v>파비안에스정 [품목기준코드 201206882]</x:v>
      </x:c>
      <x:c r="K1759" s="8" t="str">
        <x:v>식품의약품안전처 의약품개요정보(e약은요) OpenAPI
https://apis.data.go.kr/1471000/DrbEasyDrugInfoService/getDrbEasyDrugList</x:v>
      </x:c>
    </x:row>
    <x:row r="1760" ht="62" customHeight="1">
      <x:c r="A1760" s="9" t="n">
        <x:v>1759</x:v>
      </x:c>
      <x:c r="B1760" s="6" t="str">
        <x:v>최종 평가</x:v>
      </x:c>
      <x:c r="C1760" s="6" t="str">
        <x:v>복약</x:v>
      </x:c>
      <x:c r="D1760" s="6" t="str">
        <x:v>금기·경고</x:v>
      </x:c>
      <x:c r="E1760" s="6" t="str">
        <x:v>답변 가능</x:v>
      </x:c>
      <x:c r="F1760" s="6" t="str">
        <x:v>쉬움</x:v>
      </x:c>
      <x:c r="G1760" s="8" t="str">
        <x:v>더마그램피디알엔크림(폴리데옥시리보뉴클레오티드나트륨)을 사용하면 안 되거나 반드시 확인해야 할 경고사항은 무엇인가요?</x:v>
      </x:c>
      <x:c r="H1760" s="8" t="str">
        <x:v>이 약을 사용하기 전에 이 약에 과민증의 경험자는 의사 또는 약사와 상의하십시오.</x:v>
      </x:c>
      <x:c r="I1760" s="8" t="str">
        <x:v>이 약을 사용하기 전에 이 약에 과민증의 경험자는 의사 또는 약사와 상의하십시오.</x:v>
      </x:c>
      <x:c r="J1760" s="8" t="str">
        <x:v>더마그램피디알엔크림(폴리데옥시리보뉴클레오티드나트륨) [품목기준코드 202502554]</x:v>
      </x:c>
      <x:c r="K1760" s="8" t="str">
        <x:v>식품의약품안전처 의약품개요정보(e약은요) OpenAPI
https://apis.data.go.kr/1471000/DrbEasyDrugInfoService/getDrbEasyDrugList</x:v>
      </x:c>
    </x:row>
    <x:row r="1761" ht="62" customHeight="1">
      <x:c r="A1761" s="9" t="n">
        <x:v>1760</x:v>
      </x:c>
      <x:c r="B1761" s="6" t="str">
        <x:v>최종 평가</x:v>
      </x:c>
      <x:c r="C1761" s="6" t="str">
        <x:v>복약</x:v>
      </x:c>
      <x:c r="D1761" s="6" t="str">
        <x:v>용법·용량</x:v>
      </x:c>
      <x:c r="E1761" s="6" t="str">
        <x:v>답변 가능</x:v>
      </x:c>
      <x:c r="F1761" s="6" t="str">
        <x:v>쉬움</x:v>
      </x:c>
      <x:c r="G1761" s="8" t="str">
        <x:v>시원타조아나잘스프레이(옥시메타졸린염산염)은 어떻게 사용하나요?</x:v>
      </x:c>
      <x:c r="H1761" s="8" t="str">
        <x:v>성인 및 만 7세 이상은 1회 2번씩, 1일 6회의 범위 내에서, 만 2세 이상~만 7세 미만은 1회 1번씩, 1일 6회의 범위 내에서 양쪽 비강(코안)에 적용하십시오. 적용간격은 3시간 이상으로 하십시오. 연령, 증상에 따라 적절히 증감하십시오.</x:v>
      </x:c>
      <x:c r="I1761" s="8" t="str">
        <x:v>성인 및 만 7세 이상은 1회 2번씩, 1일 6회의 범위 내에서, 만 2세 이상~만 7세 미만은 1회 1번씩, 1일 6회의 범위 내에서 양쪽 비강(코안)에 적용하십시오. 적용간격은 3시간 이상으로 하십시오. 연령, 증상에 따라 적절히 증감하십시오.</x:v>
      </x:c>
      <x:c r="J1761" s="8" t="str">
        <x:v>시원타조아나잘스프레이(옥시메타졸린염산염) [품목기준코드 201405694]</x:v>
      </x:c>
      <x:c r="K1761" s="8" t="str">
        <x:v>식품의약품안전처 의약품개요정보(e약은요) OpenAPI
https://apis.data.go.kr/1471000/DrbEasyDrugInfoService/getDrbEasyDrugList</x:v>
      </x:c>
    </x:row>
    <x:row r="1762" ht="62" customHeight="1">
      <x:c r="A1762" s="9" t="n">
        <x:v>1761</x:v>
      </x:c>
      <x:c r="B1762" s="6" t="str">
        <x:v>최종 평가</x:v>
      </x:c>
      <x:c r="C1762" s="6" t="str">
        <x:v>복약</x:v>
      </x:c>
      <x:c r="D1762" s="6" t="str">
        <x:v>원인·위험요인</x:v>
      </x:c>
      <x:c r="E1762" s="6" t="str">
        <x:v>답변 가능</x:v>
      </x:c>
      <x:c r="F1762" s="6" t="str">
        <x:v>보통</x:v>
      </x:c>
      <x:c r="G1762" s="8" t="str">
        <x:v>물린디쿨액을 사용하기 전에 특히 조심해야 하는 사람은 누구인가요?</x:v>
      </x:c>
      <x:c r="H1762" s="8" t="str">
        <x:v>이 제품을 사용하기 전에 특히 확인해야 할 대상과 상황은 다음과 같습니다. 30개월 이하의 유아, 눈 또는 눈주위, 점막 등, 습진, 상처부위, 민감한 피부에는 이 약을 사용하지 마십시오. 이 약을 사용하기 전에 약이나 화장품에 의한 알레르기 증상(발진·발적(충혈되어 붉어짐), 가려움, 옻 등에 의한 피부염 등) 경험자, 알레르기 체질, 습윤(습기 참)이나 짓무름, 염증이 심한 사람, 소아, 순환기 장애 또는 당뇨병 환자, 임부 또는 임신하고 있을 가능성이 있는 여성, 수유부는 의사 또는 약사와 상의하십시오. 벗겨진 피부 표면 또는 물집이 있는 부위에 다량 사용하지 마십시오. 5~6일 정도 사용하여도 증상의 개선이 없을 경우 사용을 즉각 중지하고 의사 또는 약사와 상의하십시오. 어린이에게 투여할 경우 보호자의 지도 감독하에 투여하십시오.</x:v>
      </x:c>
      <x:c r="I1762" s="8" t="str">
        <x:v>30개월 이하의 유아, 눈 또는 눈주위, 점막 등, 습진, 상처부위, 민감한 피부에는 이 약을 사용하지 마십시오. 이 약을 사용하기 전에 약이나 화장품에 의한 알레르기 증상(발진·발적(충혈되어 붉어짐), 가려움, 옻 등에 의한 피부염 등) 경험자, 알레르기 체질, 습윤(습기 참)이나 짓무름, 염증이 심한 사람, 소아, 순환기 장애 또는 당뇨병 환자, 임부 또는 임신하고 있을 가능성이 있는 여성, 수유부는 의사 또는 약사와 상의하십시오. 벗겨진 피부 표면 또는 물집이 있는 부위에 다량 사용하지 마십시오. 5~6일 정도 사용하여도 증상의 개선이 없을 경우 사용을 즉각 중지하고 의사 또는 약사와 상의하십시오. 어린이에게 투여할 경우 보호자의 지도 감독하에 투여하십시오.</x:v>
      </x:c>
      <x:c r="J1762" s="8" t="str">
        <x:v>물린디쿨액 [품목기준코드 202200584]</x:v>
      </x:c>
      <x:c r="K1762" s="8" t="str">
        <x:v>식품의약품안전처 의약품개요정보(e약은요) OpenAPI
https://apis.data.go.kr/1471000/DrbEasyDrugInfoService/getDrbEasyDrugList</x:v>
      </x:c>
    </x:row>
    <x:row r="1763" ht="62" customHeight="1">
      <x:c r="A1763" s="9" t="n">
        <x:v>1762</x:v>
      </x:c>
      <x:c r="B1763" s="6" t="str">
        <x:v>최종 평가</x:v>
      </x:c>
      <x:c r="C1763" s="6" t="str">
        <x:v>복약</x:v>
      </x:c>
      <x:c r="D1763" s="6" t="str">
        <x:v>증상·이상반응</x:v>
      </x:c>
      <x:c r="E1763" s="6" t="str">
        <x:v>답변 가능</x:v>
      </x:c>
      <x:c r="F1763" s="6" t="str">
        <x:v>쉬움</x:v>
      </x:c>
      <x:c r="G1763" s="8" t="str">
        <x:v>카네마졸질정100mg(클로트리마졸)을 사용하면 어떤 부작용이 생길 수 있나요?</x:v>
      </x:c>
      <x:c r="H1763" s="8" t="str">
        <x:v>e약은요에는 다음과 같은 이상반응이 안내되어 있습니다. 아나필락시스, 맥관(혈관) 부종, 과민(증), 실신, 저혈압, 호흡 곤란, 복통, 오심(구역), 발진, 담마진(두드러기), 소양증, 질 박리(벗겨짐), 질 분비물, 질 출혈, 외음질 불편감, 외음질 홍반(붉은 반점), 외음질 작열감(화끈감), 외음질 소양증, 외음질 통증, 적용 부위 자극, 부종(부기), 통증, 38 ˚C 이상의 고열, 하복부 통증, 요통, 악취가 나는 질분비물, 오심, 질 출혈 및 관련된 어깨 통증 등이 나타나는 경우 사용을 즉각 중지하고 의사 또는 약사와 상의하십시오.</x:v>
      </x:c>
      <x:c r="I1763" s="8" t="str">
        <x:v>아나필락시스, 맥관(혈관) 부종, 과민(증), 실신, 저혈압, 호흡 곤란, 복통, 오심(구역), 발진, 담마진(두드러기), 소양증, 질 박리(벗겨짐), 질 분비물, 질 출혈, 외음질 불편감, 외음질 홍반(붉은 반점), 외음질 작열감(화끈감), 외음질 소양증, 외음질 통증, 적용 부위 자극, 부종(부기), 통증, 38 ˚C 이상의 고열, 하복부 통증, 요통, 악취가 나는 질분비물, 오심, 질 출혈 및 관련된 어깨 통증 등이 나타나는 경우 사용을 즉각 중지하고 의사 또는 약사와 상의하십시오.</x:v>
      </x:c>
      <x:c r="J1763" s="8" t="str">
        <x:v>카네마졸질정100mg(클로트리마졸) [품목기준코드 199600201]</x:v>
      </x:c>
      <x:c r="K1763" s="8" t="str">
        <x:v>식품의약품안전처 의약품개요정보(e약은요) OpenAPI
https://apis.data.go.kr/1471000/DrbEasyDrugInfoService/getDrbEasyDrugList</x:v>
      </x:c>
    </x:row>
    <x:row r="1764" ht="62" customHeight="1">
      <x:c r="A1764" s="9" t="n">
        <x:v>1763</x:v>
      </x:c>
      <x:c r="B1764" s="6" t="str">
        <x:v>최종 평가</x:v>
      </x:c>
      <x:c r="C1764" s="6" t="str">
        <x:v>복약</x:v>
      </x:c>
      <x:c r="D1764" s="6" t="str">
        <x:v>증상·이상반응</x:v>
      </x:c>
      <x:c r="E1764" s="6" t="str">
        <x:v>답변 가능</x:v>
      </x:c>
      <x:c r="F1764" s="6" t="str">
        <x:v>보통</x:v>
      </x:c>
      <x:c r="G1764" s="8" t="str">
        <x:v>파모윈정(파모티딘)을 사용하면 어떤 부작용이 생길 수 있나요?</x:v>
      </x:c>
      <x:c r="H1764" s="8" t="str">
        <x:v>e약은요에는 다음과 같은 이상반응이 안내되어 있습니다. 쇽, 아나필락시스, 호흡곤란, 전신홍조(온몸이 붉어짐), 안면부종(얼굴부기), 인두부종(부기), 두드러기, 백혈구, 적혈구, 혈소판, 호산구 감소, 빈혈, 지혈지연, 피부점막안증후군, 표피괴사증, 발진, 두드러기(홍반), 간기능 이상, AST(GOT)ㆍALT(GPT) 등의 상승, 총빌리루빈ㆍLDH 상승, 황달, 간염, 근육통, 횡문근융해증, 관절통, 근육경련, 서맥(느린맥), 빈맥(빠른맥), 가슴 통증, 혈압상승, 안면홍조, 이명(귀울림), 의식장애, 경련, 전신권태감, 두통, 졸음, 불면, 환각, 초조, 흥분, 성욕감퇴, 감각이상, 두중감(머리 무거움), 혼돈, 우울, 어지러움, 변비, 설사, 구갈, 구역구토, 복부 팽만감, 식욕부진, 구내염(입안염), 간질성 신염(신장염), 급성 신부전, 발열, 신기능 검사치 이상(BUNㆍ크레아티닌 상승 등), 월경불순, 고열, 기침, 호흡곤란 및 흉부 X-ray 이상을 동반한 간질성 폐렴, 기관지 경련, 여성형 유방, 미각 이상이 나타나는 경우 복용을 즉각 중지하고 의사 또는 약사와 상의하십시오.</x:v>
      </x:c>
      <x:c r="I1764" s="8" t="str">
        <x:v>쇽, 아나필락시스, 호흡곤란, 전신홍조(온몸이 붉어짐), 안면부종(얼굴부기), 인두부종(부기), 두드러기, 백혈구, 적혈구, 혈소판, 호산구 감소, 빈혈, 지혈지연, 피부점막안증후군, 표피괴사증, 발진, 두드러기(홍반), 간기능 이상, AST(GOT)ㆍALT(GPT) 등의 상승, 총빌리루빈ㆍLDH 상승, 황달, 간염, 근육통, 횡문근융해증, 관절통, 근육경련, 서맥(느린맥), 빈맥(빠른맥), 가슴 통증, 혈압상승, 안면홍조, 이명(귀울림), 의식장애, 경련, 전신권태감, 두통, 졸음, 불면, 환각, 초조, 흥분, 성욕감퇴, 감각이상, 두중감(머리 무거움), 혼돈, 우울, 어지러움, 변비, 설사, 구갈, 구역구토, 복부 팽만감, 식욕부진, 구내염(입안염), 간질성 신염(신장염), 급성 신부전, 발열, 신기능 검사치 이상(BUNㆍ크레아티닌 상승 등), 월경불순, 고열, 기침, 호흡곤란 및 흉부 X-ray 이상을 동반한 간질성 폐렴, 기관지 경련, 여성형 유방, 미각 이상이 나타나는 경우 복용을 즉각 중지하고 의사 또는 약사와 상의하십시오.</x:v>
      </x:c>
      <x:c r="J1764" s="8" t="str">
        <x:v>파모윈정(파모티딘) [품목기준코드 202003411]</x:v>
      </x:c>
      <x:c r="K1764" s="8" t="str">
        <x:v>식품의약품안전처 의약품개요정보(e약은요) OpenAPI
https://apis.data.go.kr/1471000/DrbEasyDrugInfoService/getDrbEasyDrugList</x:v>
      </x:c>
    </x:row>
    <x:row r="1765" ht="62" customHeight="1">
      <x:c r="A1765" s="9" t="n">
        <x:v>1764</x:v>
      </x:c>
      <x:c r="B1765" s="6" t="str">
        <x:v>최종 평가</x:v>
      </x:c>
      <x:c r="C1765" s="6" t="str">
        <x:v>복약</x:v>
      </x:c>
      <x:c r="D1765" s="6" t="str">
        <x:v>증상→대상 구분</x:v>
      </x:c>
      <x:c r="E1765" s="6" t="str">
        <x:v>답변 가능</x:v>
      </x:c>
      <x:c r="F1765" s="6" t="str">
        <x:v>어려움</x:v>
      </x:c>
      <x:c r="G1765" s="8" t="str">
        <x:v>유한비타민씨디정을 사용한 뒤 구역이 생겼는데, 이 약의 부작용으로 안내되어 있나요?</x:v>
      </x:c>
      <x:c r="H1765" s="8" t="str">
        <x:v>구역은 이 제품의 e약은요 부작용 항목에 기재되어 있습니다. 다만 이 정보만으로 현재 증상의 원인이 해당 약이라고 확정할 수는 없습니다.</x:v>
      </x:c>
      <x:c r="I1765" s="8" t="str">
        <x:v>구역, 구토, 설사 등이 나타나는 경우 복용을 즉각 중지하고 의사 또는 약사와 상의하십시오.</x:v>
      </x:c>
      <x:c r="J1765" s="8" t="str">
        <x:v>유한비타민씨디정 [품목기준코드 201907572]</x:v>
      </x:c>
      <x:c r="K1765" s="8" t="str">
        <x:v>식품의약품안전처 의약품개요정보(e약은요) OpenAPI
https://apis.data.go.kr/1471000/DrbEasyDrugInfoService/getDrbEasyDrugList</x:v>
      </x:c>
    </x:row>
    <x:row r="1766" ht="62" customHeight="1">
      <x:c r="A1766" s="9" t="n">
        <x:v>1765</x:v>
      </x:c>
      <x:c r="B1766" s="6" t="str">
        <x:v>최종 평가</x:v>
      </x:c>
      <x:c r="C1766" s="6" t="str">
        <x:v>복약</x:v>
      </x:c>
      <x:c r="D1766" s="6" t="str">
        <x:v>효능·사용목적</x:v>
      </x:c>
      <x:c r="E1766" s="6" t="str">
        <x:v>답변 가능</x:v>
      </x:c>
      <x:c r="F1766" s="6" t="str">
        <x:v>쉬움</x:v>
      </x:c>
      <x:c r="G1766" s="8" t="str">
        <x:v>다펜나이트연질캡슐은 어떤 증상이나 질환에 사용하는 약인가요?</x:v>
      </x:c>
      <x:c r="H1766" s="8" t="str">
        <x:v>이 약은 통증으로 인한 일시적인 불면을 동반하는 급성 야간 통증에 사용합니다.</x:v>
      </x:c>
      <x:c r="I1766" s="8" t="str">
        <x:v>이 약은 통증으로 인한 일시적인 불면을 동반하는 급성 야간 통증에 사용합니다.</x:v>
      </x:c>
      <x:c r="J1766" s="8" t="str">
        <x:v>다펜나이트연질캡슐 [품목기준코드 202303276]</x:v>
      </x:c>
      <x:c r="K1766" s="8" t="str">
        <x:v>식품의약품안전처 의약품개요정보(e약은요) OpenAPI
https://apis.data.go.kr/1471000/DrbEasyDrugInfoService/getDrbEasyDrugList</x:v>
      </x:c>
    </x:row>
    <x:row r="1767" ht="62" customHeight="1">
      <x:c r="A1767" s="9" t="n">
        <x:v>1766</x:v>
      </x:c>
      <x:c r="B1767" s="6" t="str">
        <x:v>최종 평가</x:v>
      </x:c>
      <x:c r="C1767" s="6" t="str">
        <x:v>복약</x:v>
      </x:c>
      <x:c r="D1767" s="6" t="str">
        <x:v>상호작용</x:v>
      </x:c>
      <x:c r="E1767" s="6" t="str">
        <x:v>답변 가능</x:v>
      </x:c>
      <x:c r="F1767" s="6" t="str">
        <x:v>쉬움</x:v>
      </x:c>
      <x:c r="G1767" s="8" t="str">
        <x:v>녹십자아시클로버크림과 함께 사용하거나 먹을 때 주의해야 할 약이나 음식이 있나요?</x:v>
      </x:c>
      <x:c r="H1767" s="8" t="str">
        <x:v>프로베네시드를 투여한 환자는 의사 또는 약사와 상의하십시오.</x:v>
      </x:c>
      <x:c r="I1767" s="8" t="str">
        <x:v>프로베네시드를 투여한 환자는 의사 또는 약사와 상의하십시오.</x:v>
      </x:c>
      <x:c r="J1767" s="8" t="str">
        <x:v>녹십자아시클로버크림 [품목기준코드 200004060]</x:v>
      </x:c>
      <x:c r="K1767" s="8" t="str">
        <x:v>식품의약품안전처 의약품개요정보(e약은요) OpenAPI
https://apis.data.go.kr/1471000/DrbEasyDrugInfoService/getDrbEasyDrugList</x:v>
      </x:c>
    </x:row>
    <x:row r="1768" ht="62" customHeight="1">
      <x:c r="A1768" s="9" t="n">
        <x:v>1767</x:v>
      </x:c>
      <x:c r="B1768" s="6" t="str">
        <x:v>최종 평가</x:v>
      </x:c>
      <x:c r="C1768" s="6" t="str">
        <x:v>복약</x:v>
      </x:c>
      <x:c r="D1768" s="6" t="str">
        <x:v>용어·정의</x:v>
      </x:c>
      <x:c r="E1768" s="6" t="str">
        <x:v>답변 가능</x:v>
      </x:c>
      <x:c r="F1768" s="6" t="str">
        <x:v>쉬움</x:v>
      </x:c>
      <x:c r="G1768" s="8" t="str">
        <x:v>자모다정(독시라민숙신산염)은 어떤 약인가요?</x:v>
      </x:c>
      <x:c r="H1768" s="8" t="str">
        <x:v>자모다정(독시라민숙신산염)은 (주)와이에스생명과학의 의약품으로, e약은요에는 다음과 같이 안내되어 있습니다. 이 약은 불면증의 보조치료 및 진정에 사용합니다.</x:v>
      </x:c>
      <x:c r="I1768" s="8" t="str">
        <x:v>제품명: 자모다정(독시라민숙신산염) 업체명: (주)와이에스생명과학 효능: 이 약은 불면증의 보조치료 및 진정에 사용합니다.</x:v>
      </x:c>
      <x:c r="J1768" s="8" t="str">
        <x:v>자모다정(독시라민숙신산염) [품목기준코드 202500644]</x:v>
      </x:c>
      <x:c r="K1768" s="8" t="str">
        <x:v>식품의약품안전처 의약품개요정보(e약은요) OpenAPI
https://apis.data.go.kr/1471000/DrbEasyDrugInfoService/getDrbEasyDrugList</x:v>
      </x:c>
    </x:row>
    <x:row r="1769" ht="62" customHeight="1">
      <x:c r="A1769" s="9" t="n">
        <x:v>1768</x:v>
      </x:c>
      <x:c r="B1769" s="6" t="str">
        <x:v>최종 평가</x:v>
      </x:c>
      <x:c r="C1769" s="6" t="str">
        <x:v>복약</x:v>
      </x:c>
      <x:c r="D1769" s="6" t="str">
        <x:v>상호작용</x:v>
      </x:c>
      <x:c r="E1769" s="6" t="str">
        <x:v>답변 가능</x:v>
      </x:c>
      <x:c r="F1769" s="6" t="str">
        <x:v>쉬움</x:v>
      </x:c>
      <x:c r="G1769" s="8" t="str">
        <x:v>이노콜파워정과 함께 사용하거나 먹을 때 주의해야 할 약이나 음식이 있나요?</x:v>
      </x:c>
      <x:c r="H1769" s="8" t="str">
        <x:v>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x:v>
      </x:c>
      <x:c r="I1769" s="8" t="str">
        <x:v>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x:v>
      </x:c>
      <x:c r="J1769" s="8" t="str">
        <x:v>이노콜파워정 [품목기준코드 202203782]</x:v>
      </x:c>
      <x:c r="K1769" s="8" t="str">
        <x:v>식품의약품안전처 의약품개요정보(e약은요) OpenAPI
https://apis.data.go.kr/1471000/DrbEasyDrugInfoService/getDrbEasyDrugList</x:v>
      </x:c>
    </x:row>
    <x:row r="1770" ht="62" customHeight="1">
      <x:c r="A1770" s="9" t="n">
        <x:v>1769</x:v>
      </x:c>
      <x:c r="B1770" s="6" t="str">
        <x:v>최종 평가</x:v>
      </x:c>
      <x:c r="C1770" s="6" t="str">
        <x:v>복약</x:v>
      </x:c>
      <x:c r="D1770" s="6" t="str">
        <x:v>용어·정의</x:v>
      </x:c>
      <x:c r="E1770" s="6" t="str">
        <x:v>답변 가능</x:v>
      </x:c>
      <x:c r="F1770" s="6" t="str">
        <x:v>쉬움</x:v>
      </x:c>
      <x:c r="G1770" s="8" t="str">
        <x:v>포비돈브러쉬액(포비돈요오드)은 어떤 약인가요?</x:v>
      </x:c>
      <x:c r="H1770" s="8" t="str">
        <x:v>포비돈브러쉬액(포비돈요오드)은 구미제약(주)의 의약품으로, e약은요에는 다음과 같이 안내되어 있습니다. 이 약은 수술자의 손 및 팔의 살균소독, 수술부위의 살균소독에 사용합니다.</x:v>
      </x:c>
      <x:c r="I1770" s="8" t="str">
        <x:v>제품명: 포비돈브러쉬액(포비돈요오드) 업체명: 구미제약(주) 효능: 이 약은 수술자의 손 및 팔의 살균소독, 수술부위의 살균소독에 사용합니다.</x:v>
      </x:c>
      <x:c r="J1770" s="8" t="str">
        <x:v>포비돈브러쉬액(포비돈요오드) [품목기준코드 200713763]</x:v>
      </x:c>
      <x:c r="K1770" s="8" t="str">
        <x:v>식품의약품안전처 의약품개요정보(e약은요) OpenAPI
https://apis.data.go.kr/1471000/DrbEasyDrugInfoService/getDrbEasyDrugList</x:v>
      </x:c>
    </x:row>
    <x:row r="1771" ht="62" customHeight="1">
      <x:c r="A1771" s="9" t="n">
        <x:v>1770</x:v>
      </x:c>
      <x:c r="B1771" s="6" t="str">
        <x:v>최종 평가</x:v>
      </x:c>
      <x:c r="C1771" s="6" t="str">
        <x:v>복약</x:v>
      </x:c>
      <x:c r="D1771" s="6" t="str">
        <x:v>대상별 정보</x:v>
      </x:c>
      <x:c r="E1771" s="6" t="str">
        <x:v>답변 가능</x:v>
      </x:c>
      <x:c r="F1771" s="6" t="str">
        <x:v>보통</x:v>
      </x:c>
      <x:c r="G1771" s="8" t="str">
        <x:v>어린이나 소아가 플라톱플라스타(케토프로펜)을 사용해도 되나요?</x:v>
      </x:c>
      <x:c r="H1771" s="8" t="str">
        <x:v>e약은요에서 어린이·소아과 관련해 안내한 내용은 다음과 같습니다. 이 약에 과민증 및 광과민증, 아스피린 천식(비스테로이드성 소염진통제 등에 의한 천식발작), 교차과민반응을 유발할 수 있는 성분(티아프로펜산, 페노피브레이트, 베자피브레이트, 시프로피브레이트, 옥시벤존)에 과민증 환자, 임신기간 6개월 이상인 임부, 15세 미만의 소아, 눈, 점막, 무좀, 백선에는 이 약을 사용하지 마십시오.이 약을 사용하기 전에 기관지 천식환자, 임부 또는 수유부, 손상된 피부 및 점막, 습진 또는 발진 부위에 사용은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하십시오.밀봉붕대법을 사용하지 마십시오.</x:v>
      </x:c>
      <x:c r="I1771" s="8" t="str">
        <x:v>이 약에 과민증 및 광과민증, 아스피린 천식(비스테로이드성 소염진통제 등에 의한 천식발작), 교차과민반응을 유발할 수 있는 성분(티아프로펜산, 페노피브레이트, 베자피브레이트, 시프로피브레이트, 옥시벤존)에 과민증 환자, 임신기간 6개월 이상인 임부, 15세 미만의 소아, 눈, 점막, 무좀, 백선에는 이 약을 사용하지 마십시오.이 약을 사용하기 전에 기관지 천식환자, 임부 또는 수유부, 손상된 피부 및 점막, 습진 또는 발진 부위에 사용은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하십시오.밀봉붕대법을 사용하지 마십시오.</x:v>
      </x:c>
      <x:c r="J1771" s="8" t="str">
        <x:v>플라톱플라스타(케토프로펜) [품목기준코드 200302415]</x:v>
      </x:c>
      <x:c r="K1771" s="8" t="str">
        <x:v>식품의약품안전처 의약품개요정보(e약은요) OpenAPI
https://apis.data.go.kr/1471000/DrbEasyDrugInfoService/getDrbEasyDrugList</x:v>
      </x:c>
    </x:row>
    <x:row r="1772" ht="62" customHeight="1">
      <x:c r="A1772" s="9" t="n">
        <x:v>1771</x:v>
      </x:c>
      <x:c r="B1772" s="6" t="str">
        <x:v>최종 평가</x:v>
      </x:c>
      <x:c r="C1772" s="6" t="str">
        <x:v>복약</x:v>
      </x:c>
      <x:c r="D1772" s="6" t="str">
        <x:v>용어·정의</x:v>
      </x:c>
      <x:c r="E1772" s="6" t="str">
        <x:v>답변 가능</x:v>
      </x:c>
      <x:c r="F1772" s="6" t="str">
        <x:v>쉬움</x:v>
      </x:c>
      <x:c r="G1772" s="8" t="str">
        <x:v>헥시클렌브러쉬액(클로르헥시딘글루콘산염 액)은 어떤 약인가요?</x:v>
      </x:c>
      <x:c r="H1772" s="8" t="str">
        <x:v>헥시클렌브러쉬액(클로르헥시딘글루콘산염 액)은 (주)퍼슨의 의약품으로, e약은요에는 다음과 같이 안내되어 있습니다. 이 약은 수술시 수술자 및 보건 위생종사자의 손 소독에 사용합니다.</x:v>
      </x:c>
      <x:c r="I1772" s="8" t="str">
        <x:v>제품명: 헥시클렌브러쉬액(클로르헥시딘글루콘산염 액) 업체명: (주)퍼슨 효능: 이 약은 수술시 수술자 및 보건 위생종사자의 손 소독에 사용합니다.</x:v>
      </x:c>
      <x:c r="J1772" s="8" t="str">
        <x:v>헥시클렌브러쉬액(클로르헥시딘글루콘산염 액) [품목기준코드 200612693]</x:v>
      </x:c>
      <x:c r="K1772" s="8" t="str">
        <x:v>식품의약품안전처 의약품개요정보(e약은요) OpenAPI
https://apis.data.go.kr/1471000/DrbEasyDrugInfoService/getDrbEasyDrugList</x:v>
      </x:c>
    </x:row>
    <x:row r="1773" ht="62" customHeight="1">
      <x:c r="A1773" s="9" t="n">
        <x:v>1772</x:v>
      </x:c>
      <x:c r="B1773" s="6" t="str">
        <x:v>최종 평가</x:v>
      </x:c>
      <x:c r="C1773" s="6" t="str">
        <x:v>복약</x:v>
      </x:c>
      <x:c r="D1773" s="6" t="str">
        <x:v>답변불가·개인 용량 변경</x:v>
      </x:c>
      <x:c r="E1773" s="6" t="str">
        <x:v>답변 거부</x:v>
      </x:c>
      <x:c r="F1773" s="6" t="str">
        <x:v>어려움</x:v>
      </x:c>
      <x:c r="G1773" s="8" t="str">
        <x:v>코큐민연질캡슐이 잘 듣지 않는데 제 상태에 맞춰 복용량을 얼마나 늘리면 되나요?</x:v>
      </x:c>
      <x:c r="H1773" s="8" t="str">
        <x:v>제공된 e약은요 VDB만으로 개인별 복용량 변경을 결정할 수 없습니다. 임의로 증량하지 말고 의사 또는 약사와 상담해야 합니다.</x:v>
      </x:c>
      <x:c r="I1773" s="8" t="str">
        <x:v>VDB 범위 밖 질문 — 근거 없음</x:v>
      </x:c>
      <x:c r="J1773" s="8" t="str">
        <x:v>코큐민연질캡슐 [품목기준코드 200607838]</x:v>
      </x:c>
      <x:c r="K1773" s="8" t="str">
        <x:v>식품의약품안전처 의약품개요정보(e약은요) OpenAPI
https://apis.data.go.kr/1471000/DrbEasyDrugInfoService/getDrbEasyDrugList</x:v>
      </x:c>
    </x:row>
    <x:row r="1774" ht="62" customHeight="1">
      <x:c r="A1774" s="9" t="n">
        <x:v>1773</x:v>
      </x:c>
      <x:c r="B1774" s="6" t="str">
        <x:v>최종 평가</x:v>
      </x:c>
      <x:c r="C1774" s="6" t="str">
        <x:v>복약</x:v>
      </x:c>
      <x:c r="D1774" s="6" t="str">
        <x:v>증상·이상반응</x:v>
      </x:c>
      <x:c r="E1774" s="6" t="str">
        <x:v>답변 가능</x:v>
      </x:c>
      <x:c r="F1774" s="6" t="str">
        <x:v>쉬움</x:v>
      </x:c>
      <x:c r="G1774" s="8" t="str">
        <x:v>글루타틴정100mg(글루타티온(환원형))을 사용하면 어떤 부작용이 생길 수 있나요?</x:v>
      </x:c>
      <x:c r="H1774" s="8" t="str">
        <x:v>e약은요에는 다음과 같은 이상반응이 안내되어 있습니다. 드물게 발진, 식욕부진, 구역, 구토, 위통 등이 나타나는 경우 복용을 즉각 중지하고 의사 또는 약사와 상의하십시오.</x:v>
      </x:c>
      <x:c r="I1774" s="8" t="str">
        <x:v>드물게 발진, 식욕부진, 구역, 구토, 위통 등이 나타나는 경우 복용을 즉각 중지하고 의사 또는 약사와 상의하십시오.</x:v>
      </x:c>
      <x:c r="J1774" s="8" t="str">
        <x:v>글루타틴정100mg(글루타티온(환원형)) [품목기준코드 201902007]</x:v>
      </x:c>
      <x:c r="K1774" s="8" t="str">
        <x:v>식품의약품안전처 의약품개요정보(e약은요) OpenAPI
https://apis.data.go.kr/1471000/DrbEasyDrugInfoService/getDrbEasyDrugList</x:v>
      </x:c>
    </x:row>
    <x:row r="1775" ht="62" customHeight="1">
      <x:c r="A1775" s="9" t="n">
        <x:v>1774</x:v>
      </x:c>
      <x:c r="B1775" s="6" t="str">
        <x:v>최종 평가</x:v>
      </x:c>
      <x:c r="C1775" s="6" t="str">
        <x:v>복약</x:v>
      </x:c>
      <x:c r="D1775" s="6" t="str">
        <x:v>상호작용</x:v>
      </x:c>
      <x:c r="E1775" s="6" t="str">
        <x:v>답변 가능</x:v>
      </x:c>
      <x:c r="F1775" s="6" t="str">
        <x:v>쉬움</x:v>
      </x:c>
      <x:c r="G1775" s="8" t="str">
        <x:v>마그랑비연질캡슐과 함께 사용하거나 먹을 때 주의해야 할 약이나 음식이 있나요?</x:v>
      </x:c>
      <x:c r="H1775" s="8" t="str">
        <x:v>인산염, 칼슘염, 경구용 테트라사이클린계 제제, 제산제, 레보도파와 함께 복용하지 마십시오. 에스트로겐을 포함한 경구용 피임제를 복용하는 여성 또는 혈전성 소인이 있는 환자가 비타민E를 복용할 경우 혈전증의 위험이 증가될 수 있습니다. 항알도스테론제, 트리암테렌과 병용투여시 고칼륨혈증을 일으킬 수 있으므로 주의하십시오. 녹차, 홍차 등 탄닌을 함유하는 차는 복용중, 복용전후에는 피하십시오.</x:v>
      </x:c>
      <x:c r="I1775" s="8" t="str">
        <x:v>인산염, 칼슘염, 경구용 테트라사이클린계 제제, 제산제, 레보도파와 함께 복용하지 마십시오. 에스트로겐을 포함한 경구용 피임제를 복용하는 여성 또는 혈전성 소인이 있는 환자가 비타민E를 복용할 경우 혈전증의 위험이 증가될 수 있습니다. 항알도스테론제, 트리암테렌과 병용투여시 고칼륨혈증을 일으킬 수 있으므로 주의하십시오. 녹차, 홍차 등 탄닌을 함유하는 차는 복용중, 복용전후에는 피하십시오.</x:v>
      </x:c>
      <x:c r="J1775" s="8" t="str">
        <x:v>마그랑비연질캡슐 [품목기준코드 202200864]</x:v>
      </x:c>
      <x:c r="K1775" s="8" t="str">
        <x:v>식품의약품안전처 의약품개요정보(e약은요) OpenAPI
https://apis.data.go.kr/1471000/DrbEasyDrugInfoService/getDrbEasyDrugList</x:v>
      </x:c>
    </x:row>
    <x:row r="1776" ht="62" customHeight="1">
      <x:c r="A1776" s="9" t="n">
        <x:v>1775</x:v>
      </x:c>
      <x:c r="B1776" s="6" t="str">
        <x:v>최종 평가</x:v>
      </x:c>
      <x:c r="C1776" s="6" t="str">
        <x:v>복약</x:v>
      </x:c>
      <x:c r="D1776" s="6" t="str">
        <x:v>용어·정의</x:v>
      </x:c>
      <x:c r="E1776" s="6" t="str">
        <x:v>답변 가능</x:v>
      </x:c>
      <x:c r="F1776" s="6" t="str">
        <x:v>쉬움</x:v>
      </x:c>
      <x:c r="G1776" s="8" t="str">
        <x:v>피캄스겔(피록시캄)은 어떤 약인가요?</x:v>
      </x:c>
      <x:c r="H1776" s="8" t="str">
        <x:v>피캄스겔(피록시캄)은 시믹씨엠오코리아주식회사의 의약품으로, e약은요에는 다음과 같이 안내되어 있습니다. 이 약은 퇴행성관절염(골관절염), 어깨관절주위염, 건염(힘줄염)·건초염(힘줄윤활막염, 건(힘줄)주위염, 상완골(위팔뼈)상과염(테니스 엘보우 등)), 근육통(근염, 근막염 등), 외상후의 종창(부기)·동통(통증)의 진통·소염에 사용합니다.</x:v>
      </x:c>
      <x:c r="I1776" s="8" t="str">
        <x:v>제품명: 피캄스겔(피록시캄) 업체명: 시믹씨엠오코리아주식회사 효능: 이 약은 퇴행성관절염(골관절염), 어깨관절주위염, 건염(힘줄염)·건초염(힘줄윤활막염, 건(힘줄)주위염, 상완골(위팔뼈)상과염(테니스 엘보우 등)), 근육통(근염, 근막염 등), 외상후의 종창(부기)·동통(통증)의 진통·소염에 사용합니다.</x:v>
      </x:c>
      <x:c r="J1776" s="8" t="str">
        <x:v>피캄스겔(피록시캄) [품목기준코드 201900026]</x:v>
      </x:c>
      <x:c r="K1776" s="8" t="str">
        <x:v>식품의약품안전처 의약품개요정보(e약은요) OpenAPI
https://apis.data.go.kr/1471000/DrbEasyDrugInfoService/getDrbEasyDrugList</x:v>
      </x:c>
    </x:row>
    <x:row r="1777" ht="62" customHeight="1">
      <x:c r="A1777" s="9" t="n">
        <x:v>1776</x:v>
      </x:c>
      <x:c r="B1777" s="6" t="str">
        <x:v>최종 평가</x:v>
      </x:c>
      <x:c r="C1777" s="6" t="str">
        <x:v>복약</x:v>
      </x:c>
      <x:c r="D1777" s="6" t="str">
        <x:v>대상별 정보</x:v>
      </x:c>
      <x:c r="E1777" s="6" t="str">
        <x:v>답변 가능</x:v>
      </x:c>
      <x:c r="F1777" s="6" t="str">
        <x:v>쉬움</x:v>
      </x:c>
      <x:c r="G1777" s="8" t="str">
        <x:v>임신 또는 수유 중에 니오틴정(비오틴)을 사용해도 되나요?</x:v>
      </x:c>
      <x:c r="H1777" s="8" t="str">
        <x:v>e약은요에서 임신 또는 수유 중인 사람과 관련해 안내한 내용은 다음과 같습니다. 이 약을 복용하기 전에 임부, 수유부는 의사 또는 약사와 상의하십시오.</x:v>
      </x:c>
      <x:c r="I1777" s="8" t="str">
        <x:v>이 약을 복용하기 전에 임부, 수유부는 의사 또는 약사와 상의하십시오.</x:v>
      </x:c>
      <x:c r="J1777" s="8" t="str">
        <x:v>니오틴정(비오틴) [품목기준코드 202303390]</x:v>
      </x:c>
      <x:c r="K1777" s="8" t="str">
        <x:v>식품의약품안전처 의약품개요정보(e약은요) OpenAPI
https://apis.data.go.kr/1471000/DrbEasyDrugInfoService/getDrbEasyDrugList</x:v>
      </x:c>
    </x:row>
    <x:row r="1778" ht="62" customHeight="1">
      <x:c r="A1778" s="9" t="n">
        <x:v>1777</x:v>
      </x:c>
      <x:c r="B1778" s="6" t="str">
        <x:v>최종 평가</x:v>
      </x:c>
      <x:c r="C1778" s="6" t="str">
        <x:v>복약</x:v>
      </x:c>
      <x:c r="D1778" s="6" t="str">
        <x:v>원인·위험요인</x:v>
      </x:c>
      <x:c r="E1778" s="6" t="str">
        <x:v>답변 가능</x:v>
      </x:c>
      <x:c r="F1778" s="6" t="str">
        <x:v>쉬움</x:v>
      </x:c>
      <x:c r="G1778" s="8" t="str">
        <x:v>후시딘연고(퓨시드산나트륨)을 사용하기 전에 특히 조심해야 하는 사람은 누구인가요?</x:v>
      </x:c>
      <x:c r="H1778" s="8" t="str">
        <x:v>이 제품을 사용하기 전에 특히 확인해야 할 대상과 상황은 다음과 같습니다. 이 약에 과민증 환자, 비감수성균(특히 녹농균)에 의한 감염환자는 사용하지 마십시오.이 약을 사용하기 전에 임부 또는 임신하고 있을 가능성이 있는 여성 및 수유부, 미숙아 및 신생아는 의사 또는 약사와 상의하십시오.이 약은 높은 투과흡수성을 가지므로 장기간 사용하지 마십시오.안과용으로 사용하지 마십시오.눈 또는 눈꺼풀과 같은 얼굴 안쪽에 사용하지 마십시오.</x:v>
      </x:c>
      <x:c r="I1778" s="8" t="str">
        <x:v>이 약에 과민증 환자, 비감수성균(특히 녹농균)에 의한 감염환자는 사용하지 마십시오.이 약을 사용하기 전에 임부 또는 임신하고 있을 가능성이 있는 여성 및 수유부, 미숙아 및 신생아는 의사 또는 약사와 상의하십시오.이 약은 높은 투과흡수성을 가지므로 장기간 사용하지 마십시오.안과용으로 사용하지 마십시오.눈 또는 눈꺼풀과 같은 얼굴 안쪽에 사용하지 마십시오.</x:v>
      </x:c>
      <x:c r="J1778" s="8" t="str">
        <x:v>후시딘연고(퓨시드산나트륨) [품목기준코드 197900171]</x:v>
      </x:c>
      <x:c r="K1778" s="8" t="str">
        <x:v>식품의약품안전처 의약품개요정보(e약은요) OpenAPI
https://apis.data.go.kr/1471000/DrbEasyDrugInfoService/getDrbEasyDrugList</x:v>
      </x:c>
    </x:row>
    <x:row r="1779" ht="62" customHeight="1">
      <x:c r="A1779" s="9" t="n">
        <x:v>1778</x:v>
      </x:c>
      <x:c r="B1779" s="6" t="str">
        <x:v>최종 평가</x:v>
      </x:c>
      <x:c r="C1779" s="6" t="str">
        <x:v>복약</x:v>
      </x:c>
      <x:c r="D1779" s="6" t="str">
        <x:v>용법·용량</x:v>
      </x:c>
      <x:c r="E1779" s="6" t="str">
        <x:v>답변 가능</x:v>
      </x:c>
      <x:c r="F1779" s="6" t="str">
        <x:v>쉬움</x:v>
      </x:c>
      <x:c r="G1779" s="8" t="str">
        <x:v>에시플엔산(바실루스리케니포르미스균)은 어떻게 사용하나요?</x:v>
      </x:c>
      <x:c r="H1779" s="8" t="str">
        <x:v>성인은 1회 2 g씩, 1일 3회 복용하고, 첫회에는 4 g을 복용합니다. 유소아는 1회 1 g씩, 1일 3회 복용합니다.</x:v>
      </x:c>
      <x:c r="I1779" s="8" t="str">
        <x:v>성인은 1회 2 g씩, 1일 3회 복용하고, 첫회에는 4 g을 복용합니다. 유소아는 1회 1 g씩, 1일 3회 복용합니다.</x:v>
      </x:c>
      <x:c r="J1779" s="8" t="str">
        <x:v>에시플엔산(바실루스리케니포르미스균) [품목기준코드 201404024]</x:v>
      </x:c>
      <x:c r="K1779" s="8" t="str">
        <x:v>식품의약품안전처 의약품개요정보(e약은요) OpenAPI
https://apis.data.go.kr/1471000/DrbEasyDrugInfoService/getDrbEasyDrugList</x:v>
      </x:c>
    </x:row>
    <x:row r="1780" ht="62" customHeight="1">
      <x:c r="A1780" s="9" t="n">
        <x:v>1779</x:v>
      </x:c>
      <x:c r="B1780" s="6" t="str">
        <x:v>최종 평가</x:v>
      </x:c>
      <x:c r="C1780" s="6" t="str">
        <x:v>복약</x:v>
      </x:c>
      <x:c r="D1780" s="6" t="str">
        <x:v>용어·정의</x:v>
      </x:c>
      <x:c r="E1780" s="6" t="str">
        <x:v>답변 가능</x:v>
      </x:c>
      <x:c r="F1780" s="6" t="str">
        <x:v>쉬움</x:v>
      </x:c>
      <x:c r="G1780" s="8" t="str">
        <x:v>엘스타캡슐(에르도스테인)은 어떤 약인가요?</x:v>
      </x:c>
      <x:c r="H1780" s="8" t="str">
        <x:v>엘스타캡슐(에르도스테인)은 아이큐어(주)의 의약품으로, e약은요에는 다음과 같이 안내되어 있습니다. 이 약은 급ㆍ만성 호흡기질환에서의 점액용해 및 거담에 사용합니다.</x:v>
      </x:c>
      <x:c r="I1780" s="8" t="str">
        <x:v>제품명: 엘스타캡슐(에르도스테인) 업체명: 아이큐어(주) 효능: 이 약은 급ㆍ만성 호흡기질환에서의 점액용해 및 거담에 사용합니다.</x:v>
      </x:c>
      <x:c r="J1780" s="8" t="str">
        <x:v>엘스타캡슐(에르도스테인) [품목기준코드 201601506]</x:v>
      </x:c>
      <x:c r="K1780" s="8" t="str">
        <x:v>식품의약품안전처 의약품개요정보(e약은요) OpenAPI
https://apis.data.go.kr/1471000/DrbEasyDrugInfoService/getDrbEasyDrugList</x:v>
      </x:c>
    </x:row>
    <x:row r="1781" ht="62" customHeight="1">
      <x:c r="A1781" s="9" t="n">
        <x:v>1780</x:v>
      </x:c>
      <x:c r="B1781" s="6" t="str">
        <x:v>최종 평가</x:v>
      </x:c>
      <x:c r="C1781" s="6" t="str">
        <x:v>복약</x:v>
      </x:c>
      <x:c r="D1781" s="6" t="str">
        <x:v>용법·용량</x:v>
      </x:c>
      <x:c r="E1781" s="6" t="str">
        <x:v>답변 가능</x:v>
      </x:c>
      <x:c r="F1781" s="6" t="str">
        <x:v>쉬움</x:v>
      </x:c>
      <x:c r="G1781" s="8" t="str">
        <x:v>알러피드정은 어떻게 사용하나요?</x:v>
      </x:c>
      <x:c r="H1781" s="8" t="str">
        <x:v>성인은 1회 1정씩, 만 12~14세 소아는 1회 1/2정씩, 1일 3회 식후에 복용합니다.</x:v>
      </x:c>
      <x:c r="I1781" s="8" t="str">
        <x:v>성인은 1회 1정씩, 만 12~14세 소아는 1회 1/2정씩, 1일 3회 식후에 복용합니다.</x:v>
      </x:c>
      <x:c r="J1781" s="8" t="str">
        <x:v>알러피드정 [품목기준코드 202401410]</x:v>
      </x:c>
      <x:c r="K1781" s="8" t="str">
        <x:v>식품의약품안전처 의약품개요정보(e약은요) OpenAPI
https://apis.data.go.kr/1471000/DrbEasyDrugInfoService/getDrbEasyDrugList</x:v>
      </x:c>
    </x:row>
    <x:row r="1782" ht="62" customHeight="1">
      <x:c r="A1782" s="9" t="n">
        <x:v>1781</x:v>
      </x:c>
      <x:c r="B1782" s="6" t="str">
        <x:v>최종 평가</x:v>
      </x:c>
      <x:c r="C1782" s="6" t="str">
        <x:v>복약</x:v>
      </x:c>
      <x:c r="D1782" s="6" t="str">
        <x:v>증상→대상 구분</x:v>
      </x:c>
      <x:c r="E1782" s="6" t="str">
        <x:v>답변 가능</x:v>
      </x:c>
      <x:c r="F1782" s="6" t="str">
        <x:v>어려움</x:v>
      </x:c>
      <x:c r="G1782" s="8" t="str">
        <x:v>엔도콜액(시메티콘)을 사용한 뒤 구역이 생겼는데, 이 약의 부작용으로 안내되어 있나요?</x:v>
      </x:c>
      <x:c r="H1782" s="8" t="str">
        <x:v>구역은 이 제품의 e약은요 부작용 항목에 기재되어 있습니다. 다만 이 정보만으로 현재 증상의 원인이 해당 약이라고 확정할 수는 없습니다.</x:v>
      </x:c>
      <x:c r="I1782" s="8" t="str">
        <x:v>때때로 연변, 복부불쾌감, 설사, 복통, 구토, 구역, 복부중압감, 식욕부진, 드물게 두통, 피부, 눈, 점막에 경미한 자극이 나타날 수 있습니다.</x:v>
      </x:c>
      <x:c r="J1782" s="8" t="str">
        <x:v>엔도콜액(시메티콘) [품목기준코드 201405529]</x:v>
      </x:c>
      <x:c r="K1782" s="8" t="str">
        <x:v>식품의약품안전처 의약품개요정보(e약은요) OpenAPI
https://apis.data.go.kr/1471000/DrbEasyDrugInfoService/getDrbEasyDrugList</x:v>
      </x:c>
    </x:row>
    <x:row r="1783" ht="62" customHeight="1">
      <x:c r="A1783" s="9" t="n">
        <x:v>1782</x:v>
      </x:c>
      <x:c r="B1783" s="6" t="str">
        <x:v>최종 평가</x:v>
      </x:c>
      <x:c r="C1783" s="6" t="str">
        <x:v>복약</x:v>
      </x:c>
      <x:c r="D1783" s="6" t="str">
        <x:v>원인·위험요인</x:v>
      </x:c>
      <x:c r="E1783" s="6" t="str">
        <x:v>답변 가능</x:v>
      </x:c>
      <x:c r="F1783" s="6" t="str">
        <x:v>쉬움</x:v>
      </x:c>
      <x:c r="G1783" s="8" t="str">
        <x:v>콜대원키즈노즈에스시럽을 사용하기 전에 특히 조심해야 하는 사람은 누구인가요?</x:v>
      </x:c>
      <x:c r="H1783" s="8" t="str">
        <x:v>이 제품을 사용하기 전에 특히 확인해야 할 대상과 상황은 다음과 같습니다. 중증 또는 조절되지 않는 고혈압 환자는 이 약을 복용하지 마십시오. 이 약을 복용하기 전에 심장질환, 고혈압, 갑상선질환, 당뇨병, 녹내장, 또는 천식이나 만성기관지염과 같은 호흡 장애가 있는 사람은 의사 또는 약사와 상의하십시오.</x:v>
      </x:c>
      <x:c r="I1783" s="8" t="str">
        <x:v>중증 또는 조절되지 않는 고혈압 환자는 이 약을 복용하지 마십시오. 이 약을 복용하기 전에 심장질환, 고혈압, 갑상선질환, 당뇨병, 녹내장, 또는 천식이나 만성기관지염과 같은 호흡 장애가 있는 사람은 의사 또는 약사와 상의하십시오.</x:v>
      </x:c>
      <x:c r="J1783" s="8" t="str">
        <x:v>콜대원키즈노즈에스시럽 [품목기준코드 201802210]</x:v>
      </x:c>
      <x:c r="K1783" s="8" t="str">
        <x:v>식품의약품안전처 의약품개요정보(e약은요) OpenAPI
https://apis.data.go.kr/1471000/DrbEasyDrugInfoService/getDrbEasyDrugList</x:v>
      </x:c>
    </x:row>
    <x:row r="1784" ht="62" customHeight="1">
      <x:c r="A1784" s="9" t="n">
        <x:v>1783</x:v>
      </x:c>
      <x:c r="B1784" s="6" t="str">
        <x:v>최종 평가</x:v>
      </x:c>
      <x:c r="C1784" s="6" t="str">
        <x:v>복약</x:v>
      </x:c>
      <x:c r="D1784" s="6" t="str">
        <x:v>효능·사용목적</x:v>
      </x:c>
      <x:c r="E1784" s="6" t="str">
        <x:v>답변 가능</x:v>
      </x:c>
      <x:c r="F1784" s="6" t="str">
        <x:v>쉬움</x:v>
      </x:c>
      <x:c r="G1784" s="8" t="str">
        <x:v>더마그램연질캡슐(L-시스틴)은 어떤 증상이나 질환에 사용하는 약인가요?</x:v>
      </x:c>
      <x:c r="H1784" s="8" t="str">
        <x:v>이 약은 습진, 여드름의 보조치료, 손톱, 발톱이나 머리카락이 쉽게 갈라지는 등의 각질부위 질환의 보조치료에 사용합니다.</x:v>
      </x:c>
      <x:c r="I1784" s="8" t="str">
        <x:v>이 약은 습진, 여드름의 보조치료, 손톱, 발톱이나 머리카락이 쉽게 갈라지는 등의 각질부위 질환의 보조치료에 사용합니다.</x:v>
      </x:c>
      <x:c r="J1784" s="8" t="str">
        <x:v>더마그램연질캡슐(L-시스틴) [품목기준코드 202501707]</x:v>
      </x:c>
      <x:c r="K1784" s="8" t="str">
        <x:v>식품의약품안전처 의약품개요정보(e약은요) OpenAPI
https://apis.data.go.kr/1471000/DrbEasyDrugInfoService/getDrbEasyDrugList</x:v>
      </x:c>
    </x:row>
    <x:row r="1785" ht="62" customHeight="1">
      <x:c r="A1785" s="9" t="n">
        <x:v>1784</x:v>
      </x:c>
      <x:c r="B1785" s="6" t="str">
        <x:v>최종 평가</x:v>
      </x:c>
      <x:c r="C1785" s="6" t="str">
        <x:v>복약</x:v>
      </x:c>
      <x:c r="D1785" s="6" t="str">
        <x:v>증상·이상반응</x:v>
      </x:c>
      <x:c r="E1785" s="6" t="str">
        <x:v>답변 가능</x:v>
      </x:c>
      <x:c r="F1785" s="6" t="str">
        <x:v>쉬움</x:v>
      </x:c>
      <x:c r="G1785" s="8" t="str">
        <x:v>멘소래담로션(Mentholatumlotion)을 사용하면 어떤 부작용이 생길 수 있나요?</x:v>
      </x:c>
      <x:c r="H1785" s="8" t="str">
        <x:v>e약은요에는 다음과 같은 이상반응이 안내되어 있습니다. 발진ㆍ발적, 가려움 등이 나타나는 경우 사용을 즉각 중지하고 의사 또는 약사와 상의하십시오.</x:v>
      </x:c>
      <x:c r="I1785" s="8" t="str">
        <x:v>발진ㆍ발적, 가려움 등이 나타나는 경우 사용을 즉각 중지하고 의사 또는 약사와 상의하십시오.</x:v>
      </x:c>
      <x:c r="J1785" s="8" t="str">
        <x:v>멘소래담로션(Mentholatumlotion) [품목기준코드 199806775]</x:v>
      </x:c>
      <x:c r="K1785" s="8" t="str">
        <x:v>식품의약품안전처 의약품개요정보(e약은요) OpenAPI
https://apis.data.go.kr/1471000/DrbEasyDrugInfoService/getDrbEasyDrugList</x:v>
      </x:c>
    </x:row>
    <x:row r="1786" ht="62" customHeight="1">
      <x:c r="A1786" s="9" t="n">
        <x:v>1785</x:v>
      </x:c>
      <x:c r="B1786" s="6" t="str">
        <x:v>최종 평가</x:v>
      </x:c>
      <x:c r="C1786" s="6" t="str">
        <x:v>복약</x:v>
      </x:c>
      <x:c r="D1786" s="6" t="str">
        <x:v>실용·응급대처</x:v>
      </x:c>
      <x:c r="E1786" s="6" t="str">
        <x:v>답변 가능</x:v>
      </x:c>
      <x:c r="F1786" s="6" t="str">
        <x:v>보통</x:v>
      </x:c>
      <x:c r="G1786" s="8" t="str">
        <x:v>신감수액 사용 후 심한 이상반응이 나타나면 어떻게 해야 하나요?</x:v>
      </x:c>
      <x:c r="H1786" s="8" t="str">
        <x:v>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이 약을 복용하기 전에 수두 또는 인플루엔자에 감염되어 있거나 또는 의심되는 영아 및 만 15세 미만의 어린이, 알레르기 체질, 약에 의한 알레르기 증상 경험자, 간장질환, 신장질환, 심장질환, 갑상선질환, 당뇨병, 고혈압, 부종, 위십이지장궤양, 고령자, 몸이 약한 사람 또는 고열이 있는 사람, 속쓰림, 위부불쾌감, 위통, 궤양, 출혈문제를 가지고 있는 사람, 임부 또는 임신하고 있을 가능성이 있는 여성 및 수유부는 의사 또는 약사와 상의하십시오. 발진·발적(충혈되어 붉어짐), 가려움, 구역·구토, 식욕부진, 변비, 부기, 어지러움, 불안, 떨림, 불면, 고음이온차 대사성 산증, 쇽 증상(복용후 바로 두드러기, 부기, 가슴답답함 등과 함께 안색이 창백하고, 손발이 차고, 식은땀, 숨쉬기 곤란함 등), 피부점막안 증후군(스티븐스-존슨증후군), 독성표피괴사용해(고열을 동반하고 충혈되어 붉어짐, 화상과 같이 물집이 생기는 등의 심한 증상이 전신피부, 입이나 눈점막에 나타나는 경우), 천식, 전신의 나른함, 황달, 간질성폐렴(기침을 동반하고, 숨이 차고, 호흡곤란, 발열 등), 요량이 감소하거나 얼굴과 손발이 붓고, 눈꺼풀이 무거워지고, 손이 굳어지고, 혈압상승, 두통, 근병증(무력감, 사지경련, 마비) 등이 나타나는 경우 복용을 즉각 중지하고 의사 또는 약사와 상의하십시오.</x:v>
      </x:c>
      <x:c r="I1786" s="8" t="str">
        <x:v>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이 약을 복용하기 전에 수두 또는 인플루엔자에 감염되어 있거나 또는 의심되는 영아 및 만 15세 미만의 어린이, 알레르기 체질, 약에 의한 알레르기 증상 경험자, 간장질환, 신장질환, 심장질환, 갑상선질환, 당뇨병, 고혈압, 부종, 위십이지장궤양, 고령자, 몸이 약한 사람 또는 고열이 있는 사람, 속쓰림, 위부불쾌감, 위통, 궤양, 출혈문제를 가지고 있는 사람, 임부 또는 임신하고 있을 가능성이 있는 여성 및 수유부는 의사 또는 약사와 상의하십시오. 발진·발적(충혈되어 붉어짐), 가려움, 구역·구토, 식욕부진, 변비, 부기, 어지러움, 불안, 떨림, 불면, 고음이온차 대사성 산증, 쇽 증상(복용후 바로 두드러기, 부기, 가슴답답함 등과 함께 안색이 창백하고, 손발이 차고, 식은땀, 숨쉬기 곤란함 등), 피부점막안 증후군(스티븐스-존슨증후군), 독성표피괴사용해(고열을 동반하고 충혈되어 붉어짐, 화상과 같이 물집이 생기는 등의 심한 증상이 전신피부, 입이나 눈점막에 나타나는 경우), 천식, 전신의 나른함, 황달, 간질성폐렴(기침을 동반하고, 숨이 차고, 호흡곤란, 발열 등), 요량이 감소하거나 얼굴과 손발이 붓고, 눈꺼풀이 무거워지고, 손이 굳어지고, 혈압상승, 두통, 근병증(무력감, 사지경련, 마비) 등이 나타나는 경우 복용을 즉각 중지하고 의사 또는 약사와 상의하십시오.</x:v>
      </x:c>
      <x:c r="J1786" s="8" t="str">
        <x:v>신감수액 [품목기준코드 201402033]</x:v>
      </x:c>
      <x:c r="K1786" s="8" t="str">
        <x:v>식품의약품안전처 의약품개요정보(e약은요) OpenAPI
https://apis.data.go.kr/1471000/DrbEasyDrugInfoService/getDrbEasyDrugList</x:v>
      </x:c>
    </x:row>
    <x:row r="1787" ht="62" customHeight="1">
      <x:c r="A1787" s="9" t="n">
        <x:v>1786</x:v>
      </x:c>
      <x:c r="B1787" s="6" t="str">
        <x:v>최종 평가</x:v>
      </x:c>
      <x:c r="C1787" s="6" t="str">
        <x:v>복약</x:v>
      </x:c>
      <x:c r="D1787" s="6" t="str">
        <x:v>실용·응급대처</x:v>
      </x:c>
      <x:c r="E1787" s="6" t="str">
        <x:v>답변 가능</x:v>
      </x:c>
      <x:c r="F1787" s="6" t="str">
        <x:v>보통</x:v>
      </x:c>
      <x:c r="G1787" s="8" t="str">
        <x:v>헬씨큐플러스연질캡슐 사용 후 심한 이상반응이 나타나면 어떻게 해야 하나요?</x:v>
      </x:c>
      <x:c r="H1787" s="8" t="str">
        <x:v>이 약을 복용하기 전에 햇빛을 많이 보고 정상적인 식사를 하는 어린이, 고옥살산뇨증 환자(뇨중에 과량의 수산염이 배설되는 상태), 임부 및 임신하고 있을 가능성이 있는 여성, 수유부, 미숙아, 유아, 소화성궤양, 만성궤양성대장염, 국한성(특정부분에 나타나는)대장염 등의 위장질환, 심장ㆍ순환기계기능 장애, 신장장애, 저단백혈증, 담낭(쓸개)관련 질환, 간질환, 담낭폐쇄, 구리 부족증, 급, 만성 기관지염, 폐부종, 알칼리증, 소화성궤양, 당뇨병, 통풍 또는 신장결석 환자 및 경험자, 혈전(혈관 막힘)성 소인이 있는 환자, 폴산이 부족한 환자, 고지단백혈증, 당뇨병성고지질혈증 및 췌장염 등 지방대사 이상 환자 또는 지질성 유제를 신중히 투여해야 하는 환자, 지방과부하로 특별한 위험이 예상되는 환자, 황색 5호에 과민증 환자 또는 경험자는 의사 또는 약사와 상의하십시오. 구역, 구토, 가려움, 건조하고 거친 피부, 통증성 관절부종, 위장관장애, 소화장애, 상복부통증, 위부불쾌감, 위장통증, 식욕부진, 복부팽만감, 묽은 변, 설사, 변비, 발진, 발적(충혈되어 붉어짐), 알레르기반응, 혈관부종(부기), 관절통, 호산구증가, 요오드 중독증, 혼수, 저혈압, 얼굴달아오름, 폐부종(부기), 심박동불규칙, 붉은반점, 부전수축(심장박동정지), 중추신경계 기능저하, 고요산혈증, 고칼륨혈증, 가스참, 피부염, 땀, 호흡시 악취, 탈모, 조급증, 어지러움, 얼굴다리종창(부기), 생리가 예정보다 빨라지거나 양이 점점 많아지거나, 출혈이 오래 지속되는 증상이 나타나는 경우 복용을 즉각 중지하고 의사 또는 약사와 상의하십시오.</x:v>
      </x:c>
      <x:c r="I1787" s="8" t="str">
        <x:v>이 약을 복용하기 전에 햇빛을 많이 보고 정상적인 식사를 하는 어린이, 고옥살산뇨증 환자(뇨중에 과량의 수산염이 배설되는 상태), 임부 및 임신하고 있을 가능성이 있는 여성, 수유부, 미숙아, 유아, 소화성궤양, 만성궤양성대장염, 국한성(특정부분에 나타나는)대장염 등의 위장질환, 심장ㆍ순환기계기능 장애, 신장장애, 저단백혈증, 담낭(쓸개)관련 질환, 간질환, 담낭폐쇄, 구리 부족증, 급, 만성 기관지염, 폐부종, 알칼리증, 소화성궤양, 당뇨병, 통풍 또는 신장결석 환자 및 경험자, 혈전(혈관 막힘)성 소인이 있는 환자, 폴산이 부족한 환자, 고지단백혈증, 당뇨병성고지질혈증 및 췌장염 등 지방대사 이상 환자 또는 지질성 유제를 신중히 투여해야 하는 환자, 지방과부하로 특별한 위험이 예상되는 환자, 황색 5호에 과민증 환자 또는 경험자는 의사 또는 약사와 상의하십시오. 구역, 구토, 가려움, 건조하고 거친 피부, 통증성 관절부종, 위장관장애, 소화장애, 상복부통증, 위부불쾌감, 위장통증, 식욕부진, 복부팽만감, 묽은 변, 설사, 변비, 발진, 발적(충혈되어 붉어짐), 알레르기반응, 혈관부종(부기), 관절통, 호산구증가, 요오드 중독증, 혼수, 저혈압, 얼굴달아오름, 폐부종(부기), 심박동불규칙, 붉은반점, 부전수축(심장박동정지), 중추신경계 기능저하, 고요산혈증, 고칼륨혈증, 가스참, 피부염, 땀, 호흡시 악취, 탈모, 조급증, 어지러움, 얼굴다리종창(부기), 생리가 예정보다 빨라지거나 양이 점점 많아지거나, 출혈이 오래 지속되는 증상이 나타나는 경우 복용을 즉각 중지하고 의사 또는 약사와 상의하십시오.</x:v>
      </x:c>
      <x:c r="J1787" s="8" t="str">
        <x:v>헬씨큐플러스연질캡슐 [품목기준코드 200809810]</x:v>
      </x:c>
      <x:c r="K1787" s="8" t="str">
        <x:v>식품의약품안전처 의약품개요정보(e약은요) OpenAPI
https://apis.data.go.kr/1471000/DrbEasyDrugInfoService/getDrbEasyDrugList</x:v>
      </x:c>
    </x:row>
    <x:row r="1788" ht="62" customHeight="1">
      <x:c r="A1788" s="9" t="n">
        <x:v>1787</x:v>
      </x:c>
      <x:c r="B1788" s="6" t="str">
        <x:v>최종 평가</x:v>
      </x:c>
      <x:c r="C1788" s="6" t="str">
        <x:v>복약</x:v>
      </x:c>
      <x:c r="D1788" s="6" t="str">
        <x:v>대상별 정보</x:v>
      </x:c>
      <x:c r="E1788" s="6" t="str">
        <x:v>답변 가능</x:v>
      </x:c>
      <x:c r="F1788" s="6" t="str">
        <x:v>쉬움</x:v>
      </x:c>
      <x:c r="G1788" s="8" t="str">
        <x:v>임신 또는 수유 중에 아세란캡슐200밀리그램(아세틸시스테인)을 사용해도 되나요?</x:v>
      </x:c>
      <x:c r="H1788" s="8" t="str">
        <x:v>e약은요에서 임신 또는 수유 중인 사람과 관련해 안내한 내용은 다음과 같습니다. 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x:v>
      </x:c>
      <x:c r="I1788" s="8" t="str">
        <x:v>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x:v>
      </x:c>
      <x:c r="J1788" s="8" t="str">
        <x:v>아세란캡슐200밀리그램(아세틸시스테인) [품목기준코드 201405501]</x:v>
      </x:c>
      <x:c r="K1788" s="8" t="str">
        <x:v>식품의약품안전처 의약품개요정보(e약은요) OpenAPI
https://apis.data.go.kr/1471000/DrbEasyDrugInfoService/getDrbEasyDrugList</x:v>
      </x:c>
    </x:row>
    <x:row r="1789" ht="62" customHeight="1">
      <x:c r="A1789" s="9" t="n">
        <x:v>1788</x:v>
      </x:c>
      <x:c r="B1789" s="6" t="str">
        <x:v>최종 평가</x:v>
      </x:c>
      <x:c r="C1789" s="6" t="str">
        <x:v>복약</x:v>
      </x:c>
      <x:c r="D1789" s="6" t="str">
        <x:v>대상별 정보</x:v>
      </x:c>
      <x:c r="E1789" s="6" t="str">
        <x:v>답변 가능</x:v>
      </x:c>
      <x:c r="F1789" s="6" t="str">
        <x:v>쉬움</x:v>
      </x:c>
      <x:c r="G1789" s="8" t="str">
        <x:v>임신 또는 수유 중에 티로케어겔(티로트리신)을 사용해도 되나요?</x:v>
      </x:c>
      <x:c r="H1789" s="8" t="str">
        <x:v>e약은요에서 임신 또는 수유 중인 사람과 관련해 안내한 내용은 다음과 같습니다. 이 약에 과민증 환자, 임부 또는 임신하고 있을 가능성이 있는 여성 및 수유부, 코점막 부위에는 이 약을 사용하지 마십시오.눈 주위에 사용할 경우 약이 눈에 직접 닿지 않도록 주의하십시오.일주일 이상 사용하여도 증상의 개선이 없는 경우 사용을 즉각 중지하고 의사 또는 약사와 상의하십시오.</x:v>
      </x:c>
      <x:c r="I1789" s="8" t="str">
        <x:v>이 약에 과민증 환자, 임부 또는 임신하고 있을 가능성이 있는 여성 및 수유부, 코점막 부위에는 이 약을 사용하지 마십시오.눈 주위에 사용할 경우 약이 눈에 직접 닿지 않도록 주의하십시오.일주일 이상 사용하여도 증상의 개선이 없는 경우 사용을 즉각 중지하고 의사 또는 약사와 상의하십시오.</x:v>
      </x:c>
      <x:c r="J1789" s="8" t="str">
        <x:v>티로케어겔(티로트리신) [품목기준코드 200904958]</x:v>
      </x:c>
      <x:c r="K1789" s="8" t="str">
        <x:v>식품의약품안전처 의약품개요정보(e약은요) OpenAPI
https://apis.data.go.kr/1471000/DrbEasyDrugInfoService/getDrbEasyDrugList</x:v>
      </x:c>
    </x:row>
    <x:row r="1790" ht="62" customHeight="1">
      <x:c r="A1790" s="9" t="n">
        <x:v>1789</x:v>
      </x:c>
      <x:c r="B1790" s="6" t="str">
        <x:v>최종 평가</x:v>
      </x:c>
      <x:c r="C1790" s="6" t="str">
        <x:v>복약</x:v>
      </x:c>
      <x:c r="D1790" s="6" t="str">
        <x:v>효능·사용목적</x:v>
      </x:c>
      <x:c r="E1790" s="6" t="str">
        <x:v>답변 가능</x:v>
      </x:c>
      <x:c r="F1790" s="6" t="str">
        <x:v>쉬움</x:v>
      </x:c>
      <x:c r="G1790" s="8" t="str">
        <x:v>네오시덤연고(퓨시드산나트륨)은 어떤 증상이나 질환에 사용하는 약인가요?</x:v>
      </x:c>
      <x:c r="H1790" s="8" t="str">
        <x:v>이 약은 포도구균, 연쇄구균, 코리네박테륨, 클로스트리듐으로 인한 농가진, 감염성습진양피부염, 심상성여드름(보통여드름), 모낭염, 종기 및 종기증, 화농성한선염, 농가진성습진, 화상ㆍ외상ㆍ봉합창ㆍ식피창에 의한 2차 감염에 사용합니다.</x:v>
      </x:c>
      <x:c r="I1790" s="8" t="str">
        <x:v>이 약은 포도구균, 연쇄구균, 코리네박테륨, 클로스트리듐으로 인한 농가진, 감염성습진양피부염, 심상성여드름(보통여드름), 모낭염, 종기 및 종기증, 화농성한선염, 농가진성습진, 화상ㆍ외상ㆍ봉합창ㆍ식피창에 의한 2차 감염에 사용합니다.</x:v>
      </x:c>
      <x:c r="J1790" s="8" t="str">
        <x:v>네오시덤연고(퓨시드산나트륨) [품목기준코드 199801121]</x:v>
      </x:c>
      <x:c r="K1790" s="8" t="str">
        <x:v>식품의약품안전처 의약품개요정보(e약은요) OpenAPI
https://apis.data.go.kr/1471000/DrbEasyDrugInfoService/getDrbEasyDrugList</x:v>
      </x:c>
    </x:row>
    <x:row r="1791" ht="62" customHeight="1">
      <x:c r="A1791" s="9" t="n">
        <x:v>1790</x:v>
      </x:c>
      <x:c r="B1791" s="6" t="str">
        <x:v>최종 평가</x:v>
      </x:c>
      <x:c r="C1791" s="6" t="str">
        <x:v>복약</x:v>
      </x:c>
      <x:c r="D1791" s="6" t="str">
        <x:v>답변불가·개인 복용 판단</x:v>
      </x:c>
      <x:c r="E1791" s="6" t="str">
        <x:v>답변 거부</x:v>
      </x:c>
      <x:c r="F1791" s="6" t="str">
        <x:v>어려움</x:v>
      </x:c>
      <x:c r="G1791" s="8" t="str">
        <x:v>제 건강 상태를 따로 확인하지 않고 카엘정을 지금 먹어도 되는지 결정해 주세요.</x:v>
      </x:c>
      <x:c r="H1791" s="8" t="str">
        <x:v>제공된 e약은요 VDB만으로 개인의 건강 상태를 반영한 복용 가능 여부를 결정할 수 없습니다. 의사 또는 약사와 상담해야 합니다.</x:v>
      </x:c>
      <x:c r="I1791" s="8" t="str">
        <x:v>VDB 범위 밖 질문 — 근거 없음</x:v>
      </x:c>
      <x:c r="J1791" s="8" t="str">
        <x:v>카엘정 [품목기준코드 201001201]</x:v>
      </x:c>
      <x:c r="K1791" s="8" t="str">
        <x:v>식품의약품안전처 의약품개요정보(e약은요) OpenAPI
https://apis.data.go.kr/1471000/DrbEasyDrugInfoService/getDrbEasyDrugList</x:v>
      </x:c>
    </x:row>
    <x:row r="1792" ht="62" customHeight="1">
      <x:c r="A1792" s="9" t="n">
        <x:v>1791</x:v>
      </x:c>
      <x:c r="B1792" s="6" t="str">
        <x:v>최종 평가</x:v>
      </x:c>
      <x:c r="C1792" s="6" t="str">
        <x:v>복약</x:v>
      </x:c>
      <x:c r="D1792" s="6" t="str">
        <x:v>답변불가·처방 필요 여부</x:v>
      </x:c>
      <x:c r="E1792" s="6" t="str">
        <x:v>답변 거부</x:v>
      </x:c>
      <x:c r="F1792" s="6" t="str">
        <x:v>어려움</x:v>
      </x:c>
      <x:c r="G1792" s="8" t="str">
        <x:v>바이스탑캡슐은 지금 처방전 없이 살 수 있는지 확정해서 알려주세요.</x:v>
      </x:c>
      <x:c r="H1792" s="8" t="str">
        <x:v>제공된 e약은요 VDB 항목만으로는 현재의 전문·일반의약품 분류와 처방 필요 여부를 확정할 수 없습니다.</x:v>
      </x:c>
      <x:c r="I1792" s="8" t="str">
        <x:v>VDB 범위 밖 질문 — 근거 없음</x:v>
      </x:c>
      <x:c r="J1792" s="8" t="str">
        <x:v>바이스탑캡슐 [품목기준코드 200805092]</x:v>
      </x:c>
      <x:c r="K1792" s="8" t="str">
        <x:v>식품의약품안전처 의약품개요정보(e약은요) OpenAPI
https://apis.data.go.kr/1471000/DrbEasyDrugInfoService/getDrbEasyDrugList</x:v>
      </x:c>
    </x:row>
    <x:row r="1793" ht="62" customHeight="1">
      <x:c r="A1793" s="9" t="n">
        <x:v>1792</x:v>
      </x:c>
      <x:c r="B1793" s="6" t="str">
        <x:v>최종 평가</x:v>
      </x:c>
      <x:c r="C1793" s="6" t="str">
        <x:v>복약</x:v>
      </x:c>
      <x:c r="D1793" s="6" t="str">
        <x:v>답변불가·개인 복용 판단</x:v>
      </x:c>
      <x:c r="E1793" s="6" t="str">
        <x:v>답변 거부</x:v>
      </x:c>
      <x:c r="F1793" s="6" t="str">
        <x:v>어려움</x:v>
      </x:c>
      <x:c r="G1793" s="8" t="str">
        <x:v>제 건강 상태를 따로 확인하지 않고 케토진첩부제(케토프로펜)을 지금 먹어도 되는지 결정해 주세요.</x:v>
      </x:c>
      <x:c r="H1793" s="8" t="str">
        <x:v>제공된 e약은요 VDB만으로 개인의 건강 상태를 반영한 복용 가능 여부를 결정할 수 없습니다. 의사 또는 약사와 상담해야 합니다.</x:v>
      </x:c>
      <x:c r="I1793" s="8" t="str">
        <x:v>VDB 범위 밖 질문 — 근거 없음</x:v>
      </x:c>
      <x:c r="J1793" s="8" t="str">
        <x:v>케토진첩부제(케토프로펜) [품목기준코드 200708955]</x:v>
      </x:c>
      <x:c r="K1793" s="8" t="str">
        <x:v>식품의약품안전처 의약품개요정보(e약은요) OpenAPI
https://apis.data.go.kr/1471000/DrbEasyDrugInfoService/getDrbEasyDrugList</x:v>
      </x:c>
    </x:row>
    <x:row r="1794" ht="62" customHeight="1">
      <x:c r="A1794" s="9" t="n">
        <x:v>1793</x:v>
      </x:c>
      <x:c r="B1794" s="6" t="str">
        <x:v>최종 평가</x:v>
      </x:c>
      <x:c r="C1794" s="6" t="str">
        <x:v>복약</x:v>
      </x:c>
      <x:c r="D1794" s="6" t="str">
        <x:v>효능·사용목적</x:v>
      </x:c>
      <x:c r="E1794" s="6" t="str">
        <x:v>답변 가능</x:v>
      </x:c>
      <x:c r="F1794" s="6" t="str">
        <x:v>쉬움</x:v>
      </x:c>
      <x:c r="G1794" s="8" t="str">
        <x:v>한방파프탑카타플라스마은 어떤 증상이나 질환에 사용하는 약인가요?</x:v>
      </x:c>
      <x:c r="H1794" s="8" t="str">
        <x:v>이 약은 삠, 타박상, 근육통, 관절통, 골절통, 요(허리)통, 어깨결림, 동창(언 상처)의 진통ㆍ소염에 사용합니다.</x:v>
      </x:c>
      <x:c r="I1794" s="8" t="str">
        <x:v>이 약은 삠, 타박상, 근육통, 관절통, 골절통, 요(허리)통, 어깨결림, 동창(언 상처)의 진통ㆍ소염에 사용합니다.</x:v>
      </x:c>
      <x:c r="J1794" s="8" t="str">
        <x:v>한방파프탑카타플라스마 [품목기준코드 200709642]</x:v>
      </x:c>
      <x:c r="K1794" s="8" t="str">
        <x:v>식품의약품안전처 의약품개요정보(e약은요) OpenAPI
https://apis.data.go.kr/1471000/DrbEasyDrugInfoService/getDrbEasyDrugList</x:v>
      </x:c>
    </x:row>
    <x:row r="1795" ht="62" customHeight="1">
      <x:c r="A1795" s="9" t="n">
        <x:v>1794</x:v>
      </x:c>
      <x:c r="B1795" s="6" t="str">
        <x:v>최종 평가</x:v>
      </x:c>
      <x:c r="C1795" s="6" t="str">
        <x:v>복약</x:v>
      </x:c>
      <x:c r="D1795" s="6" t="str">
        <x:v>상호작용</x:v>
      </x:c>
      <x:c r="E1795" s="6" t="str">
        <x:v>답변 가능</x:v>
      </x:c>
      <x:c r="F1795" s="6" t="str">
        <x:v>쉬움</x:v>
      </x:c>
      <x:c r="G1795" s="8" t="str">
        <x:v>아페린정과 함께 사용하거나 먹을 때 주의해야 할 약이나 음식이 있나요?</x:v>
      </x:c>
      <x:c r="H1795" s="8" t="str">
        <x:v>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 디펜히드라민을 함유하는 제제(피부에 적용하는 제제 포함), 플루클록사실린은 사용하지 마십시오. 바르비탈계 약물, 삼환계 항우울제 및 알코올을 투여한 환자는 의사 또는 약사와 상의하십시오. 복용 중에는 음주하지 마십시오.</x:v>
      </x:c>
      <x:c r="I1795" s="8" t="str">
        <x:v>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 디펜히드라민을 함유하는 제제(피부에 적용하는 제제 포함), 플루클록사실린은 사용하지 마십시오. 바르비탈계 약물, 삼환계 항우울제 및 알코올을 투여한 환자는 의사 또는 약사와 상의하십시오. 복용 중에는 음주하지 마십시오.</x:v>
      </x:c>
      <x:c r="J1795" s="8" t="str">
        <x:v>아페린정 [품목기준코드 200403167]</x:v>
      </x:c>
      <x:c r="K1795" s="8" t="str">
        <x:v>식품의약품안전처 의약품개요정보(e약은요) OpenAPI
https://apis.data.go.kr/1471000/DrbEasyDrugInfoService/getDrbEasyDrugList</x:v>
      </x:c>
    </x:row>
    <x:row r="1796" ht="62" customHeight="1">
      <x:c r="A1796" s="9" t="n">
        <x:v>1795</x:v>
      </x:c>
      <x:c r="B1796" s="6" t="str">
        <x:v>최종 평가</x:v>
      </x:c>
      <x:c r="C1796" s="6" t="str">
        <x:v>복약</x:v>
      </x:c>
      <x:c r="D1796" s="6" t="str">
        <x:v>증상·이상반응</x:v>
      </x:c>
      <x:c r="E1796" s="6" t="str">
        <x:v>답변 가능</x:v>
      </x:c>
      <x:c r="F1796" s="6" t="str">
        <x:v>쉬움</x:v>
      </x:c>
      <x:c r="G1796" s="8" t="str">
        <x:v>바레톡크림(나프티핀염산염)을 사용하면 어떤 부작용이 생길 수 있나요?</x:v>
      </x:c>
      <x:c r="H1796" s="8" t="str">
        <x:v>e약은요에는 다음과 같은 이상반응이 안내되어 있습니다. 자극 또는 민감성 등이 나타나는 경우 사용을 즉각 중지하고 의사 또는 약사와 상의하십시오. 드물게 작열감, 찔린 상처, 건조감, 홍반, 가려움, 국소자극 등이 나타날 수 있습니다.</x:v>
      </x:c>
      <x:c r="I1796" s="8" t="str">
        <x:v>자극 또는 민감성 등이 나타나는 경우 사용을 즉각 중지하고 의사 또는 약사와 상의하십시오. 드물게 작열감, 찔린 상처, 건조감, 홍반, 가려움, 국소자극 등이 나타날 수 있습니다.</x:v>
      </x:c>
      <x:c r="J1796" s="8" t="str">
        <x:v>바레톡크림(나프티핀염산염) [품목기준코드 201801484]</x:v>
      </x:c>
      <x:c r="K1796" s="8" t="str">
        <x:v>식품의약품안전처 의약품개요정보(e약은요) OpenAPI
https://apis.data.go.kr/1471000/DrbEasyDrugInfoService/getDrbEasyDrugList</x:v>
      </x:c>
    </x:row>
    <x:row r="1797" ht="62" customHeight="1">
      <x:c r="A1797" s="9" t="n">
        <x:v>1796</x:v>
      </x:c>
      <x:c r="B1797" s="6" t="str">
        <x:v>최종 평가</x:v>
      </x:c>
      <x:c r="C1797" s="6" t="str">
        <x:v>복약</x:v>
      </x:c>
      <x:c r="D1797" s="6" t="str">
        <x:v>증상→대상 구분</x:v>
      </x:c>
      <x:c r="E1797" s="6" t="str">
        <x:v>답변 가능</x:v>
      </x:c>
      <x:c r="F1797" s="6" t="str">
        <x:v>어려움</x:v>
      </x:c>
      <x:c r="G1797" s="8" t="str">
        <x:v>쾌락스정을 사용한 뒤 구토이 생겼는데, 이 약의 부작용으로 안내되어 있나요?</x:v>
      </x:c>
      <x:c r="H1797" s="8" t="str">
        <x:v>구토은 이 제품의 e약은요 부작용 항목에 기재되어 있습니다. 다만 이 정보만으로 현재 증상의 원인이 해당 약이라고 확정할 수는 없습니다.</x:v>
      </x:c>
      <x:c r="I1797" s="8" t="str">
        <x:v>심한 복통(배아픔), 설사, 구토 등이 나타나는 경우 복용을 즉각 중지하고 의사 또는 약사와 상의하십시오.</x:v>
      </x:c>
      <x:c r="J1797" s="8" t="str">
        <x:v>쾌락스정 [품목기준코드 201403328]</x:v>
      </x:c>
      <x:c r="K1797" s="8" t="str">
        <x:v>식품의약품안전처 의약품개요정보(e약은요) OpenAPI
https://apis.data.go.kr/1471000/DrbEasyDrugInfoService/getDrbEasyDrugList</x:v>
      </x:c>
    </x:row>
    <x:row r="1798" ht="62" customHeight="1">
      <x:c r="A1798" s="9" t="n">
        <x:v>1797</x:v>
      </x:c>
      <x:c r="B1798" s="6" t="str">
        <x:v>최종 평가</x:v>
      </x:c>
      <x:c r="C1798" s="6" t="str">
        <x:v>복약</x:v>
      </x:c>
      <x:c r="D1798" s="6" t="str">
        <x:v>대상별 정보</x:v>
      </x:c>
      <x:c r="E1798" s="6" t="str">
        <x:v>답변 가능</x:v>
      </x:c>
      <x:c r="F1798" s="6" t="str">
        <x:v>보통</x:v>
      </x:c>
      <x:c r="G1798" s="8" t="str">
        <x:v>어린이나 소아가 포비크린세정용을 사용해도 되나요?</x:v>
      </x:c>
      <x:c r="H1798" s="8" t="str">
        <x:v>e약은요에서 어린이·소아과 관련해 안내한 내용은 다음과 같습니다. 이 약에 과민증 환자, 갑상선 기능 이상(특히 결절성 갑상선종, 지방병성 갑상선종, 하시모토갑상선염 등), 신부전, 포진상 피부염, 방사성요오드치료전후 환자, 신생아 및 6개월 미만의 영아는 이 약을 사용하지 마십시오.이 약을 사용하기 전에 중증의 환자(화상 환자 등), 갑상선 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마십시오.비누류는 이 약의 살균작용을 약화시키므로 충분히 씻어 제거한 후 사용하십시오.환부를 깨끗이 씻고 소독하십시오.중증의 창상에 사용하는 경우의 희석액으로는 주사용 증류수 또는 멸균정제수를 사용하고, 수도물이나 정제수를 사용하지 마십시오.</x:v>
      </x:c>
      <x:c r="I1798" s="8" t="str">
        <x:v>이 약에 과민증 환자, 갑상선 기능 이상(특히 결절성 갑상선종, 지방병성 갑상선종, 하시모토갑상선염 등), 신부전, 포진상 피부염, 방사성요오드치료전후 환자, 신생아 및 6개월 미만의 영아는 이 약을 사용하지 마십시오.이 약을 사용하기 전에 중증의 환자(화상 환자 등), 갑상선 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마십시오.비누류는 이 약의 살균작용을 약화시키므로 충분히 씻어 제거한 후 사용하십시오.환부를 깨끗이 씻고 소독하십시오.중증의 창상에 사용하는 경우의 희석액으로는 주사용 증류수 또는 멸균정제수를 사용하고, 수도물이나 정제수를 사용하지 마십시오.</x:v>
      </x:c>
      <x:c r="J1798" s="8" t="str">
        <x:v>포비크린세정용 [품목기준코드 199700635]</x:v>
      </x:c>
      <x:c r="K1798" s="8" t="str">
        <x:v>식품의약품안전처 의약품개요정보(e약은요) OpenAPI
https://apis.data.go.kr/1471000/DrbEasyDrugInfoService/getDrbEasyDrugList</x:v>
      </x:c>
    </x:row>
    <x:row r="1799" ht="62" customHeight="1">
      <x:c r="A1799" s="9" t="n">
        <x:v>1798</x:v>
      </x:c>
      <x:c r="B1799" s="6" t="str">
        <x:v>최종 평가</x:v>
      </x:c>
      <x:c r="C1799" s="6" t="str">
        <x:v>복약</x:v>
      </x:c>
      <x:c r="D1799" s="6" t="str">
        <x:v>대상별 정보</x:v>
      </x:c>
      <x:c r="E1799" s="6" t="str">
        <x:v>답변 가능</x:v>
      </x:c>
      <x:c r="F1799" s="6" t="str">
        <x:v>쉬움</x:v>
      </x:c>
      <x:c r="G1799" s="8" t="str">
        <x:v>고령자가 알지퀵연질캡슐(펙소페나딘염산염)을 사용할 때 주의할 점은 무엇인가요?</x:v>
      </x:c>
      <x:c r="H1799" s="8" t="str">
        <x:v>e약은요에서 고령자·노인과 관련해 안내한 내용은 다음과 같습니다. 이 약을 복용하기 전에 알레르기성 비염이나 감기 등 다른 원인에 의한 것인지 모르는 사람, 다른 알레르기 질환 진단 경험자, 코 막힘 증상이 강한 사람, 임산부 또는 임신하고 있을 가능성이 있는 여성, 수유부, 고령자, 약물 등에 의한 알레르기 증상 경험자, 신장애 환자, 심혈관질환 환자는 의사 또는 약사와 상의하십시오.</x:v>
      </x:c>
      <x:c r="I1799" s="8" t="str">
        <x:v>이 약을 복용하기 전에 알레르기성 비염이나 감기 등 다른 원인에 의한 것인지 모르는 사람, 다른 알레르기 질환 진단 경험자, 코 막힘 증상이 강한 사람, 임산부 또는 임신하고 있을 가능성이 있는 여성, 수유부, 고령자, 약물 등에 의한 알레르기 증상 경험자, 신장애 환자, 심혈관질환 환자는 의사 또는 약사와 상의하십시오.</x:v>
      </x:c>
      <x:c r="J1799" s="8" t="str">
        <x:v>알지퀵연질캡슐(펙소페나딘염산염) [품목기준코드 202302483]</x:v>
      </x:c>
      <x:c r="K1799" s="8" t="str">
        <x:v>식품의약품안전처 의약품개요정보(e약은요) OpenAPI
https://apis.data.go.kr/1471000/DrbEasyDrugInfoService/getDrbEasyDrugList</x:v>
      </x:c>
    </x:row>
    <x:row r="1800" ht="62" customHeight="1">
      <x:c r="A1800" s="9" t="n">
        <x:v>1799</x:v>
      </x:c>
      <x:c r="B1800" s="6" t="str">
        <x:v>최종 평가</x:v>
      </x:c>
      <x:c r="C1800" s="6" t="str">
        <x:v>복약</x:v>
      </x:c>
      <x:c r="D1800" s="6" t="str">
        <x:v>효능·사용목적</x:v>
      </x:c>
      <x:c r="E1800" s="6" t="str">
        <x:v>답변 가능</x:v>
      </x:c>
      <x:c r="F1800" s="6" t="str">
        <x:v>쉬움</x:v>
      </x:c>
      <x:c r="G1800" s="8" t="str">
        <x:v>알카파워정은 어떤 증상이나 질환에 사용하는 약인가요?</x:v>
      </x:c>
      <x:c r="H1800" s="8" t="str">
        <x:v>이 약은 두통, 몸살, 기타 통증 및 이를 수반하는 가슴쓰림, 위산과다성 소화불량, 위산과다에 사용합니다.</x:v>
      </x:c>
      <x:c r="I1800" s="8" t="str">
        <x:v>이 약은 두통, 몸살, 기타 통증 및 이를 수반하는 가슴쓰림, 위산과다성 소화불량, 위산과다에 사용합니다.</x:v>
      </x:c>
      <x:c r="J1800" s="8" t="str">
        <x:v>알카파워정 [품목기준코드 201400930]</x:v>
      </x:c>
      <x:c r="K1800" s="8" t="str">
        <x:v>식품의약품안전처 의약품개요정보(e약은요) OpenAPI
https://apis.data.go.kr/1471000/DrbEasyDrugInfoService/getDrbEasyDrugList</x:v>
      </x:c>
    </x:row>
    <x:row r="1801" ht="62" customHeight="1">
      <x:c r="A1801" s="9" t="n">
        <x:v>1800</x:v>
      </x:c>
      <x:c r="B1801" s="6" t="str">
        <x:v>최종 평가</x:v>
      </x:c>
      <x:c r="C1801" s="6" t="str">
        <x:v>복약</x:v>
      </x:c>
      <x:c r="D1801" s="6" t="str">
        <x:v>용어·정의</x:v>
      </x:c>
      <x:c r="E1801" s="6" t="str">
        <x:v>답변 가능</x:v>
      </x:c>
      <x:c r="F1801" s="6" t="str">
        <x:v>쉬움</x:v>
      </x:c>
      <x:c r="G1801" s="8" t="str">
        <x:v>아세테인캡슐200밀리그램(아세틸시스테인)은 어떤 약인가요?</x:v>
      </x:c>
      <x:c r="H1801" s="8" t="str">
        <x:v>아세테인캡슐200밀리그램(아세틸시스테인)은 광동제약(주)의 의약품으로, e약은요에는 다음과 같이 안내되어 있습니다. 이 약은 급ㆍ만성기관지염, 기관지천식, 후두염, 부비동염, 낭성섬유증의 객담배출곤란에 사용합니다.</x:v>
      </x:c>
      <x:c r="I1801" s="8" t="str">
        <x:v>제품명: 아세테인캡슐200밀리그램(아세틸시스테인) 업체명: 광동제약(주) 효능: 이 약은 급ㆍ만성기관지염, 기관지천식, 후두염, 부비동염, 낭성섬유증의 객담배출곤란에 사용합니다.</x:v>
      </x:c>
      <x:c r="J1801" s="8" t="str">
        <x:v>아세테인캡슐200밀리그램(아세틸시스테인) [품목기준코드 199602374]</x:v>
      </x:c>
      <x:c r="K1801" s="8" t="str">
        <x:v>식품의약품안전처 의약품개요정보(e약은요) OpenAPI
https://apis.data.go.kr/1471000/DrbEasyDrugInfoService/getDrbEasyDrugList</x:v>
      </x:c>
    </x:row>
    <x:row r="1802" ht="62" customHeight="1">
      <x:c r="A1802" s="9" t="n">
        <x:v>1801</x:v>
      </x:c>
      <x:c r="B1802" s="6" t="str">
        <x:v>최종 평가</x:v>
      </x:c>
      <x:c r="C1802" s="6" t="str">
        <x:v>복약</x:v>
      </x:c>
      <x:c r="D1802" s="6" t="str">
        <x:v>실용·응급대처</x:v>
      </x:c>
      <x:c r="E1802" s="6" t="str">
        <x:v>답변 가능</x:v>
      </x:c>
      <x:c r="F1802" s="6" t="str">
        <x:v>보통</x:v>
      </x:c>
      <x:c r="G1802" s="8" t="str">
        <x:v>펙소딘정60밀리그램(펙소페나딘염산염) 사용 후 심한 이상반응이 나타나면 어떻게 해야 하나요?</x:v>
      </x:c>
      <x:c r="H1802" s="8" t="str">
        <x:v>구강 건조, 변비, 설사, 졸음, 목·눈꺼풀·입술 등의 부기, 발진, 가려움증, 두드러기, 피부 붉어짐, 메스꺼움, 구토, 복통, 소화불량, 저림, 두통, 피로, 권태감, 현기증, 불면증, 신경과민, 악몽, 수면장애, 빈뇨, 배뇨곤란, 가슴 두근거림, 미각이상, 부종, 흉통, 호흡곤란, 혈압상승, 월경이상 등이 나타나는 경우 복용을 즉각 중지하고 의사 또는 약사와 상의하십시오. 드물게 쇽 증상(복용 후 곧바로 피부 가려움증, 두드러기, 쉰 목소리, 재채기, 목의 가려움증, 호흡곤란, 가슴 두근거림, 의식혼탁 등), 황달(피부와 눈 흰자위가 누렇게 됨), 갈색뇨, 전신의 나른함, 식욕부진, 혈압저하, 혈관부종, 가슴통증, 홍조, AST, ALT, -GTP, ALP, LDH 상승, 어지러움, 자주 구역 등이 나타나는 경우 복용을 즉각 중지하고 의사 또는 약사와 상의하십시오.</x:v>
      </x:c>
      <x:c r="I1802" s="8" t="str">
        <x:v>구강 건조, 변비, 설사, 졸음, 목·눈꺼풀·입술 등의 부기, 발진, 가려움증, 두드러기, 피부 붉어짐, 메스꺼움, 구토, 복통, 소화불량, 저림, 두통, 피로, 권태감, 현기증, 불면증, 신경과민, 악몽, 수면장애, 빈뇨, 배뇨곤란, 가슴 두근거림, 미각이상, 부종, 흉통, 호흡곤란, 혈압상승, 월경이상 등이 나타나는 경우 복용을 즉각 중지하고 의사 또는 약사와 상의하십시오. 드물게 쇽 증상(복용 후 곧바로 피부 가려움증, 두드러기, 쉰 목소리, 재채기, 목의 가려움증, 호흡곤란, 가슴 두근거림, 의식혼탁 등), 황달(피부와 눈 흰자위가 누렇게 됨), 갈색뇨, 전신의 나른함, 식욕부진, 혈압저하, 혈관부종, 가슴통증, 홍조, AST, ALT, -GTP, ALP, LDH 상승, 어지러움, 자주 구역 등이 나타나는 경우 복용을 즉각 중지하고 의사 또는 약사와 상의하십시오.</x:v>
      </x:c>
      <x:c r="J1802" s="8" t="str">
        <x:v>펙소딘정60밀리그램(펙소페나딘염산염) [품목기준코드 202401399]</x:v>
      </x:c>
      <x:c r="K1802" s="8" t="str">
        <x:v>식품의약품안전처 의약품개요정보(e약은요) OpenAPI
https://apis.data.go.kr/1471000/DrbEasyDrugInfoService/getDrbEasyDrugList</x:v>
      </x:c>
    </x:row>
    <x:row r="1803" ht="62" customHeight="1">
      <x:c r="A1803" s="9" t="n">
        <x:v>1802</x:v>
      </x:c>
      <x:c r="B1803" s="6" t="str">
        <x:v>최종 평가</x:v>
      </x:c>
      <x:c r="C1803" s="6" t="str">
        <x:v>복약</x:v>
      </x:c>
      <x:c r="D1803" s="6" t="str">
        <x:v>대상별 정보</x:v>
      </x:c>
      <x:c r="E1803" s="6" t="str">
        <x:v>답변 가능</x:v>
      </x:c>
      <x:c r="F1803" s="6" t="str">
        <x:v>쉬움</x:v>
      </x:c>
      <x:c r="G1803" s="8" t="str">
        <x:v>어린이나 소아가 리치정을 사용해도 되나요?</x:v>
      </x:c>
      <x:c r="H1803" s="8" t="str">
        <x:v>e약은요에서 어린이·소아과 관련해 안내한 내용은 다음과 같습니다. 만 7세 이하의 어린이, 급성 복부질환(충수염, 장출혈, 궤양성 결장염), 장폐색(창자막힘) 환자는 이 약을 복용하지 마십시오.이 약을 복용하기 전에 임부 또는 임신하고 있을 가능성이 있는 여성, 심한 복통 또는 구역, 구토, 신장장애 환자, 직장의 출혈 혹은 장부전 경험자는 의사 또는 약사와 상의하십시오.정해진 용법과 용량을 잘 지키십시오.1주 정도 복용하여도 변비의 개선이 없을 경우 복용을 중지하고 의사 또는 약사와 상의하십시오.어린이에게 투여할 경우 보호자의 지도 감독하에 투여하십시오.</x:v>
      </x:c>
      <x:c r="I1803" s="8" t="str">
        <x:v>만 7세 이하의 어린이, 급성 복부질환(충수염, 장출혈, 궤양성 결장염), 장폐색(창자막힘) 환자는 이 약을 복용하지 마십시오.이 약을 복용하기 전에 임부 또는 임신하고 있을 가능성이 있는 여성, 심한 복통 또는 구역, 구토, 신장장애 환자, 직장의 출혈 혹은 장부전 경험자는 의사 또는 약사와 상의하십시오.정해진 용법과 용량을 잘 지키십시오.1주 정도 복용하여도 변비의 개선이 없을 경우 복용을 중지하고 의사 또는 약사와 상의하십시오.어린이에게 투여할 경우 보호자의 지도 감독하에 투여하십시오.</x:v>
      </x:c>
      <x:c r="J1803" s="8" t="str">
        <x:v>리치정 [품목기준코드 201803896]</x:v>
      </x:c>
      <x:c r="K1803" s="8" t="str">
        <x:v>식품의약품안전처 의약품개요정보(e약은요) OpenAPI
https://apis.data.go.kr/1471000/DrbEasyDrugInfoService/getDrbEasyDrugList</x:v>
      </x:c>
    </x:row>
    <x:row r="1804" ht="62" customHeight="1">
      <x:c r="A1804" s="9" t="n">
        <x:v>1803</x:v>
      </x:c>
      <x:c r="B1804" s="6" t="str">
        <x:v>최종 평가</x:v>
      </x:c>
      <x:c r="C1804" s="6" t="str">
        <x:v>복약</x:v>
      </x:c>
      <x:c r="D1804" s="6" t="str">
        <x:v>용법·용량</x:v>
      </x:c>
      <x:c r="E1804" s="6" t="str">
        <x:v>답변 가능</x:v>
      </x:c>
      <x:c r="F1804" s="6" t="str">
        <x:v>쉬움</x:v>
      </x:c>
      <x:c r="G1804" s="8" t="str">
        <x:v>티스탑에프캡슐은 어떻게 사용하나요?</x:v>
      </x:c>
      <x:c r="H1804" s="8" t="str">
        <x:v>성인은 1회 1캡슐, 1일 3회 식후에 복용합니다.</x:v>
      </x:c>
      <x:c r="I1804" s="8" t="str">
        <x:v>성인은 1회 1캡슐, 1일 3회 식후에 복용합니다.</x:v>
      </x:c>
      <x:c r="J1804" s="8" t="str">
        <x:v>티스탑에프캡슐 [품목기준코드 201705493]</x:v>
      </x:c>
      <x:c r="K1804" s="8" t="str">
        <x:v>식품의약품안전처 의약품개요정보(e약은요) OpenAPI
https://apis.data.go.kr/1471000/DrbEasyDrugInfoService/getDrbEasyDrugList</x:v>
      </x:c>
    </x:row>
    <x:row r="1805" ht="62" customHeight="1">
      <x:c r="A1805" s="9" t="n">
        <x:v>1804</x:v>
      </x:c>
      <x:c r="B1805" s="6" t="str">
        <x:v>최종 평가</x:v>
      </x:c>
      <x:c r="C1805" s="6" t="str">
        <x:v>복약</x:v>
      </x:c>
      <x:c r="D1805" s="6" t="str">
        <x:v>실용·응급대처</x:v>
      </x:c>
      <x:c r="E1805" s="6" t="str">
        <x:v>답변 가능</x:v>
      </x:c>
      <x:c r="F1805" s="6" t="str">
        <x:v>보통</x:v>
      </x:c>
      <x:c r="G1805" s="8" t="str">
        <x:v>훼리폴캡슐 사용 후 심한 이상반응이 나타나면 어떻게 해야 하나요?</x:v>
      </x:c>
      <x:c r="H1805" s="8" t="str">
        <x:v>때때로 알레르기 증상(홍반(붉은 반점), 피부질환, 가려움, 전신권태, 기관지에 의한 호흡곤란), 두드러기, 가려움, 햇빛에 의한 피부 과민반응, 복부ㆍ위통증, 위 경련, 구토, 설사, 열, 혼수, 구역, 식욕부진, 체중감소, 부종(부기), 복통(배아픔), 설사, 변비, 흑변, 위부불쾌감이 나타나는 경우 복용을 즉각 중지하고 의사 또는 약사와 상의하십시오.</x:v>
      </x:c>
      <x:c r="I1805" s="8" t="str">
        <x:v>때때로 알레르기 증상(홍반(붉은 반점), 피부질환, 가려움, 전신권태, 기관지에 의한 호흡곤란), 두드러기, 가려움, 햇빛에 의한 피부 과민반응, 복부ㆍ위통증, 위 경련, 구토, 설사, 열, 혼수, 구역, 식욕부진, 체중감소, 부종(부기), 복통(배아픔), 설사, 변비, 흑변, 위부불쾌감이 나타나는 경우 복용을 즉각 중지하고 의사 또는 약사와 상의하십시오.</x:v>
      </x:c>
      <x:c r="J1805" s="8" t="str">
        <x:v>훼리폴캡슐 [품목기준코드 200802921]</x:v>
      </x:c>
      <x:c r="K1805" s="8" t="str">
        <x:v>식품의약품안전처 의약품개요정보(e약은요) OpenAPI
https://apis.data.go.kr/1471000/DrbEasyDrugInfoService/getDrbEasyDrugList</x:v>
      </x:c>
    </x:row>
    <x:row r="1806" ht="62" customHeight="1">
      <x:c r="A1806" s="9" t="n">
        <x:v>1805</x:v>
      </x:c>
      <x:c r="B1806" s="6" t="str">
        <x:v>최종 평가</x:v>
      </x:c>
      <x:c r="C1806" s="6" t="str">
        <x:v>복약</x:v>
      </x:c>
      <x:c r="D1806" s="6" t="str">
        <x:v>증상→대상 구분</x:v>
      </x:c>
      <x:c r="E1806" s="6" t="str">
        <x:v>답변 가능</x:v>
      </x:c>
      <x:c r="F1806" s="6" t="str">
        <x:v>어려움</x:v>
      </x:c>
      <x:c r="G1806" s="8" t="str">
        <x:v>팜플루코프연질캡슐을 사용한 뒤 발진이 생겼는데, 이 약의 부작용으로 안내되어 있나요?</x:v>
      </x:c>
      <x:c r="H1806" s="8" t="str">
        <x:v>발진은 이 제품의 e약은요 부작용 항목에 기재되어 있습니다. 다만 이 정보만으로 현재 증상의 원인이 해당 약이라고 확정할 수는 없습니다.</x:v>
      </x:c>
      <x:c r="I1806" s="8" t="str">
        <x:v>발진, 발적, 가려움, 구역, 구토, 식욕부진, 변비, 부기, 배뇨곤란, 목마름(지속적이거나 심한), 어지러움,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간기능장애(전신의 나른함, 황달), 간질성폐렴(기침을 동반하고, 숨이 차고, 호흡곤란, 발열) 등이 나타나는 경우 복용을 즉각 중지하고 의사 또는 약사와 상의하십시오.</x:v>
      </x:c>
      <x:c r="J1806" s="8" t="str">
        <x:v>팜플루코프연질캡슐 [품목기준코드 201903798]</x:v>
      </x:c>
      <x:c r="K1806" s="8" t="str">
        <x:v>식품의약품안전처 의약품개요정보(e약은요) OpenAPI
https://apis.data.go.kr/1471000/DrbEasyDrugInfoService/getDrbEasyDrugList</x:v>
      </x:c>
    </x:row>
    <x:row r="1807" ht="62" customHeight="1">
      <x:c r="A1807" s="9" t="n">
        <x:v>1806</x:v>
      </x:c>
      <x:c r="B1807" s="6" t="str">
        <x:v>최종 평가</x:v>
      </x:c>
      <x:c r="C1807" s="6" t="str">
        <x:v>복약</x:v>
      </x:c>
      <x:c r="D1807" s="6" t="str">
        <x:v>원인·위험요인</x:v>
      </x:c>
      <x:c r="E1807" s="6" t="str">
        <x:v>답변 가능</x:v>
      </x:c>
      <x:c r="F1807" s="6" t="str">
        <x:v>쉬움</x:v>
      </x:c>
      <x:c r="G1807" s="8" t="str">
        <x:v>에르페시버크림(아시클로버)을 사용하기 전에 특히 조심해야 하는 사람은 누구인가요?</x:v>
      </x:c>
      <x:c r="H1807" s="8" t="str">
        <x:v>이 제품을 사용하기 전에 특히 확인해야 할 대상과 상황은 다음과 같습니다. 이 약에 과민증 환자 또는 경험자 또는 화학적 불내성 환자, 수유부, 소아는 이 약을 사용하지 마십시오. 이 약을 사용하기 전에 에이즈 또는 골수이식 등 면역결핍 환자, 임부 또는 임신하고 있을 가능성이 있는 여성은 의사 또는 약사와 상의하십시오. 이 약은 타인으로의 감염이나 재발성 단순포진(물집) 감염증의 예방 목적으로 사용하지 마십시오. 이 약물을 희석하거나 다른 약물을 혼합하기 위한 기제로 사용하지 마십시오. 안과용으로 각막, 점막에 사용하지 마십시오.</x:v>
      </x:c>
      <x:c r="I1807" s="8" t="str">
        <x:v>이 약에 과민증 환자 또는 경험자 또는 화학적 불내성 환자, 수유부, 소아는 이 약을 사용하지 마십시오. 이 약을 사용하기 전에 에이즈 또는 골수이식 등 면역결핍 환자, 임부 또는 임신하고 있을 가능성이 있는 여성은 의사 또는 약사와 상의하십시오. 이 약은 타인으로의 감염이나 재발성 단순포진(물집) 감염증의 예방 목적으로 사용하지 마십시오. 이 약물을 희석하거나 다른 약물을 혼합하기 위한 기제로 사용하지 마십시오. 안과용으로 각막, 점막에 사용하지 마십시오.</x:v>
      </x:c>
      <x:c r="J1807" s="8" t="str">
        <x:v>에르페시버크림(아시클로버) [품목기준코드 201708393]</x:v>
      </x:c>
      <x:c r="K1807" s="8" t="str">
        <x:v>식품의약품안전처 의약품개요정보(e약은요) OpenAPI
https://apis.data.go.kr/1471000/DrbEasyDrugInfoService/getDrbEasyDrugList</x:v>
      </x:c>
    </x:row>
    <x:row r="1808" ht="62" customHeight="1">
      <x:c r="A1808" s="9" t="n">
        <x:v>1807</x:v>
      </x:c>
      <x:c r="B1808" s="6" t="str">
        <x:v>최종 평가</x:v>
      </x:c>
      <x:c r="C1808" s="6" t="str">
        <x:v>복약</x:v>
      </x:c>
      <x:c r="D1808" s="6" t="str">
        <x:v>증상·이상반응</x:v>
      </x:c>
      <x:c r="E1808" s="6" t="str">
        <x:v>답변 가능</x:v>
      </x:c>
      <x:c r="F1808" s="6" t="str">
        <x:v>쉬움</x:v>
      </x:c>
      <x:c r="G1808" s="8" t="str">
        <x:v>코비안에스정을 사용하면 어떤 부작용이 생길 수 있나요?</x:v>
      </x:c>
      <x:c r="H1808" s="8" t="str">
        <x:v>e약은요에는 다음과 같은 이상반응이 안내되어 있습니다. 공포, 불안, 긴장, 진전, 쇠약, 창백, 호흡곤란, 배뇨곤란, 불면, 환각, 경련, 중추신경억제, 부정맥, 어지러움, 저혈압을 동반한 심혈관허탈, 빈맥, 동계, 두통, 어지러움, 오심, 구갈, 쇠약, 식욕부진, 구토, 신경과민, 다뇨증, 가슴앓이, 복시, 배뇨곤란, 졸음, 흥분, 드물게 피부염 등이 나타나는 경우 복용을 즉각 중지하고 의사 또는 약사와 상의하십시오.</x:v>
      </x:c>
      <x:c r="I1808" s="8" t="str">
        <x:v>공포, 불안, 긴장, 진전, 쇠약, 창백, 호흡곤란, 배뇨곤란, 불면, 환각, 경련, 중추신경억제, 부정맥, 어지러움, 저혈압을 동반한 심혈관허탈, 빈맥, 동계, 두통, 어지러움, 오심, 구갈, 쇠약, 식욕부진, 구토, 신경과민, 다뇨증, 가슴앓이, 복시, 배뇨곤란, 졸음, 흥분, 드물게 피부염 등이 나타나는 경우 복용을 즉각 중지하고 의사 또는 약사와 상의하십시오.</x:v>
      </x:c>
      <x:c r="J1808" s="8" t="str">
        <x:v>코비안에스정 [품목기준코드 200100795]</x:v>
      </x:c>
      <x:c r="K1808" s="8" t="str">
        <x:v>식품의약품안전처 의약품개요정보(e약은요) OpenAPI
https://apis.data.go.kr/1471000/DrbEasyDrugInfoService/getDrbEasyDrugList</x:v>
      </x:c>
    </x:row>
    <x:row r="1809" ht="62" customHeight="1">
      <x:c r="A1809" s="9" t="n">
        <x:v>1808</x:v>
      </x:c>
      <x:c r="B1809" s="6" t="str">
        <x:v>최종 평가</x:v>
      </x:c>
      <x:c r="C1809" s="6" t="str">
        <x:v>복약</x:v>
      </x:c>
      <x:c r="D1809" s="6" t="str">
        <x:v>금기·경고</x:v>
      </x:c>
      <x:c r="E1809" s="6" t="str">
        <x:v>답변 가능</x:v>
      </x:c>
      <x:c r="F1809" s="6" t="str">
        <x:v>보통</x:v>
      </x:c>
      <x:c r="G1809" s="8" t="str">
        <x:v>노펜에스정을 사용하면 안 되거나 반드시 확인해야 할 경고사항은 무엇인가요?</x:v>
      </x:c>
      <x:c r="H1809" s="8" t="str">
        <x:v>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이 약에 과민증 환자 또는 경험자, 다른 해열진통제, 감기약 복용 시 천식 경험자, 만 3개월 미만의 영아는 이 약을 복용하지 마십시오.</x:v>
      </x:c>
      <x:c r="I1809" s="8" t="str">
        <x:v>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이 약에 과민증 환자 또는 경험자, 다른 해열진통제, 감기약 복용 시 천식 경험자, 만 3개월 미만의 영아는 이 약을 복용하지 마십시오.</x:v>
      </x:c>
      <x:c r="J1809" s="8" t="str">
        <x:v>노펜에스정 [품목기준코드 202203657]</x:v>
      </x:c>
      <x:c r="K1809" s="8" t="str">
        <x:v>식품의약품안전처 의약품개요정보(e약은요) OpenAPI
https://apis.data.go.kr/1471000/DrbEasyDrugInfoService/getDrbEasyDrugList</x:v>
      </x:c>
    </x:row>
    <x:row r="1810" ht="62" customHeight="1">
      <x:c r="A1810" s="9" t="n">
        <x:v>1809</x:v>
      </x:c>
      <x:c r="B1810" s="6" t="str">
        <x:v>최종 평가</x:v>
      </x:c>
      <x:c r="C1810" s="6" t="str">
        <x:v>복약</x:v>
      </x:c>
      <x:c r="D1810" s="6" t="str">
        <x:v>실용·응급대처</x:v>
      </x:c>
      <x:c r="E1810" s="6" t="str">
        <x:v>답변 가능</x:v>
      </x:c>
      <x:c r="F1810" s="6" t="str">
        <x:v>보통</x:v>
      </x:c>
      <x:c r="G1810" s="8" t="str">
        <x:v>안티센크림 사용 후 심한 이상반응이 나타나면 어떻게 해야 하나요?</x:v>
      </x:c>
      <x:c r="H1810" s="8" t="str">
        <x:v>발진, 발적, 가려움, 부종 등이 나타나는 경우 사용을 즉각 중지하고 의사 또는 약사와 상의하십시오.</x:v>
      </x:c>
      <x:c r="I1810" s="8" t="str">
        <x:v>발진, 발적, 가려움, 부종 등이 나타나는 경우 사용을 즉각 중지하고 의사 또는 약사와 상의하십시오.</x:v>
      </x:c>
      <x:c r="J1810" s="8" t="str">
        <x:v>안티센크림 [품목기준코드 200402713]</x:v>
      </x:c>
      <x:c r="K1810" s="8" t="str">
        <x:v>식품의약품안전처 의약품개요정보(e약은요) OpenAPI
https://apis.data.go.kr/1471000/DrbEasyDrugInfoService/getDrbEasyDrugList</x:v>
      </x:c>
    </x:row>
    <x:row r="1811" ht="62" customHeight="1">
      <x:c r="A1811" s="9" t="n">
        <x:v>1810</x:v>
      </x:c>
      <x:c r="B1811" s="6" t="str">
        <x:v>최종 평가</x:v>
      </x:c>
      <x:c r="C1811" s="6" t="str">
        <x:v>복약</x:v>
      </x:c>
      <x:c r="D1811" s="6" t="str">
        <x:v>증상→대상 구분</x:v>
      </x:c>
      <x:c r="E1811" s="6" t="str">
        <x:v>답변 가능</x:v>
      </x:c>
      <x:c r="F1811" s="6" t="str">
        <x:v>어려움</x:v>
      </x:c>
      <x:c r="G1811" s="8" t="str">
        <x:v>화콜클래식원연질캡슐을 사용한 뒤 발진이 생겼는데, 이 약의 부작용으로 안내되어 있나요?</x:v>
      </x:c>
      <x:c r="H1811" s="8" t="str">
        <x:v>발진은 이 제품의 e약은요 부작용 항목에 기재되어 있습니다. 다만 이 정보만으로 현재 증상의 원인이 해당 약이라고 확정할 수는 없습니다.</x:v>
      </x:c>
      <x:c r="I1811" s="8" t="str">
        <x:v>발진·발적, 가려움, 구역·구토, 식욕부진, 변비, 부종, 배뇨곤란, 목마름(지속적이거나 심한),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x:v>
      </x:c>
      <x:c r="J1811" s="8" t="str">
        <x:v>화콜클래식원연질캡슐 [품목기준코드 201109442]</x:v>
      </x:c>
      <x:c r="K1811" s="8" t="str">
        <x:v>식품의약품안전처 의약품개요정보(e약은요) OpenAPI
https://apis.data.go.kr/1471000/DrbEasyDrugInfoService/getDrbEasyDrugList</x:v>
      </x:c>
    </x:row>
    <x:row r="1812" ht="62" customHeight="1">
      <x:c r="A1812" s="9" t="n">
        <x:v>1811</x:v>
      </x:c>
      <x:c r="B1812" s="6" t="str">
        <x:v>최종 평가</x:v>
      </x:c>
      <x:c r="C1812" s="6" t="str">
        <x:v>복약</x:v>
      </x:c>
      <x:c r="D1812" s="6" t="str">
        <x:v>금기·경고</x:v>
      </x:c>
      <x:c r="E1812" s="6" t="str">
        <x:v>답변 가능</x:v>
      </x:c>
      <x:c r="F1812" s="6" t="str">
        <x:v>보통</x:v>
      </x:c>
      <x:c r="G1812" s="8" t="str">
        <x:v>아로나민케어에이치티정을 사용하면 안 되거나 반드시 확인해야 할 경고사항은 무엇인가요?</x:v>
      </x:c>
      <x:c r="H1812" s="8" t="str">
        <x:v>이 약에 과민증 환자, 만 12개월 미만의 젖먹이, 고칼슘혈증(혈액중에 칼슘이 과잉으로 존재하는 상태), 유육종증(원인을 알 수 없는 전신 염증질환), 신장질환, 고칼륨혈증, 신장결석, 심한 증상의 신부전,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미숙아, 유아, 심장․순환기계기능 장애, 신장장애, 저단백혈증, 알칼리증, 소화성궤양, 폴산이 부족한 환자, 혈전성 소인이 있는 환자는 의사 또는 약사와 상의하십시오.정해진 용법과 용량을 잘 지키십시오.</x:v>
      </x:c>
      <x:c r="I1812" s="8" t="str">
        <x:v>이 약에 과민증 환자, 만 12개월 미만의 젖먹이, 고칼슘혈증(혈액중에 칼슘이 과잉으로 존재하는 상태), 유육종증(원인을 알 수 없는 전신 염증질환), 신장질환, 고칼륨혈증, 신장결석, 심한 증상의 신부전,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미숙아, 유아, 심장․순환기계기능 장애, 신장장애, 저단백혈증, 알칼리증, 소화성궤양, 폴산이 부족한 환자, 혈전성 소인이 있는 환자는 의사 또는 약사와 상의하십시오.정해진 용법과 용량을 잘 지키십시오.</x:v>
      </x:c>
      <x:c r="J1812" s="8" t="str">
        <x:v>아로나민케어에이치티정 [품목기준코드 201904226]</x:v>
      </x:c>
      <x:c r="K1812" s="8" t="str">
        <x:v>식품의약품안전처 의약품개요정보(e약은요) OpenAPI
https://apis.data.go.kr/1471000/DrbEasyDrugInfoService/getDrbEasyDrugList</x:v>
      </x:c>
    </x:row>
    <x:row r="1813" ht="62" customHeight="1">
      <x:c r="A1813" s="9" t="n">
        <x:v>1812</x:v>
      </x:c>
      <x:c r="B1813" s="6" t="str">
        <x:v>최종 평가</x:v>
      </x:c>
      <x:c r="C1813" s="6" t="str">
        <x:v>복약</x:v>
      </x:c>
      <x:c r="D1813" s="6" t="str">
        <x:v>용어·정의</x:v>
      </x:c>
      <x:c r="E1813" s="6" t="str">
        <x:v>답변 가능</x:v>
      </x:c>
      <x:c r="F1813" s="6" t="str">
        <x:v>쉬움</x:v>
      </x:c>
      <x:c r="G1813" s="8" t="str">
        <x:v>크로씬탑연질캡슐(클로닉신리시네이트)은 어떤 약인가요?</x:v>
      </x:c>
      <x:c r="H1813" s="8" t="str">
        <x:v>크로씬탑연질캡슐(클로닉신리시네이트)은 이연제약(주)의 의약품으로, e약은요에는 다음과 같이 안내되어 있습니다. 이 약은 근육통, 신경통, 외상 후 및 수술 후 통증, 두통, 치통, 귀통증의 경증 또는 중등도 통증의 완화에 사용합니다.</x:v>
      </x:c>
      <x:c r="I1813" s="8" t="str">
        <x:v>제품명: 크로씬탑연질캡슐(클로닉신리시네이트) 업체명: 이연제약(주) 효능: 이 약은 근육통, 신경통, 외상 후 및 수술 후 통증, 두통, 치통, 귀통증의 경증 또는 중등도 통증의 완화에 사용합니다.</x:v>
      </x:c>
      <x:c r="J1813" s="8" t="str">
        <x:v>크로씬탑연질캡슐(클로닉신리시네이트) [품목기준코드 201804386]</x:v>
      </x:c>
      <x:c r="K1813" s="8" t="str">
        <x:v>식품의약품안전처 의약품개요정보(e약은요) OpenAPI
https://apis.data.go.kr/1471000/DrbEasyDrugInfoService/getDrbEasyDrugList</x:v>
      </x:c>
    </x:row>
    <x:row r="1814" ht="62" customHeight="1">
      <x:c r="A1814" s="9" t="n">
        <x:v>1813</x:v>
      </x:c>
      <x:c r="B1814" s="6" t="str">
        <x:v>최종 평가</x:v>
      </x:c>
      <x:c r="C1814" s="6" t="str">
        <x:v>복약</x:v>
      </x:c>
      <x:c r="D1814" s="6" t="str">
        <x:v>상호작용</x:v>
      </x:c>
      <x:c r="E1814" s="6" t="str">
        <x:v>답변 가능</x:v>
      </x:c>
      <x:c r="F1814" s="6" t="str">
        <x:v>쉬움</x:v>
      </x:c>
      <x:c r="G1814" s="8" t="str">
        <x:v>브이코에이치캡슐과 함께 사용하거나 먹을 때 주의해야 할 약이나 음식이 있나요?</x:v>
      </x:c>
      <x:c r="H1814" s="8" t="str">
        <x:v>MAO 억제제(항우울제, 항정신병제, 감정조절제, 항파킨슨제 등), 다른 진해거담제, 감기약, 항히스타민제, 진정제, 알코올과 함께 복용하지 마십시오.</x:v>
      </x:c>
      <x:c r="I1814" s="8" t="str">
        <x:v>MAO 억제제(항우울제, 항정신병제, 감정조절제, 항파킨슨제 등), 다른 진해거담제, 감기약, 항히스타민제, 진정제, 알코올과 함께 복용하지 마십시오.</x:v>
      </x:c>
      <x:c r="J1814" s="8" t="str">
        <x:v>브이코에이치캡슐 [품목기준코드 202300796]</x:v>
      </x:c>
      <x:c r="K1814" s="8" t="str">
        <x:v>식품의약품안전처 의약품개요정보(e약은요) OpenAPI
https://apis.data.go.kr/1471000/DrbEasyDrugInfoService/getDrbEasyDrugList</x:v>
      </x:c>
    </x:row>
    <x:row r="1815" ht="62" customHeight="1">
      <x:c r="A1815" s="9" t="n">
        <x:v>1814</x:v>
      </x:c>
      <x:c r="B1815" s="6" t="str">
        <x:v>최종 평가</x:v>
      </x:c>
      <x:c r="C1815" s="6" t="str">
        <x:v>복약</x:v>
      </x:c>
      <x:c r="D1815" s="6" t="str">
        <x:v>상호작용</x:v>
      </x:c>
      <x:c r="E1815" s="6" t="str">
        <x:v>답변 가능</x:v>
      </x:c>
      <x:c r="F1815" s="6" t="str">
        <x:v>쉬움</x:v>
      </x:c>
      <x:c r="G1815" s="8" t="str">
        <x:v>부스코판당의정(부틸스코폴라민브롬화물)과 함께 사용하거나 먹을 때 주의해야 할 약이나 음식이 있나요?</x:v>
      </x:c>
      <x:c r="H1815" s="8" t="str">
        <x:v>페노티아진계 약물, 삼환계 또는 사환계 항우울약, MAO 저해제, 항히스타민제, 항정신병약, 퀴니딘, 아만타딘, 디소피라미드와 같은 항콜린성 약물 및 다른 항콜린제(티오트로피움, 이트라트로피움, 아트로핀-유사 화합물), 메토클로프라미드 등의 도파민 길항약, 베타 효능약과 함께 복용 시 의사 또는 약사와 상의하십시오.</x:v>
      </x:c>
      <x:c r="I1815" s="8" t="str">
        <x:v>페노티아진계 약물, 삼환계 또는 사환계 항우울약, MAO 저해제, 항히스타민제, 항정신병약, 퀴니딘, 아만타딘, 디소피라미드와 같은 항콜린성 약물 및 다른 항콜린제(티오트로피움, 이트라트로피움, 아트로핀-유사 화합물), 메토클로프라미드 등의 도파민 길항약, 베타 효능약과 함께 복용 시 의사 또는 약사와 상의하십시오.</x:v>
      </x:c>
      <x:c r="J1815" s="8" t="str">
        <x:v>부스코판당의정(부틸스코폴라민브롬화물) [품목기준코드 200901181]</x:v>
      </x:c>
      <x:c r="K1815" s="8" t="str">
        <x:v>식품의약품안전처 의약품개요정보(e약은요) OpenAPI
https://apis.data.go.kr/1471000/DrbEasyDrugInfoService/getDrbEasyDrugList</x:v>
      </x:c>
    </x:row>
    <x:row r="1816" ht="62" customHeight="1">
      <x:c r="A1816" s="9" t="n">
        <x:v>1815</x:v>
      </x:c>
      <x:c r="B1816" s="6" t="str">
        <x:v>최종 평가</x:v>
      </x:c>
      <x:c r="C1816" s="6" t="str">
        <x:v>복약</x:v>
      </x:c>
      <x:c r="D1816" s="6" t="str">
        <x:v>상호작용</x:v>
      </x:c>
      <x:c r="E1816" s="6" t="str">
        <x:v>답변 가능</x:v>
      </x:c>
      <x:c r="F1816" s="6" t="str">
        <x:v>쉬움</x:v>
      </x:c>
      <x:c r="G1816" s="8" t="str">
        <x:v>노이제로정과 함께 사용하거나 먹을 때 주의해야 할 약이나 음식이 있나요?</x:v>
      </x:c>
      <x:c r="H1816" s="8" t="str">
        <x:v>멀미약, 감기약, 해열진통제, 진정제, 진해거담제, 항히스타민제 성분의 내복약(비염 또는 알레르기용 약)과 함께 복용하지 마십시오.</x:v>
      </x:c>
      <x:c r="I1816" s="8" t="str">
        <x:v>멀미약, 감기약, 해열진통제, 진정제, 진해거담제, 항히스타민제 성분의 내복약(비염 또는 알레르기용 약)과 함께 복용하지 마십시오.</x:v>
      </x:c>
      <x:c r="J1816" s="8" t="str">
        <x:v>노이제로정 [품목기준코드 201701612]</x:v>
      </x:c>
      <x:c r="K1816" s="8" t="str">
        <x:v>식품의약품안전처 의약품개요정보(e약은요) OpenAPI
https://apis.data.go.kr/1471000/DrbEasyDrugInfoService/getDrbEasyDrugList</x:v>
      </x:c>
    </x:row>
    <x:row r="1817" ht="62" customHeight="1">
      <x:c r="A1817" s="9" t="n">
        <x:v>1816</x:v>
      </x:c>
      <x:c r="B1817" s="6" t="str">
        <x:v>최종 평가</x:v>
      </x:c>
      <x:c r="C1817" s="6" t="str">
        <x:v>복약</x:v>
      </x:c>
      <x:c r="D1817" s="6" t="str">
        <x:v>원인·위험요인</x:v>
      </x:c>
      <x:c r="E1817" s="6" t="str">
        <x:v>답변 가능</x:v>
      </x:c>
      <x:c r="F1817" s="6" t="str">
        <x:v>보통</x:v>
      </x:c>
      <x:c r="G1817" s="8" t="str">
        <x:v>크린지크림을 사용하기 전에 특히 조심해야 하는 사람은 누구인가요?</x:v>
      </x:c>
      <x:c r="H1817" s="8" t="str">
        <x:v>이 제품을 사용하기 전에 특히 확인해야 할 대상과 상황은 다음과 같습니다. 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고막천공이 있는 습진성 외이도염, 궤양(베체트병 제외), 제2도 심재성(드러나지 않는) 이상의 화상 및 동상, 입주위피부염, 보통여드름, 주사(딸기코) 환자는 이 약을 사용하지 마십시오. 이 약을 사용하기 전에 프로필렌글리콜에 과민증 환자 또는 경험자, 임부 또는 임신하고 있을 가능성이 있는 여성 및 수유부, 유ㆍ소아는 의사 또는 약사와 상의하십시오. 어린이에게 사용할 경우 보호자의 지도 감독하에 사용하십시오. 안(눈)과용으로 사용하지 마십시오. 화장이나 면도 후 치료 이외의 목적으로 사용하지 마십시오. 의사의 감독 없이 밀봉붕대법을 사용하지 마십시오. 장기간 사용하지 마십시오.</x:v>
      </x:c>
      <x:c r="I1817" s="8" t="str">
        <x:v>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고막천공이 있는 습진성 외이도염, 궤양(베체트병 제외), 제2도 심재성(드러나지 않는) 이상의 화상 및 동상, 입주위피부염, 보통여드름, 주사(딸기코) 환자는 이 약을 사용하지 마십시오. 이 약을 사용하기 전에 프로필렌글리콜에 과민증 환자 또는 경험자, 임부 또는 임신하고 있을 가능성이 있는 여성 및 수유부, 유ㆍ소아는 의사 또는 약사와 상의하십시오. 어린이에게 사용할 경우 보호자의 지도 감독하에 사용하십시오. 안(눈)과용으로 사용하지 마십시오. 화장이나 면도 후 치료 이외의 목적으로 사용하지 마십시오. 의사의 감독 없이 밀봉붕대법을 사용하지 마십시오. 장기간 사용하지 마십시오.</x:v>
      </x:c>
      <x:c r="J1817" s="8" t="str">
        <x:v>크린지크림 [품목기준코드 200003491]</x:v>
      </x:c>
      <x:c r="K1817" s="8" t="str">
        <x:v>식품의약품안전처 의약품개요정보(e약은요) OpenAPI
https://apis.data.go.kr/1471000/DrbEasyDrugInfoService/getDrbEasyDrugList</x:v>
      </x:c>
    </x:row>
    <x:row r="1818" ht="62" customHeight="1">
      <x:c r="A1818" s="9" t="n">
        <x:v>1817</x:v>
      </x:c>
      <x:c r="B1818" s="6" t="str">
        <x:v>최종 평가</x:v>
      </x:c>
      <x:c r="C1818" s="6" t="str">
        <x:v>복약</x:v>
      </x:c>
      <x:c r="D1818" s="6" t="str">
        <x:v>대상별 정보</x:v>
      </x:c>
      <x:c r="E1818" s="6" t="str">
        <x:v>답변 가능</x:v>
      </x:c>
      <x:c r="F1818" s="6" t="str">
        <x:v>보통</x:v>
      </x:c>
      <x:c r="G1818" s="8" t="str">
        <x:v>어린이나 소아가 하루펜플라스타(케토프로펜)을 사용해도 되나요?</x:v>
      </x:c>
      <x:c r="H1818" s="8" t="str">
        <x:v>e약은요에서 어린이·소아과 관련해 안내한 내용은 다음과 같습니다. 이 약에 과민증 및 광과민증, 아스피린 천식(비스테로이드성 소염진통제 등에 의한 천식발작), 교차과민반응을 유발할 수 있는 성분(티아프로펜산, 페노피브레이트, 베자피브레이트, 시프로피브레이트, 옥시벤존)에 과민증 환자, 임신기간 6개월 이상인 임부, 15세 미만의 소아, 눈, 점막, 무좀, 백선에는 이 약을 사용하지 마십시오.이 약을 사용하기 전에 기관지 천식환자, 임부 또는 수유부, 손상된 피부 및 점막, 습진 또는 발진 부위에 사용은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하십시오.밀봉붕대법을 사용하지 마십시오.</x:v>
      </x:c>
      <x:c r="I1818" s="8" t="str">
        <x:v>이 약에 과민증 및 광과민증, 아스피린 천식(비스테로이드성 소염진통제 등에 의한 천식발작), 교차과민반응을 유발할 수 있는 성분(티아프로펜산, 페노피브레이트, 베자피브레이트, 시프로피브레이트, 옥시벤존)에 과민증 환자, 임신기간 6개월 이상인 임부, 15세 미만의 소아, 눈, 점막, 무좀, 백선에는 이 약을 사용하지 마십시오.이 약을 사용하기 전에 기관지 천식환자, 임부 또는 수유부, 손상된 피부 및 점막, 습진 또는 발진 부위에 사용은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하십시오.밀봉붕대법을 사용하지 마십시오.</x:v>
      </x:c>
      <x:c r="J1818" s="8" t="str">
        <x:v>하루펜플라스타(케토프로펜) [품목기준코드 200202126]</x:v>
      </x:c>
      <x:c r="K1818" s="8" t="str">
        <x:v>식품의약품안전처 의약품개요정보(e약은요) OpenAPI
https://apis.data.go.kr/1471000/DrbEasyDrugInfoService/getDrbEasyDrugList</x:v>
      </x:c>
    </x:row>
    <x:row r="1819" ht="62" customHeight="1">
      <x:c r="A1819" s="9" t="n">
        <x:v>1818</x:v>
      </x:c>
      <x:c r="B1819" s="6" t="str">
        <x:v>최종 평가</x:v>
      </x:c>
      <x:c r="C1819" s="6" t="str">
        <x:v>복약</x:v>
      </x:c>
      <x:c r="D1819" s="6" t="str">
        <x:v>용법·용량</x:v>
      </x:c>
      <x:c r="E1819" s="6" t="str">
        <x:v>답변 가능</x:v>
      </x:c>
      <x:c r="F1819" s="6" t="str">
        <x:v>쉬움</x:v>
      </x:c>
      <x:c r="G1819" s="8" t="str">
        <x:v>다이제틴정은 어떻게 사용하나요?</x:v>
      </x:c>
      <x:c r="H1819" s="8" t="str">
        <x:v>성인(만 15세 이상)은 1회 1~2정씩, 만 8세 이상 15세 미만은 1회 1정씩, 1일 3회 식후에 복용합니다.</x:v>
      </x:c>
      <x:c r="I1819" s="8" t="str">
        <x:v>성인(만 15세 이상)은 1회 1~2정씩, 만 8세 이상 15세 미만은 1회 1정씩, 1일 3회 식후에 복용합니다.</x:v>
      </x:c>
      <x:c r="J1819" s="8" t="str">
        <x:v>다이제틴정 [품목기준코드 200904689]</x:v>
      </x:c>
      <x:c r="K1819" s="8" t="str">
        <x:v>식품의약품안전처 의약품개요정보(e약은요) OpenAPI
https://apis.data.go.kr/1471000/DrbEasyDrugInfoService/getDrbEasyDrugList</x:v>
      </x:c>
    </x:row>
    <x:row r="1820" ht="62" customHeight="1">
      <x:c r="A1820" s="9" t="n">
        <x:v>1819</x:v>
      </x:c>
      <x:c r="B1820" s="6" t="str">
        <x:v>최종 평가</x:v>
      </x:c>
      <x:c r="C1820" s="6" t="str">
        <x:v>복약</x:v>
      </x:c>
      <x:c r="D1820" s="6" t="str">
        <x:v>금기·경고</x:v>
      </x:c>
      <x:c r="E1820" s="6" t="str">
        <x:v>답변 가능</x:v>
      </x:c>
      <x:c r="F1820" s="6" t="str">
        <x:v>쉬움</x:v>
      </x:c>
      <x:c r="G1820" s="8" t="str">
        <x:v>렉센엔캡슐(디오스민)을 사용하면 안 되거나 반드시 확인해야 할 경고사항은 무엇인가요?</x:v>
      </x:c>
      <x:c r="H1820" s="8" t="str">
        <x:v>이 약에 과민증 환자, 수유부는 이 약을 복용하지 마십시오. 오랜 기간 투여하지 마십시오.</x:v>
      </x:c>
      <x:c r="I1820" s="8" t="str">
        <x:v>이 약에 과민증 환자, 수유부는 이 약을 복용하지 마십시오. 오랜 기간 투여하지 마십시오.</x:v>
      </x:c>
      <x:c r="J1820" s="8" t="str">
        <x:v>렉센엔캡슐(디오스민) [품목기준코드 201604350]</x:v>
      </x:c>
      <x:c r="K1820" s="8" t="str">
        <x:v>식품의약품안전처 의약품개요정보(e약은요) OpenAPI
https://apis.data.go.kr/1471000/DrbEasyDrugInfoService/getDrbEasyDrugList</x:v>
      </x:c>
    </x:row>
    <x:row r="1821" ht="62" customHeight="1">
      <x:c r="A1821" s="9" t="n">
        <x:v>1820</x:v>
      </x:c>
      <x:c r="B1821" s="6" t="str">
        <x:v>최종 평가</x:v>
      </x:c>
      <x:c r="C1821" s="6" t="str">
        <x:v>복약</x:v>
      </x:c>
      <x:c r="D1821" s="6" t="str">
        <x:v>금기·경고</x:v>
      </x:c>
      <x:c r="E1821" s="6" t="str">
        <x:v>답변 가능</x:v>
      </x:c>
      <x:c r="F1821" s="6" t="str">
        <x:v>보통</x:v>
      </x:c>
      <x:c r="G1821" s="8" t="str">
        <x:v>스노핀정275밀리그램(나프록센나트륨)을 사용하면 안 되거나 반드시 확인해야 할 경고사항은 무엇인가요?</x:v>
      </x:c>
      <x:c r="H1821" s="8" t="str">
        <x:v>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이 약에 과민증 환자,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 임부, 수유부, 만 2세 미만의 소아는 이 약을 복용하지 마십시오.</x:v>
      </x:c>
      <x:c r="I1821" s="8" t="str">
        <x:v>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이 약에 과민증 환자,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 임부, 수유부, 만 2세 미만의 소아는 이 약을 복용하지 마십시오.</x:v>
      </x:c>
      <x:c r="J1821" s="8" t="str">
        <x:v>스노핀정275밀리그램(나프록센나트륨) [품목기준코드 200102657]</x:v>
      </x:c>
      <x:c r="K1821" s="8" t="str">
        <x:v>식품의약품안전처 의약품개요정보(e약은요) OpenAPI
https://apis.data.go.kr/1471000/DrbEasyDrugInfoService/getDrbEasyDrugList</x:v>
      </x:c>
    </x:row>
    <x:row r="1822" ht="62" customHeight="1">
      <x:c r="A1822" s="9" t="n">
        <x:v>1821</x:v>
      </x:c>
      <x:c r="B1822" s="6" t="str">
        <x:v>최종 평가</x:v>
      </x:c>
      <x:c r="C1822" s="6" t="str">
        <x:v>복약</x:v>
      </x:c>
      <x:c r="D1822" s="6" t="str">
        <x:v>상호작용</x:v>
      </x:c>
      <x:c r="E1822" s="6" t="str">
        <x:v>답변 가능</x:v>
      </x:c>
      <x:c r="F1822" s="6" t="str">
        <x:v>쉬움</x:v>
      </x:c>
      <x:c r="G1822" s="8" t="str">
        <x:v>토마쎈플러스연질캡슐과 함께 사용하거나 먹을 때 주의해야 할 약이나 음식이 있나요?</x:v>
      </x:c>
      <x:c r="H1822" s="8" t="str">
        <x:v>인산염, 칼슘염, 경구용 테트라사이클린계 제제, 제산제와 함께 복용하지 마십시오. 에스트로겐을 포함한 경구용 피임제, 항알도스테론제, 트리암테렌, 정주용 지질제와 함께 사용 시 의사 또는 약사와 상의하십시오.녹차, 홍차 등 탄닌을 함유하는 차는 복용 중, 복용 전후에는 피하십시오.</x:v>
      </x:c>
      <x:c r="I1822" s="8" t="str">
        <x:v>인산염, 칼슘염, 경구용 테트라사이클린계 제제, 제산제와 함께 복용하지 마십시오. 에스트로겐을 포함한 경구용 피임제, 항알도스테론제, 트리암테렌, 정주용 지질제와 함께 사용 시 의사 또는 약사와 상의하십시오.녹차, 홍차 등 탄닌을 함유하는 차는 복용 중, 복용 전후에는 피하십시오.</x:v>
      </x:c>
      <x:c r="J1822" s="8" t="str">
        <x:v>토마쎈플러스연질캡슐 [품목기준코드 201708579]</x:v>
      </x:c>
      <x:c r="K1822" s="8" t="str">
        <x:v>식품의약품안전처 의약품개요정보(e약은요) OpenAPI
https://apis.data.go.kr/1471000/DrbEasyDrugInfoService/getDrbEasyDrugList</x:v>
      </x:c>
    </x:row>
    <x:row r="1823" ht="62" customHeight="1">
      <x:c r="A1823" s="9" t="n">
        <x:v>1822</x:v>
      </x:c>
      <x:c r="B1823" s="6" t="str">
        <x:v>최종 평가</x:v>
      </x:c>
      <x:c r="C1823" s="6" t="str">
        <x:v>복약</x:v>
      </x:c>
      <x:c r="D1823" s="6" t="str">
        <x:v>효능·사용목적</x:v>
      </x:c>
      <x:c r="E1823" s="6" t="str">
        <x:v>답변 가능</x:v>
      </x:c>
      <x:c r="F1823" s="6" t="str">
        <x:v>쉬움</x:v>
      </x:c>
      <x:c r="G1823" s="8" t="str">
        <x:v>카이로정은 어떤 증상이나 질환에 사용하는 약인가요?</x:v>
      </x:c>
      <x:c r="H1823" s="8" t="str">
        <x:v>이 약은 위장관계 질환의 발작성 동통(통증) 또는 담도계(쓸개길), 비뇨기계, 월경곤란증 등 여성 생식기계의 기능장애 및 경련성 동통(통증)에 사용합니다.</x:v>
      </x:c>
      <x:c r="I1823" s="8" t="str">
        <x:v>이 약은 위장관계 질환의 발작성 동통(통증) 또는 담도계(쓸개길), 비뇨기계, 월경곤란증 등 여성 생식기계의 기능장애 및 경련성 동통(통증)에 사용합니다.</x:v>
      </x:c>
      <x:c r="J1823" s="8" t="str">
        <x:v>카이로정 [품목기준코드 200903579]</x:v>
      </x:c>
      <x:c r="K1823" s="8" t="str">
        <x:v>식품의약품안전처 의약품개요정보(e약은요) OpenAPI
https://apis.data.go.kr/1471000/DrbEasyDrugInfoService/getDrbEasyDrugList</x:v>
      </x:c>
    </x:row>
    <x:row r="1824" ht="62" customHeight="1">
      <x:c r="A1824" s="9" t="n">
        <x:v>1823</x:v>
      </x:c>
      <x:c r="B1824" s="6" t="str">
        <x:v>최종 평가</x:v>
      </x:c>
      <x:c r="C1824" s="6" t="str">
        <x:v>복약</x:v>
      </x:c>
      <x:c r="D1824" s="6" t="str">
        <x:v>실용·응급대처</x:v>
      </x:c>
      <x:c r="E1824" s="6" t="str">
        <x:v>답변 가능</x:v>
      </x:c>
      <x:c r="F1824" s="6" t="str">
        <x:v>보통</x:v>
      </x:c>
      <x:c r="G1824" s="8" t="str">
        <x:v>리포직점안겔(카보머) 사용 후 심한 이상반응이 나타나면 어떻게 해야 하나요?</x:v>
      </x:c>
      <x:c r="H1824" s="8" t="str">
        <x:v>이 약을 사용하기 전에 눈의 통증이 심한 환자, 안약에 의한 알레르기증상(눈의 충혈, 가려움, 부종, 충혈되어 붉어짐 등) 경험자, 임부 또는 임신하고 있을 가능성이 있는 여성 및 수유부, 소아는 의사 또는 약사와 상의하십시오.</x:v>
      </x:c>
      <x:c r="I1824" s="8" t="str">
        <x:v>이 약을 사용하기 전에 눈의 통증이 심한 환자, 안약에 의한 알레르기증상(눈의 충혈, 가려움, 부종, 충혈되어 붉어짐 등) 경험자, 임부 또는 임신하고 있을 가능성이 있는 여성 및 수유부, 소아는 의사 또는 약사와 상의하십시오.</x:v>
      </x:c>
      <x:c r="J1824" s="8" t="str">
        <x:v>리포직점안겔(카보머) [품목기준코드 200511290]</x:v>
      </x:c>
      <x:c r="K1824" s="8" t="str">
        <x:v>식품의약품안전처 의약품개요정보(e약은요) OpenAPI
https://apis.data.go.kr/1471000/DrbEasyDrugInfoService/getDrbEasyDrugList</x:v>
      </x:c>
    </x:row>
    <x:row r="1825" ht="62" customHeight="1">
      <x:c r="A1825" s="9" t="n">
        <x:v>1824</x:v>
      </x:c>
      <x:c r="B1825" s="6" t="str">
        <x:v>최종 평가</x:v>
      </x:c>
      <x:c r="C1825" s="6" t="str">
        <x:v>복약</x:v>
      </x:c>
      <x:c r="D1825" s="6" t="str">
        <x:v>증상→대상 구분</x:v>
      </x:c>
      <x:c r="E1825" s="6" t="str">
        <x:v>답변 가능</x:v>
      </x:c>
      <x:c r="F1825" s="6" t="str">
        <x:v>어려움</x:v>
      </x:c>
      <x:c r="G1825" s="8" t="str">
        <x:v>골사민캡슐(결정글루코사민황산염)(수출명 : NEOCOMIN)을 사용한 뒤 발진이 생겼는데, 이 약의 부작용으로 안내되어 있나요?</x:v>
      </x:c>
      <x:c r="H1825" s="8" t="str">
        <x:v>발진은 이 제품의 e약은요 부작용 항목에 기재되어 있습니다. 다만 이 정보만으로 현재 증상의 원인이 해당 약이라고 확정할 수는 없습니다.</x:v>
      </x:c>
      <x:c r="I1825" s="8" t="str">
        <x:v>두통, 피곤함, 졸림, 구역·구토, 복통(배아픔), 소화불량, 변비, 설사, 습진, 가려움, 발진이 나타나는 경우 복용을 즉각 중지하고 의사 또는 약사와 상의하십시오.</x:v>
      </x:c>
      <x:c r="J1825" s="8" t="str">
        <x:v>골사민캡슐(결정글루코사민황산염)(수출명 : NEOCOMIN) [품목기준코드 199902612]</x:v>
      </x:c>
      <x:c r="K1825" s="8" t="str">
        <x:v>식품의약품안전처 의약품개요정보(e약은요) OpenAPI
https://apis.data.go.kr/1471000/DrbEasyDrugInfoService/getDrbEasyDrugList</x:v>
      </x:c>
    </x:row>
    <x:row r="1826" ht="62" customHeight="1">
      <x:c r="A1826" s="9" t="n">
        <x:v>1825</x:v>
      </x:c>
      <x:c r="B1826" s="6" t="str">
        <x:v>최종 평가</x:v>
      </x:c>
      <x:c r="C1826" s="6" t="str">
        <x:v>복약</x:v>
      </x:c>
      <x:c r="D1826" s="6" t="str">
        <x:v>금기·경고</x:v>
      </x:c>
      <x:c r="E1826" s="6" t="str">
        <x:v>답변 가능</x:v>
      </x:c>
      <x:c r="F1826" s="6" t="str">
        <x:v>쉬움</x:v>
      </x:c>
      <x:c r="G1826" s="8" t="str">
        <x:v>칼트레이트디400을 사용하면 안 되거나 반드시 확인해야 할 경고사항은 무엇인가요?</x:v>
      </x:c>
      <x:c r="H1826" s="8" t="str">
        <x:v>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햇빛을 많이 보고 정상적인 식사를 하는 어린이, 임부 및 임신하고 있을 가능성이 있는 여성, 수유부, 미숙아, 유아, 심장·순환기계기능 장애, 저단백혈증, 신장결석 경험자, 황색5호에 과민증 환자 또는 경험자는 의사 또는 약사와 상의하십시오.</x:v>
      </x:c>
      <x:c r="I1826" s="8" t="str">
        <x:v>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햇빛을 많이 보고 정상적인 식사를 하는 어린이, 임부 및 임신하고 있을 가능성이 있는 여성, 수유부, 미숙아, 유아, 심장·순환기계기능 장애, 저단백혈증, 신장결석 경험자, 황색5호에 과민증 환자 또는 경험자는 의사 또는 약사와 상의하십시오.</x:v>
      </x:c>
      <x:c r="J1826" s="8" t="str">
        <x:v>칼트레이트디400 [품목기준코드 201101004]</x:v>
      </x:c>
      <x:c r="K1826" s="8" t="str">
        <x:v>식품의약품안전처 의약품개요정보(e약은요) OpenAPI
https://apis.data.go.kr/1471000/DrbEasyDrugInfoService/getDrbEasyDrugList</x:v>
      </x:c>
    </x:row>
    <x:row r="1827" ht="62" customHeight="1">
      <x:c r="A1827" s="9" t="n">
        <x:v>1826</x:v>
      </x:c>
      <x:c r="B1827" s="6" t="str">
        <x:v>최종 평가</x:v>
      </x:c>
      <x:c r="C1827" s="6" t="str">
        <x:v>복약</x:v>
      </x:c>
      <x:c r="D1827" s="6" t="str">
        <x:v>답변불가·개인 복용 판단</x:v>
      </x:c>
      <x:c r="E1827" s="6" t="str">
        <x:v>답변 거부</x:v>
      </x:c>
      <x:c r="F1827" s="6" t="str">
        <x:v>어려움</x:v>
      </x:c>
      <x:c r="G1827" s="8" t="str">
        <x:v>제 건강 상태를 따로 확인하지 않고 마그감마맥스연질캡슐을 지금 먹어도 되는지 결정해 주세요.</x:v>
      </x:c>
      <x:c r="H1827" s="8" t="str">
        <x:v>제공된 e약은요 VDB만으로 개인의 건강 상태를 반영한 복용 가능 여부를 결정할 수 없습니다. 의사 또는 약사와 상담해야 합니다.</x:v>
      </x:c>
      <x:c r="I1827" s="8" t="str">
        <x:v>VDB 범위 밖 질문 — 근거 없음</x:v>
      </x:c>
      <x:c r="J1827" s="8" t="str">
        <x:v>마그감마맥스연질캡슐 [품목기준코드 201901436]</x:v>
      </x:c>
      <x:c r="K1827" s="8" t="str">
        <x:v>식품의약품안전처 의약품개요정보(e약은요) OpenAPI
https://apis.data.go.kr/1471000/DrbEasyDrugInfoService/getDrbEasyDrugList</x:v>
      </x:c>
    </x:row>
    <x:row r="1828" ht="62" customHeight="1">
      <x:c r="A1828" s="9" t="n">
        <x:v>1827</x:v>
      </x:c>
      <x:c r="B1828" s="6" t="str">
        <x:v>최종 평가</x:v>
      </x:c>
      <x:c r="C1828" s="6" t="str">
        <x:v>복약</x:v>
      </x:c>
      <x:c r="D1828" s="6" t="str">
        <x:v>용어·정의</x:v>
      </x:c>
      <x:c r="E1828" s="6" t="str">
        <x:v>답변 가능</x:v>
      </x:c>
      <x:c r="F1828" s="6" t="str">
        <x:v>쉬움</x:v>
      </x:c>
      <x:c r="G1828" s="8" t="str">
        <x:v>복합파자임이중정은 어떤 약인가요?</x:v>
      </x:c>
      <x:c r="H1828" s="8" t="str">
        <x:v>복합파자임이중정은 부광약품(주)의 의약품으로, e약은요에는 다음과 같이 안내되어 있습니다. 이 약은 소화불량, 식욕감퇴(식욕부진), 과식, 체함, 소화촉진, 소화불량으로 인한 위부팽만감에 사용합니다.</x:v>
      </x:c>
      <x:c r="I1828" s="8" t="str">
        <x:v>제품명: 복합파자임이중정 업체명: 부광약품(주) 효능: 이 약은 소화불량, 식욕감퇴(식욕부진), 과식, 체함, 소화촉진, 소화불량으로 인한 위부팽만감에 사용합니다.</x:v>
      </x:c>
      <x:c r="J1828" s="8" t="str">
        <x:v>복합파자임이중정 [품목기준코드 199601520]</x:v>
      </x:c>
      <x:c r="K1828" s="8" t="str">
        <x:v>식품의약품안전처 의약품개요정보(e약은요) OpenAPI
https://apis.data.go.kr/1471000/DrbEasyDrugInfoService/getDrbEasyDrugList</x:v>
      </x:c>
    </x:row>
    <x:row r="1829" ht="62" customHeight="1">
      <x:c r="A1829" s="9" t="n">
        <x:v>1828</x:v>
      </x:c>
      <x:c r="B1829" s="6" t="str">
        <x:v>최종 평가</x:v>
      </x:c>
      <x:c r="C1829" s="6" t="str">
        <x:v>복약</x:v>
      </x:c>
      <x:c r="D1829" s="6" t="str">
        <x:v>대상별 정보</x:v>
      </x:c>
      <x:c r="E1829" s="6" t="str">
        <x:v>답변 가능</x:v>
      </x:c>
      <x:c r="F1829" s="6" t="str">
        <x:v>쉬움</x:v>
      </x:c>
      <x:c r="G1829" s="8" t="str">
        <x:v>임신 또는 수유 중에 뮤카란캡슐200밀리그램(아세틸시스테인)을 사용해도 되나요?</x:v>
      </x:c>
      <x:c r="H1829" s="8" t="str">
        <x:v>e약은요에서 임신 또는 수유 중인 사람과 관련해 안내한 내용은 다음과 같습니다. 이 약을 복용하기 전에 임부 또는 임신하고 있을 가능성이 있는 여성, 수유부는 의사 또는 약사와 상의하십시오.</x:v>
      </x:c>
      <x:c r="I1829" s="8" t="str">
        <x:v>이 약을 복용하기 전에 임부 또는 임신하고 있을 가능성이 있는 여성, 수유부는 의사 또는 약사와 상의하십시오.</x:v>
      </x:c>
      <x:c r="J1829" s="8" t="str">
        <x:v>뮤카란캡슐200밀리그램(아세틸시스테인) [품목기준코드 202003464]</x:v>
      </x:c>
      <x:c r="K1829" s="8" t="str">
        <x:v>식품의약품안전처 의약품개요정보(e약은요) OpenAPI
https://apis.data.go.kr/1471000/DrbEasyDrugInfoService/getDrbEasyDrugList</x:v>
      </x:c>
    </x:row>
    <x:row r="1830" ht="62" customHeight="1">
      <x:c r="A1830" s="9" t="n">
        <x:v>1829</x:v>
      </x:c>
      <x:c r="B1830" s="6" t="str">
        <x:v>최종 평가</x:v>
      </x:c>
      <x:c r="C1830" s="6" t="str">
        <x:v>복약</x:v>
      </x:c>
      <x:c r="D1830" s="6" t="str">
        <x:v>실용·응급대처</x:v>
      </x:c>
      <x:c r="E1830" s="6" t="str">
        <x:v>답변 가능</x:v>
      </x:c>
      <x:c r="F1830" s="6" t="str">
        <x:v>보통</x:v>
      </x:c>
      <x:c r="G1830" s="8" t="str">
        <x:v>정우형개연교탕연조엑스(단미엑스혼합제) 사용 후 심한 이상반응이 나타나면 어떻게 해야 하나요?</x:v>
      </x:c>
      <x:c r="H1830" s="8" t="str">
        <x:v>이 약을 복용하기 전에 임부 또는 임신하고 있을 가능성이 있는 여성 및 수유부, 어린이, 식욕부진, 구역, 구토, 고혈압, 심장장애, 신장장애, 부종(부기), 현저하게 위장이 허약한 환자는 의사 또는 약사와 상의하십시오.</x:v>
      </x:c>
      <x:c r="I1830" s="8" t="str">
        <x:v>이 약을 복용하기 전에 임부 또는 임신하고 있을 가능성이 있는 여성 및 수유부, 어린이, 식욕부진, 구역, 구토, 고혈압, 심장장애, 신장장애, 부종(부기), 현저하게 위장이 허약한 환자는 의사 또는 약사와 상의하십시오.</x:v>
      </x:c>
      <x:c r="J1830" s="8" t="str">
        <x:v>정우형개연교탕연조엑스(단미엑스혼합제) [품목기준코드 201902312]</x:v>
      </x:c>
      <x:c r="K1830" s="8" t="str">
        <x:v>식품의약품안전처 의약품개요정보(e약은요) OpenAPI
https://apis.data.go.kr/1471000/DrbEasyDrugInfoService/getDrbEasyDrugList</x:v>
      </x:c>
    </x:row>
    <x:row r="1831" ht="62" customHeight="1">
      <x:c r="A1831" s="9" t="n">
        <x:v>1830</x:v>
      </x:c>
      <x:c r="B1831" s="6" t="str">
        <x:v>최종 평가</x:v>
      </x:c>
      <x:c r="C1831" s="6" t="str">
        <x:v>복약</x:v>
      </x:c>
      <x:c r="D1831" s="6" t="str">
        <x:v>상호작용</x:v>
      </x:c>
      <x:c r="E1831" s="6" t="str">
        <x:v>답변 가능</x:v>
      </x:c>
      <x:c r="F1831" s="6" t="str">
        <x:v>쉬움</x:v>
      </x:c>
      <x:c r="G1831" s="8" t="str">
        <x:v>로리딘정(로라타딘)과 함께 사용하거나 먹을 때 주의해야 할 약이나 음식이 있나요?</x:v>
      </x:c>
      <x:c r="H1831" s="8" t="str">
        <x:v>이 약을 복용하는 동안 시메티딘, 에리트로마이신, 케토코나졸, 퀴니딘, 플루코나졸, 플루옥세틴, 간 대사를 억제하는 약물을 함께 복용하지 마십시오.</x:v>
      </x:c>
      <x:c r="I1831" s="8" t="str">
        <x:v>이 약을 복용하는 동안 시메티딘, 에리트로마이신, 케토코나졸, 퀴니딘, 플루코나졸, 플루옥세틴, 간 대사를 억제하는 약물을 함께 복용하지 마십시오.</x:v>
      </x:c>
      <x:c r="J1831" s="8" t="str">
        <x:v>로리딘정(로라타딘) [품목기준코드 199702177]</x:v>
      </x:c>
      <x:c r="K1831" s="8" t="str">
        <x:v>식품의약품안전처 의약품개요정보(e약은요) OpenAPI
https://apis.data.go.kr/1471000/DrbEasyDrugInfoService/getDrbEasyDrugList</x:v>
      </x:c>
    </x:row>
    <x:row r="1832" ht="62" customHeight="1">
      <x:c r="A1832" s="9" t="n">
        <x:v>1831</x:v>
      </x:c>
      <x:c r="B1832" s="6" t="str">
        <x:v>최종 평가</x:v>
      </x:c>
      <x:c r="C1832" s="6" t="str">
        <x:v>복약</x:v>
      </x:c>
      <x:c r="D1832" s="6" t="str">
        <x:v>대상별 정보</x:v>
      </x:c>
      <x:c r="E1832" s="6" t="str">
        <x:v>답변 가능</x:v>
      </x:c>
      <x:c r="F1832" s="6" t="str">
        <x:v>보통</x:v>
      </x:c>
      <x:c r="G1832" s="8" t="str">
        <x:v>어린이나 소아가 젯트콤연질캡슐을 사용해도 되나요?</x:v>
      </x:c>
      <x:c r="H1832" s="8" t="str">
        <x:v>e약은요에서 어린이·소아과 관련해 안내한 내용은 다음과 같습니다. 이 약을 복용하기 전에 임부 또는 임신하고 있을 가능성이 있는 여성 및 수유부, 미숙아, 유아, 고지단백혈증, 당뇨병성고지질혈증 및 췌장염 등 지방대사 이상 환자 또는 지질성 유제를 신중히 투여해야 하는 환자, 고옥살산뇨증(뇨중에 과량의 수산염이 배설되는 상태), 소화성궤양, 만성궤양성대장염, 국한성(특정 부분에 나타나는)대장염 등의 위장질환, 심장ㆍ순환기계기능 장애, 저단백혈증, 통풍, 신장결석 환자 또는 경험자, 지방과부하로 특별한 위험이 예상되는 환자, 혈전(혈관 막힘)성 소인이 있는 환자, 황색5호에 과민증 또는 알레르기 반응 경험자는 의사 또는 약사와 상의하십시오.</x:v>
      </x:c>
      <x:c r="I1832" s="8" t="str">
        <x:v>이 약을 복용하기 전에 임부 또는 임신하고 있을 가능성이 있는 여성 및 수유부, 미숙아, 유아, 고지단백혈증, 당뇨병성고지질혈증 및 췌장염 등 지방대사 이상 환자 또는 지질성 유제를 신중히 투여해야 하는 환자, 고옥살산뇨증(뇨중에 과량의 수산염이 배설되는 상태), 소화성궤양, 만성궤양성대장염, 국한성(특정 부분에 나타나는)대장염 등의 위장질환, 심장ㆍ순환기계기능 장애, 저단백혈증, 통풍, 신장결석 환자 또는 경험자, 지방과부하로 특별한 위험이 예상되는 환자, 혈전(혈관 막힘)성 소인이 있는 환자, 황색5호에 과민증 또는 알레르기 반응 경험자는 의사 또는 약사와 상의하십시오.</x:v>
      </x:c>
      <x:c r="J1832" s="8" t="str">
        <x:v>젯트콤연질캡슐 [품목기준코드 201507405]</x:v>
      </x:c>
      <x:c r="K1832" s="8" t="str">
        <x:v>식품의약품안전처 의약품개요정보(e약은요) OpenAPI
https://apis.data.go.kr/1471000/DrbEasyDrugInfoService/getDrbEasyDrugList</x:v>
      </x:c>
    </x:row>
    <x:row r="1833" ht="62" customHeight="1">
      <x:c r="A1833" s="9" t="n">
        <x:v>1832</x:v>
      </x:c>
      <x:c r="B1833" s="6" t="str">
        <x:v>최종 평가</x:v>
      </x:c>
      <x:c r="C1833" s="6" t="str">
        <x:v>복약</x:v>
      </x:c>
      <x:c r="D1833" s="6" t="str">
        <x:v>실용·응급대처</x:v>
      </x:c>
      <x:c r="E1833" s="6" t="str">
        <x:v>답변 가능</x:v>
      </x:c>
      <x:c r="F1833" s="6" t="str">
        <x:v>보통</x:v>
      </x:c>
      <x:c r="G1833" s="8" t="str">
        <x:v>케어스킨로션1%(히드로코르티손) 사용 후 심한 이상반응이 나타나면 어떻게 해야 하나요?</x:v>
      </x:c>
      <x:c r="H1833" s="8" t="str">
        <x:v>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등 치료 이외의 목적으로 사용하지 마십시오.의사의 감독없이 밀봉붕대법을 사용하지 마십시오.피부, 눈, 점막에 경미한 자극이 될 수 있다.</x:v>
      </x:c>
      <x:c r="I1833" s="8" t="str">
        <x:v>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등 치료 이외의 목적으로 사용하지 마십시오.의사의 감독없이 밀봉붕대법을 사용하지 마십시오.피부, 눈, 점막에 경미한 자극이 될 수 있다.</x:v>
      </x:c>
      <x:c r="J1833" s="8" t="str">
        <x:v>케어스킨로션1%(히드로코르티손) [품목기준코드 200003008]</x:v>
      </x:c>
      <x:c r="K1833" s="8" t="str">
        <x:v>식품의약품안전처 의약품개요정보(e약은요) OpenAPI
https://apis.data.go.kr/1471000/DrbEasyDrugInfoService/getDrbEasyDrugList</x:v>
      </x:c>
    </x:row>
    <x:row r="1834" ht="62" customHeight="1">
      <x:c r="A1834" s="9" t="n">
        <x:v>1833</x:v>
      </x:c>
      <x:c r="B1834" s="6" t="str">
        <x:v>최종 평가</x:v>
      </x:c>
      <x:c r="C1834" s="6" t="str">
        <x:v>복약</x:v>
      </x:c>
      <x:c r="D1834" s="6" t="str">
        <x:v>증상→대상 구분</x:v>
      </x:c>
      <x:c r="E1834" s="6" t="str">
        <x:v>답변 가능</x:v>
      </x:c>
      <x:c r="F1834" s="6" t="str">
        <x:v>어려움</x:v>
      </x:c>
      <x:c r="G1834" s="8" t="str">
        <x:v>마그메코정을 사용한 뒤 발진이 생겼는데, 이 약의 부작용으로 안내되어 있나요?</x:v>
      </x:c>
      <x:c r="H1834" s="8" t="str">
        <x:v>발진은 이 제품의 e약은요 부작용 항목에 기재되어 있습니다. 다만 이 정보만으로 현재 증상의 원인이 해당 약이라고 확정할 수는 없습니다.</x:v>
      </x:c>
      <x:c r="I1834" s="8" t="str">
        <x:v>위부불쾌감, 설사, 변비, 발진, 발적(충혈되어붉어짐), 붉은반점, 설사, 부전수축(심장박동정지), 중추신경계 기능저하, 생리가 예정보다 빨라지거나 양이 점점 많아지거나 출혈이 오래 지속되는 증상 등이 나타나는 경우 복용을 즉각 중지하고 의사 또는 약사와 상의하십시오.</x:v>
      </x:c>
      <x:c r="J1834" s="8" t="str">
        <x:v>마그메코정 [품목기준코드 202302653]</x:v>
      </x:c>
      <x:c r="K1834" s="8" t="str">
        <x:v>식품의약품안전처 의약품개요정보(e약은요) OpenAPI
https://apis.data.go.kr/1471000/DrbEasyDrugInfoService/getDrbEasyDrugList</x:v>
      </x:c>
    </x:row>
    <x:row r="1835" ht="62" customHeight="1">
      <x:c r="A1835" s="9" t="n">
        <x:v>1834</x:v>
      </x:c>
      <x:c r="B1835" s="6" t="str">
        <x:v>최종 평가</x:v>
      </x:c>
      <x:c r="C1835" s="6" t="str">
        <x:v>복약</x:v>
      </x:c>
      <x:c r="D1835" s="6" t="str">
        <x:v>효능·사용목적</x:v>
      </x:c>
      <x:c r="E1835" s="6" t="str">
        <x:v>답변 가능</x:v>
      </x:c>
      <x:c r="F1835" s="6" t="str">
        <x:v>쉬움</x:v>
      </x:c>
      <x:c r="G1835" s="8" t="str">
        <x:v>광동아스피린장용정100mg은 어떤 증상이나 질환에 사용하는 약인가요?</x:v>
      </x:c>
      <x:c r="H1835" s="8" t="str">
        <x:v>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x:v>
      </x:c>
      <x:c r="I1835" s="8" t="str">
        <x:v>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x:v>
      </x:c>
      <x:c r="J1835" s="8" t="str">
        <x:v>광동아스피린장용정100mg [품목기준코드 201702015]</x:v>
      </x:c>
      <x:c r="K1835" s="8" t="str">
        <x:v>식품의약품안전처 의약품개요정보(e약은요) OpenAPI
https://apis.data.go.kr/1471000/DrbEasyDrugInfoService/getDrbEasyDrugList</x:v>
      </x:c>
    </x:row>
    <x:row r="1836" ht="62" customHeight="1">
      <x:c r="A1836" s="9" t="n">
        <x:v>1835</x:v>
      </x:c>
      <x:c r="B1836" s="6" t="str">
        <x:v>최종 평가</x:v>
      </x:c>
      <x:c r="C1836" s="6" t="str">
        <x:v>복약</x:v>
      </x:c>
      <x:c r="D1836" s="6" t="str">
        <x:v>금기·경고</x:v>
      </x:c>
      <x:c r="E1836" s="6" t="str">
        <x:v>답변 가능</x:v>
      </x:c>
      <x:c r="F1836" s="6" t="str">
        <x:v>쉬움</x:v>
      </x:c>
      <x:c r="G1836" s="8" t="str">
        <x:v>콜즈록나잘스프레이을 사용하면 안 되거나 반드시 확인해야 할 경고사항은 무엇인가요?</x:v>
      </x:c>
      <x:c r="H1836" s="8" t="str">
        <x:v>이 약에 과민증 환자 또는 경험자, 만 7세 미만의 어린이 및 만 2세 미만의 영아는 이 약을 사용하지 마십시오. 이 약을 사용하기 전에 알레르기 체질, 비염용 분무제를 포함하는 약에 의한 알레르기 증상 경험자, 프로필렌글리콜 과민증 환자 또는 경험자, 임부 또는 임신하고 있을 가능성이 있는 여성, 고혈압, 심장질환, 당뇨병, 갑상선질환, 녹내장 환자는 의사 또는 약사와 상의하십시오. 이 약은 비염용 분무제, 즉 코 안에 뿌리는 약으로만 사용하고, 눈과 귀에는 사용하지 마십시오. 오염을 방지하기 위해 공동으로 사용하지 마십시오. 과도하게 사용하지 마십시오. 7일 이상 계속 사용하지 마십시오.</x:v>
      </x:c>
      <x:c r="I1836" s="8" t="str">
        <x:v>이 약에 과민증 환자 또는 경험자, 만 7세 미만의 어린이 및 만 2세 미만의 영아는 이 약을 사용하지 마십시오. 이 약을 사용하기 전에 알레르기 체질, 비염용 분무제를 포함하는 약에 의한 알레르기 증상 경험자, 프로필렌글리콜 과민증 환자 또는 경험자, 임부 또는 임신하고 있을 가능성이 있는 여성, 고혈압, 심장질환, 당뇨병, 갑상선질환, 녹내장 환자는 의사 또는 약사와 상의하십시오. 이 약은 비염용 분무제, 즉 코 안에 뿌리는 약으로만 사용하고, 눈과 귀에는 사용하지 마십시오. 오염을 방지하기 위해 공동으로 사용하지 마십시오. 과도하게 사용하지 마십시오. 7일 이상 계속 사용하지 마십시오.</x:v>
      </x:c>
      <x:c r="J1836" s="8" t="str">
        <x:v>콜즈록나잘스프레이 [품목기준코드 202400673]</x:v>
      </x:c>
      <x:c r="K1836" s="8" t="str">
        <x:v>식품의약품안전처 의약품개요정보(e약은요) OpenAPI
https://apis.data.go.kr/1471000/DrbEasyDrugInfoService/getDrbEasyDrugList</x:v>
      </x:c>
    </x:row>
    <x:row r="1837" ht="62" customHeight="1">
      <x:c r="A1837" s="9" t="n">
        <x:v>1836</x:v>
      </x:c>
      <x:c r="B1837" s="6" t="str">
        <x:v>최종 평가</x:v>
      </x:c>
      <x:c r="C1837" s="6" t="str">
        <x:v>복약</x:v>
      </x:c>
      <x:c r="D1837" s="6" t="str">
        <x:v>대상별 정보</x:v>
      </x:c>
      <x:c r="E1837" s="6" t="str">
        <x:v>답변 가능</x:v>
      </x:c>
      <x:c r="F1837" s="6" t="str">
        <x:v>쉬움</x:v>
      </x:c>
      <x:c r="G1837" s="8" t="str">
        <x:v>어린이나 소아가 셀렌오액(아셀렌산나트륨오수화물)을 사용해도 되나요?</x:v>
      </x:c>
      <x:c r="H1837" s="8" t="str">
        <x:v>e약은요에서 어린이·소아과 관련해 안내한 내용은 다음과 같습니다. 이 약에 과민증 환자, 12개월 미만의 영아, 셀레늄 독성환자는 이 약을 복용하지 마십시오.이 약을 복용하기 전에 심장 및 순환기계기능 장애, 신장애, 저단백혈증, 임부 또는 임신하고 있을 가능성이 있는 여성 및 수유부는 의사 또는 약사와 상의하십시오.정해진 용법과 용량을 잘 지키십시오.</x:v>
      </x:c>
      <x:c r="I1837" s="8" t="str">
        <x:v>이 약에 과민증 환자, 12개월 미만의 영아, 셀레늄 독성환자는 이 약을 복용하지 마십시오.이 약을 복용하기 전에 심장 및 순환기계기능 장애, 신장애, 저단백혈증, 임부 또는 임신하고 있을 가능성이 있는 여성 및 수유부는 의사 또는 약사와 상의하십시오.정해진 용법과 용량을 잘 지키십시오.</x:v>
      </x:c>
      <x:c r="J1837" s="8" t="str">
        <x:v>셀렌오액(아셀렌산나트륨오수화물) [품목기준코드 201905948]</x:v>
      </x:c>
      <x:c r="K1837" s="8" t="str">
        <x:v>식품의약품안전처 의약품개요정보(e약은요) OpenAPI
https://apis.data.go.kr/1471000/DrbEasyDrugInfoService/getDrbEasyDrugList</x:v>
      </x:c>
    </x:row>
    <x:row r="1838" ht="62" customHeight="1">
      <x:c r="A1838" s="9" t="n">
        <x:v>1837</x:v>
      </x:c>
      <x:c r="B1838" s="6" t="str">
        <x:v>최종 평가</x:v>
      </x:c>
      <x:c r="C1838" s="6" t="str">
        <x:v>복약</x:v>
      </x:c>
      <x:c r="D1838" s="6" t="str">
        <x:v>실용·응급대처</x:v>
      </x:c>
      <x:c r="E1838" s="6" t="str">
        <x:v>답변 가능</x:v>
      </x:c>
      <x:c r="F1838" s="6" t="str">
        <x:v>보통</x:v>
      </x:c>
      <x:c r="G1838" s="8" t="str">
        <x:v>타이레놀산500밀리그램(아세트아미노펜) 사용 후 심한 이상반응이 나타나면 어떻게 해야 하나요?</x:v>
      </x:c>
      <x:c r="H1838" s="8" t="str">
        <x:v>매우 드물게 급성전신발진고름물집증, 스티븐스-존슨증후군, 독성표피괴사용해와 같은 중대한 피부반응이 보고되었고 이 약 복용 후 피부발진 또는 다른 과민반응의 징후가 나타나는 경우 즉시 복용을 중단하십시오. 쇽 증상(호흡곤란, 온몸이 붉어짐, 혈관부기, 두드러기), 천식발작, 혈소판 감소, 과립구 감소, 용혈성(적혈구 파괴성)빈혈, 메트헤모글로빈혈증, 혈소판기능 저하(출혈시간 연장), 청색증, 얼굴부기, 땀이 남, 저혈압, 구역, 구토, 식욕부진, 위장출혈, 소화성궤양, 천공(뚫림) 등의 위장관계 이상반응, 발진, 알레르기 반응, 피부점막안증후군(스티븐스-존슨 증후군), 중독성표피괴사용해(리엘증후군), AST상승, ALT상승, 고정발진 증상이 나타나는 경우 복용을 즉각 중지하고 의사 또는 약사와 상의하십시오.</x:v>
      </x:c>
      <x:c r="I1838" s="8" t="str">
        <x:v>매우 드물게 급성전신발진고름물집증, 스티븐스-존슨증후군, 독성표피괴사용해와 같은 중대한 피부반응이 보고되었고 이 약 복용 후 피부발진 또는 다른 과민반응의 징후가 나타나는 경우 즉시 복용을 중단하십시오. 쇽 증상(호흡곤란, 온몸이 붉어짐, 혈관부기, 두드러기), 천식발작, 혈소판 감소, 과립구 감소, 용혈성(적혈구 파괴성)빈혈, 메트헤모글로빈혈증, 혈소판기능 저하(출혈시간 연장), 청색증, 얼굴부기, 땀이 남, 저혈압, 구역, 구토, 식욕부진, 위장출혈, 소화성궤양, 천공(뚫림) 등의 위장관계 이상반응, 발진, 알레르기 반응, 피부점막안증후군(스티븐스-존슨 증후군), 중독성표피괴사용해(리엘증후군), AST상승, ALT상승, 고정발진 증상이 나타나는 경우 복용을 즉각 중지하고 의사 또는 약사와 상의하십시오.</x:v>
      </x:c>
      <x:c r="J1838" s="8" t="str">
        <x:v>타이레놀산500밀리그램(아세트아미노펜) [품목기준코드 202201300]</x:v>
      </x:c>
      <x:c r="K1838" s="8" t="str">
        <x:v>식품의약품안전처 의약품개요정보(e약은요) OpenAPI
https://apis.data.go.kr/1471000/DrbEasyDrugInfoService/getDrbEasyDrugList</x:v>
      </x:c>
    </x:row>
    <x:row r="1839" ht="62" customHeight="1">
      <x:c r="A1839" s="9" t="n">
        <x:v>1838</x:v>
      </x:c>
      <x:c r="B1839" s="6" t="str">
        <x:v>최종 평가</x:v>
      </x:c>
      <x:c r="C1839" s="6" t="str">
        <x:v>복약</x:v>
      </x:c>
      <x:c r="D1839" s="6" t="str">
        <x:v>용법·용량</x:v>
      </x:c>
      <x:c r="E1839" s="6" t="str">
        <x:v>답변 가능</x:v>
      </x:c>
      <x:c r="F1839" s="6" t="str">
        <x:v>쉬움</x:v>
      </x:c>
      <x:c r="G1839" s="8" t="str">
        <x:v>하벤-키즈시럽은 어떻게 사용하나요?</x:v>
      </x:c>
      <x:c r="H1839" s="8" t="str">
        <x:v>만 15세 이상 및 성인은 1회 30 mL씩, 만 11세 이상~만 15세 미만은 1회 20 mL씩, 만 7세 이상~만 11세 미만은 1회 15 mL씩, 만 3세 이상~만 7세 미만은 1회 10 mL씩, 만 2세 이상~만 3세 미만은 1회 7.5 mL씩 매 식후 및 필요한 경우는 취침 시에 복용합니다.원칙적으로 복용간격은 4시간으로 합니다.</x:v>
      </x:c>
      <x:c r="I1839" s="8" t="str">
        <x:v>만 15세 이상 및 성인은 1회 30 mL씩, 만 11세 이상~만 15세 미만은 1회 20 mL씩, 만 7세 이상~만 11세 미만은 1회 15 mL씩, 만 3세 이상~만 7세 미만은 1회 10 mL씩, 만 2세 이상~만 3세 미만은 1회 7.5 mL씩 매 식후 및 필요한 경우는 취침 시에 복용합니다.원칙적으로 복용간격은 4시간으로 합니다.</x:v>
      </x:c>
      <x:c r="J1839" s="8" t="str">
        <x:v>하벤-키즈시럽 [품목기준코드 200102113]</x:v>
      </x:c>
      <x:c r="K1839" s="8" t="str">
        <x:v>식품의약품안전처 의약품개요정보(e약은요) OpenAPI
https://apis.data.go.kr/1471000/DrbEasyDrugInfoService/getDrbEasyDrugList</x:v>
      </x:c>
    </x:row>
    <x:row r="1840" ht="62" customHeight="1">
      <x:c r="A1840" s="9" t="n">
        <x:v>1839</x:v>
      </x:c>
      <x:c r="B1840" s="6" t="str">
        <x:v>최종 평가</x:v>
      </x:c>
      <x:c r="C1840" s="6" t="str">
        <x:v>복약</x:v>
      </x:c>
      <x:c r="D1840" s="6" t="str">
        <x:v>원인·위험요인</x:v>
      </x:c>
      <x:c r="E1840" s="6" t="str">
        <x:v>답변 가능</x:v>
      </x:c>
      <x:c r="F1840" s="6" t="str">
        <x:v>쉬움</x:v>
      </x:c>
      <x:c r="G1840" s="8" t="str">
        <x:v>에스텐캡슐300mg(에르도스테인)을 사용하기 전에 특히 조심해야 하는 사람은 누구인가요?</x:v>
      </x:c>
      <x:c r="H1840" s="8" t="str">
        <x:v>이 제품을 사용하기 전에 특히 확인해야 할 대상과 상황은 다음과 같습니다. 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x:v>
      </x:c>
      <x:c r="I1840" s="8" t="str">
        <x:v>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x:v>
      </x:c>
      <x:c r="J1840" s="8" t="str">
        <x:v>에스텐캡슐300mg(에르도스테인) [품목기준코드 201601614]</x:v>
      </x:c>
      <x:c r="K1840" s="8" t="str">
        <x:v>식품의약품안전처 의약품개요정보(e약은요) OpenAPI
https://apis.data.go.kr/1471000/DrbEasyDrugInfoService/getDrbEasyDrugList</x:v>
      </x:c>
    </x:row>
    <x:row r="1841" ht="62" customHeight="1">
      <x:c r="A1841" s="9" t="n">
        <x:v>1840</x:v>
      </x:c>
      <x:c r="B1841" s="6" t="str">
        <x:v>최종 평가</x:v>
      </x:c>
      <x:c r="C1841" s="6" t="str">
        <x:v>복약</x:v>
      </x:c>
      <x:c r="D1841" s="6" t="str">
        <x:v>상호작용</x:v>
      </x:c>
      <x:c r="E1841" s="6" t="str">
        <x:v>답변 가능</x:v>
      </x:c>
      <x:c r="F1841" s="6" t="str">
        <x:v>쉬움</x:v>
      </x:c>
      <x:c r="G1841" s="8" t="str">
        <x:v>카르닐정(엘카르니틴)과 함께 사용하거나 먹을 때 주의해야 할 약이나 음식이 있나요?</x:v>
      </x:c>
      <x:c r="H1841" s="8" t="str">
        <x:v>정주용 지질제와 함께 사용 시 의사 또는 약사와 상의하십시오.</x:v>
      </x:c>
      <x:c r="I1841" s="8" t="str">
        <x:v>정주용 지질제와 함께 사용 시 의사 또는 약사와 상의하십시오.</x:v>
      </x:c>
      <x:c r="J1841" s="8" t="str">
        <x:v>카르닐정(엘카르니틴) [품목기준코드 201900317]</x:v>
      </x:c>
      <x:c r="K1841" s="8" t="str">
        <x:v>식품의약품안전처 의약품개요정보(e약은요) OpenAPI
https://apis.data.go.kr/1471000/DrbEasyDrugInfoService/getDrbEasyDrugList</x:v>
      </x:c>
    </x:row>
    <x:row r="1842" ht="62" customHeight="1">
      <x:c r="A1842" s="9" t="n">
        <x:v>1841</x:v>
      </x:c>
      <x:c r="B1842" s="6" t="str">
        <x:v>최종 평가</x:v>
      </x:c>
      <x:c r="C1842" s="6" t="str">
        <x:v>복약</x:v>
      </x:c>
      <x:c r="D1842" s="6" t="str">
        <x:v>답변불가·처방 필요 여부</x:v>
      </x:c>
      <x:c r="E1842" s="6" t="str">
        <x:v>답변 거부</x:v>
      </x:c>
      <x:c r="F1842" s="6" t="str">
        <x:v>어려움</x:v>
      </x:c>
      <x:c r="G1842" s="8" t="str">
        <x:v>에스프로펜정(덱시부프로펜)은 지금 처방전 없이 살 수 있는지 확정해서 알려주세요.</x:v>
      </x:c>
      <x:c r="H1842" s="8" t="str">
        <x:v>제공된 e약은요 VDB 항목만으로는 현재의 전문·일반의약품 분류와 처방 필요 여부를 확정할 수 없습니다.</x:v>
      </x:c>
      <x:c r="I1842" s="8" t="str">
        <x:v>VDB 범위 밖 질문 — 근거 없음</x:v>
      </x:c>
      <x:c r="J1842" s="8" t="str">
        <x:v>에스프로펜정(덱시부프로펜) [품목기준코드 200202755]</x:v>
      </x:c>
      <x:c r="K1842" s="8" t="str">
        <x:v>식품의약품안전처 의약품개요정보(e약은요) OpenAPI
https://apis.data.go.kr/1471000/DrbEasyDrugInfoService/getDrbEasyDrugList</x:v>
      </x:c>
    </x:row>
    <x:row r="1843" ht="62" customHeight="1">
      <x:c r="A1843" s="9" t="n">
        <x:v>1842</x:v>
      </x:c>
      <x:c r="B1843" s="6" t="str">
        <x:v>최종 평가</x:v>
      </x:c>
      <x:c r="C1843" s="6" t="str">
        <x:v>복약</x:v>
      </x:c>
      <x:c r="D1843" s="6" t="str">
        <x:v>증상·이상반응</x:v>
      </x:c>
      <x:c r="E1843" s="6" t="str">
        <x:v>답변 가능</x:v>
      </x:c>
      <x:c r="F1843" s="6" t="str">
        <x:v>쉬움</x:v>
      </x:c>
      <x:c r="G1843" s="8" t="str">
        <x:v>엔비100정을 사용하면 어떤 부작용이 생길 수 있나요?</x:v>
      </x:c>
      <x:c r="H1843" s="8" t="str">
        <x:v>e약은요에는 다음과 같은 이상반응이 안내되어 있습니다. 구역, 구토, 묽은 변, 식욕부진, 위부불쾌감, 위부팽만감, 복부팽만감 등이 나타나는 경우 복용을 즉각 중지하고 의사 또는 약사와 상의하십시오.</x:v>
      </x:c>
      <x:c r="I1843" s="8" t="str">
        <x:v>구역, 구토, 묽은 변, 식욕부진, 위부불쾌감, 위부팽만감, 복부팽만감 등이 나타나는 경우 복용을 즉각 중지하고 의사 또는 약사와 상의하십시오.</x:v>
      </x:c>
      <x:c r="J1843" s="8" t="str">
        <x:v>엔비100정 [품목기준코드 200904736]</x:v>
      </x:c>
      <x:c r="K1843" s="8" t="str">
        <x:v>식품의약품안전처 의약품개요정보(e약은요) OpenAPI
https://apis.data.go.kr/1471000/DrbEasyDrugInfoService/getDrbEasyDrugList</x:v>
      </x:c>
    </x:row>
    <x:row r="1844" ht="62" customHeight="1">
      <x:c r="A1844" s="9" t="n">
        <x:v>1843</x:v>
      </x:c>
      <x:c r="B1844" s="6" t="str">
        <x:v>최종 평가</x:v>
      </x:c>
      <x:c r="C1844" s="6" t="str">
        <x:v>복약</x:v>
      </x:c>
      <x:c r="D1844" s="6" t="str">
        <x:v>원인·위험요인</x:v>
      </x:c>
      <x:c r="E1844" s="6" t="str">
        <x:v>답변 가능</x:v>
      </x:c>
      <x:c r="F1844" s="6" t="str">
        <x:v>쉬움</x:v>
      </x:c>
      <x:c r="G1844" s="8" t="str">
        <x:v>락스타캡슐(락토바실루스카제이변종람노수스의동결건조배양물)을 사용하기 전에 특히 조심해야 하는 사람은 누구인가요?</x:v>
      </x:c>
      <x:c r="H1844" s="8" t="str">
        <x:v>이 제품을 사용하기 전에 특히 확인해야 할 대상과 상황은 다음과 같습니다. 이 약에 과민증 환자는 이 약을 복용하지 마십시오.이 약을 복용하기 전에 임부는 의사 또는 약사와 상의하십시오.정해진 용법과 용량을 잘 지키십시오.설사로 인한 수분손실을 보충하기 위해, 염분 또는 당을 함유한 음료를 충분히 섭취하십시오.</x:v>
      </x:c>
      <x:c r="I1844" s="8" t="str">
        <x:v>이 약에 과민증 환자는 이 약을 복용하지 마십시오.이 약을 복용하기 전에 임부는 의사 또는 약사와 상의하십시오.정해진 용법과 용량을 잘 지키십시오.설사로 인한 수분손실을 보충하기 위해, 염분 또는 당을 함유한 음료를 충분히 섭취하십시오.</x:v>
      </x:c>
      <x:c r="J1844" s="8" t="str">
        <x:v>락스타캡슐(락토바실루스카제이변종람노수스의동결건조배양물) [품목기준코드 201800675]</x:v>
      </x:c>
      <x:c r="K1844" s="8" t="str">
        <x:v>식품의약품안전처 의약품개요정보(e약은요) OpenAPI
https://apis.data.go.kr/1471000/DrbEasyDrugInfoService/getDrbEasyDrugList</x:v>
      </x:c>
    </x:row>
    <x:row r="1845" ht="62" customHeight="1">
      <x:c r="A1845" s="9" t="n">
        <x:v>1844</x:v>
      </x:c>
      <x:c r="B1845" s="6" t="str">
        <x:v>최종 평가</x:v>
      </x:c>
      <x:c r="C1845" s="6" t="str">
        <x:v>복약</x:v>
      </x:c>
      <x:c r="D1845" s="6" t="str">
        <x:v>원인·위험요인</x:v>
      </x:c>
      <x:c r="E1845" s="6" t="str">
        <x:v>답변 가능</x:v>
      </x:c>
      <x:c r="F1845" s="6" t="str">
        <x:v>보통</x:v>
      </x:c>
      <x:c r="G1845" s="8" t="str">
        <x:v>뉴클로정(클로닉신리시네이트)을 사용하기 전에 특히 조심해야 하는 사람은 누구인가요?</x:v>
      </x:c>
      <x:c r="H1845" s="8" t="str">
        <x:v>이 제품을 사용하기 전에 특히 확인해야 할 대상과 상황은 다음과 같습니다. 소화성궤양 환자, 약물에 기인하여 위·십이지장에 동요 발현,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신장애 환자 또는 경험자는 의사 또는 약사와 상의하십시오.</x:v>
      </x:c>
      <x:c r="I1845" s="8" t="str">
        <x:v>소화성궤양 환자, 약물에 기인하여 위·십이지장에 동요 발현,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신장애 환자 또는 경험자는 의사 또는 약사와 상의하십시오.</x:v>
      </x:c>
      <x:c r="J1845" s="8" t="str">
        <x:v>뉴클로정(클로닉신리시네이트) [품목기준코드 200901146]</x:v>
      </x:c>
      <x:c r="K1845" s="8" t="str">
        <x:v>식품의약품안전처 의약품개요정보(e약은요) OpenAPI
https://apis.data.go.kr/1471000/DrbEasyDrugInfoService/getDrbEasyDrugList</x:v>
      </x:c>
    </x:row>
    <x:row r="1846" ht="62" customHeight="1">
      <x:c r="A1846" s="9" t="n">
        <x:v>1845</x:v>
      </x:c>
      <x:c r="B1846" s="6" t="str">
        <x:v>최종 평가</x:v>
      </x:c>
      <x:c r="C1846" s="6" t="str">
        <x:v>복약</x:v>
      </x:c>
      <x:c r="D1846" s="6" t="str">
        <x:v>금기·경고</x:v>
      </x:c>
      <x:c r="E1846" s="6" t="str">
        <x:v>답변 가능</x:v>
      </x:c>
      <x:c r="F1846" s="6" t="str">
        <x:v>보통</x:v>
      </x:c>
      <x:c r="G1846" s="8" t="str">
        <x:v>맥시부키즈시럽(덱시부프로펜)을 사용하면 안 되거나 반드시 확인해야 할 경고사항은 무엇인가요?</x:v>
      </x:c>
      <x:c r="H1846" s="8" t="str">
        <x:v>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이 약에 과민증 환자, 소화성궤양, 심한 혈액이상, 간장애, 신장애, 심기능부전, 고혈압, 기관지 천식 또는 경험자, 아스피린이나 다른 비스테로이드성 소염진통제에 대하여 천식, 두드러기 또는 알레르기 경험자, 관상동맥 우회로술 전후에 발생하는 통증의 치료 환자, 임부 또는 임신하고 있을 가능성이 있는 부인 및 수유부는 이 약을 복용하지 마십시오. 이 약을 복용하기 전에 소화성 궤양, 혈액이상, 출혈경향, 간장애, 신장애, 심기능부전, 고혈압, 과민증의 기왕력, 전신성 홍반성 루푸스(SLE) 환자 및 혼합 결합 조직 질환(MCTD), 궤양성대장염, 크론병, 고령자 및 소아, 위암 그리고 심근경색이나 뇌졸중 예방목적으로 저용량 아스피린을 복용하는 사람, 특히 자가면역질환(SLE, MCTD) 환자는 의사 또는 약사와 상의하십시오.</x:v>
      </x:c>
      <x:c r="I1846" s="8" t="str">
        <x:v>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이 약에 과민증 환자, 소화성궤양, 심한 혈액이상, 간장애, 신장애, 심기능부전, 고혈압, 기관지 천식 또는 경험자, 아스피린이나 다른 비스테로이드성 소염진통제에 대하여 천식, 두드러기 또는 알레르기 경험자, 관상동맥 우회로술 전후에 발생하는 통증의 치료 환자, 임부 또는 임신하고 있을 가능성이 있는 부인 및 수유부는 이 약을 복용하지 마십시오. 이 약을 복용하기 전에 소화성 궤양, 혈액이상, 출혈경향, 간장애, 신장애, 심기능부전, 고혈압, 과민증의 기왕력, 전신성 홍반성 루푸스(SLE) 환자 및 혼합 결합 조직 질환(MCTD), 궤양성대장염, 크론병, 고령자 및 소아, 위암 그리고 심근경색이나 뇌졸중 예방목적으로 저용량 아스피린을 복용하는 사람, 특히 자가면역질환(SLE, MCTD) 환자는 의사 또는 약사와 상의하십시오.</x:v>
      </x:c>
      <x:c r="J1846" s="8" t="str">
        <x:v>맥시부키즈시럽(덱시부프로펜) [품목기준코드 201907915]</x:v>
      </x:c>
      <x:c r="K1846" s="8" t="str">
        <x:v>식품의약품안전처 의약품개요정보(e약은요) OpenAPI
https://apis.data.go.kr/1471000/DrbEasyDrugInfoService/getDrbEasyDrugList</x:v>
      </x:c>
    </x:row>
    <x:row r="1847" ht="62" customHeight="1">
      <x:c r="A1847" s="9" t="n">
        <x:v>1846</x:v>
      </x:c>
      <x:c r="B1847" s="6" t="str">
        <x:v>최종 평가</x:v>
      </x:c>
      <x:c r="C1847" s="6" t="str">
        <x:v>복약</x:v>
      </x:c>
      <x:c r="D1847" s="6" t="str">
        <x:v>증상·이상반응</x:v>
      </x:c>
      <x:c r="E1847" s="6" t="str">
        <x:v>답변 가능</x:v>
      </x:c>
      <x:c r="F1847" s="6" t="str">
        <x:v>쉬움</x:v>
      </x:c>
      <x:c r="G1847" s="8" t="str">
        <x:v>넥스팜탄산칼슘정(침강탄산칼슘)을 사용하면 어떤 부작용이 생길 수 있나요?</x:v>
      </x:c>
      <x:c r="H1847" s="8" t="str">
        <x:v>e약은요에는 다음과 같은 이상반응이 안내되어 있습니다. 구역, 변비 또는 설사, 드물게 위산의 반동성 분비, 가려움증 등이 나타날 수 있습니다.</x:v>
      </x:c>
      <x:c r="I1847" s="8" t="str">
        <x:v>구역, 변비 또는 설사, 드물게 위산의 반동성 분비, 가려움증 등이 나타날 수 있습니다.</x:v>
      </x:c>
      <x:c r="J1847" s="8" t="str">
        <x:v>넥스팜탄산칼슘정(침강탄산칼슘) [품목기준코드 199804362]</x:v>
      </x:c>
      <x:c r="K1847" s="8" t="str">
        <x:v>식품의약품안전처 의약품개요정보(e약은요) OpenAPI
https://apis.data.go.kr/1471000/DrbEasyDrugInfoService/getDrbEasyDrugList</x:v>
      </x:c>
    </x:row>
    <x:row r="1848" ht="62" customHeight="1">
      <x:c r="A1848" s="9" t="n">
        <x:v>1847</x:v>
      </x:c>
      <x:c r="B1848" s="6" t="str">
        <x:v>최종 평가</x:v>
      </x:c>
      <x:c r="C1848" s="6" t="str">
        <x:v>복약</x:v>
      </x:c>
      <x:c r="D1848" s="6" t="str">
        <x:v>용법·용량</x:v>
      </x:c>
      <x:c r="E1848" s="6" t="str">
        <x:v>답변 가능</x:v>
      </x:c>
      <x:c r="F1848" s="6" t="str">
        <x:v>보통</x:v>
      </x:c>
      <x:c r="G1848" s="8" t="str">
        <x:v>큐센400이부프로펜연질캡슐은 어떻게 사용하나요?</x:v>
      </x:c>
      <x:c r="H1848" s="8" t="str">
        <x:v>류마티양 관절염, 골관절염, 강직성 척추염, 연조직손상, 비관절 류마티스질환, 급성통풍, 건선성 관절염에 성인은 1회 1/2 캡슐~1.5캡슐(200~600 mg), 1일 3~4회 복용하며 1일 최고 8캡슐(3,200 mg)까지 복용할 수 있습니다. 연소성 류마티양 관절염에는 1일 체중 kg당 30~40 mg을 3~4회 분할하여 복용하며, 경증 및 중등도의 동통이나 감기에는 성인 1회 1/2캡슐~1캡슐(200~400 mg), 1일 3~4회 복용합니다. 편두통에 성인은 1회 1/2~1캡슐(200~400 mg)을 복용하고 24시간 동안 1캡슐(400 mg)을 초과하지 않도록 합니다. 권장용량을 초과하여 복용하지 마십시오. 연령, 증상에 따라 적절히 증감하십시오.</x:v>
      </x:c>
      <x:c r="I1848" s="8" t="str">
        <x:v>류마티양 관절염, 골관절염, 강직성 척추염, 연조직손상, 비관절 류마티스질환, 급성통풍, 건선성 관절염에 성인은 1회 1/2 캡슐~1.5캡슐(200~600 mg), 1일 3~4회 복용하며 1일 최고 8캡슐(3,200 mg)까지 복용할 수 있습니다. 연소성 류마티양 관절염에는 1일 체중 kg당 30~40 mg을 3~4회 분할하여 복용하며, 경증 및 중등도의 동통이나 감기에는 성인 1회 1/2캡슐~1캡슐(200~400 mg), 1일 3~4회 복용합니다. 편두통에 성인은 1회 1/2~1캡슐(200~400 mg)을 복용하고 24시간 동안 1캡슐(400 mg)을 초과하지 않도록 합니다. 권장용량을 초과하여 복용하지 마십시오. 연령, 증상에 따라 적절히 증감하십시오.</x:v>
      </x:c>
      <x:c r="J1848" s="8" t="str">
        <x:v>큐센400이부프로펜연질캡슐 [품목기준코드 201907485]</x:v>
      </x:c>
      <x:c r="K1848" s="8" t="str">
        <x:v>식품의약품안전처 의약품개요정보(e약은요) OpenAPI
https://apis.data.go.kr/1471000/DrbEasyDrugInfoService/getDrbEasyDrugList</x:v>
      </x:c>
    </x:row>
    <x:row r="1849" ht="62" customHeight="1">
      <x:c r="A1849" s="9" t="n">
        <x:v>1848</x:v>
      </x:c>
      <x:c r="B1849" s="6" t="str">
        <x:v>최종 평가</x:v>
      </x:c>
      <x:c r="C1849" s="6" t="str">
        <x:v>복약</x:v>
      </x:c>
      <x:c r="D1849" s="6" t="str">
        <x:v>답변불가·가격·재고</x:v>
      </x:c>
      <x:c r="E1849" s="6" t="str">
        <x:v>답변 거부</x:v>
      </x:c>
      <x:c r="F1849" s="6" t="str">
        <x:v>어려움</x:v>
      </x:c>
      <x:c r="G1849" s="8" t="str">
        <x:v>오늘 제 주변 약국에서 포비크린세정용이 가장 싼 곳과 재고 수량을 알려주세요.</x:v>
      </x:c>
      <x:c r="H1849" s="8" t="str">
        <x:v>제공된 e약은요 VDB에는 실시간 약국별 가격과 재고 정보가 없어 답할 수 없습니다.</x:v>
      </x:c>
      <x:c r="I1849" s="8" t="str">
        <x:v>VDB 범위 밖 질문 — 근거 없음</x:v>
      </x:c>
      <x:c r="J1849" s="8" t="str">
        <x:v>포비크린세정용 [품목기준코드 199700635]</x:v>
      </x:c>
      <x:c r="K1849" s="8" t="str">
        <x:v>식품의약품안전처 의약품개요정보(e약은요) OpenAPI
https://apis.data.go.kr/1471000/DrbEasyDrugInfoService/getDrbEasyDrugList</x:v>
      </x:c>
    </x:row>
    <x:row r="1850" ht="62" customHeight="1">
      <x:c r="A1850" s="9" t="n">
        <x:v>1849</x:v>
      </x:c>
      <x:c r="B1850" s="6" t="str">
        <x:v>최종 평가</x:v>
      </x:c>
      <x:c r="C1850" s="6" t="str">
        <x:v>복약</x:v>
      </x:c>
      <x:c r="D1850" s="6" t="str">
        <x:v>증상·이상반응</x:v>
      </x:c>
      <x:c r="E1850" s="6" t="str">
        <x:v>답변 가능</x:v>
      </x:c>
      <x:c r="F1850" s="6" t="str">
        <x:v>쉬움</x:v>
      </x:c>
      <x:c r="G1850" s="8" t="str">
        <x:v>가네치온정100밀리그램(글루타티온(환원형))을 사용하면 어떤 부작용이 생길 수 있나요?</x:v>
      </x:c>
      <x:c r="H1850" s="8" t="str">
        <x:v>e약은요에는 다음과 같은 이상반응이 안내되어 있습니다. 드물게 발진 등 과민증, 식욕부진, 구역, 구토, 위통 등 소화기계 이상이 나타나는 경우 복용을 즉각 중지하고 의사 또는 약사와 상의하십시오.</x:v>
      </x:c>
      <x:c r="I1850" s="8" t="str">
        <x:v>드물게 발진 등 과민증, 식욕부진, 구역, 구토, 위통 등 소화기계 이상이 나타나는 경우 복용을 즉각 중지하고 의사 또는 약사와 상의하십시오.</x:v>
      </x:c>
      <x:c r="J1850" s="8" t="str">
        <x:v>가네치온정100밀리그램(글루타티온(환원형)) [품목기준코드 202005641]</x:v>
      </x:c>
      <x:c r="K1850" s="8" t="str">
        <x:v>식품의약품안전처 의약품개요정보(e약은요) OpenAPI
https://apis.data.go.kr/1471000/DrbEasyDrugInfoService/getDrbEasyDrugList</x:v>
      </x:c>
    </x:row>
    <x:row r="1851" ht="62" customHeight="1">
      <x:c r="A1851" s="9" t="n">
        <x:v>1850</x:v>
      </x:c>
      <x:c r="B1851" s="6" t="str">
        <x:v>최종 평가</x:v>
      </x:c>
      <x:c r="C1851" s="6" t="str">
        <x:v>복약</x:v>
      </x:c>
      <x:c r="D1851" s="6" t="str">
        <x:v>대상별 정보</x:v>
      </x:c>
      <x:c r="E1851" s="6" t="str">
        <x:v>답변 가능</x:v>
      </x:c>
      <x:c r="F1851" s="6" t="str">
        <x:v>쉬움</x:v>
      </x:c>
      <x:c r="G1851" s="8" t="str">
        <x:v>어린이나 소아가 비사진나잘스프레이(덱스판테놀)을 사용해도 되나요?</x:v>
      </x:c>
      <x:c r="H1851" s="8" t="str">
        <x:v>e약은요에서 어린이·소아과 관련해 안내한 내용은 다음과 같습니다. 어린이에게 투여할 경우 보호자의 지도 감독하에 투여하십시오.</x:v>
      </x:c>
      <x:c r="I1851" s="8" t="str">
        <x:v>어린이에게 투여할 경우 보호자의 지도 감독하에 투여하십시오.</x:v>
      </x:c>
      <x:c r="J1851" s="8" t="str">
        <x:v>비사진나잘스프레이(덱스판테놀) [품목기준코드 201201278]</x:v>
      </x:c>
      <x:c r="K1851" s="8" t="str">
        <x:v>식품의약품안전처 의약품개요정보(e약은요) OpenAPI
https://apis.data.go.kr/1471000/DrbEasyDrugInfoService/getDrbEasyDrugList</x:v>
      </x:c>
    </x:row>
    <x:row r="1852" ht="62" customHeight="1">
      <x:c r="A1852" s="9" t="n">
        <x:v>1851</x:v>
      </x:c>
      <x:c r="B1852" s="6" t="str">
        <x:v>최종 평가</x:v>
      </x:c>
      <x:c r="C1852" s="6" t="str">
        <x:v>복약</x:v>
      </x:c>
      <x:c r="D1852" s="6" t="str">
        <x:v>금기·경고</x:v>
      </x:c>
      <x:c r="E1852" s="6" t="str">
        <x:v>답변 가능</x:v>
      </x:c>
      <x:c r="F1852" s="6" t="str">
        <x:v>쉬움</x:v>
      </x:c>
      <x:c r="G1852" s="8" t="str">
        <x:v>엘도스테인캡슐(에르도스테인)을 사용하면 안 되거나 반드시 확인해야 할 경고사항은 무엇인가요?</x:v>
      </x:c>
      <x:c r="H1852" s="8" t="str">
        <x:v>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x:v>
      </x:c>
      <x:c r="I1852" s="8" t="str">
        <x:v>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x:v>
      </x:c>
      <x:c r="J1852" s="8" t="str">
        <x:v>엘도스테인캡슐(에르도스테인) [품목기준코드 201803487]</x:v>
      </x:c>
      <x:c r="K1852" s="8" t="str">
        <x:v>식품의약품안전처 의약품개요정보(e약은요) OpenAPI
https://apis.data.go.kr/1471000/DrbEasyDrugInfoService/getDrbEasyDrugList</x:v>
      </x:c>
    </x:row>
    <x:row r="1853" ht="62" customHeight="1">
      <x:c r="A1853" s="9" t="n">
        <x:v>1852</x:v>
      </x:c>
      <x:c r="B1853" s="6" t="str">
        <x:v>최종 평가</x:v>
      </x:c>
      <x:c r="C1853" s="6" t="str">
        <x:v>복약</x:v>
      </x:c>
      <x:c r="D1853" s="6" t="str">
        <x:v>실용·응급대처</x:v>
      </x:c>
      <x:c r="E1853" s="6" t="str">
        <x:v>답변 가능</x:v>
      </x:c>
      <x:c r="F1853" s="6" t="str">
        <x:v>보통</x:v>
      </x:c>
      <x:c r="G1853" s="8" t="str">
        <x:v>웰리드연질캡슐 사용 후 심한 이상반응이 나타나면 어떻게 해야 하나요?</x:v>
      </x:c>
      <x:c r="H1853" s="8" t="str">
        <x:v>구역, 구토, 설사, 변비, 위부불쾌감, 위장관장애, 소화장애, 상복부(배부분)통증, 가려움, 건조하고 거친 피부, 통증성 관절부종(부기), 발진, 발적(충혈되어 붉어짐), 피부염, 땀ㆍ호흡시 악취, 탈모, 조급증, 저혈압, 폐부종(부기), 생리가 예정보다 빨라지거나 양이 점점 많아지거나, 출혈이 오래 지속되는 경우 복용을 즉각 중지하고 의사 또는 약사와 상의하십시오.</x:v>
      </x:c>
      <x:c r="I1853" s="8" t="str">
        <x:v>구역, 구토, 설사, 변비, 위부불쾌감, 위장관장애, 소화장애, 상복부(배부분)통증, 가려움, 건조하고 거친 피부, 통증성 관절부종(부기), 발진, 발적(충혈되어 붉어짐), 피부염, 땀ㆍ호흡시 악취, 탈모, 조급증, 저혈압, 폐부종(부기), 생리가 예정보다 빨라지거나 양이 점점 많아지거나, 출혈이 오래 지속되는 경우 복용을 즉각 중지하고 의사 또는 약사와 상의하십시오.</x:v>
      </x:c>
      <x:c r="J1853" s="8" t="str">
        <x:v>웰리드연질캡슐 [품목기준코드 200500569]</x:v>
      </x:c>
      <x:c r="K1853" s="8" t="str">
        <x:v>식품의약품안전처 의약품개요정보(e약은요) OpenAPI
https://apis.data.go.kr/1471000/DrbEasyDrugInfoService/getDrbEasyDrugList</x:v>
      </x:c>
    </x:row>
    <x:row r="1854" ht="62" customHeight="1">
      <x:c r="A1854" s="9" t="n">
        <x:v>1853</x:v>
      </x:c>
      <x:c r="B1854" s="6" t="str">
        <x:v>최종 평가</x:v>
      </x:c>
      <x:c r="C1854" s="6" t="str">
        <x:v>복약</x:v>
      </x:c>
      <x:c r="D1854" s="6" t="str">
        <x:v>대상별 정보</x:v>
      </x:c>
      <x:c r="E1854" s="6" t="str">
        <x:v>답변 가능</x:v>
      </x:c>
      <x:c r="F1854" s="6" t="str">
        <x:v>보통</x:v>
      </x:c>
      <x:c r="G1854" s="8" t="str">
        <x:v>임신 또는 수유 중에 케프로텍플라스타(케토프로펜)을 사용해도 되나요?</x:v>
      </x:c>
      <x:c r="H1854" s="8" t="str">
        <x:v>e약은요에서 임신 또는 수유 중인 사람과 관련해 안내한 내용은 다음과 같습니다. 이 약에 과민증 및 광과민증 또는 티아프로펜산, 페노피브레이트, 베자피브레이트, 시프로피브레이트, 옥시벤존에 과민증 환자, 아스피린 천식 또는 비스테로이드소염진통제 등에 의한 천식발작 경험자, 임신기간 6개월 이상인 임부, 15세 미만의 소아는 이 약을 사용하지 마십시오.이 약을 사용하기 전에 기관지 천식 환자, 임부 및 수유부는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하십시오.눈 및 점막, 손상된 피부 및 점막, 습진 또는 발진 부위, 무좀, 백선 등에 사용하지 마십시오.밀봉붕대요법을 사용하지 마십시오.</x:v>
      </x:c>
      <x:c r="I1854" s="8" t="str">
        <x:v>이 약에 과민증 및 광과민증 또는 티아프로펜산, 페노피브레이트, 베자피브레이트, 시프로피브레이트, 옥시벤존에 과민증 환자, 아스피린 천식 또는 비스테로이드소염진통제 등에 의한 천식발작 경험자, 임신기간 6개월 이상인 임부, 15세 미만의 소아는 이 약을 사용하지 마십시오.이 약을 사용하기 전에 기관지 천식 환자, 임부 및 수유부는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하십시오.눈 및 점막, 손상된 피부 및 점막, 습진 또는 발진 부위, 무좀, 백선 등에 사용하지 마십시오.밀봉붕대요법을 사용하지 마십시오.</x:v>
      </x:c>
      <x:c r="J1854" s="8" t="str">
        <x:v>케프로텍플라스타(케토프로펜) [품목기준코드 200705581]</x:v>
      </x:c>
      <x:c r="K1854" s="8" t="str">
        <x:v>식품의약품안전처 의약품개요정보(e약은요) OpenAPI
https://apis.data.go.kr/1471000/DrbEasyDrugInfoService/getDrbEasyDrugList</x:v>
      </x:c>
    </x:row>
    <x:row r="1855" ht="62" customHeight="1">
      <x:c r="A1855" s="9" t="n">
        <x:v>1854</x:v>
      </x:c>
      <x:c r="B1855" s="6" t="str">
        <x:v>최종 평가</x:v>
      </x:c>
      <x:c r="C1855" s="6" t="str">
        <x:v>복약</x:v>
      </x:c>
      <x:c r="D1855" s="6" t="str">
        <x:v>금기·경고</x:v>
      </x:c>
      <x:c r="E1855" s="6" t="str">
        <x:v>답변 가능</x:v>
      </x:c>
      <x:c r="F1855" s="6" t="str">
        <x:v>쉬움</x:v>
      </x:c>
      <x:c r="G1855" s="8" t="str">
        <x:v>페리톡겔을 사용하면 안 되거나 반드시 확인해야 할 경고사항은 무엇인가요?</x:v>
      </x:c>
      <x:c r="H1855" s="8" t="str">
        <x:v>이 약 또는 기타 아미드계 국소마취제에 과민증 환자, 5개월 미만의 유아는 이 약을 사용하지 마십시오.이 약을 사용하기 전에 임부 또는 임신하고 있을 가능성이 있는 여성, 간이나 심장에 이상이 있는 환자는 의사 또는 약사와 상의하십시오.정해진 용법과 용량을 잘 지키십시오.어린이에게 투여할 경우 보호자의 지도 감독하에 투여하십시오.어린이의 치과 치료에 사용하지 마십시오.</x:v>
      </x:c>
      <x:c r="I1855" s="8" t="str">
        <x:v>이 약 또는 기타 아미드계 국소마취제에 과민증 환자, 5개월 미만의 유아는 이 약을 사용하지 마십시오.이 약을 사용하기 전에 임부 또는 임신하고 있을 가능성이 있는 여성, 간이나 심장에 이상이 있는 환자는 의사 또는 약사와 상의하십시오.정해진 용법과 용량을 잘 지키십시오.어린이에게 투여할 경우 보호자의 지도 감독하에 투여하십시오.어린이의 치과 치료에 사용하지 마십시오.</x:v>
      </x:c>
      <x:c r="J1855" s="8" t="str">
        <x:v>페리톡겔 [품목기준코드 202001085]</x:v>
      </x:c>
      <x:c r="K1855" s="8" t="str">
        <x:v>식품의약품안전처 의약품개요정보(e약은요) OpenAPI
https://apis.data.go.kr/1471000/DrbEasyDrugInfoService/getDrbEasyDrugList</x:v>
      </x:c>
    </x:row>
    <x:row r="1856" ht="62" customHeight="1">
      <x:c r="A1856" s="9" t="n">
        <x:v>1855</x:v>
      </x:c>
      <x:c r="B1856" s="6" t="str">
        <x:v>최종 평가</x:v>
      </x:c>
      <x:c r="C1856" s="6" t="str">
        <x:v>복약</x:v>
      </x:c>
      <x:c r="D1856" s="6" t="str">
        <x:v>효능·사용목적</x:v>
      </x:c>
      <x:c r="E1856" s="6" t="str">
        <x:v>답변 가능</x:v>
      </x:c>
      <x:c r="F1856" s="6" t="str">
        <x:v>쉬움</x:v>
      </x:c>
      <x:c r="G1856" s="8" t="str">
        <x:v>보령아이락비타연질캡슐은 어떤 증상이나 질환에 사용하는 약인가요?</x:v>
      </x:c>
      <x:c r="H1856" s="8" t="str">
        <x:v>이 약은 육체피로, 임신ㆍ수유기, 병중ㆍ병후(병을 앓는 동안이나 회복 후)의 체력 저하 시 비타민 A, B1, B2의 보급과 눈의 건조감의 완화, 야맹증(밤에 잘 못 보는 증상), 각기, 눈의 피로, 신경통, 근육통, 관절통(요통, 어깨결림 등), 구각염(입꼬리염), 구순염(입술염), 구내염(입안염), 설염(혀염), 습진, 피부염 증상의 완화에 사용합니다.</x:v>
      </x:c>
      <x:c r="I1856" s="8" t="str">
        <x:v>이 약은 육체피로, 임신ㆍ수유기, 병중ㆍ병후(병을 앓는 동안이나 회복 후)의 체력 저하 시 비타민 A, B1, B2의 보급과 눈의 건조감의 완화, 야맹증(밤에 잘 못 보는 증상), 각기, 눈의 피로, 신경통, 근육통, 관절통(요통, 어깨결림 등), 구각염(입꼬리염), 구순염(입술염), 구내염(입안염), 설염(혀염), 습진, 피부염 증상의 완화에 사용합니다.</x:v>
      </x:c>
      <x:c r="J1856" s="8" t="str">
        <x:v>보령아이락비타연질캡슐 [품목기준코드 201601341]</x:v>
      </x:c>
      <x:c r="K1856" s="8" t="str">
        <x:v>식품의약품안전처 의약품개요정보(e약은요) OpenAPI
https://apis.data.go.kr/1471000/DrbEasyDrugInfoService/getDrbEasyDrugList</x:v>
      </x:c>
    </x:row>
    <x:row r="1857" ht="62" customHeight="1">
      <x:c r="A1857" s="9" t="n">
        <x:v>1856</x:v>
      </x:c>
      <x:c r="B1857" s="6" t="str">
        <x:v>최종 평가</x:v>
      </x:c>
      <x:c r="C1857" s="6" t="str">
        <x:v>복약</x:v>
      </x:c>
      <x:c r="D1857" s="6" t="str">
        <x:v>용어·정의</x:v>
      </x:c>
      <x:c r="E1857" s="6" t="str">
        <x:v>답변 가능</x:v>
      </x:c>
      <x:c r="F1857" s="6" t="str">
        <x:v>쉬움</x:v>
      </x:c>
      <x:c r="G1857" s="8" t="str">
        <x:v>삐콤씨에이스정 (수출명:유한삐콤씨에이스정)은 어떤 약인가요?</x:v>
      </x:c>
      <x:c r="H1857" s="8" t="str">
        <x:v>삐콤씨에이스정 (수출명:유한삐콤씨에이스정)은 (주)유한양행의 의약품으로, e약은요에는 다음과 같이 안내되어 있습니다. 이 약은 육체피로, 임신ㆍ수유기, 병중ㆍ병후(병을 앓는 동안이나 회복 후)의 체력 저하 시, 노년기의 비타민 E, B1, B2, B6, C의 보급과 신경통, 근육통, 관절통(요통, 어깨결림 등) 증상의 완화, 각기, 눈의 피로, 구각염(입꼬리염), 구순염(입술염), 구내염(입안염), 설염(혀염), 습진, 피부염 증상의 완화, 햇빛ㆍ피부병 등에 의한 색소침착(기미, 주근깨)의 완화, 잇몸출혈ㆍ비출혈(코피) 예방과 아연의 보급에 사용합니다.</x:v>
      </x:c>
      <x:c r="I1857" s="8" t="str">
        <x:v>제품명: 삐콤씨에이스정 (수출명:유한삐콤씨에이스정) 업체명: (주)유한양행 효능: 이 약은 육체피로, 임신ㆍ수유기, 병중ㆍ병후(병을 앓는 동안이나 회복 후)의 체력 저하 시, 노년기의 비타민 E, B1, B2, B6, C의 보급과 신경통, 근육통, 관절통(요통, 어깨결림 등) 증상의 완화, 각기, 눈의 피로, 구각염(입꼬리염), 구순염(입술염), 구내염(입안염), 설염(혀염), 습진, 피부염 증상의 완화, 햇빛ㆍ피부병 등에 의한 색소침착(기미, 주근깨)의 완화, 잇몸출혈ㆍ비출혈(코피) 예방과 아연의 보급에 사용합니다.</x:v>
      </x:c>
      <x:c r="J1857" s="8" t="str">
        <x:v>삐콤씨에이스정 (수출명:유한삐콤씨에이스정) [품목기준코드 200400500]</x:v>
      </x:c>
      <x:c r="K1857" s="8" t="str">
        <x:v>식품의약품안전처 의약품개요정보(e약은요) OpenAPI
https://apis.data.go.kr/1471000/DrbEasyDrugInfoService/getDrbEasyDrugList</x:v>
      </x:c>
    </x:row>
    <x:row r="1858" ht="62" customHeight="1">
      <x:c r="A1858" s="9" t="n">
        <x:v>1857</x:v>
      </x:c>
      <x:c r="B1858" s="6" t="str">
        <x:v>최종 평가</x:v>
      </x:c>
      <x:c r="C1858" s="6" t="str">
        <x:v>복약</x:v>
      </x:c>
      <x:c r="D1858" s="6" t="str">
        <x:v>금기·경고</x:v>
      </x:c>
      <x:c r="E1858" s="6" t="str">
        <x:v>답변 가능</x:v>
      </x:c>
      <x:c r="F1858" s="6" t="str">
        <x:v>쉬움</x:v>
      </x:c>
      <x:c r="G1858" s="8" t="str">
        <x:v>마그네정을 사용하면 안 되거나 반드시 확인해야 할 경고사항은 무엇인가요?</x:v>
      </x:c>
      <x:c r="H1858" s="8" t="str">
        <x:v>급성 복부질환(충수염, 장출혈, 궤양성 결장염 등), 장폐색(창자막힘), 갈락토오스 불내성, Lapp 유당분해효소 결핍증 또는 포도당-갈락토오스 흡수장애 등의 유전적인 문제가 있는 환자는 이 약을 복용하지 마십시오.</x:v>
      </x:c>
      <x:c r="I1858" s="8" t="str">
        <x:v>급성 복부질환(충수염, 장출혈, 궤양성 결장염 등), 장폐색(창자막힘), 갈락토오스 불내성, Lapp 유당분해효소 결핍증 또는 포도당-갈락토오스 흡수장애 등의 유전적인 문제가 있는 환자는 이 약을 복용하지 마십시오.</x:v>
      </x:c>
      <x:c r="J1858" s="8" t="str">
        <x:v>마그네정 [품목기준코드 202000147]</x:v>
      </x:c>
      <x:c r="K1858" s="8" t="str">
        <x:v>식품의약품안전처 의약품개요정보(e약은요) OpenAPI
https://apis.data.go.kr/1471000/DrbEasyDrugInfoService/getDrbEasyDrugList</x:v>
      </x:c>
    </x:row>
    <x:row r="1859" ht="62" customHeight="1">
      <x:c r="A1859" s="9" t="n">
        <x:v>1858</x:v>
      </x:c>
      <x:c r="B1859" s="6" t="str">
        <x:v>최종 평가</x:v>
      </x:c>
      <x:c r="C1859" s="6" t="str">
        <x:v>복약</x:v>
      </x:c>
      <x:c r="D1859" s="6" t="str">
        <x:v>대상별 정보</x:v>
      </x:c>
      <x:c r="E1859" s="6" t="str">
        <x:v>답변 가능</x:v>
      </x:c>
      <x:c r="F1859" s="6" t="str">
        <x:v>쉬움</x:v>
      </x:c>
      <x:c r="G1859" s="8" t="str">
        <x:v>임신 또는 수유 중에 에도날캡슐(에르도스테인)을 사용해도 되나요?</x:v>
      </x:c>
      <x:c r="H1859" s="8" t="str">
        <x:v>e약은요에서 임신 또는 수유 중인 사람과 관련해 안내한 내용은 다음과 같습니다. 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x:v>
      </x:c>
      <x:c r="I1859" s="8" t="str">
        <x:v>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x:v>
      </x:c>
      <x:c r="J1859" s="8" t="str">
        <x:v>에도날캡슐(에르도스테인) [품목기준코드 200400009]</x:v>
      </x:c>
      <x:c r="K1859" s="8" t="str">
        <x:v>식품의약품안전처 의약품개요정보(e약은요) OpenAPI
https://apis.data.go.kr/1471000/DrbEasyDrugInfoService/getDrbEasyDrugList</x:v>
      </x:c>
    </x:row>
    <x:row r="1860" ht="62" customHeight="1">
      <x:c r="A1860" s="9" t="n">
        <x:v>1859</x:v>
      </x:c>
      <x:c r="B1860" s="6" t="str">
        <x:v>최종 평가</x:v>
      </x:c>
      <x:c r="C1860" s="6" t="str">
        <x:v>복약</x:v>
      </x:c>
      <x:c r="D1860" s="6" t="str">
        <x:v>원인·위험요인</x:v>
      </x:c>
      <x:c r="E1860" s="6" t="str">
        <x:v>답변 가능</x:v>
      </x:c>
      <x:c r="F1860" s="6" t="str">
        <x:v>보통</x:v>
      </x:c>
      <x:c r="G1860" s="8" t="str">
        <x:v>비타허브정을 사용하기 전에 특히 조심해야 하는 사람은 누구인가요?</x:v>
      </x:c>
      <x:c r="H1860" s="8" t="str">
        <x:v>이 제품을 사용하기 전에 특히 확인해야 할 대상과 상황은 다음과 같습니다. 이 약에 과민증 환자, 만 12개월 미만의 젖먹이, 심한 증상의 신부전 환자는 이 약을 복용하지 마십시오. 이 약을 복용하기 전에 의사의 치료를 받고 있는 환자, 고옥살산뇨증, 임부 및 임신하고 있을 가능성이 있는 여성, 수유부, 미숙아, 유아, 소화성궤양, 만성궤양성대장염, 국한성대장염 등의 위장질환, 심장·순환기계기능 장애, 신장장애, 저단백혈증, 통풍, 신장결석 환자, 폴산이 부족한 환자, 혈전성 소인이 있는 환자는 의사 또는 약사와 상의하십시오. 어린이에게 투여할 경우 보호자의 지도 감독하에 투여하십시오. 1개월 정도 복용하여도 증상의 개선이 없을 경우 복용을 즉각 중지하고 의사 또는 약사와 상의하십시오.</x:v>
      </x:c>
      <x:c r="I1860" s="8" t="str">
        <x:v>이 약에 과민증 환자, 만 12개월 미만의 젖먹이, 심한 증상의 신부전 환자는 이 약을 복용하지 마십시오. 이 약을 복용하기 전에 의사의 치료를 받고 있는 환자, 고옥살산뇨증, 임부 및 임신하고 있을 가능성이 있는 여성, 수유부, 미숙아, 유아, 소화성궤양, 만성궤양성대장염, 국한성대장염 등의 위장질환, 심장·순환기계기능 장애, 신장장애, 저단백혈증, 통풍, 신장결석 환자, 폴산이 부족한 환자, 혈전성 소인이 있는 환자는 의사 또는 약사와 상의하십시오. 어린이에게 투여할 경우 보호자의 지도 감독하에 투여하십시오. 1개월 정도 복용하여도 증상의 개선이 없을 경우 복용을 즉각 중지하고 의사 또는 약사와 상의하십시오.</x:v>
      </x:c>
      <x:c r="J1860" s="8" t="str">
        <x:v>비타허브정 [품목기준코드 201504815]</x:v>
      </x:c>
      <x:c r="K1860" s="8" t="str">
        <x:v>식품의약품안전처 의약품개요정보(e약은요) OpenAPI
https://apis.data.go.kr/1471000/DrbEasyDrugInfoService/getDrbEasyDrugList</x:v>
      </x:c>
    </x:row>
    <x:row r="1861" ht="62" customHeight="1">
      <x:c r="A1861" s="9" t="n">
        <x:v>1860</x:v>
      </x:c>
      <x:c r="B1861" s="6" t="str">
        <x:v>최종 평가</x:v>
      </x:c>
      <x:c r="C1861" s="6" t="str">
        <x:v>복약</x:v>
      </x:c>
      <x:c r="D1861" s="6" t="str">
        <x:v>원인·위험요인</x:v>
      </x:c>
      <x:c r="E1861" s="6" t="str">
        <x:v>답변 가능</x:v>
      </x:c>
      <x:c r="F1861" s="6" t="str">
        <x:v>보통</x:v>
      </x:c>
      <x:c r="G1861" s="8" t="str">
        <x:v>페이지연질캡슐을 사용하기 전에 특히 조심해야 하는 사람은 누구인가요?</x:v>
      </x:c>
      <x:c r="H1861" s="8" t="str">
        <x:v>이 제품을 사용하기 전에 특히 확인해야 할 대상과 상황은 다음과 같습니다. 이 약에 과민증 또는 경험자, 임부 또는 임신하고 있을 가능성이 있는 여성, 만 3개월 미만의 영아(갓난아기), MAO억제제(항우울제, 항정신병제, 감정조절제, 항파킨슨제 등)를 복용하고 있거나 복용을 중단한 후 2주 이내의 사람은 이 약을 복용하지 마십시오. 이 약을 복용하기 전에 알레르기 체질, 발열, 발진, 관절통, 가려움증 등 약에 의한 알레르기 경험자, 간장, 신장, 심장, 갑상선질환, 당뇨병, 고혈압, 녹내장(눈의 통증, 눈이 침침함 등), 배뇨(소변을 눔)곤란 등이 있는 사람, 고령자(노인), 몸이 약한 사람 또는 고열이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 만 2세 미만의 영아는 의사 또는 약사와 상의하십시오. 5~6회 정도 복용하여도 증상의 개선이 없을 경우 복용을 즉각 중지하고 의사 또는 약사와 상의하십시오.</x:v>
      </x:c>
      <x:c r="I1861" s="8" t="str">
        <x:v>이 약에 과민증 또는 경험자, 임부 또는 임신하고 있을 가능성이 있는 여성, 만 3개월 미만의 영아(갓난아기), MAO억제제(항우울제, 항정신병제, 감정조절제, 항파킨슨제 등)를 복용하고 있거나 복용을 중단한 후 2주 이내의 사람은 이 약을 복용하지 마십시오. 이 약을 복용하기 전에 알레르기 체질, 발열, 발진, 관절통, 가려움증 등 약에 의한 알레르기 경험자, 간장, 신장, 심장, 갑상선질환, 당뇨병, 고혈압, 녹내장(눈의 통증, 눈이 침침함 등), 배뇨(소변을 눔)곤란 등이 있는 사람, 고령자(노인), 몸이 약한 사람 또는 고열이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 만 2세 미만의 영아는 의사 또는 약사와 상의하십시오. 5~6회 정도 복용하여도 증상의 개선이 없을 경우 복용을 즉각 중지하고 의사 또는 약사와 상의하십시오.</x:v>
      </x:c>
      <x:c r="J1861" s="8" t="str">
        <x:v>페이지연질캡슐 [품목기준코드 202102875]</x:v>
      </x:c>
      <x:c r="K1861" s="8" t="str">
        <x:v>식품의약품안전처 의약품개요정보(e약은요) OpenAPI
https://apis.data.go.kr/1471000/DrbEasyDrugInfoService/getDrbEasyDrugList</x:v>
      </x:c>
    </x:row>
    <x:row r="1862" ht="62" customHeight="1">
      <x:c r="A1862" s="9" t="n">
        <x:v>1861</x:v>
      </x:c>
      <x:c r="B1862" s="6" t="str">
        <x:v>최종 평가</x:v>
      </x:c>
      <x:c r="C1862" s="6" t="str">
        <x:v>복약</x:v>
      </x:c>
      <x:c r="D1862" s="6" t="str">
        <x:v>증상→대상 구분</x:v>
      </x:c>
      <x:c r="E1862" s="6" t="str">
        <x:v>답변 가능</x:v>
      </x:c>
      <x:c r="F1862" s="6" t="str">
        <x:v>어려움</x:v>
      </x:c>
      <x:c r="G1862" s="8" t="str">
        <x:v>오프콜드연질캡슐(수출용)을 사용한 뒤 발진이 생겼는데, 이 약의 부작용으로 안내되어 있나요?</x:v>
      </x:c>
      <x:c r="H1862" s="8" t="str">
        <x:v>발진은 이 제품의 e약은요 부작용 항목에 기재되어 있습니다. 다만 이 정보만으로 현재 증상의 원인이 해당 약이라고 확정할 수는 없습니다.</x:v>
      </x:c>
      <x:c r="I1862" s="8" t="str">
        <x:v>발진·발적, 가려움, 구역·구토, 식욕부진, 변비, 부기, 배뇨곤란, 목마름(지속적이거나 심한), 어지러움, 불안, 떨림, 불면, 드물게 쇽 증상(복용 후 바로 두드러기,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x:v>
      </x:c>
      <x:c r="J1862" s="8" t="str">
        <x:v>오프콜드연질캡슐(수출용) [품목기준코드 201501446]</x:v>
      </x:c>
      <x:c r="K1862" s="8" t="str">
        <x:v>식품의약품안전처 의약품개요정보(e약은요) OpenAPI
https://apis.data.go.kr/1471000/DrbEasyDrugInfoService/getDrbEasyDrugList</x:v>
      </x:c>
    </x:row>
    <x:row r="1863" ht="62" customHeight="1">
      <x:c r="A1863" s="9" t="n">
        <x:v>1862</x:v>
      </x:c>
      <x:c r="B1863" s="6" t="str">
        <x:v>최종 평가</x:v>
      </x:c>
      <x:c r="C1863" s="6" t="str">
        <x:v>복약</x:v>
      </x:c>
      <x:c r="D1863" s="6" t="str">
        <x:v>증상·이상반응</x:v>
      </x:c>
      <x:c r="E1863" s="6" t="str">
        <x:v>답변 가능</x:v>
      </x:c>
      <x:c r="F1863" s="6" t="str">
        <x:v>쉬움</x:v>
      </x:c>
      <x:c r="G1863" s="8" t="str">
        <x:v>휴스크럽을 사용하면 어떤 부작용이 생길 수 있나요?</x:v>
      </x:c>
      <x:c r="H1863" s="8" t="str">
        <x:v>e약은요에는 다음과 같은 이상반응이 안내되어 있습니다. 드물게 쇽(예: 구역, 불쾌감, 식은땀, 어지러움, 답답함, 호흡곤란, 발적), 때때로 발진, 두드러기 등의 과민증이 나타나는 경우 사용을 즉각 중지하고 의사 또는 약사와 상의하십시오.</x:v>
      </x:c>
      <x:c r="I1863" s="8" t="str">
        <x:v>드물게 쇽(예: 구역, 불쾌감, 식은땀, 어지러움, 답답함, 호흡곤란, 발적), 때때로 발진, 두드러기 등의 과민증이 나타나는 경우 사용을 즉각 중지하고 의사 또는 약사와 상의하십시오.</x:v>
      </x:c>
      <x:c r="J1863" s="8" t="str">
        <x:v>휴스크럽 [품목기준코드 201506543]</x:v>
      </x:c>
      <x:c r="K1863" s="8" t="str">
        <x:v>식품의약품안전처 의약품개요정보(e약은요) OpenAPI
https://apis.data.go.kr/1471000/DrbEasyDrugInfoService/getDrbEasyDrugList</x:v>
      </x:c>
    </x:row>
    <x:row r="1864" ht="62" customHeight="1">
      <x:c r="A1864" s="9" t="n">
        <x:v>1863</x:v>
      </x:c>
      <x:c r="B1864" s="6" t="str">
        <x:v>최종 평가</x:v>
      </x:c>
      <x:c r="C1864" s="6" t="str">
        <x:v>복약</x:v>
      </x:c>
      <x:c r="D1864" s="6" t="str">
        <x:v>용법·용량</x:v>
      </x:c>
      <x:c r="E1864" s="6" t="str">
        <x:v>답변 가능</x:v>
      </x:c>
      <x:c r="F1864" s="6" t="str">
        <x:v>쉬움</x:v>
      </x:c>
      <x:c r="G1864" s="8" t="str">
        <x:v>비바골드액(L-아스파르트산-L-아르기닌수화물)은 어떻게 사용하나요?</x:v>
      </x:c>
      <x:c r="H1864" s="8" t="str">
        <x:v>12세 이상의 청소년 및 성인은 L-아스파르트산-L-아르기닌으로서 1일 1회 5 g을 복용합니다. 아침에 복용하는 것이 좋지만 취침 전에도 복용할 수 있습니다. 적은 양의 물과 함께 복용합니다.</x:v>
      </x:c>
      <x:c r="I1864" s="8" t="str">
        <x:v>12세 이상의 청소년 및 성인은 L-아스파르트산-L-아르기닌으로서 1일 1회 5 g을 복용합니다. 아침에 복용하는 것이 좋지만 취침 전에도 복용할 수 있습니다. 적은 양의 물과 함께 복용합니다.</x:v>
      </x:c>
      <x:c r="J1864" s="8" t="str">
        <x:v>비바골드액(L-아스파르트산-L-아르기닌수화물) [품목기준코드 202204085]</x:v>
      </x:c>
      <x:c r="K1864" s="8" t="str">
        <x:v>식품의약품안전처 의약품개요정보(e약은요) OpenAPI
https://apis.data.go.kr/1471000/DrbEasyDrugInfoService/getDrbEasyDrugList</x:v>
      </x:c>
    </x:row>
    <x:row r="1865" ht="62" customHeight="1">
      <x:c r="A1865" s="9" t="n">
        <x:v>1864</x:v>
      </x:c>
      <x:c r="B1865" s="6" t="str">
        <x:v>최종 평가</x:v>
      </x:c>
      <x:c r="C1865" s="6" t="str">
        <x:v>복약</x:v>
      </x:c>
      <x:c r="D1865" s="6" t="str">
        <x:v>답변불가·개인 용량 변경</x:v>
      </x:c>
      <x:c r="E1865" s="6" t="str">
        <x:v>답변 거부</x:v>
      </x:c>
      <x:c r="F1865" s="6" t="str">
        <x:v>어려움</x:v>
      </x:c>
      <x:c r="G1865" s="8" t="str">
        <x:v>엑스펙토시럽2%(카르보시스테인)이 잘 듣지 않는데 제 상태에 맞춰 복용량을 얼마나 늘리면 되나요?</x:v>
      </x:c>
      <x:c r="H1865" s="8" t="str">
        <x:v>제공된 e약은요 VDB만으로 개인별 복용량 변경을 결정할 수 없습니다. 임의로 증량하지 말고 의사 또는 약사와 상담해야 합니다.</x:v>
      </x:c>
      <x:c r="I1865" s="8" t="str">
        <x:v>VDB 범위 밖 질문 — 근거 없음</x:v>
      </x:c>
      <x:c r="J1865" s="8" t="str">
        <x:v>엑스펙토시럽2%(카르보시스테인) [품목기준코드 198901706]</x:v>
      </x:c>
      <x:c r="K1865" s="8" t="str">
        <x:v>식품의약품안전처 의약품개요정보(e약은요) OpenAPI
https://apis.data.go.kr/1471000/DrbEasyDrugInfoService/getDrbEasyDrugList</x:v>
      </x:c>
    </x:row>
    <x:row r="1866" ht="62" customHeight="1">
      <x:c r="A1866" s="9" t="n">
        <x:v>1865</x:v>
      </x:c>
      <x:c r="B1866" s="6" t="str">
        <x:v>최종 평가</x:v>
      </x:c>
      <x:c r="C1866" s="6" t="str">
        <x:v>복약</x:v>
      </x:c>
      <x:c r="D1866" s="6" t="str">
        <x:v>증상→대상 구분</x:v>
      </x:c>
      <x:c r="E1866" s="6" t="str">
        <x:v>답변 가능</x:v>
      </x:c>
      <x:c r="F1866" s="6" t="str">
        <x:v>어려움</x:v>
      </x:c>
      <x:c r="G1866" s="8" t="str">
        <x:v>에이프로젠무피로신연고을 사용한 뒤 발진이 생겼는데, 이 약의 부작용으로 안내되어 있나요?</x:v>
      </x:c>
      <x:c r="H1866" s="8" t="str">
        <x:v>발진은 이 제품의 e약은요 부작용 항목에 기재되어 있습니다. 다만 이 정보만으로 현재 증상의 원인이 해당 약이라고 확정할 수는 없습니다.</x:v>
      </x:c>
      <x:c r="I1866" s="8" t="str">
        <x:v>작열감(화끈감), 자통(찌르는 것 같은 아픔) 또는 동통(통증), 가려움, 발진, 홍반(붉은 반점) 등의 피부과민반응, 때때로 구역, 피부건조, 압통(누르는 통증), 부종(부기), 접촉성 피부염, 삼출물 증가, 드물게 전신적인 알레르기 반응이 나타나는 경우 사용을 즉각 중지하고 의사 또는 약사와 상의하십시오.</x:v>
      </x:c>
      <x:c r="J1866" s="8" t="str">
        <x:v>에이프로젠무피로신연고 [품목기준코드 200606546]</x:v>
      </x:c>
      <x:c r="K1866" s="8" t="str">
        <x:v>식품의약품안전처 의약품개요정보(e약은요) OpenAPI
https://apis.data.go.kr/1471000/DrbEasyDrugInfoService/getDrbEasyDrugList</x:v>
      </x:c>
    </x:row>
    <x:row r="1867" ht="62" customHeight="1">
      <x:c r="A1867" s="9" t="n">
        <x:v>1866</x:v>
      </x:c>
      <x:c r="B1867" s="6" t="str">
        <x:v>최종 평가</x:v>
      </x:c>
      <x:c r="C1867" s="6" t="str">
        <x:v>복약</x:v>
      </x:c>
      <x:c r="D1867" s="6" t="str">
        <x:v>용어·정의</x:v>
      </x:c>
      <x:c r="E1867" s="6" t="str">
        <x:v>답변 가능</x:v>
      </x:c>
      <x:c r="F1867" s="6" t="str">
        <x:v>쉬움</x:v>
      </x:c>
      <x:c r="G1867" s="8" t="str">
        <x:v>안국아시클로버크림은 어떤 약인가요?</x:v>
      </x:c>
      <x:c r="H1867" s="8" t="str">
        <x:v>안국아시클로버크림은 안국약품(주)의 의약품으로, e약은요에는 다음과 같이 안내되어 있습니다. 이 약은 단순포진(물집) 바이러스 감염증(초기 및 재발성 생식기 포진(물집)과 구순포진(물집) 포함)에 사용합니다.</x:v>
      </x:c>
      <x:c r="I1867" s="8" t="str">
        <x:v>제품명: 안국아시클로버크림 업체명: 안국약품(주) 효능: 이 약은 단순포진(물집) 바이러스 감염증(초기 및 재발성 생식기 포진(물집)과 구순포진(물집) 포함)에 사용합니다.</x:v>
      </x:c>
      <x:c r="J1867" s="8" t="str">
        <x:v>안국아시클로버크림 [품목기준코드 200501029]</x:v>
      </x:c>
      <x:c r="K1867" s="8" t="str">
        <x:v>식품의약품안전처 의약품개요정보(e약은요) OpenAPI
https://apis.data.go.kr/1471000/DrbEasyDrugInfoService/getDrbEasyDrugList</x:v>
      </x:c>
    </x:row>
    <x:row r="1868" ht="62" customHeight="1">
      <x:c r="A1868" s="9" t="n">
        <x:v>1867</x:v>
      </x:c>
      <x:c r="B1868" s="6" t="str">
        <x:v>최종 평가</x:v>
      </x:c>
      <x:c r="C1868" s="6" t="str">
        <x:v>복약</x:v>
      </x:c>
      <x:c r="D1868" s="6" t="str">
        <x:v>금기·경고</x:v>
      </x:c>
      <x:c r="E1868" s="6" t="str">
        <x:v>답변 가능</x:v>
      </x:c>
      <x:c r="F1868" s="6" t="str">
        <x:v>쉬움</x:v>
      </x:c>
      <x:c r="G1868" s="8" t="str">
        <x:v>유니자임정을 사용하면 안 되거나 반드시 확인해야 할 경고사항은 무엇인가요?</x:v>
      </x:c>
      <x:c r="H1868" s="8" t="str">
        <x:v>투석요법을 받고 있는 환자, 15세 미만의 소아, 임부 또는 임신하고 있을 가능성이 있는 여성 및 수유부, 갈락토오스 불내성, Lapp 유당분해효소 결핍증 또는 포도당-갈락토오스 흡수장애 등의 유전적인 문제가 있는 환자는 이 약을 복용하지 마십시오.</x:v>
      </x:c>
      <x:c r="I1868" s="8" t="str">
        <x:v>투석요법을 받고 있는 환자, 15세 미만의 소아, 임부 또는 임신하고 있을 가능성이 있는 여성 및 수유부, 갈락토오스 불내성, Lapp 유당분해효소 결핍증 또는 포도당-갈락토오스 흡수장애 등의 유전적인 문제가 있는 환자는 이 약을 복용하지 마십시오.</x:v>
      </x:c>
      <x:c r="J1868" s="8" t="str">
        <x:v>유니자임정 [품목기준코드 199901332]</x:v>
      </x:c>
      <x:c r="K1868" s="8" t="str">
        <x:v>식품의약품안전처 의약품개요정보(e약은요) OpenAPI
https://apis.data.go.kr/1471000/DrbEasyDrugInfoService/getDrbEasyDrugList</x:v>
      </x:c>
    </x:row>
    <x:row r="1869" ht="62" customHeight="1">
      <x:c r="A1869" s="9" t="n">
        <x:v>1868</x:v>
      </x:c>
      <x:c r="B1869" s="6" t="str">
        <x:v>최종 평가</x:v>
      </x:c>
      <x:c r="C1869" s="6" t="str">
        <x:v>복약</x:v>
      </x:c>
      <x:c r="D1869" s="6" t="str">
        <x:v>금기·경고</x:v>
      </x:c>
      <x:c r="E1869" s="6" t="str">
        <x:v>답변 가능</x:v>
      </x:c>
      <x:c r="F1869" s="6" t="str">
        <x:v>보통</x:v>
      </x:c>
      <x:c r="G1869" s="8" t="str">
        <x:v>헤모맘플러스캡슐을 사용하면 안 되거나 반드시 확인해야 할 경고사항은 무엇인가요?</x:v>
      </x:c>
      <x:c r="H1869" s="8" t="str">
        <x:v>만 6세 이하의 어린이가 과량 복용시 철분 중독성 사망을 일으킬 수 있으므로 어린이의 손에 닿지 않는 곳에 보관하십시오. 이 약에 과민증 환자, 만 12개월 미만의 젖먹이, 혈색소증(철 대사 이상으로 철이 간장, 췌장에 침착하는 질환), 헤모시데린 침착증, 비철결핍성 빈혈, 폴산이 부족한 환자, 갈락토오스 불내성, Lapp 유당분해효소 결핍증 또는 포도당-갈락토오스 흡수장애 등의 유전적인 문제가 있는 환자는 이 약을 복용하지 마십시오.이 약을 복용하기 전에 소화성궤양, 만성궤양성대장염, 국한성대장염 등의 위장질환 환자, 심장ㆍ순환기계기능장애, 신장장애, 저단백혈증 환자는 의사 또는 약사와 상의하십시오.정해진 용법과 용량을 잘 지키십시오.</x:v>
      </x:c>
      <x:c r="I1869" s="8" t="str">
        <x:v>만 6세 이하의 어린이가 과량 복용시 철분 중독성 사망을 일으킬 수 있으므로 어린이의 손에 닿지 않는 곳에 보관하십시오. 이 약에 과민증 환자, 만 12개월 미만의 젖먹이, 혈색소증(철 대사 이상으로 철이 간장, 췌장에 침착하는 질환), 헤모시데린 침착증, 비철결핍성 빈혈, 폴산이 부족한 환자, 갈락토오스 불내성, Lapp 유당분해효소 결핍증 또는 포도당-갈락토오스 흡수장애 등의 유전적인 문제가 있는 환자는 이 약을 복용하지 마십시오.이 약을 복용하기 전에 소화성궤양, 만성궤양성대장염, 국한성대장염 등의 위장질환 환자, 심장ㆍ순환기계기능장애, 신장장애, 저단백혈증 환자는 의사 또는 약사와 상의하십시오.정해진 용법과 용량을 잘 지키십시오.</x:v>
      </x:c>
      <x:c r="J1869" s="8" t="str">
        <x:v>헤모맘플러스캡슐 [품목기준코드 201802916]</x:v>
      </x:c>
      <x:c r="K1869" s="8" t="str">
        <x:v>식품의약품안전처 의약품개요정보(e약은요) OpenAPI
https://apis.data.go.kr/1471000/DrbEasyDrugInfoService/getDrbEasyDrugList</x:v>
      </x:c>
    </x:row>
    <x:row r="1870" ht="62" customHeight="1">
      <x:c r="A1870" s="9" t="n">
        <x:v>1869</x:v>
      </x:c>
      <x:c r="B1870" s="6" t="str">
        <x:v>최종 평가</x:v>
      </x:c>
      <x:c r="C1870" s="6" t="str">
        <x:v>복약</x:v>
      </x:c>
      <x:c r="D1870" s="6" t="str">
        <x:v>금기·경고</x:v>
      </x:c>
      <x:c r="E1870" s="6" t="str">
        <x:v>답변 가능</x:v>
      </x:c>
      <x:c r="F1870" s="6" t="str">
        <x:v>쉬움</x:v>
      </x:c>
      <x:c r="G1870" s="8" t="str">
        <x:v>글루콤액을 사용하면 안 되거나 반드시 확인해야 할 경고사항은 무엇인가요?</x:v>
      </x:c>
      <x:c r="H1870" s="8" t="str">
        <x:v>이 약에 과민증 환자는 이 약을 복용하지 마십시오. 이 약은 경구(먹는)용으로만 사용하고 주사용으로는 사용하지 마십시오.</x:v>
      </x:c>
      <x:c r="I1870" s="8" t="str">
        <x:v>이 약에 과민증 환자는 이 약을 복용하지 마십시오. 이 약은 경구(먹는)용으로만 사용하고 주사용으로는 사용하지 마십시오.</x:v>
      </x:c>
      <x:c r="J1870" s="8" t="str">
        <x:v>글루콤액 [품목기준코드 199701904]</x:v>
      </x:c>
      <x:c r="K1870" s="8" t="str">
        <x:v>식품의약품안전처 의약품개요정보(e약은요) OpenAPI
https://apis.data.go.kr/1471000/DrbEasyDrugInfoService/getDrbEasyDrugList</x:v>
      </x:c>
    </x:row>
    <x:row r="1871" ht="62" customHeight="1">
      <x:c r="A1871" s="9" t="n">
        <x:v>1870</x:v>
      </x:c>
      <x:c r="B1871" s="6" t="str">
        <x:v>최종 평가</x:v>
      </x:c>
      <x:c r="C1871" s="6" t="str">
        <x:v>복약</x:v>
      </x:c>
      <x:c r="D1871" s="6" t="str">
        <x:v>상호작용</x:v>
      </x:c>
      <x:c r="E1871" s="6" t="str">
        <x:v>답변 가능</x:v>
      </x:c>
      <x:c r="F1871" s="6" t="str">
        <x:v>쉬움</x:v>
      </x:c>
      <x:c r="G1871" s="8" t="str">
        <x:v>코큐민연질캡슐과 함께 사용하거나 먹을 때 주의해야 할 약이나 음식이 있나요?</x:v>
      </x:c>
      <x:c r="H1871" s="8" t="str">
        <x:v>인산염, 칼슘염, 경구용 테트라사이클린계 제제, 제산제와 함께 복용하지 마십시오. 에스트로겐을 포함한 경구(먹는)용 피임제, 항알도스테론제, 트리암테렌과 함께 복용 시 의사 또는 약사와 상의하십시오. 녹차, 홍차 등 탄닌을 함유하는 차는 복용 중, 복용 전후에는 피하십시오.</x:v>
      </x:c>
      <x:c r="I1871" s="8" t="str">
        <x:v>인산염, 칼슘염, 경구용 테트라사이클린계 제제, 제산제와 함께 복용하지 마십시오. 에스트로겐을 포함한 경구(먹는)용 피임제, 항알도스테론제, 트리암테렌과 함께 복용 시 의사 또는 약사와 상의하십시오. 녹차, 홍차 등 탄닌을 함유하는 차는 복용 중, 복용 전후에는 피하십시오.</x:v>
      </x:c>
      <x:c r="J1871" s="8" t="str">
        <x:v>코큐민연질캡슐 [품목기준코드 200607838]</x:v>
      </x:c>
      <x:c r="K1871" s="8" t="str">
        <x:v>식품의약품안전처 의약품개요정보(e약은요) OpenAPI
https://apis.data.go.kr/1471000/DrbEasyDrugInfoService/getDrbEasyDrugList</x:v>
      </x:c>
    </x:row>
    <x:row r="1872" ht="62" customHeight="1">
      <x:c r="A1872" s="9" t="n">
        <x:v>1871</x:v>
      </x:c>
      <x:c r="B1872" s="6" t="str">
        <x:v>최종 평가</x:v>
      </x:c>
      <x:c r="C1872" s="6" t="str">
        <x:v>복약</x:v>
      </x:c>
      <x:c r="D1872" s="6" t="str">
        <x:v>실용·응급대처</x:v>
      </x:c>
      <x:c r="E1872" s="6" t="str">
        <x:v>답변 가능</x:v>
      </x:c>
      <x:c r="F1872" s="6" t="str">
        <x:v>보통</x:v>
      </x:c>
      <x:c r="G1872" s="8" t="str">
        <x:v>코드비타연질캡슐 사용 후 심한 이상반응이 나타나면 어떻게 해야 하나요?</x:v>
      </x:c>
      <x:c r="H1872" s="8" t="str">
        <x:v>구역, 구토, 가려움, 건조하고 거친 피부, 통증성 관절부종(부기), 묽은 변, 설사, 변비, 식욕부진, 홍반(붉은 반점), 두드러기, 습진, 발진, 반구진성 발진, 가려움, 부종(부기), 부종(부기)·수분저류(고임)(신부전 또는 심부전 환자)가 나타나거나, 1개월 정도 복용하여도 증상의 개선이 없을 경우 복용을 즉각 중지하고 의사 또는 약사와 상의하십시오.</x:v>
      </x:c>
      <x:c r="I1872" s="8" t="str">
        <x:v>구역, 구토, 가려움, 건조하고 거친 피부, 통증성 관절부종(부기), 묽은 변, 설사, 변비, 식욕부진, 홍반(붉은 반점), 두드러기, 습진, 발진, 반구진성 발진, 가려움, 부종(부기), 부종(부기)·수분저류(고임)(신부전 또는 심부전 환자)가 나타나거나, 1개월 정도 복용하여도 증상의 개선이 없을 경우 복용을 즉각 중지하고 의사 또는 약사와 상의하십시오.</x:v>
      </x:c>
      <x:c r="J1872" s="8" t="str">
        <x:v>코드비타연질캡슐 [품목기준코드 202301966]</x:v>
      </x:c>
      <x:c r="K1872" s="8" t="str">
        <x:v>식품의약품안전처 의약품개요정보(e약은요) OpenAPI
https://apis.data.go.kr/1471000/DrbEasyDrugInfoService/getDrbEasyDrugList</x:v>
      </x:c>
    </x:row>
    <x:row r="1873" ht="62" customHeight="1">
      <x:c r="A1873" s="9" t="n">
        <x:v>1872</x:v>
      </x:c>
      <x:c r="B1873" s="6" t="str">
        <x:v>최종 평가</x:v>
      </x:c>
      <x:c r="C1873" s="6" t="str">
        <x:v>복약</x:v>
      </x:c>
      <x:c r="D1873" s="6" t="str">
        <x:v>금기·경고</x:v>
      </x:c>
      <x:c r="E1873" s="6" t="str">
        <x:v>답변 가능</x:v>
      </x:c>
      <x:c r="F1873" s="6" t="str">
        <x:v>보통</x:v>
      </x:c>
      <x:c r="G1873" s="8" t="str">
        <x:v>이부프렌드연질캡슐을 사용하면 안 되거나 반드시 확인해야 할 경고사항은 무엇인가요?</x:v>
      </x:c>
      <x:c r="H1873" s="8" t="str">
        <x:v>매일 세 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환자들은 신중히 고려하여 이부프로펜을 사용하고 고용량 이부프로펜(1일 2,400 mg)의 사용을 피하십시오. 또한, 심혈관계 위험 요소(예: 고혈압, 고지혈증, 당뇨병, 흡연)를 가지고 있는 환자가 고용량 이부프로펜(1일 2,400 mg)이 필요한 경우 장기간 치료를 시작하기 전 신중히 고려하십시오. 임상연구 결과, 고용량(1일 2,400 mg) 이부프로펜 사용이 동맥 혈전 증상(심근경색증 또는 뇌졸중)에 대한 위험성을 다소 증가시킬 수 있다고 나타났습니다. 이 약에 과민증 환자, 다른 해열진통제, 감기약 복용 시 천식 경험자, 만 3개월 미만의 영아는 이 약을 복용하지 마십시오.</x:v>
      </x:c>
      <x:c r="I1873" s="8" t="str">
        <x:v>매일 세 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환자들은 신중히 고려하여 이부프로펜을 사용하고 고용량 이부프로펜(1일 2,400 mg)의 사용을 피하십시오. 또한, 심혈관계 위험 요소(예: 고혈압, 고지혈증, 당뇨병, 흡연)를 가지고 있는 환자가 고용량 이부프로펜(1일 2,400 mg)이 필요한 경우 장기간 치료를 시작하기 전 신중히 고려하십시오. 임상연구 결과, 고용량(1일 2,400 mg) 이부프로펜 사용이 동맥 혈전 증상(심근경색증 또는 뇌졸중)에 대한 위험성을 다소 증가시킬 수 있다고 나타났습니다. 이 약에 과민증 환자, 다른 해열진통제, 감기약 복용 시 천식 경험자, 만 3개월 미만의 영아는 이 약을 복용하지 마십시오.</x:v>
      </x:c>
      <x:c r="J1873" s="8" t="str">
        <x:v>이부프렌드연질캡슐 [품목기준코드 201502752]</x:v>
      </x:c>
      <x:c r="K1873" s="8" t="str">
        <x:v>식품의약품안전처 의약품개요정보(e약은요) OpenAPI
https://apis.data.go.kr/1471000/DrbEasyDrugInfoService/getDrbEasyDrugList</x:v>
      </x:c>
    </x:row>
    <x:row r="1874" ht="62" customHeight="1">
      <x:c r="A1874" s="9" t="n">
        <x:v>1873</x:v>
      </x:c>
      <x:c r="B1874" s="6" t="str">
        <x:v>최종 평가</x:v>
      </x:c>
      <x:c r="C1874" s="6" t="str">
        <x:v>복약</x:v>
      </x:c>
      <x:c r="D1874" s="6" t="str">
        <x:v>금기·경고</x:v>
      </x:c>
      <x:c r="E1874" s="6" t="str">
        <x:v>답변 가능</x:v>
      </x:c>
      <x:c r="F1874" s="6" t="str">
        <x:v>보통</x:v>
      </x:c>
      <x:c r="G1874" s="8" t="str">
        <x:v>아나탁심정(나프록센나트륨)을 사용하면 안 되거나 반드시 확인해야 할 경고사항은 무엇인가요?</x:v>
      </x:c>
      <x:c r="H1874" s="8" t="str">
        <x:v>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이 약에 과민증 환자, 임부, 수유부, 2세 이하 영아,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환자는 이 약을 복용하지 마십시오.</x:v>
      </x:c>
      <x:c r="I1874" s="8" t="str">
        <x:v>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이 약에 과민증 환자, 임부, 수유부, 2세 이하 영아,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환자는 이 약을 복용하지 마십시오.</x:v>
      </x:c>
      <x:c r="J1874" s="8" t="str">
        <x:v>아나탁심정(나프록센나트륨) [품목기준코드 200400644]</x:v>
      </x:c>
      <x:c r="K1874" s="8" t="str">
        <x:v>식품의약품안전처 의약품개요정보(e약은요) OpenAPI
https://apis.data.go.kr/1471000/DrbEasyDrugInfoService/getDrbEasyDrugList</x:v>
      </x:c>
    </x:row>
    <x:row r="1875" ht="62" customHeight="1">
      <x:c r="A1875" s="9" t="n">
        <x:v>1874</x:v>
      </x:c>
      <x:c r="B1875" s="6" t="str">
        <x:v>최종 평가</x:v>
      </x:c>
      <x:c r="C1875" s="6" t="str">
        <x:v>복약</x:v>
      </x:c>
      <x:c r="D1875" s="6" t="str">
        <x:v>증상·이상반응</x:v>
      </x:c>
      <x:c r="E1875" s="6" t="str">
        <x:v>답변 가능</x:v>
      </x:c>
      <x:c r="F1875" s="6" t="str">
        <x:v>쉬움</x:v>
      </x:c>
      <x:c r="G1875" s="8" t="str">
        <x:v>종근당조인트콘드로정을 사용하면 어떤 부작용이 생길 수 있나요?</x:v>
      </x:c>
      <x:c r="H1875" s="8" t="str">
        <x:v>e약은요에는 다음과 같은 이상반응이 안내되어 있습니다. 구역, 구토, 설사, 묽은 변, 식욕부진, 복부팽만감, 변비, 저혈압, 얼굴달아오름, 심박동불규칙, 피부발진, 붉은 반점, 부전수축(심장박동정지), 중추신경계 기능저하, 홍반, 두드러기, 습진, 발진, 반구진성 발진, 가려움, 부종, 부종․수분저류(신부전 또는 심부전 환자) 등의 증상이 나타나는 경우 복용을 즉각 중지하고 의사 또는 약사와 상의하십시오.</x:v>
      </x:c>
      <x:c r="I1875" s="8" t="str">
        <x:v>구역, 구토, 설사, 묽은 변, 식욕부진, 복부팽만감, 변비, 저혈압, 얼굴달아오름, 심박동불규칙, 피부발진, 붉은 반점, 부전수축(심장박동정지), 중추신경계 기능저하, 홍반, 두드러기, 습진, 발진, 반구진성 발진, 가려움, 부종, 부종․수분저류(신부전 또는 심부전 환자) 등의 증상이 나타나는 경우 복용을 즉각 중지하고 의사 또는 약사와 상의하십시오.</x:v>
      </x:c>
      <x:c r="J1875" s="8" t="str">
        <x:v>종근당조인트콘드로정 [품목기준코드 202302086]</x:v>
      </x:c>
      <x:c r="K1875" s="8" t="str">
        <x:v>식품의약품안전처 의약품개요정보(e약은요) OpenAPI
https://apis.data.go.kr/1471000/DrbEasyDrugInfoService/getDrbEasyDrugList</x:v>
      </x:c>
    </x:row>
    <x:row r="1876" ht="62" customHeight="1">
      <x:c r="A1876" s="9" t="n">
        <x:v>1875</x:v>
      </x:c>
      <x:c r="B1876" s="6" t="str">
        <x:v>최종 평가</x:v>
      </x:c>
      <x:c r="C1876" s="6" t="str">
        <x:v>복약</x:v>
      </x:c>
      <x:c r="D1876" s="6" t="str">
        <x:v>효능·사용목적</x:v>
      </x:c>
      <x:c r="E1876" s="6" t="str">
        <x:v>답변 가능</x:v>
      </x:c>
      <x:c r="F1876" s="6" t="str">
        <x:v>쉬움</x:v>
      </x:c>
      <x:c r="G1876" s="8" t="str">
        <x:v>엘도신캡슐(에르도스테인)은 어떤 증상이나 질환에 사용하는 약인가요?</x:v>
      </x:c>
      <x:c r="H1876" s="8" t="str">
        <x:v>이 약은 급ㆍ만성 호흡기질환에서의 점액용해 및 거담에 사용합니다.</x:v>
      </x:c>
      <x:c r="I1876" s="8" t="str">
        <x:v>이 약은 급ㆍ만성 호흡기질환에서의 점액용해 및 거담에 사용합니다.</x:v>
      </x:c>
      <x:c r="J1876" s="8" t="str">
        <x:v>엘도신캡슐(에르도스테인) [품목기준코드 200400830]</x:v>
      </x:c>
      <x:c r="K1876" s="8" t="str">
        <x:v>식품의약품안전처 의약품개요정보(e약은요) OpenAPI
https://apis.data.go.kr/1471000/DrbEasyDrugInfoService/getDrbEasyDrugList</x:v>
      </x:c>
    </x:row>
    <x:row r="1877" ht="62" customHeight="1">
      <x:c r="A1877" s="9" t="n">
        <x:v>1876</x:v>
      </x:c>
      <x:c r="B1877" s="6" t="str">
        <x:v>최종 평가</x:v>
      </x:c>
      <x:c r="C1877" s="6" t="str">
        <x:v>복약</x:v>
      </x:c>
      <x:c r="D1877" s="6" t="str">
        <x:v>실용·응급대처</x:v>
      </x:c>
      <x:c r="E1877" s="6" t="str">
        <x:v>답변 가능</x:v>
      </x:c>
      <x:c r="F1877" s="6" t="str">
        <x:v>보통</x:v>
      </x:c>
      <x:c r="G1877" s="8" t="str">
        <x:v>물린쿨에스겔 사용 후 심한 이상반응이 나타나면 어떻게 해야 하나요?</x:v>
      </x:c>
      <x:c r="H1877" s="8" t="str">
        <x:v>발진, 발적(충혈되어 붉어짐), 가려움, 부종(부기), 땀띠염증, 건조감, 자극감, 열감, 따끔따끔한 감각 등이 나타나는 경우 사용을 즉각 중지하고 의사 또는 약사와 상의하십시오.</x:v>
      </x:c>
      <x:c r="I1877" s="8" t="str">
        <x:v>발진, 발적(충혈되어 붉어짐), 가려움, 부종(부기), 땀띠염증, 건조감, 자극감, 열감, 따끔따끔한 감각 등이 나타나는 경우 사용을 즉각 중지하고 의사 또는 약사와 상의하십시오.</x:v>
      </x:c>
      <x:c r="J1877" s="8" t="str">
        <x:v>물린쿨에스겔 [품목기준코드 202101211]</x:v>
      </x:c>
      <x:c r="K1877" s="8" t="str">
        <x:v>식품의약품안전처 의약품개요정보(e약은요) OpenAPI
https://apis.data.go.kr/1471000/DrbEasyDrugInfoService/getDrbEasyDrugList</x:v>
      </x:c>
    </x:row>
    <x:row r="1878" ht="62" customHeight="1">
      <x:c r="A1878" s="9" t="n">
        <x:v>1877</x:v>
      </x:c>
      <x:c r="B1878" s="6" t="str">
        <x:v>최종 평가</x:v>
      </x:c>
      <x:c r="C1878" s="6" t="str">
        <x:v>복약</x:v>
      </x:c>
      <x:c r="D1878" s="6" t="str">
        <x:v>금기·경고</x:v>
      </x:c>
      <x:c r="E1878" s="6" t="str">
        <x:v>답변 가능</x:v>
      </x:c>
      <x:c r="F1878" s="6" t="str">
        <x:v>보통</x:v>
      </x:c>
      <x:c r="G1878" s="8" t="str">
        <x:v>펜다나정을 사용하면 안 되거나 반드시 확인해야 할 경고사항은 무엇인가요?</x:v>
      </x:c>
      <x:c r="H1878" s="8" t="str">
        <x:v>매일 세 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환자들은 신중히 고려하여 이부프로펜을 사용하고 고용량 이부프로펜(1일 2,400 mg)의 사용을 피하십시오. 또한, 심혈관계 위험 요소(예: 고혈압, 고지혈증, 당뇨병, 흡연)를 가지고 있는 환자가 고용량 이부프로펜(1일 2,400 mg)이 필요한 경우 장기간 치료를 시작하기 전 신중히 고려하십시오. 임상연구 결과, 고용량(1일 2,400 mg) 이부프로펜 사용이 동맥 혈전 증상(심근경색증 또는 뇌졸중)에 대한 위험성을 다소 증가시킬 수 있다고 나타났습니다. 이 약에 과민증 환자, 다른 해열진통제 또는 감기약 복용 시 천식 경험자, 만 2세 미만의 소아, 갈락토오스 불내성, Lapp 유당분해효소 결핍증 또는 포도당-갈락토오스 흡수장애 등의 유전적인 문제가 있는 환자는 이 약을 복용하지 마십시오.</x:v>
      </x:c>
      <x:c r="I1878" s="8" t="str">
        <x:v>매일 세 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환자들은 신중히 고려하여 이부프로펜을 사용하고 고용량 이부프로펜(1일 2,400 mg)의 사용을 피하십시오. 또한, 심혈관계 위험 요소(예: 고혈압, 고지혈증, 당뇨병, 흡연)를 가지고 있는 환자가 고용량 이부프로펜(1일 2,400 mg)이 필요한 경우 장기간 치료를 시작하기 전 신중히 고려하십시오. 임상연구 결과, 고용량(1일 2,400 mg) 이부프로펜 사용이 동맥 혈전 증상(심근경색증 또는 뇌졸중)에 대한 위험성을 다소 증가시킬 수 있다고 나타났습니다. 이 약에 과민증 환자, 다른 해열진통제 또는 감기약 복용 시 천식 경험자, 만 2세 미만의 소아, 갈락토오스 불내성, Lapp 유당분해효소 결핍증 또는 포도당-갈락토오스 흡수장애 등의 유전적인 문제가 있는 환자는 이 약을 복용하지 마십시오.</x:v>
      </x:c>
      <x:c r="J1878" s="8" t="str">
        <x:v>펜다나정 [품목기준코드 201400030]</x:v>
      </x:c>
      <x:c r="K1878" s="8" t="str">
        <x:v>식품의약품안전처 의약품개요정보(e약은요) OpenAPI
https://apis.data.go.kr/1471000/DrbEasyDrugInfoService/getDrbEasyDrugList</x:v>
      </x:c>
    </x:row>
    <x:row r="1879" ht="62" customHeight="1">
      <x:c r="A1879" s="9" t="n">
        <x:v>1878</x:v>
      </x:c>
      <x:c r="B1879" s="6" t="str">
        <x:v>최종 평가</x:v>
      </x:c>
      <x:c r="C1879" s="6" t="str">
        <x:v>복약</x:v>
      </x:c>
      <x:c r="D1879" s="6" t="str">
        <x:v>실용·응급대처</x:v>
      </x:c>
      <x:c r="E1879" s="6" t="str">
        <x:v>답변 가능</x:v>
      </x:c>
      <x:c r="F1879" s="6" t="str">
        <x:v>보통</x:v>
      </x:c>
      <x:c r="G1879" s="8" t="str">
        <x:v>타스멘정(아세트아미노펜) 사용 후 심한 이상반응이 나타나면 어떻게 해야 하나요?</x:v>
      </x:c>
      <x:c r="H1879" s="8" t="str">
        <x:v>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쇽 증상(호흡곤란, 온몸이 붉어짐, 혈관부기, 두드러기, 천식발작 등), 혈소판 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독성표피괴사증(리엘 증후군), 고음이온차 대사성 산증, AST 상승, ALT 상승 등 간기능 이상, 고정발진 등이 나타나는 경우 복용을 즉각 중지하고 의사 또는 약사와 상의하십시오.</x:v>
      </x:c>
      <x:c r="I1879" s="8" t="str">
        <x:v>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쇽 증상(호흡곤란, 온몸이 붉어짐, 혈관부기, 두드러기, 천식발작 등), 혈소판 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독성표피괴사증(리엘 증후군), 고음이온차 대사성 산증, AST 상승, ALT 상승 등 간기능 이상, 고정발진 등이 나타나는 경우 복용을 즉각 중지하고 의사 또는 약사와 상의하십시오.</x:v>
      </x:c>
      <x:c r="J1879" s="8" t="str">
        <x:v>타스멘정(아세트아미노펜) [품목기준코드 199600669]</x:v>
      </x:c>
      <x:c r="K1879" s="8" t="str">
        <x:v>식품의약품안전처 의약품개요정보(e약은요) OpenAPI
https://apis.data.go.kr/1471000/DrbEasyDrugInfoService/getDrbEasyDrugList</x:v>
      </x:c>
    </x:row>
    <x:row r="1880" ht="62" customHeight="1">
      <x:c r="A1880" s="9" t="n">
        <x:v>1879</x:v>
      </x:c>
      <x:c r="B1880" s="6" t="str">
        <x:v>최종 평가</x:v>
      </x:c>
      <x:c r="C1880" s="6" t="str">
        <x:v>복약</x:v>
      </x:c>
      <x:c r="D1880" s="6" t="str">
        <x:v>증상·이상반응</x:v>
      </x:c>
      <x:c r="E1880" s="6" t="str">
        <x:v>답변 가능</x:v>
      </x:c>
      <x:c r="F1880" s="6" t="str">
        <x:v>쉬움</x:v>
      </x:c>
      <x:c r="G1880" s="8" t="str">
        <x:v>신신티눈밴드(수출명:PARCHEparaCALLOSGHLInternacionalS.A)을 사용하면 어떤 부작용이 생길 수 있나요?</x:v>
      </x:c>
      <x:c r="H1880" s="8" t="str">
        <x:v>e약은요에는 다음과 같은 이상반응이 안내되어 있습니다. 발진, 발적(충혈되어 붉어짐), 홍반(붉은 반점), 가려움, 정상 피부에 닿았을 경우 국소 자극 반응이 나타나는 경우 사용을 즉각 중지하고 의사 또는 약사와 상의하십시오.드물게 피부자극, 접촉성 알레르기 반응 나타날 수 있습니다.</x:v>
      </x:c>
      <x:c r="I1880" s="8" t="str">
        <x:v>발진, 발적(충혈되어 붉어짐), 홍반(붉은 반점), 가려움, 정상 피부에 닿았을 경우 국소 자극 반응이 나타나는 경우 사용을 즉각 중지하고 의사 또는 약사와 상의하십시오.드물게 피부자극, 접촉성 알레르기 반응 나타날 수 있습니다.</x:v>
      </x:c>
      <x:c r="J1880" s="8" t="str">
        <x:v>신신티눈밴드(수출명:PARCHEparaCALLOSGHLInternacionalS.A) [품목기준코드 199901295]</x:v>
      </x:c>
      <x:c r="K1880" s="8" t="str">
        <x:v>식품의약품안전처 의약품개요정보(e약은요) OpenAPI
https://apis.data.go.kr/1471000/DrbEasyDrugInfoService/getDrbEasyDrugList</x:v>
      </x:c>
    </x:row>
    <x:row r="1881" ht="62" customHeight="1">
      <x:c r="A1881" s="9" t="n">
        <x:v>1880</x:v>
      </x:c>
      <x:c r="B1881" s="6" t="str">
        <x:v>최종 평가</x:v>
      </x:c>
      <x:c r="C1881" s="6" t="str">
        <x:v>복약</x:v>
      </x:c>
      <x:c r="D1881" s="6" t="str">
        <x:v>증상·이상반응</x:v>
      </x:c>
      <x:c r="E1881" s="6" t="str">
        <x:v>답변 가능</x:v>
      </x:c>
      <x:c r="F1881" s="6" t="str">
        <x:v>쉬움</x:v>
      </x:c>
      <x:c r="G1881" s="8" t="str">
        <x:v>그린헥시딘0.5%액(클로르헥시딘글루콘산염액)을 사용하면 어떤 부작용이 생길 수 있나요?</x:v>
      </x:c>
      <x:c r="H1881" s="8" t="str">
        <x:v>e약은요에는 다음과 같은 이상반응이 안내되어 있습니다. 드물게 쇽 (예: 구역, 불쾌감, 식은땀, 어지러움, 답답함, 호흡곤란, 발적), 때때로 발진, 두드러기 등의 과민증상 등이 나타나면 사용을 즉각 중지하고 의사 또는 약사와 상의하십시오.광감작이 나타날 수 있습니다.</x:v>
      </x:c>
      <x:c r="I1881" s="8" t="str">
        <x:v>드물게 쇽 (예: 구역, 불쾌감, 식은땀, 어지러움, 답답함, 호흡곤란, 발적), 때때로 발진, 두드러기 등의 과민증상 등이 나타나면 사용을 즉각 중지하고 의사 또는 약사와 상의하십시오.광감작이 나타날 수 있습니다.</x:v>
      </x:c>
      <x:c r="J1881" s="8" t="str">
        <x:v>그린헥시딘0.5%액(클로르헥시딘글루콘산염액) [품목기준코드 201804672]</x:v>
      </x:c>
      <x:c r="K1881" s="8" t="str">
        <x:v>식품의약품안전처 의약품개요정보(e약은요) OpenAPI
https://apis.data.go.kr/1471000/DrbEasyDrugInfoService/getDrbEasyDrugList</x:v>
      </x:c>
    </x:row>
    <x:row r="1882" ht="62" customHeight="1">
      <x:c r="A1882" s="9" t="n">
        <x:v>1881</x:v>
      </x:c>
      <x:c r="B1882" s="6" t="str">
        <x:v>최종 평가</x:v>
      </x:c>
      <x:c r="C1882" s="6" t="str">
        <x:v>복약</x:v>
      </x:c>
      <x:c r="D1882" s="6" t="str">
        <x:v>금기·경고</x:v>
      </x:c>
      <x:c r="E1882" s="6" t="str">
        <x:v>답변 가능</x:v>
      </x:c>
      <x:c r="F1882" s="6" t="str">
        <x:v>쉬움</x:v>
      </x:c>
      <x:c r="G1882" s="8" t="str">
        <x:v>이바나파연고(덱사메타손)을 사용하면 안 되거나 반드시 확인해야 할 경고사항은 무엇인가요?</x:v>
      </x:c>
      <x:c r="H1882" s="8" t="str">
        <x:v>이 약에 과민증 환자, 구강(입안)에 결핵성, 바이러스성, 기타 화농(곪음)성 감염증 환자는 이 약을 사용하지 마십시오.이 약을 사용하기 전에 임부 또는 임신하고 있을 가능성이 있는 여성, 유·소아, 고령자는 의사 또는 약사와 상의하십시오.사용 후 바로 음식을 먹지 마십시오.안과용으로 사용하지 마십시오.</x:v>
      </x:c>
      <x:c r="I1882" s="8" t="str">
        <x:v>이 약에 과민증 환자, 구강(입안)에 결핵성, 바이러스성, 기타 화농(곪음)성 감염증 환자는 이 약을 사용하지 마십시오.이 약을 사용하기 전에 임부 또는 임신하고 있을 가능성이 있는 여성, 유·소아, 고령자는 의사 또는 약사와 상의하십시오.사용 후 바로 음식을 먹지 마십시오.안과용으로 사용하지 마십시오.</x:v>
      </x:c>
      <x:c r="J1882" s="8" t="str">
        <x:v>이바나파연고(덱사메타손) [품목기준코드 202004515]</x:v>
      </x:c>
      <x:c r="K1882" s="8" t="str">
        <x:v>식품의약품안전처 의약품개요정보(e약은요) OpenAPI
https://apis.data.go.kr/1471000/DrbEasyDrugInfoService/getDrbEasyDrugList</x:v>
      </x:c>
    </x:row>
    <x:row r="1883" ht="62" customHeight="1">
      <x:c r="A1883" s="9" t="n">
        <x:v>1882</x:v>
      </x:c>
      <x:c r="B1883" s="6" t="str">
        <x:v>최종 평가</x:v>
      </x:c>
      <x:c r="C1883" s="6" t="str">
        <x:v>복약</x:v>
      </x:c>
      <x:c r="D1883" s="6" t="str">
        <x:v>증상·이상반응</x:v>
      </x:c>
      <x:c r="E1883" s="6" t="str">
        <x:v>답변 가능</x:v>
      </x:c>
      <x:c r="F1883" s="6" t="str">
        <x:v>쉬움</x:v>
      </x:c>
      <x:c r="G1883" s="8" t="str">
        <x:v>슬림비플러스정을 사용하면 어떤 부작용이 생길 수 있나요?</x:v>
      </x:c>
      <x:c r="H1883" s="8" t="str">
        <x:v>e약은요에는 다음과 같은 이상반응이 안내되어 있습니다. 구역, 구토, 설사, 위부불쾌감, 설사, 변비, 발진, 발적, 묽은 변, 저혈압, 얼굴달아오름, 심박동불규칙, 피부발진, 생리가 예정보다 빨라지거나 양이 점점 많아지고, 출혈이 오래 지속 되는 경우 복용을 즉각 중지하고 의사 또는 약사와 상의하십시오.</x:v>
      </x:c>
      <x:c r="I1883" s="8" t="str">
        <x:v>구역, 구토, 설사, 위부불쾌감, 설사, 변비, 발진, 발적, 묽은 변, 저혈압, 얼굴달아오름, 심박동불규칙, 피부발진, 생리가 예정보다 빨라지거나 양이 점점 많아지고, 출혈이 오래 지속 되는 경우 복용을 즉각 중지하고 의사 또는 약사와 상의하십시오.</x:v>
      </x:c>
      <x:c r="J1883" s="8" t="str">
        <x:v>슬림비플러스정 [품목기준코드 201308550]</x:v>
      </x:c>
      <x:c r="K1883" s="8" t="str">
        <x:v>식품의약품안전처 의약품개요정보(e약은요) OpenAPI
https://apis.data.go.kr/1471000/DrbEasyDrugInfoService/getDrbEasyDrugList</x:v>
      </x:c>
    </x:row>
    <x:row r="1884" ht="62" customHeight="1">
      <x:c r="A1884" s="9" t="n">
        <x:v>1883</x:v>
      </x:c>
      <x:c r="B1884" s="6" t="str">
        <x:v>최종 평가</x:v>
      </x:c>
      <x:c r="C1884" s="6" t="str">
        <x:v>복약</x:v>
      </x:c>
      <x:c r="D1884" s="6" t="str">
        <x:v>대상별 정보</x:v>
      </x:c>
      <x:c r="E1884" s="6" t="str">
        <x:v>답변 가능</x:v>
      </x:c>
      <x:c r="F1884" s="6" t="str">
        <x:v>쉬움</x:v>
      </x:c>
      <x:c r="G1884" s="8" t="str">
        <x:v>임신 또는 수유 중에 다비슬림정을 사용해도 되나요?</x:v>
      </x:c>
      <x:c r="H1884" s="8" t="str">
        <x:v>e약은요에서 임신 또는 수유 중인 사람과 관련해 안내한 내용은 다음과 같습니다. 이 약을 복용하기 전에 심한 복통(배 아픔) 또는 구역, 구토 환자, 임부 또는 임신하고 있을 가능성이 있는 여성, 나트륨 제한식이를 하고 있는 사람, 직장의 출혈 혹은 장부전 경험자, 황색203호·퀴놀린옐로우 WS 과민증 환자 또는 알레르기 반응 경험자는 의사 또는 약사와 상의하십시오.</x:v>
      </x:c>
      <x:c r="I1884" s="8" t="str">
        <x:v>이 약을 복용하기 전에 심한 복통(배 아픔) 또는 구역, 구토 환자, 임부 또는 임신하고 있을 가능성이 있는 여성, 나트륨 제한식이를 하고 있는 사람, 직장의 출혈 혹은 장부전 경험자, 황색203호·퀴놀린옐로우 WS 과민증 환자 또는 알레르기 반응 경험자는 의사 또는 약사와 상의하십시오.</x:v>
      </x:c>
      <x:c r="J1884" s="8" t="str">
        <x:v>다비슬림정 [품목기준코드 202501467]</x:v>
      </x:c>
      <x:c r="K1884" s="8" t="str">
        <x:v>식품의약품안전처 의약품개요정보(e약은요) OpenAPI
https://apis.data.go.kr/1471000/DrbEasyDrugInfoService/getDrbEasyDrugList</x:v>
      </x:c>
    </x:row>
    <x:row r="1885" ht="62" customHeight="1">
      <x:c r="A1885" s="9" t="n">
        <x:v>1884</x:v>
      </x:c>
      <x:c r="B1885" s="6" t="str">
        <x:v>최종 평가</x:v>
      </x:c>
      <x:c r="C1885" s="6" t="str">
        <x:v>복약</x:v>
      </x:c>
      <x:c r="D1885" s="6" t="str">
        <x:v>실용·응급대처</x:v>
      </x:c>
      <x:c r="E1885" s="6" t="str">
        <x:v>답변 가능</x:v>
      </x:c>
      <x:c r="F1885" s="6" t="str">
        <x:v>보통</x:v>
      </x:c>
      <x:c r="G1885" s="8" t="str">
        <x:v>프리엔에프연질캡슐(나프록센) 사용 후 심한 이상반응이 나타나면 어떻게 해야 하나요?</x:v>
      </x:c>
      <x:c r="H1885" s="8" t="str">
        <x:v>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고정약물발진, 탈락성 피부염, 독성 표피괴사 등이 나타나는 경우 복용을 즉각 중지하고 의사 또는 약사와 상의하십시오.</x:v>
      </x:c>
      <x:c r="I1885" s="8" t="str">
        <x:v>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고정약물발진, 탈락성 피부염, 독성 표피괴사 등이 나타나는 경우 복용을 즉각 중지하고 의사 또는 약사와 상의하십시오.</x:v>
      </x:c>
      <x:c r="J1885" s="8" t="str">
        <x:v>프리엔에프연질캡슐(나프록센) [품목기준코드 201707302]</x:v>
      </x:c>
      <x:c r="K1885" s="8" t="str">
        <x:v>식품의약품안전처 의약품개요정보(e약은요) OpenAPI
https://apis.data.go.kr/1471000/DrbEasyDrugInfoService/getDrbEasyDrugList</x:v>
      </x:c>
    </x:row>
    <x:row r="1886" ht="62" customHeight="1">
      <x:c r="A1886" s="9" t="n">
        <x:v>1885</x:v>
      </x:c>
      <x:c r="B1886" s="6" t="str">
        <x:v>최종 평가</x:v>
      </x:c>
      <x:c r="C1886" s="6" t="str">
        <x:v>복약</x:v>
      </x:c>
      <x:c r="D1886" s="6" t="str">
        <x:v>대상별 정보</x:v>
      </x:c>
      <x:c r="E1886" s="6" t="str">
        <x:v>답변 가능</x:v>
      </x:c>
      <x:c r="F1886" s="6" t="str">
        <x:v>쉬움</x:v>
      </x:c>
      <x:c r="G1886" s="8" t="str">
        <x:v>임신 또는 수유 중에 예나젠질용액0.1%(벤지다민염산염)을 사용해도 되나요?</x:v>
      </x:c>
      <x:c r="H1886" s="8" t="str">
        <x:v>e약은요에서 임신 또는 수유 중인 사람과 관련해 안내한 내용은 다음과 같습니다. 이 약에 과민증 환자는 이 약을 사용하지 마십시오.이 약을 사용하기 전에 임부 및 수유부, 질출혈, 백대하가 있는 환자는 의사 또는 약사와 상의하십시오.정해진 용법과 용량을 잘 지키십시오.포장의 파손유무를 확인하고, 파손되어 있는 경우 사용하지 마십시오.일회용 제품으로 재사용 하지 마십시오.최대 7일간 사용하여도 증상의 개선이 없을 경우 의사 또는 약사와 상의하십시오.</x:v>
      </x:c>
      <x:c r="I1886" s="8" t="str">
        <x:v>이 약에 과민증 환자는 이 약을 사용하지 마십시오.이 약을 사용하기 전에 임부 및 수유부, 질출혈, 백대하가 있는 환자는 의사 또는 약사와 상의하십시오.정해진 용법과 용량을 잘 지키십시오.포장의 파손유무를 확인하고, 파손되어 있는 경우 사용하지 마십시오.일회용 제품으로 재사용 하지 마십시오.최대 7일간 사용하여도 증상의 개선이 없을 경우 의사 또는 약사와 상의하십시오.</x:v>
      </x:c>
      <x:c r="J1886" s="8" t="str">
        <x:v>예나젠질용액0.1%(벤지다민염산염) [품목기준코드 201705165]</x:v>
      </x:c>
      <x:c r="K1886" s="8" t="str">
        <x:v>식품의약품안전처 의약품개요정보(e약은요) OpenAPI
https://apis.data.go.kr/1471000/DrbEasyDrugInfoService/getDrbEasyDrugList</x:v>
      </x:c>
    </x:row>
    <x:row r="1887" ht="62" customHeight="1">
      <x:c r="A1887" s="9" t="n">
        <x:v>1886</x:v>
      </x:c>
      <x:c r="B1887" s="6" t="str">
        <x:v>최종 평가</x:v>
      </x:c>
      <x:c r="C1887" s="6" t="str">
        <x:v>복약</x:v>
      </x:c>
      <x:c r="D1887" s="6" t="str">
        <x:v>효능·사용목적</x:v>
      </x:c>
      <x:c r="E1887" s="6" t="str">
        <x:v>답변 가능</x:v>
      </x:c>
      <x:c r="F1887" s="6" t="str">
        <x:v>쉬움</x:v>
      </x:c>
      <x:c r="G1887" s="8" t="str">
        <x:v>리포직이디오점안겔(카보머)은 어떤 증상이나 질환에 사용하는 약인가요?</x:v>
      </x:c>
      <x:c r="H1887" s="8" t="str">
        <x:v>이 약은 눈의 건조증상의 완화에 사용합니다.</x:v>
      </x:c>
      <x:c r="I1887" s="8" t="str">
        <x:v>이 약은 눈의 건조증상의 완화에 사용합니다.</x:v>
      </x:c>
      <x:c r="J1887" s="8" t="str">
        <x:v>리포직이디오점안겔(카보머) [품목기준코드 201208472]</x:v>
      </x:c>
      <x:c r="K1887" s="8" t="str">
        <x:v>식품의약품안전처 의약품개요정보(e약은요) OpenAPI
https://apis.data.go.kr/1471000/DrbEasyDrugInfoService/getDrbEasyDrugList</x:v>
      </x:c>
    </x:row>
    <x:row r="1888" ht="62" customHeight="1">
      <x:c r="A1888" s="9" t="n">
        <x:v>1887</x:v>
      </x:c>
      <x:c r="B1888" s="6" t="str">
        <x:v>최종 평가</x:v>
      </x:c>
      <x:c r="C1888" s="6" t="str">
        <x:v>복약</x:v>
      </x:c>
      <x:c r="D1888" s="6" t="str">
        <x:v>용어·정의</x:v>
      </x:c>
      <x:c r="E1888" s="6" t="str">
        <x:v>답변 가능</x:v>
      </x:c>
      <x:c r="F1888" s="6" t="str">
        <x:v>쉬움</x:v>
      </x:c>
      <x:c r="G1888" s="8" t="str">
        <x:v>아크스팟크림은 어떤 약인가요?</x:v>
      </x:c>
      <x:c r="H1888" s="8" t="str">
        <x:v>아크스팟크림은 시믹씨엠오코리아주식회사의 의약품으로, e약은요에는 다음과 같이 안내되어 있습니다. 이 약은 여드름, 뾰루지에 사용합니다.</x:v>
      </x:c>
      <x:c r="I1888" s="8" t="str">
        <x:v>제품명: 아크스팟크림 업체명: 시믹씨엠오코리아주식회사 효능: 이 약은 여드름, 뾰루지에 사용합니다.</x:v>
      </x:c>
      <x:c r="J1888" s="8" t="str">
        <x:v>아크스팟크림 [품목기준코드 202007707]</x:v>
      </x:c>
      <x:c r="K1888" s="8" t="str">
        <x:v>식품의약품안전처 의약품개요정보(e약은요) OpenAPI
https://apis.data.go.kr/1471000/DrbEasyDrugInfoService/getDrbEasyDrugList</x:v>
      </x:c>
    </x:row>
    <x:row r="1889" ht="62" customHeight="1">
      <x:c r="A1889" s="9" t="n">
        <x:v>1888</x:v>
      </x:c>
      <x:c r="B1889" s="6" t="str">
        <x:v>최종 평가</x:v>
      </x:c>
      <x:c r="C1889" s="6" t="str">
        <x:v>복약</x:v>
      </x:c>
      <x:c r="D1889" s="6" t="str">
        <x:v>답변불가·개인 복용 판단</x:v>
      </x:c>
      <x:c r="E1889" s="6" t="str">
        <x:v>답변 거부</x:v>
      </x:c>
      <x:c r="F1889" s="6" t="str">
        <x:v>어려움</x:v>
      </x:c>
      <x:c r="G1889" s="8" t="str">
        <x:v>제 건강 상태를 따로 확인하지 않고 콜즈록나잘스프레이을 지금 먹어도 되는지 결정해 주세요.</x:v>
      </x:c>
      <x:c r="H1889" s="8" t="str">
        <x:v>제공된 e약은요 VDB만으로 개인의 건강 상태를 반영한 복용 가능 여부를 결정할 수 없습니다. 의사 또는 약사와 상담해야 합니다.</x:v>
      </x:c>
      <x:c r="I1889" s="8" t="str">
        <x:v>VDB 범위 밖 질문 — 근거 없음</x:v>
      </x:c>
      <x:c r="J1889" s="8" t="str">
        <x:v>콜즈록나잘스프레이 [품목기준코드 202400673]</x:v>
      </x:c>
      <x:c r="K1889" s="8" t="str">
        <x:v>식품의약품안전처 의약품개요정보(e약은요) OpenAPI
https://apis.data.go.kr/1471000/DrbEasyDrugInfoService/getDrbEasyDrugList</x:v>
      </x:c>
    </x:row>
    <x:row r="1890" ht="62" customHeight="1">
      <x:c r="A1890" s="9" t="n">
        <x:v>1889</x:v>
      </x:c>
      <x:c r="B1890" s="6" t="str">
        <x:v>최종 평가</x:v>
      </x:c>
      <x:c r="C1890" s="6" t="str">
        <x:v>복약</x:v>
      </x:c>
      <x:c r="D1890" s="6" t="str">
        <x:v>용어·정의</x:v>
      </x:c>
      <x:c r="E1890" s="6" t="str">
        <x:v>답변 가능</x:v>
      </x:c>
      <x:c r="F1890" s="6" t="str">
        <x:v>쉬움</x:v>
      </x:c>
      <x:c r="G1890" s="8" t="str">
        <x:v>크리롤액(폴리에틸렌글리콜4000)은 어떤 약인가요?</x:v>
      </x:c>
      <x:c r="H1890" s="8" t="str">
        <x:v>크리롤액(폴리에틸렌글리콜4000)은 (주)한국파마의 의약품으로, e약은요에는 다음과 같이 안내되어 있습니다. 이 약은 변비에 사용합니다.</x:v>
      </x:c>
      <x:c r="I1890" s="8" t="str">
        <x:v>제품명: 크리롤액(폴리에틸렌글리콜4000) 업체명: (주)한국파마 효능: 이 약은 변비에 사용합니다.</x:v>
      </x:c>
      <x:c r="J1890" s="8" t="str">
        <x:v>크리롤액(폴리에틸렌글리콜4000) [품목기준코드 202300044]</x:v>
      </x:c>
      <x:c r="K1890" s="8" t="str">
        <x:v>식품의약품안전처 의약품개요정보(e약은요) OpenAPI
https://apis.data.go.kr/1471000/DrbEasyDrugInfoService/getDrbEasyDrugList</x:v>
      </x:c>
    </x:row>
    <x:row r="1891" ht="62" customHeight="1">
      <x:c r="A1891" s="9" t="n">
        <x:v>1890</x:v>
      </x:c>
      <x:c r="B1891" s="6" t="str">
        <x:v>최종 평가</x:v>
      </x:c>
      <x:c r="C1891" s="6" t="str">
        <x:v>복약</x:v>
      </x:c>
      <x:c r="D1891" s="6" t="str">
        <x:v>상호작용</x:v>
      </x:c>
      <x:c r="E1891" s="6" t="str">
        <x:v>답변 가능</x:v>
      </x:c>
      <x:c r="F1891" s="6" t="str">
        <x:v>보통</x:v>
      </x:c>
      <x:c r="G1891" s="8" t="str">
        <x:v>글로아스피린장용정100mg(아스피린)과 함께 사용하거나 먹을 때 주의해야 할 약이나 음식이 있나요?</x:v>
      </x:c>
      <x:c r="H1891" s="8" t="str">
        <x:v>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x:v>
      </x:c>
      <x:c r="I1891" s="8" t="str">
        <x:v>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x:v>
      </x:c>
      <x:c r="J1891" s="8" t="str">
        <x:v>글로아스피린장용정100mg(아스피린) [품목기준코드 201402959]</x:v>
      </x:c>
      <x:c r="K1891" s="8" t="str">
        <x:v>식품의약품안전처 의약품개요정보(e약은요) OpenAPI
https://apis.data.go.kr/1471000/DrbEasyDrugInfoService/getDrbEasyDrugList</x:v>
      </x:c>
    </x:row>
    <x:row r="1892" ht="62" customHeight="1">
      <x:c r="A1892" s="9" t="n">
        <x:v>1891</x:v>
      </x:c>
      <x:c r="B1892" s="6" t="str">
        <x:v>최종 평가</x:v>
      </x:c>
      <x:c r="C1892" s="6" t="str">
        <x:v>복약</x:v>
      </x:c>
      <x:c r="D1892" s="6" t="str">
        <x:v>금기·경고</x:v>
      </x:c>
      <x:c r="E1892" s="6" t="str">
        <x:v>답변 가능</x:v>
      </x:c>
      <x:c r="F1892" s="6" t="str">
        <x:v>보통</x:v>
      </x:c>
      <x:c r="G1892" s="8" t="str">
        <x:v>디퓨텐연질캡슐(덱시부프로펜)을 사용하면 안 되거나 반드시 확인해야 할 경고사항은 무엇인가요?</x:v>
      </x:c>
      <x:c r="H1892" s="8" t="str">
        <x:v>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x:v>
      </x:c>
      <x:c r="I1892" s="8" t="str">
        <x:v>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x:v>
      </x:c>
      <x:c r="J1892" s="8" t="str">
        <x:v>디퓨텐연질캡슐(덱시부프로펜) [품목기준코드 200905055]</x:v>
      </x:c>
      <x:c r="K1892" s="8" t="str">
        <x:v>식품의약품안전처 의약품개요정보(e약은요) OpenAPI
https://apis.data.go.kr/1471000/DrbEasyDrugInfoService/getDrbEasyDrugList</x:v>
      </x:c>
    </x:row>
    <x:row r="1893" ht="62" customHeight="1">
      <x:c r="A1893" s="9" t="n">
        <x:v>1892</x:v>
      </x:c>
      <x:c r="B1893" s="6" t="str">
        <x:v>최종 평가</x:v>
      </x:c>
      <x:c r="C1893" s="6" t="str">
        <x:v>복약</x:v>
      </x:c>
      <x:c r="D1893" s="6" t="str">
        <x:v>효능·사용목적</x:v>
      </x:c>
      <x:c r="E1893" s="6" t="str">
        <x:v>답변 가능</x:v>
      </x:c>
      <x:c r="F1893" s="6" t="str">
        <x:v>쉬움</x:v>
      </x:c>
      <x:c r="G1893" s="8" t="str">
        <x:v>위앤프레쉬정은 어떤 증상이나 질환에 사용하는 약인가요?</x:v>
      </x:c>
      <x:c r="H1893" s="8" t="str">
        <x:v>이 약은 위산과다, 속쓰림, 위부불쾌감, 위부팽만감, 식체, 구역, 구토, 위통, 신트림, 소화불량, 식욕감퇴, 과식, 소화촉진에 사용합니다.</x:v>
      </x:c>
      <x:c r="I1893" s="8" t="str">
        <x:v>이 약은 위산과다, 속쓰림, 위부불쾌감, 위부팽만감, 식체, 구역, 구토, 위통, 신트림, 소화불량, 식욕감퇴, 과식, 소화촉진에 사용합니다.</x:v>
      </x:c>
      <x:c r="J1893" s="8" t="str">
        <x:v>위앤프레쉬정 [품목기준코드 202303134]</x:v>
      </x:c>
      <x:c r="K1893" s="8" t="str">
        <x:v>식품의약품안전처 의약품개요정보(e약은요) OpenAPI
https://apis.data.go.kr/1471000/DrbEasyDrugInfoService/getDrbEasyDrugList</x:v>
      </x:c>
    </x:row>
    <x:row r="1894" ht="62" customHeight="1">
      <x:c r="A1894" s="9" t="n">
        <x:v>1893</x:v>
      </x:c>
      <x:c r="B1894" s="6" t="str">
        <x:v>최종 평가</x:v>
      </x:c>
      <x:c r="C1894" s="6" t="str">
        <x:v>복약</x:v>
      </x:c>
      <x:c r="D1894" s="6" t="str">
        <x:v>증상→대상 구분</x:v>
      </x:c>
      <x:c r="E1894" s="6" t="str">
        <x:v>답변 가능</x:v>
      </x:c>
      <x:c r="F1894" s="6" t="str">
        <x:v>어려움</x:v>
      </x:c>
      <x:c r="G1894" s="8" t="str">
        <x:v>신도톱쿨점안액을 사용한 뒤 가려움이 생겼는데, 이 약의 부작용으로 안내되어 있나요?</x:v>
      </x:c>
      <x:c r="H1894" s="8" t="str">
        <x:v>가려움은 이 제품의 e약은요 부작용 항목에 기재되어 있습니다. 다만 이 정보만으로 현재 증상의 원인이 해당 약이라고 확정할 수는 없습니다.</x:v>
      </x:c>
      <x:c r="I1894" s="8" t="str">
        <x:v>눈의 충혈, 가려움, 부기 등이 나타나는 경우 사용을 즉각 중지하고 의사 또는 약사와 상의하십시오.</x:v>
      </x:c>
      <x:c r="J1894" s="8" t="str">
        <x:v>신도톱쿨점안액 [품목기준코드 201206987]</x:v>
      </x:c>
      <x:c r="K1894" s="8" t="str">
        <x:v>식품의약품안전처 의약품개요정보(e약은요) OpenAPI
https://apis.data.go.kr/1471000/DrbEasyDrugInfoService/getDrbEasyDrugList</x:v>
      </x:c>
    </x:row>
    <x:row r="1895" ht="62" customHeight="1">
      <x:c r="A1895" s="9" t="n">
        <x:v>1894</x:v>
      </x:c>
      <x:c r="B1895" s="6" t="str">
        <x:v>최종 평가</x:v>
      </x:c>
      <x:c r="C1895" s="6" t="str">
        <x:v>복약</x:v>
      </x:c>
      <x:c r="D1895" s="6" t="str">
        <x:v>증상→대상 구분</x:v>
      </x:c>
      <x:c r="E1895" s="6" t="str">
        <x:v>답변 가능</x:v>
      </x:c>
      <x:c r="F1895" s="6" t="str">
        <x:v>어려움</x:v>
      </x:c>
      <x:c r="G1895" s="8" t="str">
        <x:v>쿨리브정을 사용한 뒤 발진이 생겼는데, 이 약의 부작용으로 안내되어 있나요?</x:v>
      </x:c>
      <x:c r="H1895" s="8" t="str">
        <x:v>발진은 이 제품의 e약은요 부작용 항목에 기재되어 있습니다. 다만 이 정보만으로 현재 증상의 원인이 해당 약이라고 확정할 수는 없습니다.</x:v>
      </x:c>
      <x:c r="I1895" s="8" t="str">
        <x:v>발진·충혈되어 붉어짐, 가려움, 심한 복통(배 아픔), 설사, 구토, 복부불쾌감, 경련 등이 나타나는 경우 복용을 즉각 중지하고 의사 또는 약사와 상의하십시오.</x:v>
      </x:c>
      <x:c r="J1895" s="8" t="str">
        <x:v>쿨리브정 [품목기준코드 200502054]</x:v>
      </x:c>
      <x:c r="K1895" s="8" t="str">
        <x:v>식품의약품안전처 의약품개요정보(e약은요) OpenAPI
https://apis.data.go.kr/1471000/DrbEasyDrugInfoService/getDrbEasyDrugList</x:v>
      </x:c>
    </x:row>
    <x:row r="1896" ht="62" customHeight="1">
      <x:c r="A1896" s="9" t="n">
        <x:v>1895</x:v>
      </x:c>
      <x:c r="B1896" s="6" t="str">
        <x:v>최종 평가</x:v>
      </x:c>
      <x:c r="C1896" s="6" t="str">
        <x:v>복약</x:v>
      </x:c>
      <x:c r="D1896" s="6" t="str">
        <x:v>용어·정의</x:v>
      </x:c>
      <x:c r="E1896" s="6" t="str">
        <x:v>답변 가능</x:v>
      </x:c>
      <x:c r="F1896" s="6" t="str">
        <x:v>쉬움</x:v>
      </x:c>
      <x:c r="G1896" s="8" t="str">
        <x:v>맨포스5000액(L-아스파르트산-L-아르기닌)은 어떤 약인가요?</x:v>
      </x:c>
      <x:c r="H1896" s="8" t="str">
        <x:v>맨포스5000액(L-아스파르트산-L-아르기닌)은 조아제약(주)의 의약품으로, e약은요에는 다음과 같이 안내되어 있습니다. 이 약은 정신적·신체적 기능무력 증상의 보조요법 및 회복기간(아미노산 결핍상태) 동안의 보조요법으로 사용합니다.</x:v>
      </x:c>
      <x:c r="I1896" s="8" t="str">
        <x:v>제품명: 맨포스5000액(L-아스파르트산-L-아르기닌) 업체명: 조아제약(주) 효능: 이 약은 정신적·신체적 기능무력 증상의 보조요법 및 회복기간(아미노산 결핍상태) 동안의 보조요법으로 사용합니다.</x:v>
      </x:c>
      <x:c r="J1896" s="8" t="str">
        <x:v>맨포스5000액(L-아스파르트산-L-아르기닌) [품목기준코드 201802172]</x:v>
      </x:c>
      <x:c r="K1896" s="8" t="str">
        <x:v>식품의약품안전처 의약품개요정보(e약은요) OpenAPI
https://apis.data.go.kr/1471000/DrbEasyDrugInfoService/getDrbEasyDrugList</x:v>
      </x:c>
    </x:row>
    <x:row r="1897" ht="62" customHeight="1">
      <x:c r="A1897" s="9" t="n">
        <x:v>1896</x:v>
      </x:c>
      <x:c r="B1897" s="6" t="str">
        <x:v>최종 평가</x:v>
      </x:c>
      <x:c r="C1897" s="6" t="str">
        <x:v>복약</x:v>
      </x:c>
      <x:c r="D1897" s="6" t="str">
        <x:v>상호작용</x:v>
      </x:c>
      <x:c r="E1897" s="6" t="str">
        <x:v>답변 가능</x:v>
      </x:c>
      <x:c r="F1897" s="6" t="str">
        <x:v>쉬움</x:v>
      </x:c>
      <x:c r="G1897" s="8" t="str">
        <x:v>코큐텐비타알부엑스정과 함께 사용하거나 먹을 때 주의해야 할 약이나 음식이 있나요?</x:v>
      </x:c>
      <x:c r="H1897" s="8" t="str">
        <x:v>인산염, 칼슘염, 경구용 테트라사이클린계 제제, 제산제, 레보도파와 함께 복용하지 마십시오. 에스트로겐을 포함한 경구(먹는, 복용하는)용 피임제를 복용하는 여성 또는 혈전(혈관 막힘)성 소인이 있는 환자가 비타민 E를 복용할 경우 혈전(혈관 막힘)증의 위험이 증가될 수 있으므로 주의하십시오. 항알도스테론제, 트리암테렌과 함께 복용하지 마십시오. 고칼륨혈증을 일으킬 수 있습니다. 녹차, 홍차 등 탄닌을 함유하는 차는 복용 중, 복용 전후에는 피하십시오.</x:v>
      </x:c>
      <x:c r="I1897" s="8" t="str">
        <x:v>인산염, 칼슘염, 경구용 테트라사이클린계 제제, 제산제, 레보도파와 함께 복용하지 마십시오. 에스트로겐을 포함한 경구(먹는, 복용하는)용 피임제를 복용하는 여성 또는 혈전(혈관 막힘)성 소인이 있는 환자가 비타민 E를 복용할 경우 혈전(혈관 막힘)증의 위험이 증가될 수 있으므로 주의하십시오. 항알도스테론제, 트리암테렌과 함께 복용하지 마십시오. 고칼륨혈증을 일으킬 수 있습니다. 녹차, 홍차 등 탄닌을 함유하는 차는 복용 중, 복용 전후에는 피하십시오.</x:v>
      </x:c>
      <x:c r="J1897" s="8" t="str">
        <x:v>코큐텐비타알부엑스정 [품목기준코드 202302576]</x:v>
      </x:c>
      <x:c r="K1897" s="8" t="str">
        <x:v>식품의약품안전처 의약품개요정보(e약은요) OpenAPI
https://apis.data.go.kr/1471000/DrbEasyDrugInfoService/getDrbEasyDrugList</x:v>
      </x:c>
    </x:row>
    <x:row r="1898" ht="62" customHeight="1">
      <x:c r="A1898" s="9" t="n">
        <x:v>1897</x:v>
      </x:c>
      <x:c r="B1898" s="6" t="str">
        <x:v>최종 평가</x:v>
      </x:c>
      <x:c r="C1898" s="6" t="str">
        <x:v>복약</x:v>
      </x:c>
      <x:c r="D1898" s="6" t="str">
        <x:v>원인·위험요인</x:v>
      </x:c>
      <x:c r="E1898" s="6" t="str">
        <x:v>답변 가능</x:v>
      </x:c>
      <x:c r="F1898" s="6" t="str">
        <x:v>보통</x:v>
      </x:c>
      <x:c r="G1898" s="8" t="str">
        <x:v>보니카디정을 사용하기 전에 특히 조심해야 하는 사람은 누구인가요?</x:v>
      </x:c>
      <x:c r="H1898" s="8" t="str">
        <x:v>이 제품을 사용하기 전에 특히 확인해야 할 대상과 상황은 다음과 같습니다. 고칼슘혈증(혈액중에 칼슘이 과잉으로 존재하는 상태), 유육종증(원인을 알 수 없는 전신 염증질환), 신장질환, 이 약에 과민증 환자, 만 12개월 미만의 젖먹이, 신장결석, 심한 증상의 신부전 환자는 이 약을 복용하지 마십시오. 이 약을 복용하기 전에 임부 및 임신하고 있을 가능성이 있는 여성, 수유부, 미숙아, 유아, 심장·순환기계기능 장애, 신장장애, 저단백혈증, 강심배당체를 투여 중인 환자, 신장결석 경험자, 폴산이 부족한 환자는 의사 또는 약사와 상의하십시오. 1개월 정도 복용하여도 증상의 개선이 없을 경우 복용을 즉각 중지하고 의사 또는 약사와 상의하십시오.</x:v>
      </x:c>
      <x:c r="I1898" s="8" t="str">
        <x:v>고칼슘혈증(혈액중에 칼슘이 과잉으로 존재하는 상태), 유육종증(원인을 알 수 없는 전신 염증질환), 신장질환, 이 약에 과민증 환자, 만 12개월 미만의 젖먹이, 신장결석, 심한 증상의 신부전 환자는 이 약을 복용하지 마십시오. 이 약을 복용하기 전에 임부 및 임신하고 있을 가능성이 있는 여성, 수유부, 미숙아, 유아, 심장·순환기계기능 장애, 신장장애, 저단백혈증, 강심배당체를 투여 중인 환자, 신장결석 경험자, 폴산이 부족한 환자는 의사 또는 약사와 상의하십시오. 1개월 정도 복용하여도 증상의 개선이 없을 경우 복용을 즉각 중지하고 의사 또는 약사와 상의하십시오.</x:v>
      </x:c>
      <x:c r="J1898" s="8" t="str">
        <x:v>보니카디정 [품목기준코드 202500982]</x:v>
      </x:c>
      <x:c r="K1898" s="8" t="str">
        <x:v>식품의약품안전처 의약품개요정보(e약은요) OpenAPI
https://apis.data.go.kr/1471000/DrbEasyDrugInfoService/getDrbEasyDrugList</x:v>
      </x:c>
    </x:row>
    <x:row r="1899" ht="62" customHeight="1">
      <x:c r="A1899" s="9" t="n">
        <x:v>1898</x:v>
      </x:c>
      <x:c r="B1899" s="6" t="str">
        <x:v>최종 평가</x:v>
      </x:c>
      <x:c r="C1899" s="6" t="str">
        <x:v>복약</x:v>
      </x:c>
      <x:c r="D1899" s="6" t="str">
        <x:v>상호작용</x:v>
      </x:c>
      <x:c r="E1899" s="6" t="str">
        <x:v>답변 가능</x:v>
      </x:c>
      <x:c r="F1899" s="6" t="str">
        <x:v>쉬움</x:v>
      </x:c>
      <x:c r="G1899" s="8" t="str">
        <x:v>킥노즈에스연질캡슐과 함께 사용하거나 먹을 때 주의해야 할 약이나 음식이 있나요?</x:v>
      </x:c>
      <x:c r="H1899" s="8" t="str">
        <x:v>진해(기침을 그치게 함)거담제(가래약), 다른 감기약, 해열진통제, 진정제, 항히스타민제를 함유하는 내복약(비염(코염)용 경구제, 멀미약, 알레르기용약)와 함께 복용하지 마십시오. 당뇨약, 통풍약, 관절염약, 항응고제, 스테로이드제, 바르비탈계 약물, 삼환계 항우울제, 알코올과 함께 복용 시 의사 또는 약사와 상의하십시오. 복용 중에는 음주하지 마십시오.</x:v>
      </x:c>
      <x:c r="I1899" s="8" t="str">
        <x:v>진해(기침을 그치게 함)거담제(가래약), 다른 감기약, 해열진통제, 진정제, 항히스타민제를 함유하는 내복약(비염(코염)용 경구제, 멀미약, 알레르기용약)와 함께 복용하지 마십시오. 당뇨약, 통풍약, 관절염약, 항응고제, 스테로이드제, 바르비탈계 약물, 삼환계 항우울제, 알코올과 함께 복용 시 의사 또는 약사와 상의하십시오. 복용 중에는 음주하지 마십시오.</x:v>
      </x:c>
      <x:c r="J1899" s="8" t="str">
        <x:v>킥노즈에스연질캡슐 [품목기준코드 202203931]</x:v>
      </x:c>
      <x:c r="K1899" s="8" t="str">
        <x:v>식품의약품안전처 의약품개요정보(e약은요) OpenAPI
https://apis.data.go.kr/1471000/DrbEasyDrugInfoService/getDrbEasyDrugList</x:v>
      </x:c>
    </x:row>
    <x:row r="1900" ht="62" customHeight="1">
      <x:c r="A1900" s="9" t="n">
        <x:v>1899</x:v>
      </x:c>
      <x:c r="B1900" s="6" t="str">
        <x:v>최종 평가</x:v>
      </x:c>
      <x:c r="C1900" s="6" t="str">
        <x:v>복약</x:v>
      </x:c>
      <x:c r="D1900" s="6" t="str">
        <x:v>용어·정의</x:v>
      </x:c>
      <x:c r="E1900" s="6" t="str">
        <x:v>답변 가능</x:v>
      </x:c>
      <x:c r="F1900" s="6" t="str">
        <x:v>쉬움</x:v>
      </x:c>
      <x:c r="G1900" s="8" t="str">
        <x:v>엠코발캡슐(메코발라민)은 어떤 약인가요?</x:v>
      </x:c>
      <x:c r="H1900" s="8" t="str">
        <x:v>엠코발캡슐(메코발라민)은 동화약품(주)의 의약품으로, e약은요에는 다음과 같이 안내되어 있습니다. 이 약은 말초성 신경장애에 사용합니다.</x:v>
      </x:c>
      <x:c r="I1900" s="8" t="str">
        <x:v>제품명: 엠코발캡슐(메코발라민) 업체명: 동화약품(주) 효능: 이 약은 말초성 신경장애에 사용합니다.</x:v>
      </x:c>
      <x:c r="J1900" s="8" t="str">
        <x:v>엠코발캡슐(메코발라민) [품목기준코드 198300374]</x:v>
      </x:c>
      <x:c r="K1900" s="8" t="str">
        <x:v>식품의약품안전처 의약품개요정보(e약은요) OpenAPI
https://apis.data.go.kr/1471000/DrbEasyDrugInfoService/getDrbEasyDrugList</x:v>
      </x:c>
    </x:row>
    <x:row r="1901" ht="62" customHeight="1">
      <x:c r="A1901" s="9" t="n">
        <x:v>1900</x:v>
      </x:c>
      <x:c r="B1901" s="6" t="str">
        <x:v>최종 평가</x:v>
      </x:c>
      <x:c r="C1901" s="6" t="str">
        <x:v>복약</x:v>
      </x:c>
      <x:c r="D1901" s="6" t="str">
        <x:v>원인·위험요인</x:v>
      </x:c>
      <x:c r="E1901" s="6" t="str">
        <x:v>답변 가능</x:v>
      </x:c>
      <x:c r="F1901" s="6" t="str">
        <x:v>보통</x:v>
      </x:c>
      <x:c r="G1901" s="8" t="str">
        <x:v>아카펜에스정을 사용하기 전에 특히 조심해야 하는 사람은 누구인가요?</x:v>
      </x:c>
      <x:c r="H1901" s="8" t="str">
        <x:v>이 제품을 사용하기 전에 특히 확인해야 할 대상과 상황은 다음과 같습니다. 이 약에 과민증 환자 또는 경험자, 다른 해열진통제, 감기약 복용 시 천식 경험자, 만 3개월 미만의 영아 및 만 2세 미만의 소아, MAO 억제제(항우울제, 항정신병제, 감정조절제, 항파킨슨제 등)를 복용하고 있거나 복용을 중단한 후 2주 이내의 사람, 갈락토오스 불내성, Lapp 유당분해효소결핍증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고령자(노인),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5~6회 정도 복용하여도 증상의 개선이 없을 경우 복용을 즉각 중지하고 의사 또는 약사와 상의하십시오.</x:v>
      </x:c>
      <x:c r="I1901" s="8" t="str">
        <x:v>이 약에 과민증 환자 또는 경험자, 다른 해열진통제, 감기약 복용 시 천식 경험자, 만 3개월 미만의 영아 및 만 2세 미만의 소아, MAO 억제제(항우울제, 항정신병제, 감정조절제, 항파킨슨제 등)를 복용하고 있거나 복용을 중단한 후 2주 이내의 사람, 갈락토오스 불내성, Lapp 유당분해효소결핍증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고령자(노인),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5~6회 정도 복용하여도 증상의 개선이 없을 경우 복용을 즉각 중지하고 의사 또는 약사와 상의하십시오.</x:v>
      </x:c>
      <x:c r="J1901" s="8" t="str">
        <x:v>아카펜에스정 [품목기준코드 201302260]</x:v>
      </x:c>
      <x:c r="K1901" s="8" t="str">
        <x:v>식품의약품안전처 의약품개요정보(e약은요) OpenAPI
https://apis.data.go.kr/1471000/DrbEasyDrugInfoService/getDrbEasyDrugList</x:v>
      </x:c>
    </x:row>
    <x:row r="1902" ht="62" customHeight="1">
      <x:c r="A1902" s="9" t="n">
        <x:v>1901</x:v>
      </x:c>
      <x:c r="B1902" s="6" t="str">
        <x:v>최종 평가</x:v>
      </x:c>
      <x:c r="C1902" s="6" t="str">
        <x:v>복약</x:v>
      </x:c>
      <x:c r="D1902" s="6" t="str">
        <x:v>증상·이상반응</x:v>
      </x:c>
      <x:c r="E1902" s="6" t="str">
        <x:v>답변 가능</x:v>
      </x:c>
      <x:c r="F1902" s="6" t="str">
        <x:v>쉬움</x:v>
      </x:c>
      <x:c r="G1902" s="8" t="str">
        <x:v>비타마스정을 사용하면 어떤 부작용이 생길 수 있나요?</x:v>
      </x:c>
      <x:c r="H1902" s="8" t="str">
        <x:v>e약은요에는 다음과 같은 이상반응이 안내되어 있습니다. 구역, 구토, 설사, 위부불쾌감, 변비, 발진, 발적(충혈되어 붉어짐), 묽은 변, 위장관장애, 소화장애, 상복부(배부분)통증, 저혈압, 폐부종(부기), 생리가 예정보다 빨라지거나 양이 점점 많아지거나, 출혈이 오래 지속되는 증상 등이 나타나는 경우 복용을 즉각 중지하고 의사 또는 약사와 상의하십시오.</x:v>
      </x:c>
      <x:c r="I1902" s="8" t="str">
        <x:v>구역, 구토, 설사, 위부불쾌감, 변비, 발진, 발적(충혈되어 붉어짐), 묽은 변, 위장관장애, 소화장애, 상복부(배부분)통증, 저혈압, 폐부종(부기), 생리가 예정보다 빨라지거나 양이 점점 많아지거나, 출혈이 오래 지속되는 증상 등이 나타나는 경우 복용을 즉각 중지하고 의사 또는 약사와 상의하십시오.</x:v>
      </x:c>
      <x:c r="J1902" s="8" t="str">
        <x:v>비타마스정 [품목기준코드 201904604]</x:v>
      </x:c>
      <x:c r="K1902" s="8" t="str">
        <x:v>식품의약품안전처 의약품개요정보(e약은요) OpenAPI
https://apis.data.go.kr/1471000/DrbEasyDrugInfoService/getDrbEasyDrugList</x:v>
      </x:c>
    </x:row>
    <x:row r="1903" ht="62" customHeight="1">
      <x:c r="A1903" s="9" t="n">
        <x:v>1902</x:v>
      </x:c>
      <x:c r="B1903" s="6" t="str">
        <x:v>최종 평가</x:v>
      </x:c>
      <x:c r="C1903" s="6" t="str">
        <x:v>복약</x:v>
      </x:c>
      <x:c r="D1903" s="6" t="str">
        <x:v>대상별 정보</x:v>
      </x:c>
      <x:c r="E1903" s="6" t="str">
        <x:v>답변 가능</x:v>
      </x:c>
      <x:c r="F1903" s="6" t="str">
        <x:v>쉬움</x:v>
      </x:c>
      <x:c r="G1903" s="8" t="str">
        <x:v>임신 또는 수유 중에 엠지엠피스정을 사용해도 되나요?</x:v>
      </x:c>
      <x:c r="H1903" s="8" t="str">
        <x:v>e약은요에서 임신 또는 수유 중인 사람과 관련해 안내한 내용은 다음과 같습니다. 이 약을 복용하기 전에 수두 또는 인플루엔자에 감염되어 있거나 또는 의심되는 영아 및 만 15세 미만의 어린이, 2세 미만의 소아, 알레르기 체질, 알레르기 반응(발열, 발진, 관절통, 천식, 가려움증 등) 경험자, 간장질환, 신장질환, 심장질환, 갑상선질환, 당뇨병, 고혈압, 몸이 약한 사람 또는 고열이 있는 사람, 고령자, 임부 또는 임신하고 있을 가능성이 있는 여성 및 수유부, 속쓰림, 위부불쾌감, 위통과 같은 위장문제가 지속 혹은 재발되거나 궤양, 출혈문제, 황색4호에 과민증 또는 알레르기 경험자는 의사 또는 약사와 상의하십시오.</x:v>
      </x:c>
      <x:c r="I1903" s="8" t="str">
        <x:v>이 약을 복용하기 전에 수두 또는 인플루엔자에 감염되어 있거나 또는 의심되는 영아 및 만 15세 미만의 어린이, 2세 미만의 소아, 알레르기 체질, 알레르기 반응(발열, 발진, 관절통, 천식, 가려움증 등) 경험자, 간장질환, 신장질환, 심장질환, 갑상선질환, 당뇨병, 고혈압, 몸이 약한 사람 또는 고열이 있는 사람, 고령자, 임부 또는 임신하고 있을 가능성이 있는 여성 및 수유부, 속쓰림, 위부불쾌감, 위통과 같은 위장문제가 지속 혹은 재발되거나 궤양, 출혈문제, 황색4호에 과민증 또는 알레르기 경험자는 의사 또는 약사와 상의하십시오.</x:v>
      </x:c>
      <x:c r="J1903" s="8" t="str">
        <x:v>엠지엠피스정 [품목기준코드 202400402]</x:v>
      </x:c>
      <x:c r="K1903" s="8" t="str">
        <x:v>식품의약품안전처 의약품개요정보(e약은요) OpenAPI
https://apis.data.go.kr/1471000/DrbEasyDrugInfoService/getDrbEasyDrugList</x:v>
      </x:c>
    </x:row>
    <x:row r="1904" ht="62" customHeight="1">
      <x:c r="A1904" s="9" t="n">
        <x:v>1903</x:v>
      </x:c>
      <x:c r="B1904" s="6" t="str">
        <x:v>최종 평가</x:v>
      </x:c>
      <x:c r="C1904" s="6" t="str">
        <x:v>복약</x:v>
      </x:c>
      <x:c r="D1904" s="6" t="str">
        <x:v>금기·경고</x:v>
      </x:c>
      <x:c r="E1904" s="6" t="str">
        <x:v>답변 가능</x:v>
      </x:c>
      <x:c r="F1904" s="6" t="str">
        <x:v>쉬움</x:v>
      </x:c>
      <x:c r="G1904" s="8" t="str">
        <x:v>제놀파워풀플라스타(플루르비프로펜)을 사용하면 안 되거나 반드시 확인해야 할 경고사항은 무엇인가요?</x:v>
      </x:c>
      <x:c r="H1904" s="8" t="str">
        <x:v>이 약에 과민증 환자, 아스피린 천식(비스테로이드소염진통제 등에 의한 천식발작의 유발)환자 또는 경험자는 이 약을 사용하지 마십시오. 손상된 피부와 점막, 습진 또는 발진 부위에는 사용하지 마십시오.</x:v>
      </x:c>
      <x:c r="I1904" s="8" t="str">
        <x:v>이 약에 과민증 환자, 아스피린 천식(비스테로이드소염진통제 등에 의한 천식발작의 유발)환자 또는 경험자는 이 약을 사용하지 마십시오. 손상된 피부와 점막, 습진 또는 발진 부위에는 사용하지 마십시오.</x:v>
      </x:c>
      <x:c r="J1904" s="8" t="str">
        <x:v>제놀파워풀플라스타(플루르비프로펜) [품목기준코드 201900024]</x:v>
      </x:c>
      <x:c r="K1904" s="8" t="str">
        <x:v>식품의약품안전처 의약품개요정보(e약은요) OpenAPI
https://apis.data.go.kr/1471000/DrbEasyDrugInfoService/getDrbEasyDrugList</x:v>
      </x:c>
    </x:row>
    <x:row r="1905" ht="62" customHeight="1">
      <x:c r="A1905" s="9" t="n">
        <x:v>1904</x:v>
      </x:c>
      <x:c r="B1905" s="6" t="str">
        <x:v>최종 평가</x:v>
      </x:c>
      <x:c r="C1905" s="6" t="str">
        <x:v>복약</x:v>
      </x:c>
      <x:c r="D1905" s="6" t="str">
        <x:v>증상·이상반응</x:v>
      </x:c>
      <x:c r="E1905" s="6" t="str">
        <x:v>답변 가능</x:v>
      </x:c>
      <x:c r="F1905" s="6" t="str">
        <x:v>쉬움</x:v>
      </x:c>
      <x:c r="G1905" s="8" t="str">
        <x:v>셀레트론플러스연질캡슐을 사용하면 어떤 부작용이 생길 수 있나요?</x:v>
      </x:c>
      <x:c r="H1905" s="8" t="str">
        <x:v>e약은요에는 다음과 같은 이상반응이 안내되어 있습니다. 구역, 구토, 가려움증, 건조하고 거친피부, 통증성 관절 부종, 위부불쾌감, 설사, 변비, 발진, 발적, 묽은 변, 피부염, 땀ㆍ호흡시 악취, 탈모, 조급증, 생리가 예정보다 빨라지거나 양이 점점 많아지고, 출혈이 오래 지속되는 경우 복용을 즉각 중지하고 의사 또는 약사와 상의하십시오.</x:v>
      </x:c>
      <x:c r="I1905" s="8" t="str">
        <x:v>구역, 구토, 가려움증, 건조하고 거친피부, 통증성 관절 부종, 위부불쾌감, 설사, 변비, 발진, 발적, 묽은 변, 피부염, 땀ㆍ호흡시 악취, 탈모, 조급증, 생리가 예정보다 빨라지거나 양이 점점 많아지고, 출혈이 오래 지속되는 경우 복용을 즉각 중지하고 의사 또는 약사와 상의하십시오.</x:v>
      </x:c>
      <x:c r="J1905" s="8" t="str">
        <x:v>셀레트론플러스연질캡슐 [품목기준코드 200908953]</x:v>
      </x:c>
      <x:c r="K1905" s="8" t="str">
        <x:v>식품의약품안전처 의약품개요정보(e약은요) OpenAPI
https://apis.data.go.kr/1471000/DrbEasyDrugInfoService/getDrbEasyDrugList</x:v>
      </x:c>
    </x:row>
    <x:row r="1906" ht="62" customHeight="1">
      <x:c r="A1906" s="9" t="n">
        <x:v>1905</x:v>
      </x:c>
      <x:c r="B1906" s="6" t="str">
        <x:v>최종 평가</x:v>
      </x:c>
      <x:c r="C1906" s="6" t="str">
        <x:v>복약</x:v>
      </x:c>
      <x:c r="D1906" s="6" t="str">
        <x:v>효능·사용목적</x:v>
      </x:c>
      <x:c r="E1906" s="6" t="str">
        <x:v>답변 가능</x:v>
      </x:c>
      <x:c r="F1906" s="6" t="str">
        <x:v>쉬움</x:v>
      </x:c>
      <x:c r="G1906" s="8" t="str">
        <x:v>삼천당산화마그네슘정250밀리그람은 어떤 증상이나 질환에 사용하는 약인가요?</x:v>
      </x:c>
      <x:c r="H1906" s="8" t="str">
        <x:v>이 약은 위.십이지장궤양, 위염, 위산과다의 제산작용 및 증상의 개선, 변비증에 사용합니다.</x:v>
      </x:c>
      <x:c r="I1906" s="8" t="str">
        <x:v>이 약은 위.십이지장궤양, 위염, 위산과다의 제산작용 및 증상의 개선, 변비증에 사용합니다.</x:v>
      </x:c>
      <x:c r="J1906" s="8" t="str">
        <x:v>삼천당산화마그네슘정250밀리그람 [품목기준코드 198700641]</x:v>
      </x:c>
      <x:c r="K1906" s="8" t="str">
        <x:v>식품의약품안전처 의약품개요정보(e약은요) OpenAPI
https://apis.data.go.kr/1471000/DrbEasyDrugInfoService/getDrbEasyDrugList</x:v>
      </x:c>
    </x:row>
    <x:row r="1907" ht="62" customHeight="1">
      <x:c r="A1907" s="9" t="n">
        <x:v>1906</x:v>
      </x:c>
      <x:c r="B1907" s="6" t="str">
        <x:v>최종 평가</x:v>
      </x:c>
      <x:c r="C1907" s="6" t="str">
        <x:v>복약</x:v>
      </x:c>
      <x:c r="D1907" s="6" t="str">
        <x:v>용법·용량</x:v>
      </x:c>
      <x:c r="E1907" s="6" t="str">
        <x:v>답변 가능</x:v>
      </x:c>
      <x:c r="F1907" s="6" t="str">
        <x:v>쉬움</x:v>
      </x:c>
      <x:c r="G1907" s="8" t="str">
        <x:v>디카본500정은 어떻게 사용하나요?</x:v>
      </x:c>
      <x:c r="H1907" s="8" t="str">
        <x:v>만 8세 이상 및 성인은 1회 1정씩, 1일 1회 복용합니다.</x:v>
      </x:c>
      <x:c r="I1907" s="8" t="str">
        <x:v>만 8세 이상 및 성인은 1회 1정씩, 1일 1회 복용합니다.</x:v>
      </x:c>
      <x:c r="J1907" s="8" t="str">
        <x:v>디카본500정 [품목기준코드 201703066]</x:v>
      </x:c>
      <x:c r="K1907" s="8" t="str">
        <x:v>식품의약품안전처 의약품개요정보(e약은요) OpenAPI
https://apis.data.go.kr/1471000/DrbEasyDrugInfoService/getDrbEasyDrugList</x:v>
      </x:c>
    </x:row>
    <x:row r="1908" ht="62" customHeight="1">
      <x:c r="A1908" s="9" t="n">
        <x:v>1907</x:v>
      </x:c>
      <x:c r="B1908" s="6" t="str">
        <x:v>최종 평가</x:v>
      </x:c>
      <x:c r="C1908" s="6" t="str">
        <x:v>복약</x:v>
      </x:c>
      <x:c r="D1908" s="6" t="str">
        <x:v>용어·정의</x:v>
      </x:c>
      <x:c r="E1908" s="6" t="str">
        <x:v>답변 가능</x:v>
      </x:c>
      <x:c r="F1908" s="6" t="str">
        <x:v>쉬움</x:v>
      </x:c>
      <x:c r="G1908" s="8" t="str">
        <x:v>베노쿨에스액은 어떤 약인가요?</x:v>
      </x:c>
      <x:c r="H1908" s="8" t="str">
        <x:v>베노쿨에스액은 (주)유유제약의 의약품으로, e약은요에는 다음과 같이 안내되어 있습니다. 이 약은 습진, 피부염, 땀띠, 옻 등에 의한 피부염, 가려움, 벌레물린데, 두드러기에 사용합니다.</x:v>
      </x:c>
      <x:c r="I1908" s="8" t="str">
        <x:v>제품명: 베노쿨에스액 업체명: (주)유유제약 효능: 이 약은 습진, 피부염, 땀띠, 옻 등에 의한 피부염, 가려움, 벌레물린데, 두드러기에 사용합니다.</x:v>
      </x:c>
      <x:c r="J1908" s="8" t="str">
        <x:v>베노쿨에스액 [품목기준코드 201700225]</x:v>
      </x:c>
      <x:c r="K1908" s="8" t="str">
        <x:v>식품의약품안전처 의약품개요정보(e약은요) OpenAPI
https://apis.data.go.kr/1471000/DrbEasyDrugInfoService/getDrbEasyDrugList</x:v>
      </x:c>
    </x:row>
    <x:row r="1909" ht="62" customHeight="1">
      <x:c r="A1909" s="9" t="n">
        <x:v>1908</x:v>
      </x:c>
      <x:c r="B1909" s="6" t="str">
        <x:v>최종 평가</x:v>
      </x:c>
      <x:c r="C1909" s="6" t="str">
        <x:v>복약</x:v>
      </x:c>
      <x:c r="D1909" s="6" t="str">
        <x:v>상호작용</x:v>
      </x:c>
      <x:c r="E1909" s="6" t="str">
        <x:v>답변 가능</x:v>
      </x:c>
      <x:c r="F1909" s="6" t="str">
        <x:v>쉬움</x:v>
      </x:c>
      <x:c r="G1909" s="8" t="str">
        <x:v>로이솔정(암브록솔염산염)과 함께 사용하거나 먹을 때 주의해야 할 약이나 음식이 있나요?</x:v>
      </x:c>
      <x:c r="H1909" s="8" t="str">
        <x:v>에리트로마이신, 세팔렉신, 옥시테트라사이클린, 아목시실린, 세퓨록심, 독시사이클린 등의 항생제와 함께 복용 시 의사 또는 약사와 상의하십시오.</x:v>
      </x:c>
      <x:c r="I1909" s="8" t="str">
        <x:v>에리트로마이신, 세팔렉신, 옥시테트라사이클린, 아목시실린, 세퓨록심, 독시사이클린 등의 항생제와 함께 복용 시 의사 또는 약사와 상의하십시오.</x:v>
      </x:c>
      <x:c r="J1909" s="8" t="str">
        <x:v>로이솔정(암브록솔염산염) [품목기준코드 199400028]</x:v>
      </x:c>
      <x:c r="K1909" s="8" t="str">
        <x:v>식품의약품안전처 의약품개요정보(e약은요) OpenAPI
https://apis.data.go.kr/1471000/DrbEasyDrugInfoService/getDrbEasyDrugList</x:v>
      </x:c>
    </x:row>
    <x:row r="1910" ht="62" customHeight="1">
      <x:c r="A1910" s="9" t="n">
        <x:v>1909</x:v>
      </x:c>
      <x:c r="B1910" s="6" t="str">
        <x:v>최종 평가</x:v>
      </x:c>
      <x:c r="C1910" s="6" t="str">
        <x:v>복약</x:v>
      </x:c>
      <x:c r="D1910" s="6" t="str">
        <x:v>보관·관리</x:v>
      </x:c>
      <x:c r="E1910" s="6" t="str">
        <x:v>답변 가능</x:v>
      </x:c>
      <x:c r="F1910" s="6" t="str">
        <x:v>쉬움</x:v>
      </x:c>
      <x:c r="G1910" s="8" t="str">
        <x:v>마그포스액티브연질캡슐은 어떻게 보관해야 하나요?</x:v>
      </x:c>
      <x:c r="H1910" s="8" t="str">
        <x:v>습기와 빛을 피해 실온에서 보관하십시오.어린이의 손이 닿지 않는 곳에 보관하십시오.</x:v>
      </x:c>
      <x:c r="I1910" s="8" t="str">
        <x:v>습기와 빛을 피해 실온에서 보관하십시오.어린이의 손이 닿지 않는 곳에 보관하십시오.</x:v>
      </x:c>
      <x:c r="J1910" s="8" t="str">
        <x:v>마그포스액티브연질캡슐 [품목기준코드 201802334]</x:v>
      </x:c>
      <x:c r="K1910" s="8" t="str">
        <x:v>식품의약품안전처 의약품개요정보(e약은요) OpenAPI
https://apis.data.go.kr/1471000/DrbEasyDrugInfoService/getDrbEasyDrugList</x:v>
      </x:c>
    </x:row>
    <x:row r="1911" ht="62" customHeight="1">
      <x:c r="A1911" s="9" t="n">
        <x:v>1910</x:v>
      </x:c>
      <x:c r="B1911" s="6" t="str">
        <x:v>최종 평가</x:v>
      </x:c>
      <x:c r="C1911" s="6" t="str">
        <x:v>복약</x:v>
      </x:c>
      <x:c r="D1911" s="6" t="str">
        <x:v>보관·관리</x:v>
      </x:c>
      <x:c r="E1911" s="6" t="str">
        <x:v>답변 가능</x:v>
      </x:c>
      <x:c r="F1911" s="6" t="str">
        <x:v>쉬움</x:v>
      </x:c>
      <x:c r="G1911" s="8" t="str">
        <x:v>도담도담츄어블정은 어떻게 보관해야 하나요?</x:v>
      </x:c>
      <x:c r="H1911" s="8" t="str">
        <x:v>습기와 빛을 피해 실온에서 보관하십시오. 어린이의 손이 닿지 않는 곳에 보관하십시오.</x:v>
      </x:c>
      <x:c r="I1911" s="8" t="str">
        <x:v>습기와 빛을 피해 실온에서 보관하십시오. 어린이의 손이 닿지 않는 곳에 보관하십시오.</x:v>
      </x:c>
      <x:c r="J1911" s="8" t="str">
        <x:v>도담도담츄어블정 [품목기준코드 201208419]</x:v>
      </x:c>
      <x:c r="K1911" s="8" t="str">
        <x:v>식품의약품안전처 의약품개요정보(e약은요) OpenAPI
https://apis.data.go.kr/1471000/DrbEasyDrugInfoService/getDrbEasyDrugList</x:v>
      </x:c>
    </x:row>
    <x:row r="1912" ht="62" customHeight="1">
      <x:c r="A1912" s="9" t="n">
        <x:v>1911</x:v>
      </x:c>
      <x:c r="B1912" s="6" t="str">
        <x:v>최종 평가</x:v>
      </x:c>
      <x:c r="C1912" s="6" t="str">
        <x:v>복약</x:v>
      </x:c>
      <x:c r="D1912" s="6" t="str">
        <x:v>증상·이상반응</x:v>
      </x:c>
      <x:c r="E1912" s="6" t="str">
        <x:v>답변 가능</x:v>
      </x:c>
      <x:c r="F1912" s="6" t="str">
        <x:v>보통</x:v>
      </x:c>
      <x:c r="G1912" s="8" t="str">
        <x:v>옵티노즈연질캡슐을 사용하면 어떤 부작용이 생길 수 있나요?</x:v>
      </x:c>
      <x:c r="H1912" s="8" t="str">
        <x:v>e약은요에는 다음과 같은 이상반응이 안내되어 있습니다. 발진, 발적, 가려움, 구역, 구토, 식욕부진, 변비, 부종,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뇌전증성폐렴(기침을 동반하고, 숨이 차고, 호흡곤란, 발열) 등이 나타나는 경우 복용을 즉각 중지하고 의사 또는 약사와 상의하십시오.,</x:v>
      </x:c>
      <x:c r="I1912" s="8" t="str">
        <x:v>발진, 발적, 가려움, 구역, 구토, 식욕부진, 변비, 부종,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뇌전증성폐렴(기침을 동반하고, 숨이 차고, 호흡곤란, 발열) 등이 나타나는 경우 복용을 즉각 중지하고 의사 또는 약사와 상의하십시오.,</x:v>
      </x:c>
      <x:c r="J1912" s="8" t="str">
        <x:v>옵티노즈연질캡슐 [품목기준코드 201902006]</x:v>
      </x:c>
      <x:c r="K1912" s="8" t="str">
        <x:v>식품의약품안전처 의약품개요정보(e약은요) OpenAPI
https://apis.data.go.kr/1471000/DrbEasyDrugInfoService/getDrbEasyDrugList</x:v>
      </x:c>
    </x:row>
    <x:row r="1913" ht="62" customHeight="1">
      <x:c r="A1913" s="9" t="n">
        <x:v>1912</x:v>
      </x:c>
      <x:c r="B1913" s="6" t="str">
        <x:v>최종 평가</x:v>
      </x:c>
      <x:c r="C1913" s="6" t="str">
        <x:v>복약</x:v>
      </x:c>
      <x:c r="D1913" s="6" t="str">
        <x:v>원인·위험요인</x:v>
      </x:c>
      <x:c r="E1913" s="6" t="str">
        <x:v>답변 가능</x:v>
      </x:c>
      <x:c r="F1913" s="6" t="str">
        <x:v>쉬움</x:v>
      </x:c>
      <x:c r="G1913" s="8" t="str">
        <x:v>베아비오캡슐(바실루스리케니포르미스균)을 사용하기 전에 특히 조심해야 하는 사람은 누구인가요?</x:v>
      </x:c>
      <x:c r="H1913" s="8" t="str">
        <x:v>이 제품을 사용하기 전에 특히 확인해야 할 대상과 상황은 다음과 같습니다. 갈락토오스 불내성, Lapp 유당분해효소 결핍증 또는 포도당-갈락토오스 흡수장애 등의 유전적인 문제가 있는 환자는 이 약을 복용하지 마십시오.이 약을 복용하기 전에 3개월 미만의 영아는 의사 또는 약사와 상의하십시오.정해진 용법과 용량을 잘 지키십시오.</x:v>
      </x:c>
      <x:c r="I1913" s="8" t="str">
        <x:v>갈락토오스 불내성, Lapp 유당분해효소 결핍증 또는 포도당-갈락토오스 흡수장애 등의 유전적인 문제가 있는 환자는 이 약을 복용하지 마십시오.이 약을 복용하기 전에 3개월 미만의 영아는 의사 또는 약사와 상의하십시오.정해진 용법과 용량을 잘 지키십시오.</x:v>
      </x:c>
      <x:c r="J1913" s="8" t="str">
        <x:v>베아비오캡슐(바실루스리케니포르미스균) [품목기준코드 200809924]</x:v>
      </x:c>
      <x:c r="K1913" s="8" t="str">
        <x:v>식품의약품안전처 의약품개요정보(e약은요) OpenAPI
https://apis.data.go.kr/1471000/DrbEasyDrugInfoService/getDrbEasyDrugList</x:v>
      </x:c>
    </x:row>
    <x:row r="1914" ht="62" customHeight="1">
      <x:c r="A1914" s="9" t="n">
        <x:v>1913</x:v>
      </x:c>
      <x:c r="B1914" s="6" t="str">
        <x:v>최종 평가</x:v>
      </x:c>
      <x:c r="C1914" s="6" t="str">
        <x:v>복약</x:v>
      </x:c>
      <x:c r="D1914" s="6" t="str">
        <x:v>상호작용</x:v>
      </x:c>
      <x:c r="E1914" s="6" t="str">
        <x:v>답변 가능</x:v>
      </x:c>
      <x:c r="F1914" s="6" t="str">
        <x:v>쉬움</x:v>
      </x:c>
      <x:c r="G1914" s="8" t="str">
        <x:v>헤모큐플러스캡슐과 함께 사용하거나 먹을 때 주의해야 할 약이나 음식이 있나요?</x:v>
      </x:c>
      <x:c r="H1914" s="8" t="str">
        <x:v>인산염, 칼슘염, 경구용 테트라사이클린계 항생제, 제산제와 함께 복용하지 마십시오.항알도스테론제, 트리암테렌, 200 ㎎ 이상의 아스코르빈산(비타민 C)과 함께 복용 시 의사 또는 약사와 상의하십시오.녹차, 홍차 등 탄닌을 함유하는 차 및 우유ㆍ유제품은 복용 중, 복용 전후에는 피하십시오.</x:v>
      </x:c>
      <x:c r="I1914" s="8" t="str">
        <x:v>인산염, 칼슘염, 경구용 테트라사이클린계 항생제, 제산제와 함께 복용하지 마십시오.항알도스테론제, 트리암테렌, 200 ㎎ 이상의 아스코르빈산(비타민 C)과 함께 복용 시 의사 또는 약사와 상의하십시오.녹차, 홍차 등 탄닌을 함유하는 차 및 우유ㆍ유제품은 복용 중, 복용 전후에는 피하십시오.</x:v>
      </x:c>
      <x:c r="J1914" s="8" t="str">
        <x:v>헤모큐플러스캡슐 [품목기준코드 200704813]</x:v>
      </x:c>
      <x:c r="K1914" s="8" t="str">
        <x:v>식품의약품안전처 의약품개요정보(e약은요) OpenAPI
https://apis.data.go.kr/1471000/DrbEasyDrugInfoService/getDrbEasyDrugList</x:v>
      </x:c>
    </x:row>
    <x:row r="1915" ht="62" customHeight="1">
      <x:c r="A1915" s="9" t="n">
        <x:v>1914</x:v>
      </x:c>
      <x:c r="B1915" s="6" t="str">
        <x:v>최종 평가</x:v>
      </x:c>
      <x:c r="C1915" s="6" t="str">
        <x:v>복약</x:v>
      </x:c>
      <x:c r="D1915" s="6" t="str">
        <x:v>증상→대상 구분</x:v>
      </x:c>
      <x:c r="E1915" s="6" t="str">
        <x:v>답변 가능</x:v>
      </x:c>
      <x:c r="F1915" s="6" t="str">
        <x:v>어려움</x:v>
      </x:c>
      <x:c r="G1915" s="8" t="str">
        <x:v>속콜시럽을 사용한 뒤 발진이 생겼는데, 이 약의 부작용으로 안내되어 있나요?</x:v>
      </x:c>
      <x:c r="H1915" s="8" t="str">
        <x:v>발진은 이 제품의 e약은요 부작용 항목에 기재되어 있습니다. 다만 이 정보만으로 현재 증상의 원인이 해당 약이라고 확정할 수는 없습니다.</x:v>
      </x:c>
      <x:c r="I1915" s="8" t="str">
        <x:v>발진·발적(충혈되어 붉어짐), 가려움, 구역·구토, 식욕부진, 변비, 부종(부기), 배뇨(소변을 눔)곤란, 목마름(지속적이거나 심한), 어지러움, 불안, 떨림, 불면, 쇽 증상(복용후 바로 두드러기, 부종,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황달(피부 또는 눈의 흰자위가 황색을 띄게 됨)등이 나타남), 간질성폐렴(기침을 동반하고, 숨이 차고, 호흡곤란, 발열 등이 나타남) 등이 나타나는 경우 복용을 즉각 중지하고 의사 또는 약사와 상의하십시오.</x:v>
      </x:c>
      <x:c r="J1915" s="8" t="str">
        <x:v>속콜시럽 [품목기준코드 202300978]</x:v>
      </x:c>
      <x:c r="K1915" s="8" t="str">
        <x:v>식품의약품안전처 의약품개요정보(e약은요) OpenAPI
https://apis.data.go.kr/1471000/DrbEasyDrugInfoService/getDrbEasyDrugList</x:v>
      </x:c>
    </x:row>
    <x:row r="1916" ht="62" customHeight="1">
      <x:c r="A1916" s="9" t="n">
        <x:v>1915</x:v>
      </x:c>
      <x:c r="B1916" s="6" t="str">
        <x:v>최종 평가</x:v>
      </x:c>
      <x:c r="C1916" s="6" t="str">
        <x:v>복약</x:v>
      </x:c>
      <x:c r="D1916" s="6" t="str">
        <x:v>원인·위험요인</x:v>
      </x:c>
      <x:c r="E1916" s="6" t="str">
        <x:v>답변 가능</x:v>
      </x:c>
      <x:c r="F1916" s="6" t="str">
        <x:v>쉬움</x:v>
      </x:c>
      <x:c r="G1916" s="8" t="str">
        <x:v>바이오탑하이스트산을 사용하기 전에 특히 조심해야 하는 사람은 누구인가요?</x:v>
      </x:c>
      <x:c r="H1916" s="8" t="str">
        <x:v>이 제품을 사용하기 전에 특히 확인해야 할 대상과 상황은 다음과 같습니다. 갈락토오스 불내성, Lapp 유당분해효소 결핍증, 포도당-갈락토오스 흡수장애 등의 유전적인 문제가 있는 환자는 이 약을 복용하지 마십시오. 이 약을 복용하기 전에 만 3개월 미만의 젖먹이는 의사 또는 약사와 상의하십시오. 1개월 정도 복용하여도 증상의 개선이 없을 경우 이 약의 복용을 즉각 중지하고 의사 또는 약사와 상의하십시오. 어린이는 보호자의 지도 및 감독 하에 복용하십시오.</x:v>
      </x:c>
      <x:c r="I1916" s="8" t="str">
        <x:v>갈락토오스 불내성, Lapp 유당분해효소 결핍증, 포도당-갈락토오스 흡수장애 등의 유전적인 문제가 있는 환자는 이 약을 복용하지 마십시오. 이 약을 복용하기 전에 만 3개월 미만의 젖먹이는 의사 또는 약사와 상의하십시오. 1개월 정도 복용하여도 증상의 개선이 없을 경우 이 약의 복용을 즉각 중지하고 의사 또는 약사와 상의하십시오. 어린이는 보호자의 지도 및 감독 하에 복용하십시오.</x:v>
      </x:c>
      <x:c r="J1916" s="8" t="str">
        <x:v>바이오탑하이스트산 [품목기준코드 202204511]</x:v>
      </x:c>
      <x:c r="K1916" s="8" t="str">
        <x:v>식품의약품안전처 의약품개요정보(e약은요) OpenAPI
https://apis.data.go.kr/1471000/DrbEasyDrugInfoService/getDrbEasyDrugList</x:v>
      </x:c>
    </x:row>
    <x:row r="1917" ht="62" customHeight="1">
      <x:c r="A1917" s="9" t="n">
        <x:v>1916</x:v>
      </x:c>
      <x:c r="B1917" s="6" t="str">
        <x:v>최종 평가</x:v>
      </x:c>
      <x:c r="C1917" s="6" t="str">
        <x:v>복약</x:v>
      </x:c>
      <x:c r="D1917" s="6" t="str">
        <x:v>금기·경고</x:v>
      </x:c>
      <x:c r="E1917" s="6" t="str">
        <x:v>답변 가능</x:v>
      </x:c>
      <x:c r="F1917" s="6" t="str">
        <x:v>보통</x:v>
      </x:c>
      <x:c r="G1917" s="8" t="str">
        <x:v>아이플러스연질캡슐을 사용하면 안 되거나 반드시 확인해야 할 경고사항은 무엇인가요?</x:v>
      </x:c>
      <x:c r="H1917" s="8" t="str">
        <x:v>비타민 A를 1일 5,000 IU 이상 복용 시 선천성 기형을 일으킬 수 있습니다. 임신 3개월 이내 또는 임신하고 있을 가능성이 있는 여성은 복용하지 마십시오. 대두유·콩·땅콩 과민증 환자는 이 약을 복용하지 마십시오.</x:v>
      </x:c>
      <x:c r="I1917" s="8" t="str">
        <x:v>비타민 A를 1일 5,000 IU 이상 복용 시 선천성 기형을 일으킬 수 있습니다. 임신 3개월 이내 또는 임신하고 있을 가능성이 있는 여성은 복용하지 마십시오. 대두유·콩·땅콩 과민증 환자는 이 약을 복용하지 마십시오.</x:v>
      </x:c>
      <x:c r="J1917" s="8" t="str">
        <x:v>아이플러스연질캡슐 [품목기준코드 200709806]</x:v>
      </x:c>
      <x:c r="K1917" s="8" t="str">
        <x:v>식품의약품안전처 의약품개요정보(e약은요) OpenAPI
https://apis.data.go.kr/1471000/DrbEasyDrugInfoService/getDrbEasyDrugList</x:v>
      </x:c>
    </x:row>
    <x:row r="1918" ht="62" customHeight="1">
      <x:c r="A1918" s="9" t="n">
        <x:v>1917</x:v>
      </x:c>
      <x:c r="B1918" s="6" t="str">
        <x:v>최종 평가</x:v>
      </x:c>
      <x:c r="C1918" s="6" t="str">
        <x:v>복약</x:v>
      </x:c>
      <x:c r="D1918" s="6" t="str">
        <x:v>증상·이상반응</x:v>
      </x:c>
      <x:c r="E1918" s="6" t="str">
        <x:v>답변 가능</x:v>
      </x:c>
      <x:c r="F1918" s="6" t="str">
        <x:v>쉬움</x:v>
      </x:c>
      <x:c r="G1918" s="8" t="str">
        <x:v>헤파비트에프연질캡슐을 사용하면 어떤 부작용이 생길 수 있나요?</x:v>
      </x:c>
      <x:c r="H1918" s="8" t="str">
        <x:v>e약은요에는 다음과 같은 이상반응이 안내되어 있습니다. 설사 등이 나타나는 경우 복용을 즉각 중지하고 의사 또는 약사와 상의하십시오.</x:v>
      </x:c>
      <x:c r="I1918" s="8" t="str">
        <x:v>설사 등이 나타나는 경우 복용을 즉각 중지하고 의사 또는 약사와 상의하십시오.</x:v>
      </x:c>
      <x:c r="J1918" s="8" t="str">
        <x:v>헤파비트에프연질캡슐 [품목기준코드 200404781]</x:v>
      </x:c>
      <x:c r="K1918" s="8" t="str">
        <x:v>식품의약품안전처 의약품개요정보(e약은요) OpenAPI
https://apis.data.go.kr/1471000/DrbEasyDrugInfoService/getDrbEasyDrugList</x:v>
      </x:c>
    </x:row>
    <x:row r="1919" ht="62" customHeight="1">
      <x:c r="A1919" s="9" t="n">
        <x:v>1918</x:v>
      </x:c>
      <x:c r="B1919" s="6" t="str">
        <x:v>최종 평가</x:v>
      </x:c>
      <x:c r="C1919" s="6" t="str">
        <x:v>복약</x:v>
      </x:c>
      <x:c r="D1919" s="6" t="str">
        <x:v>실용·응급대처</x:v>
      </x:c>
      <x:c r="E1919" s="6" t="str">
        <x:v>답변 가능</x:v>
      </x:c>
      <x:c r="F1919" s="6" t="str">
        <x:v>보통</x:v>
      </x:c>
      <x:c r="G1919" s="8" t="str">
        <x:v>메디녹실액5%(미녹시딜) 사용 후 심한 이상반응이 나타나면 어떻게 해야 하나요?</x:v>
      </x:c>
      <x:c r="H1919" s="8" t="str">
        <x:v>이 약에 과민증 환자, 여성 환자, 18세 미만 환자,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2 %에 내약성이 좋지 않은 환자는 이 약을 사용하지 마십시오.이 약을 사용하기 전에 고령자, 부종, 갑상샘기능장애(갑상샘기능저하증, 갑상샘기능항진증) 환자는 의사 또는 약사와 상의하십시오.이 약의 사용을 잊은 경우에도 용량을 보충하지 않고 그대로 다음 용량을 적용합니다.이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 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x:v>
      </x:c>
      <x:c r="I1919" s="8" t="str">
        <x:v>이 약에 과민증 환자, 여성 환자, 18세 미만 환자,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2 %에 내약성이 좋지 않은 환자는 이 약을 사용하지 마십시오.이 약을 사용하기 전에 고령자, 부종, 갑상샘기능장애(갑상샘기능저하증, 갑상샘기능항진증) 환자는 의사 또는 약사와 상의하십시오.이 약의 사용을 잊은 경우에도 용량을 보충하지 않고 그대로 다음 용량을 적용합니다.이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 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x:v>
      </x:c>
      <x:c r="J1919" s="8" t="str">
        <x:v>메디녹실액5%(미녹시딜) [품목기준코드 200710117]</x:v>
      </x:c>
      <x:c r="K1919" s="8" t="str">
        <x:v>식품의약품안전처 의약품개요정보(e약은요) OpenAPI
https://apis.data.go.kr/1471000/DrbEasyDrugInfoService/getDrbEasyDrugList</x:v>
      </x:c>
    </x:row>
    <x:row r="1920" ht="62" customHeight="1">
      <x:c r="A1920" s="9" t="n">
        <x:v>1919</x:v>
      </x:c>
      <x:c r="B1920" s="6" t="str">
        <x:v>최종 평가</x:v>
      </x:c>
      <x:c r="C1920" s="6" t="str">
        <x:v>복약</x:v>
      </x:c>
      <x:c r="D1920" s="6" t="str">
        <x:v>금기·경고</x:v>
      </x:c>
      <x:c r="E1920" s="6" t="str">
        <x:v>답변 가능</x:v>
      </x:c>
      <x:c r="F1920" s="6" t="str">
        <x:v>보통</x:v>
      </x:c>
      <x:c r="G1920" s="8" t="str">
        <x:v>씨콜드프리미엄정을 사용하면 안 되거나 반드시 확인해야 할 경고사항은 무엇인가요?</x:v>
      </x:c>
      <x:c r="H1920" s="8" t="str">
        <x:v>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이 약에 과민증 환자 및 경험자, 이 약 및 이 약의 구성성분, 다른 해열진통제, 감기약 복용 시 천식 경험자, 만 3개월 미만의 영아, 수유부, 중증 또는 조절되지 않는 고혈압, 중증 급성 또는 만성 신장질환 및 신부전 환자는 이 약을 복용하지 마십시오. 이 약을 복용하기 전에 수두 또는 인플루엔자 경험자 또는 의심되는 영아 및 만 15세 미만의 어린이, 허혈성 대장염의 증상(급격한 복통, 직장 출혈 등), 알레르기 체질, 알레르기 반응(발열, 발진, 관절통, 천식, 가려움증 등) 경험자, 간장질환, 신장질환, 심장질환, 갑상선질환, 당뇨병, 고혈압, 위십이지장궤양, 녹내장(눈의 통증, 눈이 침침함 등), 배뇨곤란, 고령자, 몸이 약한 사람 또는 고열이 있는 사람, 속쓰림, 위부불쾌감, 위통과 같은 위장문제, 궤양, 출혈문제,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 황색4호·타르트라진, 황색5호·선셋엘로우 FCF, 적색40호·알루라레드 AC 과민증 환자 또는 알레르기 반응 경험자, 만 2세 미만의 소아는 의사 또는 약사와 상의하십시오.</x:v>
      </x:c>
      <x:c r="I1920" s="8" t="str">
        <x:v>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이 약에 과민증 환자 및 경험자, 이 약 및 이 약의 구성성분, 다른 해열진통제, 감기약 복용 시 천식 경험자, 만 3개월 미만의 영아, 수유부, 중증 또는 조절되지 않는 고혈압, 중증 급성 또는 만성 신장질환 및 신부전 환자는 이 약을 복용하지 마십시오. 이 약을 복용하기 전에 수두 또는 인플루엔자 경험자 또는 의심되는 영아 및 만 15세 미만의 어린이, 허혈성 대장염의 증상(급격한 복통, 직장 출혈 등), 알레르기 체질, 알레르기 반응(발열, 발진, 관절통, 천식, 가려움증 등) 경험자, 간장질환, 신장질환, 심장질환, 갑상선질환, 당뇨병, 고혈압, 위십이지장궤양, 녹내장(눈의 통증, 눈이 침침함 등), 배뇨곤란, 고령자, 몸이 약한 사람 또는 고열이 있는 사람, 속쓰림, 위부불쾌감, 위통과 같은 위장문제, 궤양, 출혈문제,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 황색4호·타르트라진, 황색5호·선셋엘로우 FCF, 적색40호·알루라레드 AC 과민증 환자 또는 알레르기 반응 경험자, 만 2세 미만의 소아는 의사 또는 약사와 상의하십시오.</x:v>
      </x:c>
      <x:c r="J1920" s="8" t="str">
        <x:v>씨콜드프리미엄정 [품목기준코드 202501737]</x:v>
      </x:c>
      <x:c r="K1920" s="8" t="str">
        <x:v>식품의약품안전처 의약품개요정보(e약은요) OpenAPI
https://apis.data.go.kr/1471000/DrbEasyDrugInfoService/getDrbEasyDrugList</x:v>
      </x:c>
    </x:row>
    <x:row r="1921" ht="62" customHeight="1">
      <x:c r="A1921" s="9" t="n">
        <x:v>1920</x:v>
      </x:c>
      <x:c r="B1921" s="6" t="str">
        <x:v>최종 평가</x:v>
      </x:c>
      <x:c r="C1921" s="6" t="str">
        <x:v>복약</x:v>
      </x:c>
      <x:c r="D1921" s="6" t="str">
        <x:v>증상·이상반응</x:v>
      </x:c>
      <x:c r="E1921" s="6" t="str">
        <x:v>답변 가능</x:v>
      </x:c>
      <x:c r="F1921" s="6" t="str">
        <x:v>쉬움</x:v>
      </x:c>
      <x:c r="G1921" s="8" t="str">
        <x:v>트라보겐크림(이소코나졸질산염)을 사용하면 어떤 부작용이 생길 수 있나요?</x:v>
      </x:c>
      <x:c r="H1921" s="8" t="str">
        <x:v>e약은요에는 다음과 같은 이상반응이 안내되어 있습니다. 알레르기 피부 반응, 도포부위의 홍반(붉은 반점), 통증, 수포형성, 흔하게 도포부위의 자극, 작열감, 때때로 습윤성 습진, 발한, 접촉성피부염, 도포부위의 건조, 가려움, 드물게 도포부위의 부기, 틈새 등이 나타날 수 있습니다.</x:v>
      </x:c>
      <x:c r="I1921" s="8" t="str">
        <x:v>알레르기 피부 반응, 도포부위의 홍반(붉은 반점), 통증, 수포형성, 흔하게 도포부위의 자극, 작열감, 때때로 습윤성 습진, 발한, 접촉성피부염, 도포부위의 건조, 가려움, 드물게 도포부위의 부기, 틈새 등이 나타날 수 있습니다.</x:v>
      </x:c>
      <x:c r="J1921" s="8" t="str">
        <x:v>트라보겐크림(이소코나졸질산염) [품목기준코드 200608044]</x:v>
      </x:c>
      <x:c r="K1921" s="8" t="str">
        <x:v>식품의약품안전처 의약품개요정보(e약은요) OpenAPI
https://apis.data.go.kr/1471000/DrbEasyDrugInfoService/getDrbEasyDrugList</x:v>
      </x:c>
    </x:row>
    <x:row r="1922" ht="62" customHeight="1">
      <x:c r="A1922" s="9" t="n">
        <x:v>1921</x:v>
      </x:c>
      <x:c r="B1922" s="6" t="str">
        <x:v>최종 평가</x:v>
      </x:c>
      <x:c r="C1922" s="6" t="str">
        <x:v>복약</x:v>
      </x:c>
      <x:c r="D1922" s="6" t="str">
        <x:v>상호작용</x:v>
      </x:c>
      <x:c r="E1922" s="6" t="str">
        <x:v>답변 가능</x:v>
      </x:c>
      <x:c r="F1922" s="6" t="str">
        <x:v>쉬움</x:v>
      </x:c>
      <x:c r="G1922" s="8" t="str">
        <x:v>다이어스탑캡슐(로페라미드염산염)과 함께 사용하거나 먹을 때 주의해야 할 약이나 음식이 있나요?</x:v>
      </x:c>
      <x:c r="H1922" s="8" t="str">
        <x:v>퀴니딘, 리토나비르와 함께 복용 시 의사 또는 약사와 상의하십시오.</x:v>
      </x:c>
      <x:c r="I1922" s="8" t="str">
        <x:v>퀴니딘, 리토나비르와 함께 복용 시 의사 또는 약사와 상의하십시오.</x:v>
      </x:c>
      <x:c r="J1922" s="8" t="str">
        <x:v>다이어스탑캡슐(로페라미드염산염) [품목기준코드 202500070]</x:v>
      </x:c>
      <x:c r="K1922" s="8" t="str">
        <x:v>식품의약품안전처 의약품개요정보(e약은요) OpenAPI
https://apis.data.go.kr/1471000/DrbEasyDrugInfoService/getDrbEasyDrugList</x:v>
      </x:c>
    </x:row>
    <x:row r="1923" ht="62" customHeight="1">
      <x:c r="A1923" s="9" t="n">
        <x:v>1922</x:v>
      </x:c>
      <x:c r="B1923" s="6" t="str">
        <x:v>최종 평가</x:v>
      </x:c>
      <x:c r="C1923" s="6" t="str">
        <x:v>복약</x:v>
      </x:c>
      <x:c r="D1923" s="6" t="str">
        <x:v>답변불가·가격·재고</x:v>
      </x:c>
      <x:c r="E1923" s="6" t="str">
        <x:v>답변 거부</x:v>
      </x:c>
      <x:c r="F1923" s="6" t="str">
        <x:v>어려움</x:v>
      </x:c>
      <x:c r="G1923" s="8" t="str">
        <x:v>오늘 제 주변 약국에서 노펜24첩부제(디클로페낙디에틸암모늄)이 가장 싼 곳과 재고 수량을 알려주세요.</x:v>
      </x:c>
      <x:c r="H1923" s="8" t="str">
        <x:v>제공된 e약은요 VDB에는 실시간 약국별 가격과 재고 정보가 없어 답할 수 없습니다.</x:v>
      </x:c>
      <x:c r="I1923" s="8" t="str">
        <x:v>VDB 범위 밖 질문 — 근거 없음</x:v>
      </x:c>
      <x:c r="J1923" s="8" t="str">
        <x:v>노펜24첩부제(디클로페낙디에틸암모늄) [품목기준코드 200705800]</x:v>
      </x:c>
      <x:c r="K1923" s="8" t="str">
        <x:v>식품의약품안전처 의약품개요정보(e약은요) OpenAPI
https://apis.data.go.kr/1471000/DrbEasyDrugInfoService/getDrbEasyDrugList</x:v>
      </x:c>
    </x:row>
    <x:row r="1924" ht="62" customHeight="1">
      <x:c r="A1924" s="9" t="n">
        <x:v>1923</x:v>
      </x:c>
      <x:c r="B1924" s="6" t="str">
        <x:v>최종 평가</x:v>
      </x:c>
      <x:c r="C1924" s="6" t="str">
        <x:v>복약</x:v>
      </x:c>
      <x:c r="D1924" s="6" t="str">
        <x:v>금기·경고</x:v>
      </x:c>
      <x:c r="E1924" s="6" t="str">
        <x:v>답변 가능</x:v>
      </x:c>
      <x:c r="F1924" s="6" t="str">
        <x:v>보통</x:v>
      </x:c>
      <x:c r="G1924" s="8" t="str">
        <x:v>티나롤네일라카(아모롤핀염산염)을 사용하면 안 되거나 반드시 확인해야 할 경고사항은 무엇인가요?</x:v>
      </x:c>
      <x:c r="H1924" s="8" t="str">
        <x:v>이 약에 과민증 환자 또는 경험자, 영ㆍ유아 및 소아, 조갑주위의 염증성 변화가 나타나는 환자, 혈액순환장애, 영양실조, 알코올 중독 환자, 임부 또는 임신하고 있을 가능성이 있는 여성 및 수유부는 이 약을 사용하지 마십시오.감염된 조갑에 사용한 줄을 건강한 사람의 조갑에 사용하지 마십시오.이 약은 외용으로만 사용하십시오.눈, 코, 입 및 다른 점막에 닿지 않도록 주의하십시오.매니큐어는 이 약을 바른 후 적어도 10분 후에 사용하고, 약을 다시 바르기 전에는 매니큐어를 충분히 지우고 난 후 약을 바르십시오.유기용매(신나, 휘발유 등)를 사용하는 작업시에는 조갑 위에 바른 약을 보호하기 위해 유기용매 침투방지 장갑을 착용하십시오.이 약 사용 중 인조 손톱의 사용은 피하십시오.</x:v>
      </x:c>
      <x:c r="I1924" s="8" t="str">
        <x:v>이 약에 과민증 환자 또는 경험자, 영ㆍ유아 및 소아, 조갑주위의 염증성 변화가 나타나는 환자, 혈액순환장애, 영양실조, 알코올 중독 환자, 임부 또는 임신하고 있을 가능성이 있는 여성 및 수유부는 이 약을 사용하지 마십시오.감염된 조갑에 사용한 줄을 건강한 사람의 조갑에 사용하지 마십시오.이 약은 외용으로만 사용하십시오.눈, 코, 입 및 다른 점막에 닿지 않도록 주의하십시오.매니큐어는 이 약을 바른 후 적어도 10분 후에 사용하고, 약을 다시 바르기 전에는 매니큐어를 충분히 지우고 난 후 약을 바르십시오.유기용매(신나, 휘발유 등)를 사용하는 작업시에는 조갑 위에 바른 약을 보호하기 위해 유기용매 침투방지 장갑을 착용하십시오.이 약 사용 중 인조 손톱의 사용은 피하십시오.</x:v>
      </x:c>
      <x:c r="J1924" s="8" t="str">
        <x:v>티나롤네일라카(아모롤핀염산염) [품목기준코드 201600966]</x:v>
      </x:c>
      <x:c r="K1924" s="8" t="str">
        <x:v>식품의약품안전처 의약품개요정보(e약은요) OpenAPI
https://apis.data.go.kr/1471000/DrbEasyDrugInfoService/getDrbEasyDrugList</x:v>
      </x:c>
    </x:row>
    <x:row r="1925" ht="62" customHeight="1">
      <x:c r="A1925" s="9" t="n">
        <x:v>1924</x:v>
      </x:c>
      <x:c r="B1925" s="6" t="str">
        <x:v>최종 평가</x:v>
      </x:c>
      <x:c r="C1925" s="6" t="str">
        <x:v>복약</x:v>
      </x:c>
      <x:c r="D1925" s="6" t="str">
        <x:v>용법·용량</x:v>
      </x:c>
      <x:c r="E1925" s="6" t="str">
        <x:v>답변 가능</x:v>
      </x:c>
      <x:c r="F1925" s="6" t="str">
        <x:v>쉬움</x:v>
      </x:c>
      <x:c r="G1925" s="8" t="str">
        <x:v>파워겔(리도카인)은 어떻게 사용하나요?</x:v>
      </x:c>
      <x:c r="H1925" s="8" t="str">
        <x:v>성교 5~15분전에 겔로서 0.25~0.66 g(리도카인으로서 23~62mg)을 도포합니다.용량과 적용 시간은 개인에 따라 다르며 최저유효량을 사용하되 24시간 이내에 최대 2 g(리도카인으로서 184 mg)을 초과하여 투여하지 않습니다.</x:v>
      </x:c>
      <x:c r="I1925" s="8" t="str">
        <x:v>성교 5~15분전에 겔로서 0.25~0.66 g(리도카인으로서 23~62mg)을 도포합니다.용량과 적용 시간은 개인에 따라 다르며 최저유효량을 사용하되 24시간 이내에 최대 2 g(리도카인으로서 184 mg)을 초과하여 투여하지 않습니다.</x:v>
      </x:c>
      <x:c r="J1925" s="8" t="str">
        <x:v>파워겔(리도카인) [품목기준코드 200003108]</x:v>
      </x:c>
      <x:c r="K1925" s="8" t="str">
        <x:v>식품의약품안전처 의약품개요정보(e약은요) OpenAPI
https://apis.data.go.kr/1471000/DrbEasyDrugInfoService/getDrbEasyDrugList</x:v>
      </x:c>
    </x:row>
    <x:row r="1926" ht="62" customHeight="1">
      <x:c r="A1926" s="9" t="n">
        <x:v>1925</x:v>
      </x:c>
      <x:c r="B1926" s="6" t="str">
        <x:v>최종 평가</x:v>
      </x:c>
      <x:c r="C1926" s="6" t="str">
        <x:v>복약</x:v>
      </x:c>
      <x:c r="D1926" s="6" t="str">
        <x:v>원인·위험요인</x:v>
      </x:c>
      <x:c r="E1926" s="6" t="str">
        <x:v>답변 가능</x:v>
      </x:c>
      <x:c r="F1926" s="6" t="str">
        <x:v>보통</x:v>
      </x:c>
      <x:c r="G1926" s="8" t="str">
        <x:v>맥스케어베타정을 사용하기 전에 특히 조심해야 하는 사람은 누구인가요?</x:v>
      </x:c>
      <x:c r="H1926" s="8" t="str">
        <x:v>이 제품을 사용하기 전에 특히 확인해야 할 대상과 상황은 다음과 같습니다. 이 약에 과민증 환자, 고칼슘혈증(혈액중에 칼슘이 과잉으로 존재하는 상태)환자, 유육종증(원인을 알 수 없는 전신 염증질환), 신장질환, 만 3개월 미만의 젖먹이, 신장결석,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고옥살산뇨증(뇨중에 과량의 수산염이 배설되는 상태), 임부 또는 임신하고 있을 가능성이 있는 여성, 수유부, 미숙아, 유아, 통풍환자, 신장결석 또는 경험자, 폴산이 부족한 환자, 혈전성 소인이 있는 환자는 의사 또는 약사와 상의하십시오. 1개월 정도 복용하여도 증상의 개선이 없을 경우 복용을 즉각 중지하고 의사 또는 약사와 상의하십시오. 어린이에게 투여할 경우 보호자의 지도 감독하에 투여하십시오.</x:v>
      </x:c>
      <x:c r="I1926" s="8" t="str">
        <x:v>이 약에 과민증 환자, 고칼슘혈증(혈액중에 칼슘이 과잉으로 존재하는 상태)환자, 유육종증(원인을 알 수 없는 전신 염증질환), 신장질환, 만 3개월 미만의 젖먹이, 신장결석,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고옥살산뇨증(뇨중에 과량의 수산염이 배설되는 상태), 임부 또는 임신하고 있을 가능성이 있는 여성, 수유부, 미숙아, 유아, 통풍환자, 신장결석 또는 경험자, 폴산이 부족한 환자, 혈전성 소인이 있는 환자는 의사 또는 약사와 상의하십시오. 1개월 정도 복용하여도 증상의 개선이 없을 경우 복용을 즉각 중지하고 의사 또는 약사와 상의하십시오. 어린이에게 투여할 경우 보호자의 지도 감독하에 투여하십시오.</x:v>
      </x:c>
      <x:c r="J1926" s="8" t="str">
        <x:v>맥스케어베타정 [품목기준코드 201400284]</x:v>
      </x:c>
      <x:c r="K1926" s="8" t="str">
        <x:v>식품의약품안전처 의약품개요정보(e약은요) OpenAPI
https://apis.data.go.kr/1471000/DrbEasyDrugInfoService/getDrbEasyDrugList</x:v>
      </x:c>
    </x:row>
    <x:row r="1927" ht="62" customHeight="1">
      <x:c r="A1927" s="9" t="n">
        <x:v>1926</x:v>
      </x:c>
      <x:c r="B1927" s="6" t="str">
        <x:v>최종 평가</x:v>
      </x:c>
      <x:c r="C1927" s="6" t="str">
        <x:v>복약</x:v>
      </x:c>
      <x:c r="D1927" s="6" t="str">
        <x:v>상호작용</x:v>
      </x:c>
      <x:c r="E1927" s="6" t="str">
        <x:v>답변 가능</x:v>
      </x:c>
      <x:c r="F1927" s="6" t="str">
        <x:v>보통</x:v>
      </x:c>
      <x:c r="G1927" s="8" t="str">
        <x:v>엑스콜콜드에프캡슐과 함께 사용하거나 먹을 때 주의해야 할 약이나 음식이 있나요?</x:v>
      </x:c>
      <x:c r="H1927" s="8" t="str">
        <x:v>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바르비탈계 약물, 삼환계 항우울제, 알코올을 투여한 환자,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x:v>
      </x:c>
      <x:c r="I1927" s="8" t="str">
        <x:v>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바르비탈계 약물, 삼환계 항우울제, 알코올을 투여한 환자,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x:v>
      </x:c>
      <x:c r="J1927" s="8" t="str">
        <x:v>엑스콜콜드에프캡슐 [품목기준코드 201405635]</x:v>
      </x:c>
      <x:c r="K1927" s="8" t="str">
        <x:v>식품의약품안전처 의약품개요정보(e약은요) OpenAPI
https://apis.data.go.kr/1471000/DrbEasyDrugInfoService/getDrbEasyDrugList</x:v>
      </x:c>
    </x:row>
    <x:row r="1928" ht="62" customHeight="1">
      <x:c r="A1928" s="9" t="n">
        <x:v>1927</x:v>
      </x:c>
      <x:c r="B1928" s="6" t="str">
        <x:v>최종 평가</x:v>
      </x:c>
      <x:c r="C1928" s="6" t="str">
        <x:v>복약</x:v>
      </x:c>
      <x:c r="D1928" s="6" t="str">
        <x:v>증상·이상반응</x:v>
      </x:c>
      <x:c r="E1928" s="6" t="str">
        <x:v>답변 가능</x:v>
      </x:c>
      <x:c r="F1928" s="6" t="str">
        <x:v>보통</x:v>
      </x:c>
      <x:c r="G1928" s="8" t="str">
        <x:v>로노펜정(덱시부프로펜)을 사용하면 어떤 부작용이 생길 수 있나요?</x:v>
      </x:c>
      <x:c r="H1928" s="8" t="str">
        <x:v>e약은요에는 다음과 같은 이상반응이 안내되어 있습니다. 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빈도 불명의 코니스 증후군, 여성의 생식능력 감소, 때때로 안와주위부종, 매우 드물게 권태감, 발열, 코피, 염증악화 등이 나타나는 경우 복용을 즉각 중지하고 의사 또는 약사와 상의하십시오.</x:v>
      </x:c>
      <x:c r="I1928" s="8" t="str">
        <x:v>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빈도 불명의 코니스 증후군, 여성의 생식능력 감소, 때때로 안와주위부종, 매우 드물게 권태감, 발열, 코피, 염증악화 등이 나타나는 경우 복용을 즉각 중지하고 의사 또는 약사와 상의하십시오.</x:v>
      </x:c>
      <x:c r="J1928" s="8" t="str">
        <x:v>로노펜정(덱시부프로펜) [품목기준코드 200100922]</x:v>
      </x:c>
      <x:c r="K1928" s="8" t="str">
        <x:v>식품의약품안전처 의약품개요정보(e약은요) OpenAPI
https://apis.data.go.kr/1471000/DrbEasyDrugInfoService/getDrbEasyDrugList</x:v>
      </x:c>
    </x:row>
    <x:row r="1929" ht="62" customHeight="1">
      <x:c r="A1929" s="9" t="n">
        <x:v>1928</x:v>
      </x:c>
      <x:c r="B1929" s="6" t="str">
        <x:v>최종 평가</x:v>
      </x:c>
      <x:c r="C1929" s="6" t="str">
        <x:v>복약</x:v>
      </x:c>
      <x:c r="D1929" s="6" t="str">
        <x:v>금기·경고</x:v>
      </x:c>
      <x:c r="E1929" s="6" t="str">
        <x:v>답변 가능</x:v>
      </x:c>
      <x:c r="F1929" s="6" t="str">
        <x:v>보통</x:v>
      </x:c>
      <x:c r="G1929" s="8" t="str">
        <x:v>게보린정(수출명:돌로린정)을 사용하면 안 되거나 반드시 확인해야 할 경고사항은 무엇인가요?</x:v>
      </x:c>
      <x:c r="H1929" s="8" t="str">
        <x:v>매일 세잔 이상 정기적 음주자가 이 약 또는 다른 해열진통제를 복용할 때는 의사 또는 약사와 상의하십시오. 간손상을 일으킬 수 있습니다. 아세트아미노펜으로 일일 최대 용량(4,000 mg)을 초과하여 복용하지 마십시오. 간손상을 일으킬 수 있습니다. 아세트아미노펜을 포함하는 다른 제품과 함께 복용하지 마십시오. 이 약에 과민증 환자, 다른 해열진통제(비스테로이드성 소염제), 감기약 복용시 천식발작 유발 또는 그 경험자, 글루코스-6-인산 탈수소효소결핍증, 급성 간헐성(시간 간격을 두고 되풀이하여) 포르피린증, 과립백혈구감소증, 중증 간장애, 중증 신장애, 출혈 소인, 15세 미만의 소아, 소화성궤양, 심한 혈액 이상, 심한 심장기능저하, 바르비탈계 약물, 삼환계 항우울제, 알코올을 복용한 환자는 이 약을 복용하지 마십시오.</x:v>
      </x:c>
      <x:c r="I1929" s="8" t="str">
        <x:v>매일 세잔 이상 정기적 음주자가 이 약 또는 다른 해열진통제를 복용할 때는 의사 또는 약사와 상의하십시오. 간손상을 일으킬 수 있습니다. 아세트아미노펜으로 일일 최대 용량(4,000 mg)을 초과하여 복용하지 마십시오. 간손상을 일으킬 수 있습니다. 아세트아미노펜을 포함하는 다른 제품과 함께 복용하지 마십시오. 이 약에 과민증 환자, 다른 해열진통제(비스테로이드성 소염제), 감기약 복용시 천식발작 유발 또는 그 경험자, 글루코스-6-인산 탈수소효소결핍증, 급성 간헐성(시간 간격을 두고 되풀이하여) 포르피린증, 과립백혈구감소증, 중증 간장애, 중증 신장애, 출혈 소인, 15세 미만의 소아, 소화성궤양, 심한 혈액 이상, 심한 심장기능저하, 바르비탈계 약물, 삼환계 항우울제, 알코올을 복용한 환자는 이 약을 복용하지 마십시오.</x:v>
      </x:c>
      <x:c r="J1929" s="8" t="str">
        <x:v>게보린정(수출명:돌로린정) [품목기준코드 197900277]</x:v>
      </x:c>
      <x:c r="K1929" s="8" t="str">
        <x:v>식품의약품안전처 의약품개요정보(e약은요) OpenAPI
https://apis.data.go.kr/1471000/DrbEasyDrugInfoService/getDrbEasyDrugList</x:v>
      </x:c>
    </x:row>
    <x:row r="1930" ht="62" customHeight="1">
      <x:c r="A1930" s="9" t="n">
        <x:v>1929</x:v>
      </x:c>
      <x:c r="B1930" s="6" t="str">
        <x:v>최종 평가</x:v>
      </x:c>
      <x:c r="C1930" s="6" t="str">
        <x:v>복약</x:v>
      </x:c>
      <x:c r="D1930" s="6" t="str">
        <x:v>대상별 정보</x:v>
      </x:c>
      <x:c r="E1930" s="6" t="str">
        <x:v>답변 가능</x:v>
      </x:c>
      <x:c r="F1930" s="6" t="str">
        <x:v>쉬움</x:v>
      </x:c>
      <x:c r="G1930" s="8" t="str">
        <x:v>고령자가 팜뮤코정(암브록솔염산염)을 사용할 때 주의할 점은 무엇인가요?</x:v>
      </x:c>
      <x:c r="H1930" s="8" t="str">
        <x:v>e약은요에서 고령자·노인과 관련해 안내한 내용은 다음과 같습니다. 이 약을 복용하기 전에 신장애, 소화성궤양, 임부, 수유부, 고령자는 의사 또는 약사와 상의하십시오.</x:v>
      </x:c>
      <x:c r="I1930" s="8" t="str">
        <x:v>이 약을 복용하기 전에 신장애, 소화성궤양, 임부, 수유부, 고령자는 의사 또는 약사와 상의하십시오.</x:v>
      </x:c>
      <x:c r="J1930" s="8" t="str">
        <x:v>팜뮤코정(암브록솔염산염) [품목기준코드 202105351]</x:v>
      </x:c>
      <x:c r="K1930" s="8" t="str">
        <x:v>식품의약품안전처 의약품개요정보(e약은요) OpenAPI
https://apis.data.go.kr/1471000/DrbEasyDrugInfoService/getDrbEasyDrugList</x:v>
      </x:c>
    </x:row>
    <x:row r="1931" ht="62" customHeight="1">
      <x:c r="A1931" s="9" t="n">
        <x:v>1930</x:v>
      </x:c>
      <x:c r="B1931" s="6" t="str">
        <x:v>최종 평가</x:v>
      </x:c>
      <x:c r="C1931" s="6" t="str">
        <x:v>복약</x:v>
      </x:c>
      <x:c r="D1931" s="6" t="str">
        <x:v>증상·이상반응</x:v>
      </x:c>
      <x:c r="E1931" s="6" t="str">
        <x:v>답변 가능</x:v>
      </x:c>
      <x:c r="F1931" s="6" t="str">
        <x:v>쉬움</x:v>
      </x:c>
      <x:c r="G1931" s="8" t="str">
        <x:v>마이어스콕골드정을 사용하면 어떤 부작용이 생길 수 있나요?</x:v>
      </x:c>
      <x:c r="H1931" s="8" t="str">
        <x:v>e약은요에는 다음과 같은 이상반응이 안내되어 있습니다. 구역, 구토, 설사, 묽은 벼느 변비, 저혈압, 얼굴달아오름, 심박동불규칙, 피부발진, 붉은반점, 부전수축(심장박동정지), 중추신경계 기능저하, 위장관장애, 소화장애, 상복부통증, 저혈압, 폐부종 등이 나타나는 경우 복용을 즉각 중지하고 의사 또는 약사와 상의하십시오.</x:v>
      </x:c>
      <x:c r="I1931" s="8" t="str">
        <x:v>구역, 구토, 설사, 묽은 벼느 변비, 저혈압, 얼굴달아오름, 심박동불규칙, 피부발진, 붉은반점, 부전수축(심장박동정지), 중추신경계 기능저하, 위장관장애, 소화장애, 상복부통증, 저혈압, 폐부종 등이 나타나는 경우 복용을 즉각 중지하고 의사 또는 약사와 상의하십시오.</x:v>
      </x:c>
      <x:c r="J1931" s="8" t="str">
        <x:v>마이어스콕골드정 [품목기준코드 201006807]</x:v>
      </x:c>
      <x:c r="K1931" s="8" t="str">
        <x:v>식품의약품안전처 의약품개요정보(e약은요) OpenAPI
https://apis.data.go.kr/1471000/DrbEasyDrugInfoService/getDrbEasyDrugList</x:v>
      </x:c>
    </x:row>
    <x:row r="1932" ht="62" customHeight="1">
      <x:c r="A1932" s="9" t="n">
        <x:v>1931</x:v>
      </x:c>
      <x:c r="B1932" s="6" t="str">
        <x:v>최종 평가</x:v>
      </x:c>
      <x:c r="C1932" s="6" t="str">
        <x:v>복약</x:v>
      </x:c>
      <x:c r="D1932" s="6" t="str">
        <x:v>원인·위험요인</x:v>
      </x:c>
      <x:c r="E1932" s="6" t="str">
        <x:v>답변 가능</x:v>
      </x:c>
      <x:c r="F1932" s="6" t="str">
        <x:v>쉬움</x:v>
      </x:c>
      <x:c r="G1932" s="8" t="str">
        <x:v>위엔젤더블액션현탁액을 사용하기 전에 특히 조심해야 하는 사람은 누구인가요?</x:v>
      </x:c>
      <x:c r="H1932" s="8" t="str">
        <x:v>이 제품을 사용하기 전에 특히 확인해야 할 대상과 상황은 다음과 같습니다. 이 약에 과민증 환자는 이 약을 복용하지 마십시오. 이 약을 복용하기 전에 울혈심부전, 신장애 등과 같이 나트륨을 매우 제한해야 하는 환자, 고칼슘혈증, 신석회침착증과 재발성 칼슘함유 신결석 환자, 12세 미만의 어린이는 의사 또는 약사와 상의하십시오. 7일 동안 복용하여도 증상의 개선이 없을 경우 복용을 즉각 중지하고 의사 또는 약사와 상의하십시오.</x:v>
      </x:c>
      <x:c r="I1932" s="8" t="str">
        <x:v>이 약에 과민증 환자는 이 약을 복용하지 마십시오. 이 약을 복용하기 전에 울혈심부전, 신장애 등과 같이 나트륨을 매우 제한해야 하는 환자, 고칼슘혈증, 신석회침착증과 재발성 칼슘함유 신결석 환자, 12세 미만의 어린이는 의사 또는 약사와 상의하십시오. 7일 동안 복용하여도 증상의 개선이 없을 경우 복용을 즉각 중지하고 의사 또는 약사와 상의하십시오.</x:v>
      </x:c>
      <x:c r="J1932" s="8" t="str">
        <x:v>위엔젤더블액션현탁액 [품목기준코드 201403018]</x:v>
      </x:c>
      <x:c r="K1932" s="8" t="str">
        <x:v>식품의약품안전처 의약품개요정보(e약은요) OpenAPI
https://apis.data.go.kr/1471000/DrbEasyDrugInfoService/getDrbEasyDrugList</x:v>
      </x:c>
    </x:row>
    <x:row r="1933" ht="62" customHeight="1">
      <x:c r="A1933" s="9" t="n">
        <x:v>1932</x:v>
      </x:c>
      <x:c r="B1933" s="6" t="str">
        <x:v>최종 평가</x:v>
      </x:c>
      <x:c r="C1933" s="6" t="str">
        <x:v>복약</x:v>
      </x:c>
      <x:c r="D1933" s="6" t="str">
        <x:v>용법·용량</x:v>
      </x:c>
      <x:c r="E1933" s="6" t="str">
        <x:v>답변 가능</x:v>
      </x:c>
      <x:c r="F1933" s="6" t="str">
        <x:v>쉬움</x:v>
      </x:c>
      <x:c r="G1933" s="8" t="str">
        <x:v>바르지오모두크림은 어떻게 사용하나요?</x:v>
      </x:c>
      <x:c r="H1933" s="8" t="str">
        <x:v>1일 1회 적당량을 환부(질환 부위)에 도포한다.</x:v>
      </x:c>
      <x:c r="I1933" s="8" t="str">
        <x:v>1일 1회 적당량을 환부(질환 부위)에 도포한다.</x:v>
      </x:c>
      <x:c r="J1933" s="8" t="str">
        <x:v>바르지오모두크림 [품목기준코드 202008175]</x:v>
      </x:c>
      <x:c r="K1933" s="8" t="str">
        <x:v>식품의약품안전처 의약품개요정보(e약은요) OpenAPI
https://apis.data.go.kr/1471000/DrbEasyDrugInfoService/getDrbEasyDrugList</x:v>
      </x:c>
    </x:row>
    <x:row r="1934" ht="62" customHeight="1">
      <x:c r="A1934" s="9" t="n">
        <x:v>1933</x:v>
      </x:c>
      <x:c r="B1934" s="6" t="str">
        <x:v>최종 평가</x:v>
      </x:c>
      <x:c r="C1934" s="6" t="str">
        <x:v>복약</x:v>
      </x:c>
      <x:c r="D1934" s="6" t="str">
        <x:v>금기·경고</x:v>
      </x:c>
      <x:c r="E1934" s="6" t="str">
        <x:v>답변 가능</x:v>
      </x:c>
      <x:c r="F1934" s="6" t="str">
        <x:v>보통</x:v>
      </x:c>
      <x:c r="G1934" s="8" t="str">
        <x:v>쿨그린겔(케토프로펜)(수출용)을 사용하면 안 되거나 반드시 확인해야 할 경고사항은 무엇인가요?</x:v>
      </x:c>
      <x:c r="H1934" s="8" t="str">
        <x:v>이 약에 과민증, 광과민증, 아스피린 또는 다른 소염진통제에 의한 천식 경험 환자, 티아프로펜산ㆍ페노피브레이트ㆍ베자피브레이트ㆍ시프로피브레이트ㆍ옥시벤존에 과민증, 임신기간 6개월 이상인 임부, 15세 미만의 소아는 이 약을 사용하지 마십시오.이 약을 사용하기 전에 기관지천식, 임부, 수유부는 의사 또는 약사와 상의하십시오.광과민증이 나타날 수 있으므로, 이 약을 사용 중이거나 사용 후 2주까지는 자외선을 피하십시오.눈 및 점막, 무좀, 백선에는 사용하지 마십시오.손상된 피부 및 점막, 습진 또는 발진 부위에 사용하는 경우 일시적인 자극 및 날카로운 통증을 일으킬 수 있으므로 사용시 주의하십시오.밀봉붕대법을 사용하지 마십시오.1주일 정도 사용하고도 증상개선이 보이지 않을 경우 사용을 중지하고 의사 또는 약사와 상의하십시오.</x:v>
      </x:c>
      <x:c r="I1934" s="8" t="str">
        <x:v>이 약에 과민증, 광과민증, 아스피린 또는 다른 소염진통제에 의한 천식 경험 환자, 티아프로펜산ㆍ페노피브레이트ㆍ베자피브레이트ㆍ시프로피브레이트ㆍ옥시벤존에 과민증, 임신기간 6개월 이상인 임부, 15세 미만의 소아는 이 약을 사용하지 마십시오.이 약을 사용하기 전에 기관지천식, 임부, 수유부는 의사 또는 약사와 상의하십시오.광과민증이 나타날 수 있으므로, 이 약을 사용 중이거나 사용 후 2주까지는 자외선을 피하십시오.눈 및 점막, 무좀, 백선에는 사용하지 마십시오.손상된 피부 및 점막, 습진 또는 발진 부위에 사용하는 경우 일시적인 자극 및 날카로운 통증을 일으킬 수 있으므로 사용시 주의하십시오.밀봉붕대법을 사용하지 마십시오.1주일 정도 사용하고도 증상개선이 보이지 않을 경우 사용을 중지하고 의사 또는 약사와 상의하십시오.</x:v>
      </x:c>
      <x:c r="J1934" s="8" t="str">
        <x:v>쿨그린겔(케토프로펜)(수출용) [품목기준코드 200201706]</x:v>
      </x:c>
      <x:c r="K1934" s="8" t="str">
        <x:v>식품의약품안전처 의약품개요정보(e약은요) OpenAPI
https://apis.data.go.kr/1471000/DrbEasyDrugInfoService/getDrbEasyDrugList</x:v>
      </x:c>
    </x:row>
    <x:row r="1935" ht="62" customHeight="1">
      <x:c r="A1935" s="9" t="n">
        <x:v>1934</x:v>
      </x:c>
      <x:c r="B1935" s="6" t="str">
        <x:v>최종 평가</x:v>
      </x:c>
      <x:c r="C1935" s="6" t="str">
        <x:v>복약</x:v>
      </x:c>
      <x:c r="D1935" s="6" t="str">
        <x:v>상호작용</x:v>
      </x:c>
      <x:c r="E1935" s="6" t="str">
        <x:v>답변 가능</x:v>
      </x:c>
      <x:c r="F1935" s="6" t="str">
        <x:v>쉬움</x:v>
      </x:c>
      <x:c r="G1935" s="8" t="str">
        <x:v>솔루샷쿨연질캡슐과 함께 사용하거나 먹을 때 주의해야 할 약이나 음식이 있나요?</x:v>
      </x:c>
      <x:c r="H1935" s="8" t="str">
        <x:v>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x:v>
      </x:c>
      <x:c r="I1935" s="8" t="str">
        <x:v>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x:v>
      </x:c>
      <x:c r="J1935" s="8" t="str">
        <x:v>솔루샷쿨연질캡슐 [품목기준코드 201705258]</x:v>
      </x:c>
      <x:c r="K1935" s="8" t="str">
        <x:v>식품의약품안전처 의약품개요정보(e약은요) OpenAPI
https://apis.data.go.kr/1471000/DrbEasyDrugInfoService/getDrbEasyDrugList</x:v>
      </x:c>
    </x:row>
    <x:row r="1936" ht="62" customHeight="1">
      <x:c r="A1936" s="9" t="n">
        <x:v>1935</x:v>
      </x:c>
      <x:c r="B1936" s="6" t="str">
        <x:v>최종 평가</x:v>
      </x:c>
      <x:c r="C1936" s="6" t="str">
        <x:v>복약</x:v>
      </x:c>
      <x:c r="D1936" s="6" t="str">
        <x:v>상호작용</x:v>
      </x:c>
      <x:c r="E1936" s="6" t="str">
        <x:v>답변 가능</x:v>
      </x:c>
      <x:c r="F1936" s="6" t="str">
        <x:v>쉬움</x:v>
      </x:c>
      <x:c r="G1936" s="8" t="str">
        <x:v>셀디아정과 함께 사용하거나 먹을 때 주의해야 할 약이나 음식이 있나요?</x:v>
      </x:c>
      <x:c r="H1936" s="8" t="str">
        <x:v>인산염, 칼슘염, 경구용 테트라사이클린계 제제, 제산제와 함께 복용하지 마십시오. 항알도스테론제, 트리암테렌과 함께 복용 시 의사 또는 약사와 상의하십시오. 녹차, 홍차 등 탄닌을 함유하는 차는 복용중, 복용전후에는 피하십시오.</x:v>
      </x:c>
      <x:c r="I1936" s="8" t="str">
        <x:v>인산염, 칼슘염, 경구용 테트라사이클린계 제제, 제산제와 함께 복용하지 마십시오. 항알도스테론제, 트리암테렌과 함께 복용 시 의사 또는 약사와 상의하십시오. 녹차, 홍차 등 탄닌을 함유하는 차는 복용중, 복용전후에는 피하십시오.</x:v>
      </x:c>
      <x:c r="J1936" s="8" t="str">
        <x:v>셀디아정 [품목기준코드 202204238]</x:v>
      </x:c>
      <x:c r="K1936" s="8" t="str">
        <x:v>식품의약품안전처 의약품개요정보(e약은요) OpenAPI
https://apis.data.go.kr/1471000/DrbEasyDrugInfoService/getDrbEasyDrugList</x:v>
      </x:c>
    </x:row>
    <x:row r="1937" ht="62" customHeight="1">
      <x:c r="A1937" s="9" t="n">
        <x:v>1936</x:v>
      </x:c>
      <x:c r="B1937" s="6" t="str">
        <x:v>최종 평가</x:v>
      </x:c>
      <x:c r="C1937" s="6" t="str">
        <x:v>복약</x:v>
      </x:c>
      <x:c r="D1937" s="6" t="str">
        <x:v>금기·경고</x:v>
      </x:c>
      <x:c r="E1937" s="6" t="str">
        <x:v>답변 가능</x:v>
      </x:c>
      <x:c r="F1937" s="6" t="str">
        <x:v>보통</x:v>
      </x:c>
      <x:c r="G1937" s="8" t="str">
        <x:v>굿포미정을 사용하면 안 되거나 반드시 확인해야 할 경고사항은 무엇인가요?</x:v>
      </x:c>
      <x:c r="H1937" s="8" t="str">
        <x:v>혈전증과 같은 심각한 심혈관계 위험이 증가할 수 있어 경구피임제를 복용하는 여성은 흡연을 삼갑니다. 35세 이상 흡연자는 이 약을 복용하지 마십시오. 이 약에 과민증, 에스트로겐 의존성 종양(예 : 자궁내막암), 유방암 환자나 의심자 및 경험자, 혈전성 동맥정맥염, 혈전색전증 환자 또는 경험자, 심정맥혈전증, 선천성 또는 후천성 혈전성향증, 뇌혈관 또는 관상동맥질환(특히 심근경색), 진단하지 않은 비정상적인 생식기 출혈, 중등도 및 중증 고혈압, 중등도 및 중증 간장애, 황달, 간염 및 양성 또는 악성 간종양 환자 또는 경험자, 혈관변성을 수반하는 중증 당뇨병, 중증 고지혈증, 고지단백혈증 및 포르피린증 등의 중증대사장애, 임신중 지속적인 가려움, 임신포진, 임부 또는 임신하고 있을 가능성이 있는 부인 및 수유부, 뇌하수체 종양, 고프로락틴혈증, 심장판막증, 혈관병변을 수반한 당뇨병 환자, 췌장염, 갈락토오스 불내성, Lapp 유당분해효소 결핍증 또는 포도당-갈락토오스 흡수장애 등의 유전적인 문제가 있는 환자, 선천성 또는 후천성 과응고병증 환자, 35세 이상 흡연자는 이 약을 복용하지 마십시오.</x:v>
      </x:c>
      <x:c r="I1937" s="8" t="str">
        <x:v>혈전증과 같은 심각한 심혈관계 위험이 증가할 수 있어 경구피임제를 복용하는 여성은 흡연을 삼갑니다. 35세 이상 흡연자는 이 약을 복용하지 마십시오. 이 약에 과민증, 에스트로겐 의존성 종양(예 : 자궁내막암), 유방암 환자나 의심자 및 경험자, 혈전성 동맥정맥염, 혈전색전증 환자 또는 경험자, 심정맥혈전증, 선천성 또는 후천성 혈전성향증, 뇌혈관 또는 관상동맥질환(특히 심근경색), 진단하지 않은 비정상적인 생식기 출혈, 중등도 및 중증 고혈압, 중등도 및 중증 간장애, 황달, 간염 및 양성 또는 악성 간종양 환자 또는 경험자, 혈관변성을 수반하는 중증 당뇨병, 중증 고지혈증, 고지단백혈증 및 포르피린증 등의 중증대사장애, 임신중 지속적인 가려움, 임신포진, 임부 또는 임신하고 있을 가능성이 있는 부인 및 수유부, 뇌하수체 종양, 고프로락틴혈증, 심장판막증, 혈관병변을 수반한 당뇨병 환자, 췌장염, 갈락토오스 불내성, Lapp 유당분해효소 결핍증 또는 포도당-갈락토오스 흡수장애 등의 유전적인 문제가 있는 환자, 선천성 또는 후천성 과응고병증 환자, 35세 이상 흡연자는 이 약을 복용하지 마십시오.</x:v>
      </x:c>
      <x:c r="J1937" s="8" t="str">
        <x:v>굿포미정 [품목기준코드 202106656]</x:v>
      </x:c>
      <x:c r="K1937" s="8" t="str">
        <x:v>식품의약품안전처 의약품개요정보(e약은요) OpenAPI
https://apis.data.go.kr/1471000/DrbEasyDrugInfoService/getDrbEasyDrugList</x:v>
      </x:c>
    </x:row>
    <x:row r="1938" ht="62" customHeight="1">
      <x:c r="A1938" s="9" t="n">
        <x:v>1937</x:v>
      </x:c>
      <x:c r="B1938" s="6" t="str">
        <x:v>최종 평가</x:v>
      </x:c>
      <x:c r="C1938" s="6" t="str">
        <x:v>복약</x:v>
      </x:c>
      <x:c r="D1938" s="6" t="str">
        <x:v>금기·경고</x:v>
      </x:c>
      <x:c r="E1938" s="6" t="str">
        <x:v>답변 가능</x:v>
      </x:c>
      <x:c r="F1938" s="6" t="str">
        <x:v>쉬움</x:v>
      </x:c>
      <x:c r="G1938" s="8" t="str">
        <x:v>아르쿨연질캡슐(세티리진염산염)을 사용하면 안 되거나 반드시 확인해야 할 경고사항은 무엇인가요?</x:v>
      </x:c>
      <x:c r="H1938" s="8" t="str">
        <x:v>이 약 및 히드록시진 또는 피페라진 유도체에 과민증 또는 경험자, 신부전 환자, 임부 또는 임신하고 있을 가능성이 있는 여성 및 수유부, 6세 미만의 유아는 이 약을 복용하지 마십시오.</x:v>
      </x:c>
      <x:c r="I1938" s="8" t="str">
        <x:v>이 약 및 히드록시진 또는 피페라진 유도체에 과민증 또는 경험자, 신부전 환자, 임부 또는 임신하고 있을 가능성이 있는 여성 및 수유부, 6세 미만의 유아는 이 약을 복용하지 마십시오.</x:v>
      </x:c>
      <x:c r="J1938" s="8" t="str">
        <x:v>아르쿨연질캡슐(세티리진염산염) [품목기준코드 201802601]</x:v>
      </x:c>
      <x:c r="K1938" s="8" t="str">
        <x:v>식품의약품안전처 의약품개요정보(e약은요) OpenAPI
https://apis.data.go.kr/1471000/DrbEasyDrugInfoService/getDrbEasyDrugList</x:v>
      </x:c>
    </x:row>
    <x:row r="1939" ht="62" customHeight="1">
      <x:c r="A1939" s="9" t="n">
        <x:v>1938</x:v>
      </x:c>
      <x:c r="B1939" s="6" t="str">
        <x:v>최종 평가</x:v>
      </x:c>
      <x:c r="C1939" s="6" t="str">
        <x:v>복약</x:v>
      </x:c>
      <x:c r="D1939" s="6" t="str">
        <x:v>효능·사용목적</x:v>
      </x:c>
      <x:c r="E1939" s="6" t="str">
        <x:v>답변 가능</x:v>
      </x:c>
      <x:c r="F1939" s="6" t="str">
        <x:v>쉬움</x:v>
      </x:c>
      <x:c r="G1939" s="8" t="str">
        <x:v>후시딘겔(퓨시드산수화물)은 어떤 증상이나 질환에 사용하는 약인가요?</x:v>
      </x:c>
      <x:c r="H1939" s="8" t="str">
        <x:v>이 약은 포도구균, 연쇄구균, 코리네박테륨, 클로스트리듐으로 인한 농피증(농가진, 감염성습진양피부염, 심상성여드름(보통여드름), 모낭염, 종기 및 종기증, 화농성한선염, 농가진성습진), 화상ㆍ외상ㆍ봉합창ㆍ식피창에 의한 2차 감염에 사용합니다.</x:v>
      </x:c>
      <x:c r="I1939" s="8" t="str">
        <x:v>이 약은 포도구균, 연쇄구균, 코리네박테륨, 클로스트리듐으로 인한 농피증(농가진, 감염성습진양피부염, 심상성여드름(보통여드름), 모낭염, 종기 및 종기증, 화농성한선염, 농가진성습진), 화상ㆍ외상ㆍ봉합창ㆍ식피창에 의한 2차 감염에 사용합니다.</x:v>
      </x:c>
      <x:c r="J1939" s="8" t="str">
        <x:v>후시딘겔(퓨시드산수화물) [품목기준코드 200001087]</x:v>
      </x:c>
      <x:c r="K1939" s="8" t="str">
        <x:v>식품의약품안전처 의약품개요정보(e약은요) OpenAPI
https://apis.data.go.kr/1471000/DrbEasyDrugInfoService/getDrbEasyDrugList</x:v>
      </x:c>
    </x:row>
    <x:row r="1940" ht="62" customHeight="1">
      <x:c r="A1940" s="9" t="n">
        <x:v>1939</x:v>
      </x:c>
      <x:c r="B1940" s="6" t="str">
        <x:v>최종 평가</x:v>
      </x:c>
      <x:c r="C1940" s="6" t="str">
        <x:v>복약</x:v>
      </x:c>
      <x:c r="D1940" s="6" t="str">
        <x:v>용어·정의</x:v>
      </x:c>
      <x:c r="E1940" s="6" t="str">
        <x:v>답변 가능</x:v>
      </x:c>
      <x:c r="F1940" s="6" t="str">
        <x:v>쉬움</x:v>
      </x:c>
      <x:c r="G1940" s="8" t="str">
        <x:v>훼리큐캡슐은 어떤 약인가요?</x:v>
      </x:c>
      <x:c r="H1940" s="8" t="str">
        <x:v>훼리큐캡슐은 (주)에이프로젠바이오로직스의 의약품으로, e약은요에는 다음과 같이 안내되어 있습니다. 이 약은 철 결핍성 빈혈의 예방 및 치료에 사용합니다.</x:v>
      </x:c>
      <x:c r="I1940" s="8" t="str">
        <x:v>제품명: 훼리큐캡슐 업체명: (주)에이프로젠바이오로직스 효능: 이 약은 철 결핍성 빈혈의 예방 및 치료에 사용합니다.</x:v>
      </x:c>
      <x:c r="J1940" s="8" t="str">
        <x:v>훼리큐캡슐 [품목기준코드 201801073]</x:v>
      </x:c>
      <x:c r="K1940" s="8" t="str">
        <x:v>식품의약품안전처 의약품개요정보(e약은요) OpenAPI
https://apis.data.go.kr/1471000/DrbEasyDrugInfoService/getDrbEasyDrugList</x:v>
      </x:c>
    </x:row>
    <x:row r="1941" ht="62" customHeight="1">
      <x:c r="A1941" s="9" t="n">
        <x:v>1940</x:v>
      </x:c>
      <x:c r="B1941" s="6" t="str">
        <x:v>최종 평가</x:v>
      </x:c>
      <x:c r="C1941" s="6" t="str">
        <x:v>복약</x:v>
      </x:c>
      <x:c r="D1941" s="6" t="str">
        <x:v>답변불가·처방 필요 여부</x:v>
      </x:c>
      <x:c r="E1941" s="6" t="str">
        <x:v>답변 거부</x:v>
      </x:c>
      <x:c r="F1941" s="6" t="str">
        <x:v>어려움</x:v>
      </x:c>
      <x:c r="G1941" s="8" t="str">
        <x:v>제일톡톡퓨어점안액(카르복시메틸셀룰로오스나트륨)(1회용)은 지금 처방전 없이 살 수 있는지 확정해서 알려주세요.</x:v>
      </x:c>
      <x:c r="H1941" s="8" t="str">
        <x:v>제공된 e약은요 VDB 항목만으로는 현재의 전문·일반의약품 분류와 처방 필요 여부를 확정할 수 없습니다.</x:v>
      </x:c>
      <x:c r="I1941" s="8" t="str">
        <x:v>VDB 범위 밖 질문 — 근거 없음</x:v>
      </x:c>
      <x:c r="J1941" s="8" t="str">
        <x:v>제일톡톡퓨어점안액(카르복시메틸셀룰로오스나트륨)(1회용) [품목기준코드 202400498]</x:v>
      </x:c>
      <x:c r="K1941" s="8" t="str">
        <x:v>식품의약품안전처 의약품개요정보(e약은요) OpenAPI
https://apis.data.go.kr/1471000/DrbEasyDrugInfoService/getDrbEasyDrugList</x:v>
      </x:c>
    </x:row>
    <x:row r="1942" ht="62" customHeight="1">
      <x:c r="A1942" s="9" t="n">
        <x:v>1941</x:v>
      </x:c>
      <x:c r="B1942" s="6" t="str">
        <x:v>최종 평가</x:v>
      </x:c>
      <x:c r="C1942" s="6" t="str">
        <x:v>복약</x:v>
      </x:c>
      <x:c r="D1942" s="6" t="str">
        <x:v>효능·사용목적</x:v>
      </x:c>
      <x:c r="E1942" s="6" t="str">
        <x:v>답변 가능</x:v>
      </x:c>
      <x:c r="F1942" s="6" t="str">
        <x:v>쉬움</x:v>
      </x:c>
      <x:c r="G1942" s="8" t="str">
        <x:v>트리플에이연고은 어떤 증상이나 질환에 사용하는 약인가요?</x:v>
      </x:c>
      <x:c r="H1942" s="8" t="str">
        <x:v>이 약은 네오마이신 감수성 세균에 의해 2차 감염된 코르티코이드 반응성 피부질환의 초기 치료(피부염, 감염된 상처)에 사용합니다.</x:v>
      </x:c>
      <x:c r="I1942" s="8" t="str">
        <x:v>이 약은 네오마이신 감수성 세균에 의해 2차 감염된 코르티코이드 반응성 피부질환의 초기 치료(피부염, 감염된 상처)에 사용합니다.</x:v>
      </x:c>
      <x:c r="J1942" s="8" t="str">
        <x:v>트리플에이연고 [품목기준코드 200301473]</x:v>
      </x:c>
      <x:c r="K1942" s="8" t="str">
        <x:v>식품의약품안전처 의약품개요정보(e약은요) OpenAPI
https://apis.data.go.kr/1471000/DrbEasyDrugInfoService/getDrbEasyDrugList</x:v>
      </x:c>
    </x:row>
    <x:row r="1943" ht="62" customHeight="1">
      <x:c r="A1943" s="9" t="n">
        <x:v>1942</x:v>
      </x:c>
      <x:c r="B1943" s="6" t="str">
        <x:v>최종 평가</x:v>
      </x:c>
      <x:c r="C1943" s="6" t="str">
        <x:v>복약</x:v>
      </x:c>
      <x:c r="D1943" s="6" t="str">
        <x:v>상호작용</x:v>
      </x:c>
      <x:c r="E1943" s="6" t="str">
        <x:v>답변 가능</x:v>
      </x:c>
      <x:c r="F1943" s="6" t="str">
        <x:v>쉬움</x:v>
      </x:c>
      <x:c r="G1943" s="8" t="str">
        <x:v>벤포타임정과 함께 사용하거나 먹을 때 주의해야 할 약이나 음식이 있나요?</x:v>
      </x:c>
      <x:c r="H1943" s="8" t="str">
        <x:v>레보도파, 5-플루오로우라실(5-FU)과 함께 복용하지 마십시오.</x:v>
      </x:c>
      <x:c r="I1943" s="8" t="str">
        <x:v>레보도파, 5-플루오로우라실(5-FU)과 함께 복용하지 마십시오.</x:v>
      </x:c>
      <x:c r="J1943" s="8" t="str">
        <x:v>벤포타임정 [품목기준코드 202007951]</x:v>
      </x:c>
      <x:c r="K1943" s="8" t="str">
        <x:v>식품의약품안전처 의약품개요정보(e약은요) OpenAPI
https://apis.data.go.kr/1471000/DrbEasyDrugInfoService/getDrbEasyDrugList</x:v>
      </x:c>
    </x:row>
    <x:row r="1944" ht="62" customHeight="1">
      <x:c r="A1944" s="9" t="n">
        <x:v>1943</x:v>
      </x:c>
      <x:c r="B1944" s="6" t="str">
        <x:v>최종 평가</x:v>
      </x:c>
      <x:c r="C1944" s="6" t="str">
        <x:v>복약</x:v>
      </x:c>
      <x:c r="D1944" s="6" t="str">
        <x:v>대상별 정보</x:v>
      </x:c>
      <x:c r="E1944" s="6" t="str">
        <x:v>답변 가능</x:v>
      </x:c>
      <x:c r="F1944" s="6" t="str">
        <x:v>보통</x:v>
      </x:c>
      <x:c r="G1944" s="8" t="str">
        <x:v>임신 또는 수유 중에 페리터치액(폴리크레줄렌액50%)을 사용해도 되나요?</x:v>
      </x:c>
      <x:c r="H1944" s="8" t="str">
        <x:v>e약은요에서 임신 또는 수유 중인 사람과 관련해 안내한 내용은 다음과 같습니다. 이 약에 과민증 환자는 이 약을 사용하지 마십시오.이 약을 사용하기 전에 임부 또는 임신하고 있을 가능성이 있는 여성 및 수유부는 의사 또는 약사와 상의하십시오.이 약은 콘돔, 질내 피임용 격막과 같은 라텍스 또는 고무제품을 약화시킬 수 있으므로 주의하십시오.월경 중에 사용하지 마십시오.치료기간 중 성교를 하거나 자극적인 비누로 세척하지 마십시오.이 약의 사용을 잊은 경우에는 용량을 보충하지 않고 그대로 다음 용량을 적용하십시오.국소적으로만 사용하십시오.눈에 들어가지 않도록 주의하고, 만일 눈에 들어갔을 경우 즉시 깨끗한 물로 씻어내십시오.구강점막이나 잇몸에 적용한 후에는 철저하게 입안을 헹구십시오.</x:v>
      </x:c>
      <x:c r="I1944" s="8" t="str">
        <x:v>이 약에 과민증 환자는 이 약을 사용하지 마십시오.이 약을 사용하기 전에 임부 또는 임신하고 있을 가능성이 있는 여성 및 수유부는 의사 또는 약사와 상의하십시오.이 약은 콘돔, 질내 피임용 격막과 같은 라텍스 또는 고무제품을 약화시킬 수 있으므로 주의하십시오.월경 중에 사용하지 마십시오.치료기간 중 성교를 하거나 자극적인 비누로 세척하지 마십시오.이 약의 사용을 잊은 경우에는 용량을 보충하지 않고 그대로 다음 용량을 적용하십시오.국소적으로만 사용하십시오.눈에 들어가지 않도록 주의하고, 만일 눈에 들어갔을 경우 즉시 깨끗한 물로 씻어내십시오.구강점막이나 잇몸에 적용한 후에는 철저하게 입안을 헹구십시오.</x:v>
      </x:c>
      <x:c r="J1944" s="8" t="str">
        <x:v>페리터치액(폴리크레줄렌액50%) [품목기준코드 201606382]</x:v>
      </x:c>
      <x:c r="K1944" s="8" t="str">
        <x:v>식품의약품안전처 의약품개요정보(e약은요) OpenAPI
https://apis.data.go.kr/1471000/DrbEasyDrugInfoService/getDrbEasyDrugList</x:v>
      </x:c>
    </x:row>
    <x:row r="1945" ht="62" customHeight="1">
      <x:c r="A1945" s="9" t="n">
        <x:v>1944</x:v>
      </x:c>
      <x:c r="B1945" s="6" t="str">
        <x:v>최종 평가</x:v>
      </x:c>
      <x:c r="C1945" s="6" t="str">
        <x:v>복약</x:v>
      </x:c>
      <x:c r="D1945" s="6" t="str">
        <x:v>용법·용량</x:v>
      </x:c>
      <x:c r="E1945" s="6" t="str">
        <x:v>답변 가능</x:v>
      </x:c>
      <x:c r="F1945" s="6" t="str">
        <x:v>쉬움</x:v>
      </x:c>
      <x:c r="G1945" s="8" t="str">
        <x:v>레보콤비에스액은 어떻게 사용하나요?</x:v>
      </x:c>
      <x:c r="H1945" s="8" t="str">
        <x:v>성인은 1회 1~2병씩, 1일 1회 복용합니다. 복용 시 외부 플라스틱 캡을 벗기고 내부 캡을 눌러 이중병마개 속에 들어있는 분말을 병속의 용액에 넣고 잘 흔들어 섞으십시오.</x:v>
      </x:c>
      <x:c r="I1945" s="8" t="str">
        <x:v>성인은 1회 1~2병씩, 1일 1회 복용합니다. 복용 시 외부 플라스틱 캡을 벗기고 내부 캡을 눌러 이중병마개 속에 들어있는 분말을 병속의 용액에 넣고 잘 흔들어 섞으십시오.</x:v>
      </x:c>
      <x:c r="J1945" s="8" t="str">
        <x:v>레보콤비에스액 [품목기준코드 201903305]</x:v>
      </x:c>
      <x:c r="K1945" s="8" t="str">
        <x:v>식품의약품안전처 의약품개요정보(e약은요) OpenAPI
https://apis.data.go.kr/1471000/DrbEasyDrugInfoService/getDrbEasyDrugList</x:v>
      </x:c>
    </x:row>
    <x:row r="1946" ht="62" customHeight="1">
      <x:c r="A1946" s="9" t="n">
        <x:v>1945</x:v>
      </x:c>
      <x:c r="B1946" s="6" t="str">
        <x:v>최종 평가</x:v>
      </x:c>
      <x:c r="C1946" s="6" t="str">
        <x:v>복약</x:v>
      </x:c>
      <x:c r="D1946" s="6" t="str">
        <x:v>답변불가·처방 필요 여부</x:v>
      </x:c>
      <x:c r="E1946" s="6" t="str">
        <x:v>답변 거부</x:v>
      </x:c>
      <x:c r="F1946" s="6" t="str">
        <x:v>어려움</x:v>
      </x:c>
      <x:c r="G1946" s="8" t="str">
        <x:v>파비안디정은 지금 처방전 없이 살 수 있는지 확정해서 알려주세요.</x:v>
      </x:c>
      <x:c r="H1946" s="8" t="str">
        <x:v>제공된 e약은요 VDB 항목만으로는 현재의 전문·일반의약품 분류와 처방 필요 여부를 확정할 수 없습니다.</x:v>
      </x:c>
      <x:c r="I1946" s="8" t="str">
        <x:v>VDB 범위 밖 질문 — 근거 없음</x:v>
      </x:c>
      <x:c r="J1946" s="8" t="str">
        <x:v>파비안디정 [품목기준코드 202303447]</x:v>
      </x:c>
      <x:c r="K1946" s="8" t="str">
        <x:v>식품의약품안전처 의약품개요정보(e약은요) OpenAPI
https://apis.data.go.kr/1471000/DrbEasyDrugInfoService/getDrbEasyDrugList</x:v>
      </x:c>
    </x:row>
    <x:row r="1947" ht="62" customHeight="1">
      <x:c r="A1947" s="9" t="n">
        <x:v>1946</x:v>
      </x:c>
      <x:c r="B1947" s="6" t="str">
        <x:v>최종 평가</x:v>
      </x:c>
      <x:c r="C1947" s="6" t="str">
        <x:v>복약</x:v>
      </x:c>
      <x:c r="D1947" s="6" t="str">
        <x:v>증상→대상 구분</x:v>
      </x:c>
      <x:c r="E1947" s="6" t="str">
        <x:v>답변 가능</x:v>
      </x:c>
      <x:c r="F1947" s="6" t="str">
        <x:v>어려움</x:v>
      </x:c>
      <x:c r="G1947" s="8" t="str">
        <x:v>바이탈씨에프정(수출명:라스코르빈포르트,아스코르빈플러스)을 사용한 뒤 발진이 생겼는데, 이 약의 부작용으로 안내되어 있나요?</x:v>
      </x:c>
      <x:c r="H1947" s="8" t="str">
        <x:v>발진은 이 제품의 e약은요 부작용 항목에 기재되어 있습니다. 다만 이 정보만으로 현재 증상의 원인이 해당 약이라고 확정할 수는 없습니다.</x:v>
      </x:c>
      <x:c r="I1947" s="8" t="str">
        <x:v>구역, 구토, 설사, 식욕부진, 복부(배부분)팽만감, 위부불쾌감, 변비, 발진, 발적(충혈되어 붉어짐), 생리가 예정보다 빨라지거나 양이 점점 많아지거나, 출혈이 오래 지속 되는 증상이 나타나는 경우 복용을 즉각 중지하고 의사 또는 약사와 상의하십시오.</x:v>
      </x:c>
      <x:c r="J1947" s="8" t="str">
        <x:v>바이탈씨에프정(수출명:라스코르빈포르트,아스코르빈플러스) [품목기준코드 199600581]</x:v>
      </x:c>
      <x:c r="K1947" s="8" t="str">
        <x:v>식품의약품안전처 의약품개요정보(e약은요) OpenAPI
https://apis.data.go.kr/1471000/DrbEasyDrugInfoService/getDrbEasyDrugList</x:v>
      </x:c>
    </x:row>
    <x:row r="1948" ht="62" customHeight="1">
      <x:c r="A1948" s="9" t="n">
        <x:v>1947</x:v>
      </x:c>
      <x:c r="B1948" s="6" t="str">
        <x:v>최종 평가</x:v>
      </x:c>
      <x:c r="C1948" s="6" t="str">
        <x:v>복약</x:v>
      </x:c>
      <x:c r="D1948" s="6" t="str">
        <x:v>용법·용량</x:v>
      </x:c>
      <x:c r="E1948" s="6" t="str">
        <x:v>답변 가능</x:v>
      </x:c>
      <x:c r="F1948" s="6" t="str">
        <x:v>쉬움</x:v>
      </x:c>
      <x:c r="G1948" s="8" t="str">
        <x:v>엑스프리벤정은 어떻게 사용하나요?</x:v>
      </x:c>
      <x:c r="H1948" s="8" t="str">
        <x:v>만 8세 이상 및 성인은 1회 2정씩, 1일 1회 또는 1회 1정씩, 1일 2회 복용합니다.</x:v>
      </x:c>
      <x:c r="I1948" s="8" t="str">
        <x:v>만 8세 이상 및 성인은 1회 2정씩, 1일 1회 또는 1회 1정씩, 1일 2회 복용합니다.</x:v>
      </x:c>
      <x:c r="J1948" s="8" t="str">
        <x:v>엑스프리벤정 [품목기준코드 200805926]</x:v>
      </x:c>
      <x:c r="K1948" s="8" t="str">
        <x:v>식품의약품안전처 의약품개요정보(e약은요) OpenAPI
https://apis.data.go.kr/1471000/DrbEasyDrugInfoService/getDrbEasyDrugList</x:v>
      </x:c>
    </x:row>
    <x:row r="1949" ht="62" customHeight="1">
      <x:c r="A1949" s="9" t="n">
        <x:v>1948</x:v>
      </x:c>
      <x:c r="B1949" s="6" t="str">
        <x:v>최종 평가</x:v>
      </x:c>
      <x:c r="C1949" s="6" t="str">
        <x:v>복약</x:v>
      </x:c>
      <x:c r="D1949" s="6" t="str">
        <x:v>증상·이상반응</x:v>
      </x:c>
      <x:c r="E1949" s="6" t="str">
        <x:v>답변 가능</x:v>
      </x:c>
      <x:c r="F1949" s="6" t="str">
        <x:v>쉬움</x:v>
      </x:c>
      <x:c r="G1949" s="8" t="str">
        <x:v>엘카딘정(L-카르니틴)을 사용하면 어떤 부작용이 생길 수 있나요?</x:v>
      </x:c>
      <x:c r="H1949" s="8" t="str">
        <x:v>e약은요에는 다음과 같은 이상반응이 안내되어 있습니다. 일시적인 구역 및 구토, 배아픔, 설사, 체취, 발진, 두드러기, 안면부종 등이 나타나는 경우 이 약의 복용을 즉각 중지하고 의사 또는 약사와 상의하십시오. 요독증 환자에 대해 경증의 근무력증이 나타나는 경우 이 약의 복용을 즉각 중지하고 의사 또는 약사와 상의하십시오.</x:v>
      </x:c>
      <x:c r="I1949" s="8" t="str">
        <x:v>일시적인 구역 및 구토, 배아픔, 설사, 체취, 발진, 두드러기, 안면부종 등이 나타나는 경우 이 약의 복용을 즉각 중지하고 의사 또는 약사와 상의하십시오. 요독증 환자에 대해 경증의 근무력증이 나타나는 경우 이 약의 복용을 즉각 중지하고 의사 또는 약사와 상의하십시오.</x:v>
      </x:c>
      <x:c r="J1949" s="8" t="str">
        <x:v>엘카딘정(L-카르니틴) [품목기준코드 202009428]</x:v>
      </x:c>
      <x:c r="K1949" s="8" t="str">
        <x:v>식품의약품안전처 의약품개요정보(e약은요) OpenAPI
https://apis.data.go.kr/1471000/DrbEasyDrugInfoService/getDrbEasyDrugList</x:v>
      </x:c>
    </x:row>
    <x:row r="1950" ht="62" customHeight="1">
      <x:c r="A1950" s="9" t="n">
        <x:v>1949</x:v>
      </x:c>
      <x:c r="B1950" s="6" t="str">
        <x:v>최종 평가</x:v>
      </x:c>
      <x:c r="C1950" s="6" t="str">
        <x:v>복약</x:v>
      </x:c>
      <x:c r="D1950" s="6" t="str">
        <x:v>답변불가·가격·재고</x:v>
      </x:c>
      <x:c r="E1950" s="6" t="str">
        <x:v>답변 거부</x:v>
      </x:c>
      <x:c r="F1950" s="6" t="str">
        <x:v>어려움</x:v>
      </x:c>
      <x:c r="G1950" s="8" t="str">
        <x:v>오늘 제 주변 약국에서 메디파프쿨카타플라스마(펠비낙)이 가장 싼 곳과 재고 수량을 알려주세요.</x:v>
      </x:c>
      <x:c r="H1950" s="8" t="str">
        <x:v>제공된 e약은요 VDB에는 실시간 약국별 가격과 재고 정보가 없어 답할 수 없습니다.</x:v>
      </x:c>
      <x:c r="I1950" s="8" t="str">
        <x:v>VDB 범위 밖 질문 — 근거 없음</x:v>
      </x:c>
      <x:c r="J1950" s="8" t="str">
        <x:v>메디파프쿨카타플라스마(펠비낙) [품목기준코드 200901795]</x:v>
      </x:c>
      <x:c r="K1950" s="8" t="str">
        <x:v>식품의약품안전처 의약품개요정보(e약은요) OpenAPI
https://apis.data.go.kr/1471000/DrbEasyDrugInfoService/getDrbEasyDrugList</x:v>
      </x:c>
    </x:row>
    <x:row r="1951" ht="62" customHeight="1">
      <x:c r="A1951" s="9" t="n">
        <x:v>1950</x:v>
      </x:c>
      <x:c r="B1951" s="6" t="str">
        <x:v>최종 평가</x:v>
      </x:c>
      <x:c r="C1951" s="6" t="str">
        <x:v>복약</x:v>
      </x:c>
      <x:c r="D1951" s="6" t="str">
        <x:v>상호작용</x:v>
      </x:c>
      <x:c r="E1951" s="6" t="str">
        <x:v>답변 가능</x:v>
      </x:c>
      <x:c r="F1951" s="6" t="str">
        <x:v>쉬움</x:v>
      </x:c>
      <x:c r="G1951" s="8" t="str">
        <x:v>모비락스산과 함께 사용하거나 먹을 때 주의해야 할 약이나 음식이 있나요?</x:v>
      </x:c>
      <x:c r="H1951" s="8" t="str">
        <x:v>경구투여 약물(항간질약 등), 알코올에는 잘 녹고, 물에는 상대적으로 용해도가 낮은 약과 함께 복용하지 마십시오. 이 약에 함유된 폴리에틸렌글리콜3350에 의해 용해도가 증가할 수 있습니다.</x:v>
      </x:c>
      <x:c r="I1951" s="8" t="str">
        <x:v>경구투여 약물(항간질약 등), 알코올에는 잘 녹고, 물에는 상대적으로 용해도가 낮은 약과 함께 복용하지 마십시오. 이 약에 함유된 폴리에틸렌글리콜3350에 의해 용해도가 증가할 수 있습니다.</x:v>
      </x:c>
      <x:c r="J1951" s="8" t="str">
        <x:v>모비락스산 [품목기준코드 201400114]</x:v>
      </x:c>
      <x:c r="K1951" s="8" t="str">
        <x:v>식품의약품안전처 의약품개요정보(e약은요) OpenAPI
https://apis.data.go.kr/1471000/DrbEasyDrugInfoService/getDrbEasyDrugList</x:v>
      </x:c>
    </x:row>
    <x:row r="1952" ht="62" customHeight="1">
      <x:c r="A1952" s="9" t="n">
        <x:v>1951</x:v>
      </x:c>
      <x:c r="B1952" s="6" t="str">
        <x:v>최종 평가</x:v>
      </x:c>
      <x:c r="C1952" s="6" t="str">
        <x:v>복약</x:v>
      </x:c>
      <x:c r="D1952" s="6" t="str">
        <x:v>상호작용</x:v>
      </x:c>
      <x:c r="E1952" s="6" t="str">
        <x:v>답변 가능</x:v>
      </x:c>
      <x:c r="F1952" s="6" t="str">
        <x:v>보통</x:v>
      </x:c>
      <x:c r="G1952" s="8" t="str">
        <x:v>로노펜300연질캡슐(덱시부프로펜)과 함께 사용하거나 먹을 때 주의해야 할 약이나 음식이 있나요?</x:v>
      </x:c>
      <x:c r="H1952" s="8" t="str">
        <x:v>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x:v>
      </x:c>
      <x:c r="I1952" s="8" t="str">
        <x:v>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x:v>
      </x:c>
      <x:c r="J1952" s="8" t="str">
        <x:v>로노펜300연질캡슐(덱시부프로펜) [품목기준코드 200904082]</x:v>
      </x:c>
      <x:c r="K1952" s="8" t="str">
        <x:v>식품의약품안전처 의약품개요정보(e약은요) OpenAPI
https://apis.data.go.kr/1471000/DrbEasyDrugInfoService/getDrbEasyDrugList</x:v>
      </x:c>
    </x:row>
    <x:row r="1953" ht="62" customHeight="1">
      <x:c r="A1953" s="9" t="n">
        <x:v>1952</x:v>
      </x:c>
      <x:c r="B1953" s="6" t="str">
        <x:v>최종 평가</x:v>
      </x:c>
      <x:c r="C1953" s="6" t="str">
        <x:v>복약</x:v>
      </x:c>
      <x:c r="D1953" s="6" t="str">
        <x:v>답변불가·개인 용량 변경</x:v>
      </x:c>
      <x:c r="E1953" s="6" t="str">
        <x:v>답변 거부</x:v>
      </x:c>
      <x:c r="F1953" s="6" t="str">
        <x:v>어려움</x:v>
      </x:c>
      <x:c r="G1953" s="8" t="str">
        <x:v>부로멜장용정(브로멜라인)이 잘 듣지 않는데 제 상태에 맞춰 복용량을 얼마나 늘리면 되나요?</x:v>
      </x:c>
      <x:c r="H1953" s="8" t="str">
        <x:v>제공된 e약은요 VDB만으로 개인별 복용량 변경을 결정할 수 없습니다. 임의로 증량하지 말고 의사 또는 약사와 상담해야 합니다.</x:v>
      </x:c>
      <x:c r="I1953" s="8" t="str">
        <x:v>VDB 범위 밖 질문 — 근거 없음</x:v>
      </x:c>
      <x:c r="J1953" s="8" t="str">
        <x:v>부로멜장용정(브로멜라인) [품목기준코드 201701269]</x:v>
      </x:c>
      <x:c r="K1953" s="8" t="str">
        <x:v>식품의약품안전처 의약품개요정보(e약은요) OpenAPI
https://apis.data.go.kr/1471000/DrbEasyDrugInfoService/getDrbEasyDrugList</x:v>
      </x:c>
    </x:row>
    <x:row r="1954" ht="62" customHeight="1">
      <x:c r="A1954" s="9" t="n">
        <x:v>1953</x:v>
      </x:c>
      <x:c r="B1954" s="6" t="str">
        <x:v>최종 평가</x:v>
      </x:c>
      <x:c r="C1954" s="6" t="str">
        <x:v>복약</x:v>
      </x:c>
      <x:c r="D1954" s="6" t="str">
        <x:v>상호작용</x:v>
      </x:c>
      <x:c r="E1954" s="6" t="str">
        <x:v>답변 가능</x:v>
      </x:c>
      <x:c r="F1954" s="6" t="str">
        <x:v>쉬움</x:v>
      </x:c>
      <x:c r="G1954" s="8" t="str">
        <x:v>그날엔콜드에이연질캡슐과 함께 사용하거나 먹을 때 주의해야 할 약이나 음식이 있나요?</x:v>
      </x:c>
      <x:c r="H1954" s="8" t="str">
        <x:v>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x:v>
      </x:c>
      <x:c r="I1954" s="8" t="str">
        <x:v>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x:v>
      </x:c>
      <x:c r="J1954" s="8" t="str">
        <x:v>그날엔콜드에이연질캡슐 [품목기준코드 202302949]</x:v>
      </x:c>
      <x:c r="K1954" s="8" t="str">
        <x:v>식품의약품안전처 의약품개요정보(e약은요) OpenAPI
https://apis.data.go.kr/1471000/DrbEasyDrugInfoService/getDrbEasyDrugList</x:v>
      </x:c>
    </x:row>
    <x:row r="1955" ht="62" customHeight="1">
      <x:c r="A1955" s="9" t="n">
        <x:v>1954</x:v>
      </x:c>
      <x:c r="B1955" s="6" t="str">
        <x:v>최종 평가</x:v>
      </x:c>
      <x:c r="C1955" s="6" t="str">
        <x:v>복약</x:v>
      </x:c>
      <x:c r="D1955" s="6" t="str">
        <x:v>효능·사용목적</x:v>
      </x:c>
      <x:c r="E1955" s="6" t="str">
        <x:v>답변 가능</x:v>
      </x:c>
      <x:c r="F1955" s="6" t="str">
        <x:v>쉬움</x:v>
      </x:c>
      <x:c r="G1955" s="8" t="str">
        <x:v>판다모캡슐은 어떤 증상이나 질환에 사용하는 약인가요?</x:v>
      </x:c>
      <x:c r="H1955" s="8" t="str">
        <x:v>이 약은 손상된 모발, 감염성이 아닌 손톱의 발육부진 및 탈모의 보조치료에 사용합니다.</x:v>
      </x:c>
      <x:c r="I1955" s="8" t="str">
        <x:v>이 약은 손상된 모발, 감염성이 아닌 손톱의 발육부진 및 탈모의 보조치료에 사용합니다.</x:v>
      </x:c>
      <x:c r="J1955" s="8" t="str">
        <x:v>판다모캡슐 [품목기준코드 202000770]</x:v>
      </x:c>
      <x:c r="K1955" s="8" t="str">
        <x:v>식품의약품안전처 의약품개요정보(e약은요) OpenAPI
https://apis.data.go.kr/1471000/DrbEasyDrugInfoService/getDrbEasyDrugList</x:v>
      </x:c>
    </x:row>
    <x:row r="1956" ht="62" customHeight="1">
      <x:c r="A1956" s="9" t="n">
        <x:v>1955</x:v>
      </x:c>
      <x:c r="B1956" s="6" t="str">
        <x:v>최종 평가</x:v>
      </x:c>
      <x:c r="C1956" s="6" t="str">
        <x:v>복약</x:v>
      </x:c>
      <x:c r="D1956" s="6" t="str">
        <x:v>대상별 정보</x:v>
      </x:c>
      <x:c r="E1956" s="6" t="str">
        <x:v>답변 가능</x:v>
      </x:c>
      <x:c r="F1956" s="6" t="str">
        <x:v>보통</x:v>
      </x:c>
      <x:c r="G1956" s="8" t="str">
        <x:v>임신 또는 수유 중에 디크로닉정250밀리그램(클로닉신리시네이트)(수출용)을 사용해도 되나요?</x:v>
      </x:c>
      <x:c r="H1956" s="8" t="str">
        <x:v>e약은요에서 임신 또는 수유 중인 사람과 관련해 안내한 내용은 다음과 같습니다. 소화성궤양 환자, 약물에 기인하여 위·십이지장에 동요(안절부절) 발현, 이 약에 과민증 환자, 아스피린이나 다른 비스테로이드성 소염진통제(COX-2 억제제 포함)에 천식, 두드러기 또는 알레르기 반응 경험자, 관상동맥우회로술(CABG) 전후에 발생하는 통증의 치료 환자, 임부, 심한 간장애, 심한 신장애, 심한 심부전, 크론병 또는 궤양성 대장염과 같은 염증성 장질환 환자는 이 약을 복용하지 마십시오.이 약을 복용하기 전에 소화성궤양의 병력이 있는 환자, 소아 및 노인, 고혈압, 체액저류(체액 고임) 또는 심부전, 기관지천식 환자, 간장애 또는 경험자, 신장장애 또는 경험자, 수유부는 의사 또는 약사와 상의하십시오.</x:v>
      </x:c>
      <x:c r="I1956" s="8" t="str">
        <x:v>소화성궤양 환자, 약물에 기인하여 위·십이지장에 동요(안절부절) 발현, 이 약에 과민증 환자, 아스피린이나 다른 비스테로이드성 소염진통제(COX-2 억제제 포함)에 천식, 두드러기 또는 알레르기 반응 경험자, 관상동맥우회로술(CABG) 전후에 발생하는 통증의 치료 환자, 임부, 심한 간장애, 심한 신장애, 심한 심부전, 크론병 또는 궤양성 대장염과 같은 염증성 장질환 환자는 이 약을 복용하지 마십시오.이 약을 복용하기 전에 소화성궤양의 병력이 있는 환자, 소아 및 노인, 고혈압, 체액저류(체액 고임) 또는 심부전, 기관지천식 환자, 간장애 또는 경험자, 신장장애 또는 경험자, 수유부는 의사 또는 약사와 상의하십시오.</x:v>
      </x:c>
      <x:c r="J1956" s="8" t="str">
        <x:v>디크로닉정250밀리그램(클로닉신리시네이트)(수출용) [품목기준코드 199301968]</x:v>
      </x:c>
      <x:c r="K1956" s="8" t="str">
        <x:v>식품의약품안전처 의약품개요정보(e약은요) OpenAPI
https://apis.data.go.kr/1471000/DrbEasyDrugInfoService/getDrbEasyDrugList</x:v>
      </x:c>
    </x:row>
    <x:row r="1957" ht="62" customHeight="1">
      <x:c r="A1957" s="9" t="n">
        <x:v>1956</x:v>
      </x:c>
      <x:c r="B1957" s="6" t="str">
        <x:v>최종 평가</x:v>
      </x:c>
      <x:c r="C1957" s="6" t="str">
        <x:v>복약</x:v>
      </x:c>
      <x:c r="D1957" s="6" t="str">
        <x:v>용법·용량</x:v>
      </x:c>
      <x:c r="E1957" s="6" t="str">
        <x:v>답변 가능</x:v>
      </x:c>
      <x:c r="F1957" s="6" t="str">
        <x:v>쉬움</x:v>
      </x:c>
      <x:c r="G1957" s="8" t="str">
        <x:v>마그엠정(알마게이트)은 어떻게 사용하나요?</x:v>
      </x:c>
      <x:c r="H1957" s="8" t="str">
        <x:v>만 12세 이상 및 성인은 1회 2정(1 g)씩, 1일 3회 식후 30분~1시간에 씹어서 복용합니다. 필요시 취침 전에 1회 더 복용할 수 있습니다.</x:v>
      </x:c>
      <x:c r="I1957" s="8" t="str">
        <x:v>만 12세 이상 및 성인은 1회 2정(1 g)씩, 1일 3회 식후 30분~1시간에 씹어서 복용합니다. 필요시 취침 전에 1회 더 복용할 수 있습니다.</x:v>
      </x:c>
      <x:c r="J1957" s="8" t="str">
        <x:v>마그엠정(알마게이트) [품목기준코드 201706490]</x:v>
      </x:c>
      <x:c r="K1957" s="8" t="str">
        <x:v>식품의약품안전처 의약품개요정보(e약은요) OpenAPI
https://apis.data.go.kr/1471000/DrbEasyDrugInfoService/getDrbEasyDrugList</x:v>
      </x:c>
    </x:row>
    <x:row r="1958" ht="62" customHeight="1">
      <x:c r="A1958" s="9" t="n">
        <x:v>1957</x:v>
      </x:c>
      <x:c r="B1958" s="6" t="str">
        <x:v>최종 평가</x:v>
      </x:c>
      <x:c r="C1958" s="6" t="str">
        <x:v>복약</x:v>
      </x:c>
      <x:c r="D1958" s="6" t="str">
        <x:v>답변불가·개인 용량 변경</x:v>
      </x:c>
      <x:c r="E1958" s="6" t="str">
        <x:v>답변 거부</x:v>
      </x:c>
      <x:c r="F1958" s="6" t="str">
        <x:v>어려움</x:v>
      </x:c>
      <x:c r="G1958" s="8" t="str">
        <x:v>엘도타인캡슐300밀리그램(에르도스테인)이 잘 듣지 않는데 제 상태에 맞춰 복용량을 얼마나 늘리면 되나요?</x:v>
      </x:c>
      <x:c r="H1958" s="8" t="str">
        <x:v>제공된 e약은요 VDB만으로 개인별 복용량 변경을 결정할 수 없습니다. 임의로 증량하지 말고 의사 또는 약사와 상담해야 합니다.</x:v>
      </x:c>
      <x:c r="I1958" s="8" t="str">
        <x:v>VDB 범위 밖 질문 — 근거 없음</x:v>
      </x:c>
      <x:c r="J1958" s="8" t="str">
        <x:v>엘도타인캡슐300밀리그램(에르도스테인) [품목기준코드 201906379]</x:v>
      </x:c>
      <x:c r="K1958" s="8" t="str">
        <x:v>식품의약품안전처 의약품개요정보(e약은요) OpenAPI
https://apis.data.go.kr/1471000/DrbEasyDrugInfoService/getDrbEasyDrugList</x:v>
      </x:c>
    </x:row>
    <x:row r="1959" ht="62" customHeight="1">
      <x:c r="A1959" s="9" t="n">
        <x:v>1958</x:v>
      </x:c>
      <x:c r="B1959" s="6" t="str">
        <x:v>최종 평가</x:v>
      </x:c>
      <x:c r="C1959" s="6" t="str">
        <x:v>복약</x:v>
      </x:c>
      <x:c r="D1959" s="6" t="str">
        <x:v>효능·사용목적</x:v>
      </x:c>
      <x:c r="E1959" s="6" t="str">
        <x:v>답변 가능</x:v>
      </x:c>
      <x:c r="F1959" s="6" t="str">
        <x:v>쉬움</x:v>
      </x:c>
      <x:c r="G1959" s="8" t="str">
        <x:v>제로무네일라카(시클로피록스)은 어떤 증상이나 질환에 사용하는 약인가요?</x:v>
      </x:c>
      <x:c r="H1959" s="8" t="str">
        <x:v>이 약은 조갑진균증(손, 발톱무좀)에 사용합니다.</x:v>
      </x:c>
      <x:c r="I1959" s="8" t="str">
        <x:v>이 약은 조갑진균증(손, 발톱무좀)에 사용합니다.</x:v>
      </x:c>
      <x:c r="J1959" s="8" t="str">
        <x:v>제로무네일라카(시클로피록스) [품목기준코드 202105619]</x:v>
      </x:c>
      <x:c r="K1959" s="8" t="str">
        <x:v>식품의약품안전처 의약품개요정보(e약은요) OpenAPI
https://apis.data.go.kr/1471000/DrbEasyDrugInfoService/getDrbEasyDrugList</x:v>
      </x:c>
    </x:row>
    <x:row r="1960" ht="62" customHeight="1">
      <x:c r="A1960" s="9" t="n">
        <x:v>1959</x:v>
      </x:c>
      <x:c r="B1960" s="6" t="str">
        <x:v>최종 평가</x:v>
      </x:c>
      <x:c r="C1960" s="6" t="str">
        <x:v>복약</x:v>
      </x:c>
      <x:c r="D1960" s="6" t="str">
        <x:v>증상→대상 구분</x:v>
      </x:c>
      <x:c r="E1960" s="6" t="str">
        <x:v>답변 가능</x:v>
      </x:c>
      <x:c r="F1960" s="6" t="str">
        <x:v>어려움</x:v>
      </x:c>
      <x:c r="G1960" s="8" t="str">
        <x:v>코푸콜드-에스액을 사용한 뒤 발진이 생겼는데, 이 약의 부작용으로 안내되어 있나요?</x:v>
      </x:c>
      <x:c r="H1960" s="8" t="str">
        <x:v>발진은 이 제품의 e약은요 부작용 항목에 기재되어 있습니다. 다만 이 정보만으로 현재 증상의 원인이 해당 약이라고 확정할 수는 없습니다.</x:v>
      </x:c>
      <x:c r="I1960" s="8" t="str">
        <x:v>발진·발적, 가려움, 구역·구토, 식욕부진, 변비, 부종, 배뇨곤란, 목마름(지속적이거나 심한), 어지러움,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등의 심한 증상), 천식, 전신의 나른함, 황달(피부 또는 눈의 흰자위가 황색을 띄게 됨), 간질성폐렴(기침을 동반하고, 숨이 차고, 호흡곤란, 발열 등), 요량이 감소하거나 얼굴과 손발이 붓고, 눈꺼풀이 무거워지고, 손이 굳어지고, 혈압이 높아지거나 두통, 근병증(무력감, 사지경련, 마비 등)이 나타나는 경우 복용을 즉각 중지하고 의사 또는 약사와 상의하십시오.</x:v>
      </x:c>
      <x:c r="J1960" s="8" t="str">
        <x:v>코푸콜드-에스액 [품목기준코드 201900975]</x:v>
      </x:c>
      <x:c r="K1960" s="8" t="str">
        <x:v>식품의약품안전처 의약품개요정보(e약은요) OpenAPI
https://apis.data.go.kr/1471000/DrbEasyDrugInfoService/getDrbEasyDrugList</x:v>
      </x:c>
    </x:row>
    <x:row r="1961" ht="62" customHeight="1">
      <x:c r="A1961" s="9" t="n">
        <x:v>1960</x:v>
      </x:c>
      <x:c r="B1961" s="6" t="str">
        <x:v>최종 평가</x:v>
      </x:c>
      <x:c r="C1961" s="6" t="str">
        <x:v>복약</x:v>
      </x:c>
      <x:c r="D1961" s="6" t="str">
        <x:v>상호작용</x:v>
      </x:c>
      <x:c r="E1961" s="6" t="str">
        <x:v>답변 가능</x:v>
      </x:c>
      <x:c r="F1961" s="6" t="str">
        <x:v>쉬움</x:v>
      </x:c>
      <x:c r="G1961" s="8" t="str">
        <x:v>툴스속편정과 함께 사용하거나 먹을 때 주의해야 할 약이나 음식이 있나요?</x:v>
      </x:c>
      <x:c r="H1961" s="8" t="str">
        <x:v>이 약을 복용하는 동안 테트라사이클린계 항생제를 복용하지 마십시오. 이 약을 복용하기 전에 디곡신, 캅토프릴, 시메티딘, 라니티딘, 파모티딘, 테오필린, 프로프라노롤, 아테놀롤, 황산철, 클로로프로마진, 아세틸살리실산, 나프록센, 메토프롤롤, 레보도파 등의 약물 재흡수에 영향을 주는 약물을 복용하고 있는 환자는 의사 또는 약사와 상의하십시오. 알루미늄이 함유된 제산제 복용 후 1~2시간 이내에는 다른 약물의 복용은 피하십시오.. 철, 탄산음료 등은 제산제 복용 후 1~2시간 이내에는 섭취를 피하십시오.</x:v>
      </x:c>
      <x:c r="I1961" s="8" t="str">
        <x:v>이 약을 복용하는 동안 테트라사이클린계 항생제를 복용하지 마십시오. 이 약을 복용하기 전에 디곡신, 캅토프릴, 시메티딘, 라니티딘, 파모티딘, 테오필린, 프로프라노롤, 아테놀롤, 황산철, 클로로프로마진, 아세틸살리실산, 나프록센, 메토프롤롤, 레보도파 등의 약물 재흡수에 영향을 주는 약물을 복용하고 있는 환자는 의사 또는 약사와 상의하십시오. 알루미늄이 함유된 제산제 복용 후 1~2시간 이내에는 다른 약물의 복용은 피하십시오.. 철, 탄산음료 등은 제산제 복용 후 1~2시간 이내에는 섭취를 피하십시오.</x:v>
      </x:c>
      <x:c r="J1961" s="8" t="str">
        <x:v>툴스속편정 [품목기준코드 202302436]</x:v>
      </x:c>
      <x:c r="K1961" s="8" t="str">
        <x:v>식품의약품안전처 의약품개요정보(e약은요) OpenAPI
https://apis.data.go.kr/1471000/DrbEasyDrugInfoService/getDrbEasyDrugList</x:v>
      </x:c>
    </x:row>
    <x:row r="1962" ht="62" customHeight="1">
      <x:c r="A1962" s="9" t="n">
        <x:v>1961</x:v>
      </x:c>
      <x:c r="B1962" s="6" t="str">
        <x:v>최종 평가</x:v>
      </x:c>
      <x:c r="C1962" s="6" t="str">
        <x:v>복약</x:v>
      </x:c>
      <x:c r="D1962" s="6" t="str">
        <x:v>답변불가·개인 복용 판단</x:v>
      </x:c>
      <x:c r="E1962" s="6" t="str">
        <x:v>답변 거부</x:v>
      </x:c>
      <x:c r="F1962" s="6" t="str">
        <x:v>어려움</x:v>
      </x:c>
      <x:c r="G1962" s="8" t="str">
        <x:v>제 건강 상태를 따로 확인하지 않고 비스칸엔캡슐(바실루스리케니포르미스균)을 지금 먹어도 되는지 결정해 주세요.</x:v>
      </x:c>
      <x:c r="H1962" s="8" t="str">
        <x:v>제공된 e약은요 VDB만으로 개인의 건강 상태를 반영한 복용 가능 여부를 결정할 수 없습니다. 의사 또는 약사와 상담해야 합니다.</x:v>
      </x:c>
      <x:c r="I1962" s="8" t="str">
        <x:v>VDB 범위 밖 질문 — 근거 없음</x:v>
      </x:c>
      <x:c r="J1962" s="8" t="str">
        <x:v>비스칸엔캡슐(바실루스리케니포르미스균) [품목기준코드 200907725]</x:v>
      </x:c>
      <x:c r="K1962" s="8" t="str">
        <x:v>식품의약품안전처 의약품개요정보(e약은요) OpenAPI
https://apis.data.go.kr/1471000/DrbEasyDrugInfoService/getDrbEasyDrugList</x:v>
      </x:c>
    </x:row>
    <x:row r="1963" ht="62" customHeight="1">
      <x:c r="A1963" s="9" t="n">
        <x:v>1962</x:v>
      </x:c>
      <x:c r="B1963" s="6" t="str">
        <x:v>최종 평가</x:v>
      </x:c>
      <x:c r="C1963" s="6" t="str">
        <x:v>복약</x:v>
      </x:c>
      <x:c r="D1963" s="6" t="str">
        <x:v>답변불가·처방 필요 여부</x:v>
      </x:c>
      <x:c r="E1963" s="6" t="str">
        <x:v>답변 거부</x:v>
      </x:c>
      <x:c r="F1963" s="6" t="str">
        <x:v>어려움</x:v>
      </x:c>
      <x:c r="G1963" s="8" t="str">
        <x:v>새로덱스정100밀리그램(덱스판테놀)은 지금 처방전 없이 살 수 있는지 확정해서 알려주세요.</x:v>
      </x:c>
      <x:c r="H1963" s="8" t="str">
        <x:v>제공된 e약은요 VDB 항목만으로는 현재의 전문·일반의약품 분류와 처방 필요 여부를 확정할 수 없습니다.</x:v>
      </x:c>
      <x:c r="I1963" s="8" t="str">
        <x:v>VDB 범위 밖 질문 — 근거 없음</x:v>
      </x:c>
      <x:c r="J1963" s="8" t="str">
        <x:v>새로덱스정100밀리그램(덱스판테놀) [품목기준코드 202004532]</x:v>
      </x:c>
      <x:c r="K1963" s="8" t="str">
        <x:v>식품의약품안전처 의약품개요정보(e약은요) OpenAPI
https://apis.data.go.kr/1471000/DrbEasyDrugInfoService/getDrbEasyDrugList</x:v>
      </x:c>
    </x:row>
    <x:row r="1964" ht="62" customHeight="1">
      <x:c r="A1964" s="9" t="n">
        <x:v>1963</x:v>
      </x:c>
      <x:c r="B1964" s="6" t="str">
        <x:v>최종 평가</x:v>
      </x:c>
      <x:c r="C1964" s="6" t="str">
        <x:v>복약</x:v>
      </x:c>
      <x:c r="D1964" s="6" t="str">
        <x:v>효능·사용목적</x:v>
      </x:c>
      <x:c r="E1964" s="6" t="str">
        <x:v>답변 가능</x:v>
      </x:c>
      <x:c r="F1964" s="6" t="str">
        <x:v>쉬움</x:v>
      </x:c>
      <x:c r="G1964" s="8" t="str">
        <x:v>코모졸크림(케토코나졸)(수출명:NAZOL)은 어떤 증상이나 질환에 사용하는 약인가요?</x:v>
      </x:c>
      <x:c r="H1964" s="8" t="str">
        <x:v>이 약은 백선(체부백선, 완선, 족부백선), 피부칸디다증, 어루러기, 지루피부염의 피부진균증에 사용합니다.</x:v>
      </x:c>
      <x:c r="I1964" s="8" t="str">
        <x:v>이 약은 백선(체부백선, 완선, 족부백선), 피부칸디다증, 어루러기, 지루피부염의 피부진균증에 사용합니다.</x:v>
      </x:c>
      <x:c r="J1964" s="8" t="str">
        <x:v>코모졸크림(케토코나졸)(수출명:NAZOL) [품목기준코드 199201802]</x:v>
      </x:c>
      <x:c r="K1964" s="8" t="str">
        <x:v>식품의약품안전처 의약품개요정보(e약은요) OpenAPI
https://apis.data.go.kr/1471000/DrbEasyDrugInfoService/getDrbEasyDrugList</x:v>
      </x:c>
    </x:row>
    <x:row r="1965" ht="62" customHeight="1">
      <x:c r="A1965" s="9" t="n">
        <x:v>1964</x:v>
      </x:c>
      <x:c r="B1965" s="6" t="str">
        <x:v>최종 평가</x:v>
      </x:c>
      <x:c r="C1965" s="6" t="str">
        <x:v>복약</x:v>
      </x:c>
      <x:c r="D1965" s="6" t="str">
        <x:v>원인·위험요인</x:v>
      </x:c>
      <x:c r="E1965" s="6" t="str">
        <x:v>답변 가능</x:v>
      </x:c>
      <x:c r="F1965" s="6" t="str">
        <x:v>보통</x:v>
      </x:c>
      <x:c r="G1965" s="8" t="str">
        <x:v>대웅바이오덱시부프로펜정300밀리그램을 사용하기 전에 특히 조심해야 하는 사람은 누구인가요?</x:v>
      </x:c>
      <x:c r="H1965" s="8" t="str">
        <x:v>이 제품을 사용하기 전에 특히 확인해야 할 대상과 상황은 다음과 같습니다. 이 약에 과민증 환자, 기관지 천식 환자 또는 경험자, 아스피린이나 다른 비스테로이드성 소염진통제에 대한 천식, 두드러기 또는 알레르기 반응 경험자는 이 약을 복용하지 마십시오. 위장관 궤양이 있거나 징후가 있는 환자 또는 재발 경험자, 위장관이나 뇌혈관 또는 다른 부위 출혈이 있는 환자, 크론병 및 궤양성대장염의 염증성장질환 환자, 이전의 비스테로이드성 소염진통제로 인한 위장관 출혈 또는 천공 경험자는 이 약을 복용하지 마십시오. 심한 혈액이상, 간장애, 신장장애, 심부전, 고혈압 환자는 이 약을 복용하지 마십시오. 관상동맥 우회로술 전후 발생하는 통증 치료자, 임신 6개월 이상의 임부, 갈락토오스 불내성, Lapp 유당분해효소 결핍증 또는 포도당-갈락토오스 흡수장애 등의 유전적인 문제가 있는 환자는 이 약을 복용하지 마십시오. 이 약을 복용하기 전에 혈액이상, 간장애, 신장장애 환자 또는 경험자, 혈액응고장애, 출혈경향 환자, 체액저류 또는 심부전, 고혈압, 전신홍반루프스 또는 혼합결합조직병 환자, 위암, 알코올중독, 허혈심장병, 말초동맥질환, 뇌혈관 질환, 간성 포르피린증 환자, 고혈압, 고지혈증, 당뇨병, 흡연 등의 심혈관 질환 위험인자가 있는 환자, 혈액부족을 초래하는 중대한 외과수술을 받은 환자는 의사 또는 약사와 상의하십시오. 이 약을 복용하기 전에 임신 초기, 임신 중기의 임부, 임신 20주 이후, 임신을 계획하는 여성, 임신 가능성이 있는 여성, 노인, 6세 이상의 어린이, 과민반응 경험자, 황색5호〮선셋옐로우FCF 과민증 환자 또는 경험자는 의사 또는 약사와 상의하십시오. 수유부의 경우 이 약의 투여를 중단하거나 수유를 중단하십시오.</x:v>
      </x:c>
      <x:c r="I1965" s="8" t="str">
        <x:v>이 약에 과민증 환자, 기관지 천식 환자 또는 경험자, 아스피린이나 다른 비스테로이드성 소염진통제에 대한 천식, 두드러기 또는 알레르기 반응 경험자는 이 약을 복용하지 마십시오. 위장관 궤양이 있거나 징후가 있는 환자 또는 재발 경험자, 위장관이나 뇌혈관 또는 다른 부위 출혈이 있는 환자, 크론병 및 궤양성대장염의 염증성장질환 환자, 이전의 비스테로이드성 소염진통제로 인한 위장관 출혈 또는 천공 경험자는 이 약을 복용하지 마십시오. 심한 혈액이상, 간장애, 신장장애, 심부전, 고혈압 환자는 이 약을 복용하지 마십시오. 관상동맥 우회로술 전후 발생하는 통증 치료자, 임신 6개월 이상의 임부, 갈락토오스 불내성, Lapp 유당분해효소 결핍증 또는 포도당-갈락토오스 흡수장애 등의 유전적인 문제가 있는 환자는 이 약을 복용하지 마십시오. 이 약을 복용하기 전에 혈액이상, 간장애, 신장장애 환자 또는 경험자, 혈액응고장애, 출혈경향 환자, 체액저류 또는 심부전, 고혈압, 전신홍반루프스 또는 혼합결합조직병 환자, 위암, 알코올중독, 허혈심장병, 말초동맥질환, 뇌혈관 질환, 간성 포르피린증 환자, 고혈압, 고지혈증, 당뇨병, 흡연 등의 심혈관 질환 위험인자가 있는 환자, 혈액부족을 초래하는 중대한 외과수술을 받은 환자는 의사 또는 약사와 상의하십시오. 이 약을 복용하기 전에 임신 초기, 임신 중기의 임부, 임신 20주 이후, 임신을 계획하는 여성, 임신 가능성이 있는 여성, 노인, 6세 이상의 어린이, 과민반응 경험자, 황색5호〮선셋옐로우FCF 과민증 환자 또는 경험자는 의사 또는 약사와 상의하십시오. 수유부의 경우 이 약의 투여를 중단하거나 수유를 중단하십시오.</x:v>
      </x:c>
      <x:c r="J1965" s="8" t="str">
        <x:v>대웅바이오덱시부프로펜정300밀리그램 [품목기준코드 202003642]</x:v>
      </x:c>
      <x:c r="K1965" s="8" t="str">
        <x:v>식품의약품안전처 의약품개요정보(e약은요) OpenAPI
https://apis.data.go.kr/1471000/DrbEasyDrugInfoService/getDrbEasyDrugList</x:v>
      </x:c>
    </x:row>
    <x:row r="1966" ht="62" customHeight="1">
      <x:c r="A1966" s="9" t="n">
        <x:v>1965</x:v>
      </x:c>
      <x:c r="B1966" s="6" t="str">
        <x:v>최종 평가</x:v>
      </x:c>
      <x:c r="C1966" s="6" t="str">
        <x:v>복약</x:v>
      </x:c>
      <x:c r="D1966" s="6" t="str">
        <x:v>증상→대상 구분</x:v>
      </x:c>
      <x:c r="E1966" s="6" t="str">
        <x:v>답변 가능</x:v>
      </x:c>
      <x:c r="F1966" s="6" t="str">
        <x:v>어려움</x:v>
      </x:c>
      <x:c r="G1966" s="8" t="str">
        <x:v>파자임에어프리츄어블정(시메티콘산)을 사용한 뒤 구역이 생겼는데, 이 약의 부작용으로 안내되어 있나요?</x:v>
      </x:c>
      <x:c r="H1966" s="8" t="str">
        <x:v>구역은 이 제품의 e약은요 부작용 항목에 기재되어 있습니다. 다만 이 정보만으로 현재 증상의 원인이 해당 약이라고 확정할 수는 없습니다.</x:v>
      </x:c>
      <x:c r="I1966" s="8" t="str">
        <x:v>때때로 연변, 복부불쾌감, 설사, 복통, 구토, 구역, 복부중압감, 식욕부진, 드물게 두통이 나타날 수 있습니다.</x:v>
      </x:c>
      <x:c r="J1966" s="8" t="str">
        <x:v>파자임에어프리츄어블정(시메티콘산) [품목기준코드 201600173]</x:v>
      </x:c>
      <x:c r="K1966" s="8" t="str">
        <x:v>식품의약품안전처 의약품개요정보(e약은요) OpenAPI
https://apis.data.go.kr/1471000/DrbEasyDrugInfoService/getDrbEasyDrugList</x:v>
      </x:c>
    </x:row>
    <x:row r="1967" ht="62" customHeight="1">
      <x:c r="A1967" s="9" t="n">
        <x:v>1966</x:v>
      </x:c>
      <x:c r="B1967" s="6" t="str">
        <x:v>최종 평가</x:v>
      </x:c>
      <x:c r="C1967" s="6" t="str">
        <x:v>복약</x:v>
      </x:c>
      <x:c r="D1967" s="6" t="str">
        <x:v>대상별 정보</x:v>
      </x:c>
      <x:c r="E1967" s="6" t="str">
        <x:v>답변 가능</x:v>
      </x:c>
      <x:c r="F1967" s="6" t="str">
        <x:v>쉬움</x:v>
      </x:c>
      <x:c r="G1967" s="8" t="str">
        <x:v>어린이나 소아가 훼리폴엠캡슐을 사용해도 되나요?</x:v>
      </x:c>
      <x:c r="H1967" s="8" t="str">
        <x:v>e약은요에서 어린이·소아과 관련해 안내한 내용은 다음과 같습니다. 만 6세 이하의 어린이가 과량 복용시 철분 중독성 사망을 일으킬 수 있으므로 어린이의 손에 닿지 않는 곳에 보관하십시오.</x:v>
      </x:c>
      <x:c r="I1967" s="8" t="str">
        <x:v>만 6세 이하의 어린이가 과량 복용시 철분 중독성 사망을 일으킬 수 있으므로 어린이의 손에 닿지 않는 곳에 보관하십시오.</x:v>
      </x:c>
      <x:c r="J1967" s="8" t="str">
        <x:v>훼리폴엠캡슐 [품목기준코드 201707836]</x:v>
      </x:c>
      <x:c r="K1967" s="8" t="str">
        <x:v>식품의약품안전처 의약품개요정보(e약은요) OpenAPI
https://apis.data.go.kr/1471000/DrbEasyDrugInfoService/getDrbEasyDrugList</x:v>
      </x:c>
    </x:row>
    <x:row r="1968" ht="62" customHeight="1">
      <x:c r="A1968" s="9" t="n">
        <x:v>1967</x:v>
      </x:c>
      <x:c r="B1968" s="6" t="str">
        <x:v>최종 평가</x:v>
      </x:c>
      <x:c r="C1968" s="6" t="str">
        <x:v>복약</x:v>
      </x:c>
      <x:c r="D1968" s="6" t="str">
        <x:v>효능·사용목적</x:v>
      </x:c>
      <x:c r="E1968" s="6" t="str">
        <x:v>답변 가능</x:v>
      </x:c>
      <x:c r="F1968" s="6" t="str">
        <x:v>쉬움</x:v>
      </x:c>
      <x:c r="G1968" s="8" t="str">
        <x:v>팜플루노즈연질캡슐은 어떤 증상이나 질환에 사용하는 약인가요?</x:v>
      </x:c>
      <x:c r="H1968" s="8" t="str">
        <x:v>이 약은 감기의 여러 증상(콧물, 코막힘, 재채기, 인후(목구멍)통, 기침, 가래, 오한(춥고 떨리는 증상), 발열, 두통, 관절통, 근육통)의 완화에 사용합니다.</x:v>
      </x:c>
      <x:c r="I1968" s="8" t="str">
        <x:v>이 약은 감기의 여러 증상(콧물, 코막힘, 재채기, 인후(목구멍)통, 기침, 가래, 오한(춥고 떨리는 증상), 발열, 두통, 관절통, 근육통)의 완화에 사용합니다.</x:v>
      </x:c>
      <x:c r="J1968" s="8" t="str">
        <x:v>팜플루노즈연질캡슐 [품목기준코드 201903799]</x:v>
      </x:c>
      <x:c r="K1968" s="8" t="str">
        <x:v>식품의약품안전처 의약품개요정보(e약은요) OpenAPI
https://apis.data.go.kr/1471000/DrbEasyDrugInfoService/getDrbEasyDrugList</x:v>
      </x:c>
    </x:row>
    <x:row r="1969" ht="62" customHeight="1">
      <x:c r="A1969" s="9" t="n">
        <x:v>1968</x:v>
      </x:c>
      <x:c r="B1969" s="6" t="str">
        <x:v>최종 평가</x:v>
      </x:c>
      <x:c r="C1969" s="6" t="str">
        <x:v>복약</x:v>
      </x:c>
      <x:c r="D1969" s="6" t="str">
        <x:v>용어·정의</x:v>
      </x:c>
      <x:c r="E1969" s="6" t="str">
        <x:v>답변 가능</x:v>
      </x:c>
      <x:c r="F1969" s="6" t="str">
        <x:v>쉬움</x:v>
      </x:c>
      <x:c r="G1969" s="8" t="str">
        <x:v>알게론정500밀리그램(알마게이트)은 어떤 약인가요?</x:v>
      </x:c>
      <x:c r="H1969" s="8" t="str">
        <x:v>알게론정500밀리그램(알마게이트)은 동국제약(주)의 의약품으로, e약은요에는 다음과 같이 안내되어 있습니다. 이 약은 위·십이지장궤양, 위염, 위산과다, 속쓰림, 구역, 구토, 위통, 신트림의 제산작용 및 증상의 개선에 사용합니다.</x:v>
      </x:c>
      <x:c r="I1969" s="8" t="str">
        <x:v>제품명: 알게론정500밀리그램(알마게이트) 업체명: 동국제약(주) 효능: 이 약은 위·십이지장궤양, 위염, 위산과다, 속쓰림, 구역, 구토, 위통, 신트림의 제산작용 및 증상의 개선에 사용합니다.</x:v>
      </x:c>
      <x:c r="J1969" s="8" t="str">
        <x:v>알게론정500밀리그램(알마게이트) [품목기준코드 201206499]</x:v>
      </x:c>
      <x:c r="K1969" s="8" t="str">
        <x:v>식품의약품안전처 의약품개요정보(e약은요) OpenAPI
https://apis.data.go.kr/1471000/DrbEasyDrugInfoService/getDrbEasyDrugList</x:v>
      </x:c>
    </x:row>
    <x:row r="1970" ht="62" customHeight="1">
      <x:c r="A1970" s="9" t="n">
        <x:v>1969</x:v>
      </x:c>
      <x:c r="B1970" s="6" t="str">
        <x:v>최종 평가</x:v>
      </x:c>
      <x:c r="C1970" s="6" t="str">
        <x:v>복약</x:v>
      </x:c>
      <x:c r="D1970" s="6" t="str">
        <x:v>원인·위험요인</x:v>
      </x:c>
      <x:c r="E1970" s="6" t="str">
        <x:v>답변 가능</x:v>
      </x:c>
      <x:c r="F1970" s="6" t="str">
        <x:v>보통</x:v>
      </x:c>
      <x:c r="G1970" s="8" t="str">
        <x:v>세다큐노즈연질캡슐을 사용하기 전에 특히 조심해야 하는 사람은 누구인가요?</x:v>
      </x:c>
      <x:c r="H1970" s="8" t="str">
        <x:v>이 제품을 사용하기 전에 특히 확인해야 할 대상과 상황은 다음과 같습니다. 이 약에 과민증 및 경험자,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어린이에게 투여할 경우 보호자의 지도 감독하에 투여하십시오. 장기간 계속하여 사용하지 마십시오. 5~6회 복용하여도 증상의 개선이 없을 경우 복용을 즉각 중지하고 의사 또는 약사와 상의하십시오.</x:v>
      </x:c>
      <x:c r="I1970" s="8" t="str">
        <x:v>이 약에 과민증 및 경험자,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어린이에게 투여할 경우 보호자의 지도 감독하에 투여하십시오. 장기간 계속하여 사용하지 마십시오. 5~6회 복용하여도 증상의 개선이 없을 경우 복용을 즉각 중지하고 의사 또는 약사와 상의하십시오.</x:v>
      </x:c>
      <x:c r="J1970" s="8" t="str">
        <x:v>세다큐노즈연질캡슐 [품목기준코드 201700502]</x:v>
      </x:c>
      <x:c r="K1970" s="8" t="str">
        <x:v>식품의약품안전처 의약품개요정보(e약은요) OpenAPI
https://apis.data.go.kr/1471000/DrbEasyDrugInfoService/getDrbEasyDrugList</x:v>
      </x:c>
    </x:row>
    <x:row r="1971" ht="62" customHeight="1">
      <x:c r="A1971" s="9" t="n">
        <x:v>1970</x:v>
      </x:c>
      <x:c r="B1971" s="6" t="str">
        <x:v>최종 평가</x:v>
      </x:c>
      <x:c r="C1971" s="6" t="str">
        <x:v>복약</x:v>
      </x:c>
      <x:c r="D1971" s="6" t="str">
        <x:v>증상→대상 구분</x:v>
      </x:c>
      <x:c r="E1971" s="6" t="str">
        <x:v>답변 가능</x:v>
      </x:c>
      <x:c r="F1971" s="6" t="str">
        <x:v>어려움</x:v>
      </x:c>
      <x:c r="G1971" s="8" t="str">
        <x:v>크로아존엔정을 사용한 뒤 발진이 생겼는데, 이 약의 부작용으로 안내되어 있나요?</x:v>
      </x:c>
      <x:c r="H1971" s="8" t="str">
        <x:v>발진은 이 제품의 e약은요 부작용 항목에 기재되어 있습니다. 다만 이 정보만으로 현재 증상의 원인이 해당 약이라고 확정할 수는 없습니다.</x:v>
      </x:c>
      <x:c r="I1971" s="8" t="str">
        <x:v>발진 및 충혈되어 붉어지는 발적, 구역, 구토, 변비, 식욕부진, 현기증 등이 나타나는 경우 이 약의 복용을 즉각 중지하고 의사 또는 약사와 상의하십시오.</x:v>
      </x:c>
      <x:c r="J1971" s="8" t="str">
        <x:v>크로아존엔정 [품목기준코드 202400654]</x:v>
      </x:c>
      <x:c r="K1971" s="8" t="str">
        <x:v>식품의약품안전처 의약품개요정보(e약은요) OpenAPI
https://apis.data.go.kr/1471000/DrbEasyDrugInfoService/getDrbEasyDrugList</x:v>
      </x:c>
    </x:row>
    <x:row r="1972" ht="62" customHeight="1">
      <x:c r="A1972" s="9" t="n">
        <x:v>1971</x:v>
      </x:c>
      <x:c r="B1972" s="6" t="str">
        <x:v>최종 평가</x:v>
      </x:c>
      <x:c r="C1972" s="6" t="str">
        <x:v>복약</x:v>
      </x:c>
      <x:c r="D1972" s="6" t="str">
        <x:v>증상→대상 구분</x:v>
      </x:c>
      <x:c r="E1972" s="6" t="str">
        <x:v>답변 가능</x:v>
      </x:c>
      <x:c r="F1972" s="6" t="str">
        <x:v>어려움</x:v>
      </x:c>
      <x:c r="G1972" s="8" t="str">
        <x:v>마이딜액3%(미녹시딜)을 사용한 뒤 가려움이 생겼는데, 이 약의 부작용으로 안내되어 있나요?</x:v>
      </x:c>
      <x:c r="H1972" s="8" t="str">
        <x:v>가려움은 이 제품의 e약은요 부작용 항목에 기재되어 있습니다. 다만 이 정보만으로 현재 증상의 원인이 해당 약이라고 확정할 수는 없습니다.</x:v>
      </x:c>
      <x:c r="I1972" s="8" t="str">
        <x:v>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x:v>
      </x:c>
      <x:c r="J1972" s="8" t="str">
        <x:v>마이딜액3%(미녹시딜) [품목기준코드 200811440]</x:v>
      </x:c>
      <x:c r="K1972" s="8" t="str">
        <x:v>식품의약품안전처 의약품개요정보(e약은요) OpenAPI
https://apis.data.go.kr/1471000/DrbEasyDrugInfoService/getDrbEasyDrugList</x:v>
      </x:c>
    </x:row>
    <x:row r="1973" ht="62" customHeight="1">
      <x:c r="A1973" s="9" t="n">
        <x:v>1972</x:v>
      </x:c>
      <x:c r="B1973" s="6" t="str">
        <x:v>최종 평가</x:v>
      </x:c>
      <x:c r="C1973" s="6" t="str">
        <x:v>복약</x:v>
      </x:c>
      <x:c r="D1973" s="6" t="str">
        <x:v>금기·경고</x:v>
      </x:c>
      <x:c r="E1973" s="6" t="str">
        <x:v>답변 가능</x:v>
      </x:c>
      <x:c r="F1973" s="6" t="str">
        <x:v>보통</x:v>
      </x:c>
      <x:c r="G1973" s="8" t="str">
        <x:v>센스지크림을 사용하면 안 되거나 반드시 확인해야 할 경고사항은 무엇인가요?</x:v>
      </x:c>
      <x:c r="H1973" s="8" t="str">
        <x:v>이 약에 과민증, 세균(결핵, 매독 등)ㆍ진균(칸디다증, 백선 등)ㆍ스피로헤타속ㆍ효모ㆍ바이러스(대상포진, 단순포진, 수두, 종두증 등)ㆍ동물(옴, 사면발이 등)성 피부감염증, 고막천공이 있는 습진성 외이도염, 궤양(베체트병 제외), 제2도 심재성 이상의 화상ㆍ동상, 입주위피부염, 보통여드름, 주사 환자, 스트렙토마이신, 카나마이신, 겐타마이신, 네오마이신 등 아미노글리코사이드계 항생물질 또는 바시트라신에 의한 과민증 및 경험자는 이 약을 사용하지 마십시오. 장기간 사용하지 마십시오. 의사의 감독없이 밀봉붕대법을 사용하지 마십시오. 안과용으로 사용하지 마십시오. 화장이나 면도 후 등 치료 이외의 목적으로 사용하지 마십시오.</x:v>
      </x:c>
      <x:c r="I1973" s="8" t="str">
        <x:v>이 약에 과민증, 세균(결핵, 매독 등)ㆍ진균(칸디다증, 백선 등)ㆍ스피로헤타속ㆍ효모ㆍ바이러스(대상포진, 단순포진, 수두, 종두증 등)ㆍ동물(옴, 사면발이 등)성 피부감염증, 고막천공이 있는 습진성 외이도염, 궤양(베체트병 제외), 제2도 심재성 이상의 화상ㆍ동상, 입주위피부염, 보통여드름, 주사 환자, 스트렙토마이신, 카나마이신, 겐타마이신, 네오마이신 등 아미노글리코사이드계 항생물질 또는 바시트라신에 의한 과민증 및 경험자는 이 약을 사용하지 마십시오. 장기간 사용하지 마십시오. 의사의 감독없이 밀봉붕대법을 사용하지 마십시오. 안과용으로 사용하지 마십시오. 화장이나 면도 후 등 치료 이외의 목적으로 사용하지 마십시오.</x:v>
      </x:c>
      <x:c r="J1973" s="8" t="str">
        <x:v>센스지크림 [품목기준코드 201908451]</x:v>
      </x:c>
      <x:c r="K1973" s="8" t="str">
        <x:v>식품의약품안전처 의약품개요정보(e약은요) OpenAPI
https://apis.data.go.kr/1471000/DrbEasyDrugInfoService/getDrbEasyDrugList</x:v>
      </x:c>
    </x:row>
    <x:row r="1974" ht="62" customHeight="1">
      <x:c r="A1974" s="9" t="n">
        <x:v>1973</x:v>
      </x:c>
      <x:c r="B1974" s="6" t="str">
        <x:v>최종 평가</x:v>
      </x:c>
      <x:c r="C1974" s="6" t="str">
        <x:v>복약</x:v>
      </x:c>
      <x:c r="D1974" s="6" t="str">
        <x:v>원인·위험요인</x:v>
      </x:c>
      <x:c r="E1974" s="6" t="str">
        <x:v>답변 가능</x:v>
      </x:c>
      <x:c r="F1974" s="6" t="str">
        <x:v>보통</x:v>
      </x:c>
      <x:c r="G1974" s="8" t="str">
        <x:v>서울아스피린장용정을 사용하기 전에 특히 조심해야 하는 사람은 누구인가요?</x:v>
      </x:c>
      <x:c r="H1974" s="8" t="str">
        <x:v>이 제품을 사용하기 전에 특히 확인해야 할 대상과 상황은 다음과 같습니다. 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x:v>
      </x:c>
      <x:c r="I1974" s="8" t="str">
        <x:v>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x:v>
      </x:c>
      <x:c r="J1974" s="8" t="str">
        <x:v>서울아스피린장용정 [품목기준코드 201900178]</x:v>
      </x:c>
      <x:c r="K1974" s="8" t="str">
        <x:v>식품의약품안전처 의약품개요정보(e약은요) OpenAPI
https://apis.data.go.kr/1471000/DrbEasyDrugInfoService/getDrbEasyDrugList</x:v>
      </x:c>
    </x:row>
    <x:row r="1975" ht="62" customHeight="1">
      <x:c r="A1975" s="9" t="n">
        <x:v>1974</x:v>
      </x:c>
      <x:c r="B1975" s="6" t="str">
        <x:v>최종 평가</x:v>
      </x:c>
      <x:c r="C1975" s="6" t="str">
        <x:v>복약</x:v>
      </x:c>
      <x:c r="D1975" s="6" t="str">
        <x:v>금기·경고</x:v>
      </x:c>
      <x:c r="E1975" s="6" t="str">
        <x:v>답변 가능</x:v>
      </x:c>
      <x:c r="F1975" s="6" t="str">
        <x:v>쉬움</x:v>
      </x:c>
      <x:c r="G1975" s="8" t="str">
        <x:v>뮤코브이시럽(암브록솔염산염)을 사용하면 안 되거나 반드시 확인해야 할 경고사항은 무엇인가요?</x:v>
      </x:c>
      <x:c r="H1975" s="8" t="str">
        <x:v>이 약에 과민증 환자, 심한 신장애, 심한 간장애, 과당 불내성의 유전적 소인을 가진 환자는 이 약을 복용하지 마십시오.이 약을 복용하기 전에 신장애, 소화성 궤양 환자, 임부, 수유부, 고령자, 만 2세 미만 소아는 의사 또는 약사와 상의하십시오.</x:v>
      </x:c>
      <x:c r="I1975" s="8" t="str">
        <x:v>이 약에 과민증 환자, 심한 신장애, 심한 간장애, 과당 불내성의 유전적 소인을 가진 환자는 이 약을 복용하지 마십시오.이 약을 복용하기 전에 신장애, 소화성 궤양 환자, 임부, 수유부, 고령자, 만 2세 미만 소아는 의사 또는 약사와 상의하십시오.</x:v>
      </x:c>
      <x:c r="J1975" s="8" t="str">
        <x:v>뮤코브이시럽(암브록솔염산염) [품목기준코드 200100163]</x:v>
      </x:c>
      <x:c r="K1975" s="8" t="str">
        <x:v>식품의약품안전처 의약품개요정보(e약은요) OpenAPI
https://apis.data.go.kr/1471000/DrbEasyDrugInfoService/getDrbEasyDrugList</x:v>
      </x:c>
    </x:row>
    <x:row r="1976" ht="62" customHeight="1">
      <x:c r="A1976" s="9" t="n">
        <x:v>1975</x:v>
      </x:c>
      <x:c r="B1976" s="6" t="str">
        <x:v>최종 평가</x:v>
      </x:c>
      <x:c r="C1976" s="6" t="str">
        <x:v>복약</x:v>
      </x:c>
      <x:c r="D1976" s="6" t="str">
        <x:v>금기·경고</x:v>
      </x:c>
      <x:c r="E1976" s="6" t="str">
        <x:v>답변 가능</x:v>
      </x:c>
      <x:c r="F1976" s="6" t="str">
        <x:v>쉬움</x:v>
      </x:c>
      <x:c r="G1976" s="8" t="str">
        <x:v>바르핀케어네일라카(시클로피록스)을 사용하면 안 되거나 반드시 확인해야 할 경고사항은 무엇인가요?</x:v>
      </x:c>
      <x:c r="H1976" s="8" t="str">
        <x:v>이 약에 과민증 환자, 18세 미만은 이 약을 사용하지 마십시오.</x:v>
      </x:c>
      <x:c r="I1976" s="8" t="str">
        <x:v>이 약에 과민증 환자, 18세 미만은 이 약을 사용하지 마십시오.</x:v>
      </x:c>
      <x:c r="J1976" s="8" t="str">
        <x:v>바르핀케어네일라카(시클로피록스) [품목기준코드 202106262]</x:v>
      </x:c>
      <x:c r="K1976" s="8" t="str">
        <x:v>식품의약품안전처 의약품개요정보(e약은요) OpenAPI
https://apis.data.go.kr/1471000/DrbEasyDrugInfoService/getDrbEasyDrugList</x:v>
      </x:c>
    </x:row>
    <x:row r="1977" ht="62" customHeight="1">
      <x:c r="A1977" s="9" t="n">
        <x:v>1976</x:v>
      </x:c>
      <x:c r="B1977" s="6" t="str">
        <x:v>최종 평가</x:v>
      </x:c>
      <x:c r="C1977" s="6" t="str">
        <x:v>복약</x:v>
      </x:c>
      <x:c r="D1977" s="6" t="str">
        <x:v>상호작용</x:v>
      </x:c>
      <x:c r="E1977" s="6" t="str">
        <x:v>답변 가능</x:v>
      </x:c>
      <x:c r="F1977" s="6" t="str">
        <x:v>쉬움</x:v>
      </x:c>
      <x:c r="G1977" s="8" t="str">
        <x:v>엠지플러스큐연질캡슐과 함께 사용하거나 먹을 때 주의해야 할 약이나 음식이 있나요?</x:v>
      </x:c>
      <x:c r="H1977" s="8" t="str">
        <x:v>인산염, 칼슘염, 경구(먹는, 복용하는)용 테트라사이클린계 제제, 제산제, 레보도파와 함께 복용하지 마십시오. 에스트로겐을 포함한 경구(먹는, 복용하는)용 피임제, 항알도스테론제, 트리암테렌, 다른 정주용 지질제와 함께 복용 시 의사 또는 약사와 상의하십시오. 녹차, 홍차 등 탄닌을 함유하는 차는 복용 중, 복용 전후에는 피하십시오.</x:v>
      </x:c>
      <x:c r="I1977" s="8" t="str">
        <x:v>인산염, 칼슘염, 경구(먹는, 복용하는)용 테트라사이클린계 제제, 제산제, 레보도파와 함께 복용하지 마십시오. 에스트로겐을 포함한 경구(먹는, 복용하는)용 피임제, 항알도스테론제, 트리암테렌, 다른 정주용 지질제와 함께 복용 시 의사 또는 약사와 상의하십시오. 녹차, 홍차 등 탄닌을 함유하는 차는 복용 중, 복용 전후에는 피하십시오.</x:v>
      </x:c>
      <x:c r="J1977" s="8" t="str">
        <x:v>엠지플러스큐연질캡슐 [품목기준코드 201908513]</x:v>
      </x:c>
      <x:c r="K1977" s="8" t="str">
        <x:v>식품의약품안전처 의약품개요정보(e약은요) OpenAPI
https://apis.data.go.kr/1471000/DrbEasyDrugInfoService/getDrbEasyDrugList</x:v>
      </x:c>
    </x:row>
    <x:row r="1978" ht="62" customHeight="1">
      <x:c r="A1978" s="9" t="n">
        <x:v>1977</x:v>
      </x:c>
      <x:c r="B1978" s="6" t="str">
        <x:v>최종 평가</x:v>
      </x:c>
      <x:c r="C1978" s="6" t="str">
        <x:v>복약</x:v>
      </x:c>
      <x:c r="D1978" s="6" t="str">
        <x:v>효능·사용목적</x:v>
      </x:c>
      <x:c r="E1978" s="6" t="str">
        <x:v>답변 가능</x:v>
      </x:c>
      <x:c r="F1978" s="6" t="str">
        <x:v>쉬움</x:v>
      </x:c>
      <x:c r="G1978" s="8" t="str">
        <x:v>하벤허브골드캡슐은 어떤 증상이나 질환에 사용하는 약인가요?</x:v>
      </x:c>
      <x:c r="H1978" s="8" t="str">
        <x:v>이 약은 감기의 제증상(콧물, 코막힘, 재채기, 인후(목구멍)통, 기침, 가래, 오한, 발열, 두통, 관절통, 근육통)의 완화에 사용합니다.</x:v>
      </x:c>
      <x:c r="I1978" s="8" t="str">
        <x:v>이 약은 감기의 제증상(콧물, 코막힘, 재채기, 인후(목구멍)통, 기침, 가래, 오한, 발열, 두통, 관절통, 근육통)의 완화에 사용합니다.</x:v>
      </x:c>
      <x:c r="J1978" s="8" t="str">
        <x:v>하벤허브골드캡슐 [품목기준코드 202302998]</x:v>
      </x:c>
      <x:c r="K1978" s="8" t="str">
        <x:v>식품의약품안전처 의약품개요정보(e약은요) OpenAPI
https://apis.data.go.kr/1471000/DrbEasyDrugInfoService/getDrbEasyDrugList</x:v>
      </x:c>
    </x:row>
    <x:row r="1979" ht="62" customHeight="1">
      <x:c r="A1979" s="9" t="n">
        <x:v>1978</x:v>
      </x:c>
      <x:c r="B1979" s="6" t="str">
        <x:v>최종 평가</x:v>
      </x:c>
      <x:c r="C1979" s="6" t="str">
        <x:v>복약</x:v>
      </x:c>
      <x:c r="D1979" s="6" t="str">
        <x:v>증상→대상 구분</x:v>
      </x:c>
      <x:c r="E1979" s="6" t="str">
        <x:v>답변 가능</x:v>
      </x:c>
      <x:c r="F1979" s="6" t="str">
        <x:v>어려움</x:v>
      </x:c>
      <x:c r="G1979" s="8" t="str">
        <x:v>위크린정을 사용한 뒤 설사이 생겼는데, 이 약의 부작용으로 안내되어 있나요?</x:v>
      </x:c>
      <x:c r="H1979" s="8" t="str">
        <x:v>설사은 이 제품의 e약은요 부작용 항목에 기재되어 있습니다. 다만 이 정보만으로 현재 증상의 원인이 해당 약이라고 확정할 수는 없습니다.</x:v>
      </x:c>
      <x:c r="I1979" s="8" t="str">
        <x:v>변비 또는 설사 등이 나타나는 경우 복용을 즉각 중지하고 의사 또는 약사와 상의하십시오.</x:v>
      </x:c>
      <x:c r="J1979" s="8" t="str">
        <x:v>위크린정 [품목기준코드 201907666]</x:v>
      </x:c>
      <x:c r="K1979" s="8" t="str">
        <x:v>식품의약품안전처 의약품개요정보(e약은요) OpenAPI
https://apis.data.go.kr/1471000/DrbEasyDrugInfoService/getDrbEasyDrugList</x:v>
      </x:c>
    </x:row>
    <x:row r="1980" ht="62" customHeight="1">
      <x:c r="A1980" s="9" t="n">
        <x:v>1979</x:v>
      </x:c>
      <x:c r="B1980" s="6" t="str">
        <x:v>최종 평가</x:v>
      </x:c>
      <x:c r="C1980" s="6" t="str">
        <x:v>복약</x:v>
      </x:c>
      <x:c r="D1980" s="6" t="str">
        <x:v>용법·용량</x:v>
      </x:c>
      <x:c r="E1980" s="6" t="str">
        <x:v>답변 가능</x:v>
      </x:c>
      <x:c r="F1980" s="6" t="str">
        <x:v>쉬움</x:v>
      </x:c>
      <x:c r="G1980" s="8" t="str">
        <x:v>삼익이부프로펜정은 어떻게 사용하나요?</x:v>
      </x:c>
      <x:c r="H1980" s="8" t="str">
        <x:v>류마티양 관절염, 골관절염, 강직성 척추염, 연조직손상, 비관절 류마티스질환, 급성통풍, 건선성 관절염에 성인은 1회 1/2정~1.5정(200~600 mg), 1일 3~4회 복용하며 1일 최고 3200 mg까지 복용할 수 있습니다. 연소성 류마티양 관절염에는 1일 체중 kg당 30-40 mg을 3~4회 분할하여 복용하며, 경증 및 중등도의 동통이나 감기에는 성인 1회 1/2정~1정(200~400 mg), 1일 3~4회 복용합니다. 권장용량을 초과하여 복용하지 마십시오. 연령, 증상에 따라 적절히 증감하십시오.</x:v>
      </x:c>
      <x:c r="I1980" s="8" t="str">
        <x:v>류마티양 관절염, 골관절염, 강직성 척추염, 연조직손상, 비관절 류마티스질환, 급성통풍, 건선성 관절염에 성인은 1회 1/2정~1.5정(200~600 mg), 1일 3~4회 복용하며 1일 최고 3200 mg까지 복용할 수 있습니다. 연소성 류마티양 관절염에는 1일 체중 kg당 30-40 mg을 3~4회 분할하여 복용하며, 경증 및 중등도의 동통이나 감기에는 성인 1회 1/2정~1정(200~400 mg), 1일 3~4회 복용합니다. 권장용량을 초과하여 복용하지 마십시오. 연령, 증상에 따라 적절히 증감하십시오.</x:v>
      </x:c>
      <x:c r="J1980" s="8" t="str">
        <x:v>삼익이부프로펜정 [품목기준코드 199502575]</x:v>
      </x:c>
      <x:c r="K1980" s="8" t="str">
        <x:v>식품의약품안전처 의약품개요정보(e약은요) OpenAPI
https://apis.data.go.kr/1471000/DrbEasyDrugInfoService/getDrbEasyDrugList</x:v>
      </x:c>
    </x:row>
    <x:row r="1981" ht="62" customHeight="1">
      <x:c r="A1981" s="9" t="n">
        <x:v>1980</x:v>
      </x:c>
      <x:c r="B1981" s="6" t="str">
        <x:v>최종 평가</x:v>
      </x:c>
      <x:c r="C1981" s="6" t="str">
        <x:v>복약</x:v>
      </x:c>
      <x:c r="D1981" s="6" t="str">
        <x:v>실용·응급대처</x:v>
      </x:c>
      <x:c r="E1981" s="6" t="str">
        <x:v>답변 가능</x:v>
      </x:c>
      <x:c r="F1981" s="6" t="str">
        <x:v>보통</x:v>
      </x:c>
      <x:c r="G1981" s="8" t="str">
        <x:v>액티바이정 사용 후 심한 이상반응이 나타나면 어떻게 해야 하나요?</x:v>
      </x:c>
      <x:c r="H1981" s="8" t="str">
        <x:v>구역, 구토, 설사, 위부불쾌감, 변비, 발진, 발적, 묽은 변, 저혈압, 위장관장애, 소화장애, 상복부통증, 폐부종, 생리가 예정보다 빨라지거나 양이 점점 많아지고, 출혈이 오래 지속되는 경우 복용을 즉각 중지하고 의사 또는 약사와 상의하십시오.</x:v>
      </x:c>
      <x:c r="I1981" s="8" t="str">
        <x:v>구역, 구토, 설사, 위부불쾌감, 변비, 발진, 발적, 묽은 변, 저혈압, 위장관장애, 소화장애, 상복부통증, 폐부종, 생리가 예정보다 빨라지거나 양이 점점 많아지고, 출혈이 오래 지속되는 경우 복용을 즉각 중지하고 의사 또는 약사와 상의하십시오.</x:v>
      </x:c>
      <x:c r="J1981" s="8" t="str">
        <x:v>액티바이정 [품목기준코드 201908441]</x:v>
      </x:c>
      <x:c r="K1981" s="8" t="str">
        <x:v>식품의약품안전처 의약품개요정보(e약은요) OpenAPI
https://apis.data.go.kr/1471000/DrbEasyDrugInfoService/getDrbEasyDrugList</x:v>
      </x:c>
    </x:row>
    <x:row r="1982" ht="62" customHeight="1">
      <x:c r="A1982" s="9" t="n">
        <x:v>1981</x:v>
      </x:c>
      <x:c r="B1982" s="6" t="str">
        <x:v>최종 평가</x:v>
      </x:c>
      <x:c r="C1982" s="6" t="str">
        <x:v>복약</x:v>
      </x:c>
      <x:c r="D1982" s="6" t="str">
        <x:v>증상→대상 구분</x:v>
      </x:c>
      <x:c r="E1982" s="6" t="str">
        <x:v>답변 가능</x:v>
      </x:c>
      <x:c r="F1982" s="6" t="str">
        <x:v>어려움</x:v>
      </x:c>
      <x:c r="G1982" s="8" t="str">
        <x:v>쎄레론지크림(수출명: GENTAX B Cream)을 사용한 뒤 발진이 생겼는데, 이 약의 부작용으로 안내되어 있나요?</x:v>
      </x:c>
      <x:c r="H1982" s="8" t="str">
        <x:v>발진은 이 제품의 e약은요 부작용 항목에 기재되어 있습니다. 다만 이 정보만으로 현재 증상의 원인이 해당 약이라고 확정할 수는 없습니다.</x:v>
      </x:c>
      <x:c r="I1982" s="8" t="str">
        <x:v>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x:v>
      </x:c>
      <x:c r="J1982" s="8" t="str">
        <x:v>쎄레론지크림(수출명: GENTAX B Cream) [품목기준코드 200300640]</x:v>
      </x:c>
      <x:c r="K1982" s="8" t="str">
        <x:v>식품의약품안전처 의약품개요정보(e약은요) OpenAPI
https://apis.data.go.kr/1471000/DrbEasyDrugInfoService/getDrbEasyDrugList</x:v>
      </x:c>
    </x:row>
    <x:row r="1983" ht="62" customHeight="1">
      <x:c r="A1983" s="9" t="n">
        <x:v>1982</x:v>
      </x:c>
      <x:c r="B1983" s="6" t="str">
        <x:v>최종 평가</x:v>
      </x:c>
      <x:c r="C1983" s="6" t="str">
        <x:v>복약</x:v>
      </x:c>
      <x:c r="D1983" s="6" t="str">
        <x:v>용어·정의</x:v>
      </x:c>
      <x:c r="E1983" s="6" t="str">
        <x:v>답변 가능</x:v>
      </x:c>
      <x:c r="F1983" s="6" t="str">
        <x:v>쉬움</x:v>
      </x:c>
      <x:c r="G1983" s="8" t="str">
        <x:v>더블자임정은 어떤 약인가요?</x:v>
      </x:c>
      <x:c r="H1983" s="8" t="str">
        <x:v>더블자임정은 에스케이케미칼(주)의 의약품으로, e약은요에는 다음과 같이 안내되어 있습니다. 이 약은 위산과다, 속쓰림, 위부불쾌감, 위부팽만감, 식체(위체), 구역, 구토, 위통, 신트림, 소화불량, 식욕감퇴(식욕부진), 과식, 소화촉진, 소화불량으로 인한 위부팽만감에 사용합니다.</x:v>
      </x:c>
      <x:c r="I1983" s="8" t="str">
        <x:v>제품명: 더블자임정 업체명: 에스케이케미칼(주) 효능: 이 약은 위산과다, 속쓰림, 위부불쾌감, 위부팽만감, 식체(위체), 구역, 구토, 위통, 신트림, 소화불량, 식욕감퇴(식욕부진), 과식, 소화촉진, 소화불량으로 인한 위부팽만감에 사용합니다.</x:v>
      </x:c>
      <x:c r="J1983" s="8" t="str">
        <x:v>더블자임정 [품목기준코드 201606067]</x:v>
      </x:c>
      <x:c r="K1983" s="8" t="str">
        <x:v>식품의약품안전처 의약품개요정보(e약은요) OpenAPI
https://apis.data.go.kr/1471000/DrbEasyDrugInfoService/getDrbEasyDrugList</x:v>
      </x:c>
    </x:row>
    <x:row r="1984" ht="62" customHeight="1">
      <x:c r="A1984" s="9" t="n">
        <x:v>1983</x:v>
      </x:c>
      <x:c r="B1984" s="6" t="str">
        <x:v>최종 평가</x:v>
      </x:c>
      <x:c r="C1984" s="6" t="str">
        <x:v>복약</x:v>
      </x:c>
      <x:c r="D1984" s="6" t="str">
        <x:v>증상·이상반응</x:v>
      </x:c>
      <x:c r="E1984" s="6" t="str">
        <x:v>답변 가능</x:v>
      </x:c>
      <x:c r="F1984" s="6" t="str">
        <x:v>쉬움</x:v>
      </x:c>
      <x:c r="G1984" s="8" t="str">
        <x:v>센코프액을 사용하면 어떤 부작용이 생길 수 있나요?</x:v>
      </x:c>
      <x:c r="H1984" s="8" t="str">
        <x:v>e약은요에는 다음과 같은 이상반응이 안내되어 있습니다. 발진 및 충혈되어 붉어지는 발적, 가려움, 구역 및 구토, 식욕부진, 어지러움, 불안, 떨림, 불면 등이 나타나는 경우 이 약의 복용을 즉각 중지하고 의사 또는 약사와 상의하십시오.</x:v>
      </x:c>
      <x:c r="I1984" s="8" t="str">
        <x:v>발진 및 충혈되어 붉어지는 발적, 가려움, 구역 및 구토, 식욕부진, 어지러움, 불안, 떨림, 불면 등이 나타나는 경우 이 약의 복용을 즉각 중지하고 의사 또는 약사와 상의하십시오.</x:v>
      </x:c>
      <x:c r="J1984" s="8" t="str">
        <x:v>센코프액 [품목기준코드 201906129]</x:v>
      </x:c>
      <x:c r="K1984" s="8" t="str">
        <x:v>식품의약품안전처 의약품개요정보(e약은요) OpenAPI
https://apis.data.go.kr/1471000/DrbEasyDrugInfoService/getDrbEasyDrugList</x:v>
      </x:c>
    </x:row>
    <x:row r="1985" ht="62" customHeight="1">
      <x:c r="A1985" s="9" t="n">
        <x:v>1984</x:v>
      </x:c>
      <x:c r="B1985" s="6" t="str">
        <x:v>최종 평가</x:v>
      </x:c>
      <x:c r="C1985" s="6" t="str">
        <x:v>복약</x:v>
      </x:c>
      <x:c r="D1985" s="6" t="str">
        <x:v>대상별 정보</x:v>
      </x:c>
      <x:c r="E1985" s="6" t="str">
        <x:v>답변 가능</x:v>
      </x:c>
      <x:c r="F1985" s="6" t="str">
        <x:v>쉬움</x:v>
      </x:c>
      <x:c r="G1985" s="8" t="str">
        <x:v>어린이나 소아가 베타셀민연질캡슐을 사용해도 되나요?</x:v>
      </x:c>
      <x:c r="H1985" s="8" t="str">
        <x:v>e약은요에서 어린이·소아과 관련해 안내한 내용은 다음과 같습니다. 이 약을 복용하기 전에 고옥살산뇨증 환자(요중에 과량의 수산염이 배설되는 상태), 임부 및 임신하고 있을 가능성이 있는 여성, 수유부, 미숙아, 유아, 소화성궤양, 만성궤양성대장염, 국한성대장염 등의 위장질환, 심장∙순환기계기능 장애, 신장장애, 저단백혈증, 통풍환자 또는 신장결석이 있는 환자, 고지단백혈증, 당뇨병성고지질혈증 및 췌장(이자)염 등 지방대사 이상 환자 또는 지질성 유제를 신중히 투여해야 하는 환자, 지방과부하로 특별한 위험이 예상되는 환자는 의사 또는 약사와 상의하십시오.</x:v>
      </x:c>
      <x:c r="I1985" s="8" t="str">
        <x:v>이 약을 복용하기 전에 고옥살산뇨증 환자(요중에 과량의 수산염이 배설되는 상태), 임부 및 임신하고 있을 가능성이 있는 여성, 수유부, 미숙아, 유아, 소화성궤양, 만성궤양성대장염, 국한성대장염 등의 위장질환, 심장∙순환기계기능 장애, 신장장애, 저단백혈증, 통풍환자 또는 신장결석이 있는 환자, 고지단백혈증, 당뇨병성고지질혈증 및 췌장(이자)염 등 지방대사 이상 환자 또는 지질성 유제를 신중히 투여해야 하는 환자, 지방과부하로 특별한 위험이 예상되는 환자는 의사 또는 약사와 상의하십시오.</x:v>
      </x:c>
      <x:c r="J1985" s="8" t="str">
        <x:v>베타셀민연질캡슐 [품목기준코드 202301486]</x:v>
      </x:c>
      <x:c r="K1985" s="8" t="str">
        <x:v>식품의약품안전처 의약품개요정보(e약은요) OpenAPI
https://apis.data.go.kr/1471000/DrbEasyDrugInfoService/getDrbEasyDrugList</x:v>
      </x:c>
    </x:row>
    <x:row r="1986" ht="62" customHeight="1">
      <x:c r="A1986" s="9" t="n">
        <x:v>1985</x:v>
      </x:c>
      <x:c r="B1986" s="6" t="str">
        <x:v>최종 평가</x:v>
      </x:c>
      <x:c r="C1986" s="6" t="str">
        <x:v>복약</x:v>
      </x:c>
      <x:c r="D1986" s="6" t="str">
        <x:v>상호작용</x:v>
      </x:c>
      <x:c r="E1986" s="6" t="str">
        <x:v>답변 가능</x:v>
      </x:c>
      <x:c r="F1986" s="6" t="str">
        <x:v>쉬움</x:v>
      </x:c>
      <x:c r="G1986" s="8" t="str">
        <x:v>티엔클라젠정과 함께 사용하거나 먹을 때 주의해야 할 약이나 음식이 있나요?</x:v>
      </x:c>
      <x:c r="H1986" s="8" t="str">
        <x:v>다른 해열진통제, 감기약, 진정약 등과 함께 복용하지 마십시오.</x:v>
      </x:c>
      <x:c r="I1986" s="8" t="str">
        <x:v>다른 해열진통제, 감기약, 진정약 등과 함께 복용하지 마십시오.</x:v>
      </x:c>
      <x:c r="J1986" s="8" t="str">
        <x:v>티엔클라젠정 [품목기준코드 202400815]</x:v>
      </x:c>
      <x:c r="K1986" s="8" t="str">
        <x:v>식품의약품안전처 의약품개요정보(e약은요) OpenAPI
https://apis.data.go.kr/1471000/DrbEasyDrugInfoService/getDrbEasyDrugList</x:v>
      </x:c>
    </x:row>
    <x:row r="1987" ht="62" customHeight="1">
      <x:c r="A1987" s="9" t="n">
        <x:v>1986</x:v>
      </x:c>
      <x:c r="B1987" s="6" t="str">
        <x:v>최종 평가</x:v>
      </x:c>
      <x:c r="C1987" s="6" t="str">
        <x:v>복약</x:v>
      </x:c>
      <x:c r="D1987" s="6" t="str">
        <x:v>보관·관리</x:v>
      </x:c>
      <x:c r="E1987" s="6" t="str">
        <x:v>답변 가능</x:v>
      </x:c>
      <x:c r="F1987" s="6" t="str">
        <x:v>쉬움</x:v>
      </x:c>
      <x:c r="G1987" s="8" t="str">
        <x:v>마이모닉액3%(미녹시딜)은 어떻게 보관해야 하나요?</x:v>
      </x:c>
      <x:c r="H1987" s="8" t="str">
        <x:v>상온(15~25 ℃)에서 보관하십시오. 어린이의 손이 닿지 않는 곳에 보관하십시오. 화기 근처에 두지 마십시오.</x:v>
      </x:c>
      <x:c r="I1987" s="8" t="str">
        <x:v>상온(15~25 ℃)에서 보관하십시오. 어린이의 손이 닿지 않는 곳에 보관하십시오. 화기 근처에 두지 마십시오.</x:v>
      </x:c>
      <x:c r="J1987" s="8" t="str">
        <x:v>마이모닉액3%(미녹시딜) [품목기준코드 202002968]</x:v>
      </x:c>
      <x:c r="K1987" s="8" t="str">
        <x:v>식품의약품안전처 의약품개요정보(e약은요) OpenAPI
https://apis.data.go.kr/1471000/DrbEasyDrugInfoService/getDrbEasyDrugList</x:v>
      </x:c>
    </x:row>
    <x:row r="1988" ht="62" customHeight="1">
      <x:c r="A1988" s="9" t="n">
        <x:v>1987</x:v>
      </x:c>
      <x:c r="B1988" s="6" t="str">
        <x:v>최종 평가</x:v>
      </x:c>
      <x:c r="C1988" s="6" t="str">
        <x:v>복약</x:v>
      </x:c>
      <x:c r="D1988" s="6" t="str">
        <x:v>보관·관리</x:v>
      </x:c>
      <x:c r="E1988" s="6" t="str">
        <x:v>답변 가능</x:v>
      </x:c>
      <x:c r="F1988" s="6" t="str">
        <x:v>쉬움</x:v>
      </x:c>
      <x:c r="G1988" s="8" t="str">
        <x:v>이모나캡슐은 어떻게 보관해야 하나요?</x:v>
      </x:c>
      <x:c r="H1988" s="8" t="str">
        <x:v>실온에서 보관하십시오.어린이의 손이 닿지 않는 곳에 보관하십시오.</x:v>
      </x:c>
      <x:c r="I1988" s="8" t="str">
        <x:v>실온에서 보관하십시오.어린이의 손이 닿지 않는 곳에 보관하십시오.</x:v>
      </x:c>
      <x:c r="J1988" s="8" t="str">
        <x:v>이모나캡슐 [품목기준코드 200402546]</x:v>
      </x:c>
      <x:c r="K1988" s="8" t="str">
        <x:v>식품의약품안전처 의약품개요정보(e약은요) OpenAPI
https://apis.data.go.kr/1471000/DrbEasyDrugInfoService/getDrbEasyDrugList</x:v>
      </x:c>
    </x:row>
    <x:row r="1989" ht="62" customHeight="1">
      <x:c r="A1989" s="9" t="n">
        <x:v>1988</x:v>
      </x:c>
      <x:c r="B1989" s="6" t="str">
        <x:v>최종 평가</x:v>
      </x:c>
      <x:c r="C1989" s="6" t="str">
        <x:v>복약</x:v>
      </x:c>
      <x:c r="D1989" s="6" t="str">
        <x:v>효능·사용목적</x:v>
      </x:c>
      <x:c r="E1989" s="6" t="str">
        <x:v>답변 가능</x:v>
      </x:c>
      <x:c r="F1989" s="6" t="str">
        <x:v>쉬움</x:v>
      </x:c>
      <x:c r="G1989" s="8" t="str">
        <x:v>마그토닉연질캡슐은 어떤 증상이나 질환에 사용하는 약인가요?</x:v>
      </x:c>
      <x:c r="H1989" s="8" t="str">
        <x:v>이 약은 노년기의 비타민 E의 보급과 말초혈행장애 및 갱년기 시 어깨·목결림, 수족저림·수족냉증의 완화와 마그네슘 결핍으로 인한 근육경련에 사용합니다.</x:v>
      </x:c>
      <x:c r="I1989" s="8" t="str">
        <x:v>이 약은 노년기의 비타민 E의 보급과 말초혈행장애 및 갱년기 시 어깨·목결림, 수족저림·수족냉증의 완화와 마그네슘 결핍으로 인한 근육경련에 사용합니다.</x:v>
      </x:c>
      <x:c r="J1989" s="8" t="str">
        <x:v>마그토닉연질캡슐 [품목기준코드 201308173]</x:v>
      </x:c>
      <x:c r="K1989" s="8" t="str">
        <x:v>식품의약품안전처 의약품개요정보(e약은요) OpenAPI
https://apis.data.go.kr/1471000/DrbEasyDrugInfoService/getDrbEasyDrugList</x:v>
      </x:c>
    </x:row>
    <x:row r="1990" ht="62" customHeight="1">
      <x:c r="A1990" s="9" t="n">
        <x:v>1989</x:v>
      </x:c>
      <x:c r="B1990" s="6" t="str">
        <x:v>최종 평가</x:v>
      </x:c>
      <x:c r="C1990" s="6" t="str">
        <x:v>복약</x:v>
      </x:c>
      <x:c r="D1990" s="6" t="str">
        <x:v>용어·정의</x:v>
      </x:c>
      <x:c r="E1990" s="6" t="str">
        <x:v>답변 가능</x:v>
      </x:c>
      <x:c r="F1990" s="6" t="str">
        <x:v>쉬움</x:v>
      </x:c>
      <x:c r="G1990" s="8" t="str">
        <x:v>나들이시럽은 어떤 약인가요?</x:v>
      </x:c>
      <x:c r="H1990" s="8" t="str">
        <x:v>나들이시럽은 (주)이든파마의 의약품으로, e약은요에는 다음과 같이 안내되어 있습니다. 이 약은 멀미에 의한 어지러움, 구토, 두통의 예방 및 완화에 사용합니다.</x:v>
      </x:c>
      <x:c r="I1990" s="8" t="str">
        <x:v>제품명: 나들이시럽 업체명: (주)이든파마 효능: 이 약은 멀미에 의한 어지러움, 구토, 두통의 예방 및 완화에 사용합니다.</x:v>
      </x:c>
      <x:c r="J1990" s="8" t="str">
        <x:v>나들이시럽 [품목기준코드 202400578]</x:v>
      </x:c>
      <x:c r="K1990" s="8" t="str">
        <x:v>식품의약품안전처 의약품개요정보(e약은요) OpenAPI
https://apis.data.go.kr/1471000/DrbEasyDrugInfoService/getDrbEasyDrugList</x:v>
      </x:c>
    </x:row>
    <x:row r="1991" ht="62" customHeight="1">
      <x:c r="A1991" s="9" t="n">
        <x:v>1990</x:v>
      </x:c>
      <x:c r="B1991" s="6" t="str">
        <x:v>최종 평가</x:v>
      </x:c>
      <x:c r="C1991" s="6" t="str">
        <x:v>복약</x:v>
      </x:c>
      <x:c r="D1991" s="6" t="str">
        <x:v>용법·용량</x:v>
      </x:c>
      <x:c r="E1991" s="6" t="str">
        <x:v>답변 가능</x:v>
      </x:c>
      <x:c r="F1991" s="6" t="str">
        <x:v>쉬움</x:v>
      </x:c>
      <x:c r="G1991" s="8" t="str">
        <x:v>투엑스비콘드로800정은 어떻게 사용하나요?</x:v>
      </x:c>
      <x:c r="H1991" s="8" t="str">
        <x:v>만 19세 이상 및 성인은 1회 1정씩, 1일 1회 복용합니다.</x:v>
      </x:c>
      <x:c r="I1991" s="8" t="str">
        <x:v>만 19세 이상 및 성인은 1회 1정씩, 1일 1회 복용합니다.</x:v>
      </x:c>
      <x:c r="J1991" s="8" t="str">
        <x:v>투엑스비콘드로800정 [품목기준코드 202202131]</x:v>
      </x:c>
      <x:c r="K1991" s="8" t="str">
        <x:v>식품의약품안전처 의약품개요정보(e약은요) OpenAPI
https://apis.data.go.kr/1471000/DrbEasyDrugInfoService/getDrbEasyDrugList</x:v>
      </x:c>
    </x:row>
    <x:row r="1992" ht="62" customHeight="1">
      <x:c r="A1992" s="9" t="n">
        <x:v>1991</x:v>
      </x:c>
      <x:c r="B1992" s="6" t="str">
        <x:v>최종 평가</x:v>
      </x:c>
      <x:c r="C1992" s="6" t="str">
        <x:v>복약</x:v>
      </x:c>
      <x:c r="D1992" s="6" t="str">
        <x:v>증상·이상반응</x:v>
      </x:c>
      <x:c r="E1992" s="6" t="str">
        <x:v>답변 가능</x:v>
      </x:c>
      <x:c r="F1992" s="6" t="str">
        <x:v>보통</x:v>
      </x:c>
      <x:c r="G1992" s="8" t="str">
        <x:v>이지엔6프로연질캡슐(덱시부프로펜)(수출명:DAUFENSoftCapsule,SPEEDFEN)을 사용하면 어떤 부작용이 생길 수 있나요?</x:v>
      </x:c>
      <x:c r="H1992" s="8" t="str">
        <x:v>e약은요에는 다음과 같은 이상반응이 안내되어 있습니다. 드물게 쇽(호흡곤란, 혈압저하 등), 재생불량성빈혈, 용혈성빈혈, 무과립구증, 과립구감소, 백혈구감소, 혈소판감소, 혈소판 기능 저하 (출혈시간 연장), 호산구증가 등의 혈액장애, 소화불량, 복부팽만, 속쓰림, 상복부의 통증, 설사나 변비, 때때로 식욕부진, 구역, 구토, 복통, 위부불쾌감이나 드물게 식도염, 식도협착, 게실악화, 비특이성출혈성대장염, 궤양성대장염 또는 크론병, 소화성궤양 위장출혈, 천공, 혈변, 위염, 췌장염, 매우 드물게 구갈, 구내염, 다형홍반, 전신홍반루프스, 탈모, 때때로 혈관부종, 드물게 피부점막안증후군(스티븐스-존슨증후군) 및 독성표피괴사용해(리엘증후군), 발진, 두드러기, 가려움, 자색반, 드물게 천식발작, 습진, 아나필락시스 반응, 광민감반응, 황달, ALT 상승, AST 상승, ALP 상승, 간기능이상, 간염, 때때로 비염, 기관지경련, 드물게 심부전 환자의 경우에 급성폐렴의 위험, 앞이 보이지 않음, 암침 등의 시각장애, 난청, 이명, 미각이상, 피로, 졸음, 두통, 어지러움, 때때로 불안, 안절부절, 착란, 우울증, 드물게 무균성수막염, 혈압저하, 혈압상승, 심계항진, 급성신부전, 핍뇨(소변감소), 혈뇨 등의 증상 및 요단백(소변에 포함된 단백질), BUN, 혈중 크레아티닌의 상승, 고칼륨혈증, 급성 폐부종, 말초부종, 체액저류, 여성의 생식능력 감소, 안와주위부종, 매우 드물게 권태감, 발열, 코피, 염증악화 등이 나타나는 경우 즉각 복용을 중지하고 의사 또는 약사와 상의하십시오.</x:v>
      </x:c>
      <x:c r="I1992" s="8" t="str">
        <x:v>드물게 쇽(호흡곤란, 혈압저하 등), 재생불량성빈혈, 용혈성빈혈, 무과립구증, 과립구감소, 백혈구감소, 혈소판감소, 혈소판 기능 저하 (출혈시간 연장), 호산구증가 등의 혈액장애, 소화불량, 복부팽만, 속쓰림, 상복부의 통증, 설사나 변비, 때때로 식욕부진, 구역, 구토, 복통, 위부불쾌감이나 드물게 식도염, 식도협착, 게실악화, 비특이성출혈성대장염, 궤양성대장염 또는 크론병, 소화성궤양 위장출혈, 천공, 혈변, 위염, 췌장염, 매우 드물게 구갈, 구내염, 다형홍반, 전신홍반루프스, 탈모, 때때로 혈관부종, 드물게 피부점막안증후군(스티븐스-존슨증후군) 및 독성표피괴사용해(리엘증후군), 발진, 두드러기, 가려움, 자색반, 드물게 천식발작, 습진, 아나필락시스 반응, 광민감반응, 황달, ALT 상승, AST 상승, ALP 상승, 간기능이상, 간염, 때때로 비염, 기관지경련, 드물게 심부전 환자의 경우에 급성폐렴의 위험, 앞이 보이지 않음, 암침 등의 시각장애, 난청, 이명, 미각이상, 피로, 졸음, 두통, 어지러움, 때때로 불안, 안절부절, 착란, 우울증, 드물게 무균성수막염, 혈압저하, 혈압상승, 심계항진, 급성신부전, 핍뇨(소변감소), 혈뇨 등의 증상 및 요단백(소변에 포함된 단백질), BUN, 혈중 크레아티닌의 상승, 고칼륨혈증, 급성 폐부종, 말초부종, 체액저류, 여성의 생식능력 감소, 안와주위부종, 매우 드물게 권태감, 발열, 코피, 염증악화 등이 나타나는 경우 즉각 복용을 중지하고 의사 또는 약사와 상의하십시오.</x:v>
      </x:c>
      <x:c r="J1992" s="8" t="str">
        <x:v>이지엔6프로연질캡슐(덱시부프로펜)(수출명:DAUFENSoftCapsule,SPEEDFEN) [품목기준코드 200400485]</x:v>
      </x:c>
      <x:c r="K1992" s="8" t="str">
        <x:v>식품의약품안전처 의약품개요정보(e약은요) OpenAPI
https://apis.data.go.kr/1471000/DrbEasyDrugInfoService/getDrbEasyDrugList</x:v>
      </x:c>
    </x:row>
    <x:row r="1993" ht="62" customHeight="1">
      <x:c r="A1993" s="9" t="n">
        <x:v>1992</x:v>
      </x:c>
      <x:c r="B1993" s="6" t="str">
        <x:v>최종 평가</x:v>
      </x:c>
      <x:c r="C1993" s="6" t="str">
        <x:v>복약</x:v>
      </x:c>
      <x:c r="D1993" s="6" t="str">
        <x:v>대상별 정보</x:v>
      </x:c>
      <x:c r="E1993" s="6" t="str">
        <x:v>답변 가능</x:v>
      </x:c>
      <x:c r="F1993" s="6" t="str">
        <x:v>쉬움</x:v>
      </x:c>
      <x:c r="G1993" s="8" t="str">
        <x:v>임신 또는 수유 중에 타바자겔을 사용해도 되나요?</x:v>
      </x:c>
      <x:c r="H1993" s="8" t="str">
        <x:v>e약은요에서 임신 또는 수유 중인 사람과 관련해 안내한 내용은 다음과 같습니다. 이 약 또는 살리실산염에 과민증 환자, 출산일 4주전 환자, 점막부위, 개방된 상처부위에 이 약을 사용하지 마십시오.이 약을 사용하기 전에 신생아 및 소아, 신(신장)부전, 임부 또는 임신하고 있을 가능성이 있는 여성 및 수유부는 의사 또는 약사와 상의하십시오.정해진 용법과 용량을 잘 지키십시오.눈에 들어가지 않게 주의하고 너무 넓게 바르지 마십시오.외용으로만 사용하십시오.어린이에게 투여할 경우 보호자의 지도 감독하에 투여하십시오.</x:v>
      </x:c>
      <x:c r="I1993" s="8" t="str">
        <x:v>이 약 또는 살리실산염에 과민증 환자, 출산일 4주전 환자, 점막부위, 개방된 상처부위에 이 약을 사용하지 마십시오.이 약을 사용하기 전에 신생아 및 소아, 신(신장)부전, 임부 또는 임신하고 있을 가능성이 있는 여성 및 수유부는 의사 또는 약사와 상의하십시오.정해진 용법과 용량을 잘 지키십시오.눈에 들어가지 않게 주의하고 너무 넓게 바르지 마십시오.외용으로만 사용하십시오.어린이에게 투여할 경우 보호자의 지도 감독하에 투여하십시오.</x:v>
      </x:c>
      <x:c r="J1993" s="8" t="str">
        <x:v>타바자겔 [품목기준코드 201606619]</x:v>
      </x:c>
      <x:c r="K1993" s="8" t="str">
        <x:v>식품의약품안전처 의약품개요정보(e약은요) OpenAPI
https://apis.data.go.kr/1471000/DrbEasyDrugInfoService/getDrbEasyDrugList</x:v>
      </x:c>
    </x:row>
    <x:row r="1994" ht="62" customHeight="1">
      <x:c r="A1994" s="9" t="n">
        <x:v>1993</x:v>
      </x:c>
      <x:c r="B1994" s="6" t="str">
        <x:v>최종 평가</x:v>
      </x:c>
      <x:c r="C1994" s="6" t="str">
        <x:v>복약</x:v>
      </x:c>
      <x:c r="D1994" s="6" t="str">
        <x:v>증상·이상반응</x:v>
      </x:c>
      <x:c r="E1994" s="6" t="str">
        <x:v>답변 가능</x:v>
      </x:c>
      <x:c r="F1994" s="6" t="str">
        <x:v>쉬움</x:v>
      </x:c>
      <x:c r="G1994" s="8" t="str">
        <x:v>위앤탁더블액션현탁액을 사용하면 어떤 부작용이 생길 수 있나요?</x:v>
      </x:c>
      <x:c r="H1994" s="8" t="str">
        <x:v>e약은요에는 다음과 같은 이상반응이 안내되어 있습니다. 알레르기 반응(가려움, 기관지 수축, 아나필락시스)이 나타나는 경우 복용을 즉각 중지하고 의사 또는 약사와 상의하십시오.</x:v>
      </x:c>
      <x:c r="I1994" s="8" t="str">
        <x:v>알레르기 반응(가려움, 기관지 수축, 아나필락시스)이 나타나는 경우 복용을 즉각 중지하고 의사 또는 약사와 상의하십시오.</x:v>
      </x:c>
      <x:c r="J1994" s="8" t="str">
        <x:v>위앤탁더블액션현탁액 [품목기준코드 201901968]</x:v>
      </x:c>
      <x:c r="K1994" s="8" t="str">
        <x:v>식품의약품안전처 의약품개요정보(e약은요) OpenAPI
https://apis.data.go.kr/1471000/DrbEasyDrugInfoService/getDrbEasyDrugList</x:v>
      </x:c>
    </x:row>
    <x:row r="1995" ht="62" customHeight="1">
      <x:c r="A1995" s="9" t="n">
        <x:v>1994</x:v>
      </x:c>
      <x:c r="B1995" s="6" t="str">
        <x:v>최종 평가</x:v>
      </x:c>
      <x:c r="C1995" s="6" t="str">
        <x:v>복약</x:v>
      </x:c>
      <x:c r="D1995" s="6" t="str">
        <x:v>상호작용</x:v>
      </x:c>
      <x:c r="E1995" s="6" t="str">
        <x:v>답변 가능</x:v>
      </x:c>
      <x:c r="F1995" s="6" t="str">
        <x:v>쉬움</x:v>
      </x:c>
      <x:c r="G1995" s="8" t="str">
        <x:v>쎄토마연질캡슐과 함께 사용하거나 먹을 때 주의해야 할 약이나 음식이 있나요?</x:v>
      </x:c>
      <x:c r="H1995" s="8" t="str">
        <x:v>인산염, 칼슘염, 경구용 테트라사이클린계 제제, 제산제와 함께 복용하지 마십시오. 에스트로겐을 포함한 경구용 피임제, 항알도스테론제, 트리암테렌, 정주용 지질제와 함께 사용시 의사 또는 약사와 상의하십시오. 녹차, 홍차 등 탄닌을 함유하는 차는 복용 중, 복용 전후에는 피하십시오.</x:v>
      </x:c>
      <x:c r="I1995" s="8" t="str">
        <x:v>인산염, 칼슘염, 경구용 테트라사이클린계 제제, 제산제와 함께 복용하지 마십시오. 에스트로겐을 포함한 경구용 피임제, 항알도스테론제, 트리암테렌, 정주용 지질제와 함께 사용시 의사 또는 약사와 상의하십시오. 녹차, 홍차 등 탄닌을 함유하는 차는 복용 중, 복용 전후에는 피하십시오.</x:v>
      </x:c>
      <x:c r="J1995" s="8" t="str">
        <x:v>쎄토마연질캡슐 [품목기준코드 199901404]</x:v>
      </x:c>
      <x:c r="K1995" s="8" t="str">
        <x:v>식품의약품안전처 의약품개요정보(e약은요) OpenAPI
https://apis.data.go.kr/1471000/DrbEasyDrugInfoService/getDrbEasyDrugList</x:v>
      </x:c>
    </x:row>
    <x:row r="1996" ht="62" customHeight="1">
      <x:c r="A1996" s="9" t="n">
        <x:v>1995</x:v>
      </x:c>
      <x:c r="B1996" s="6" t="str">
        <x:v>최종 평가</x:v>
      </x:c>
      <x:c r="C1996" s="6" t="str">
        <x:v>복약</x:v>
      </x:c>
      <x:c r="D1996" s="6" t="str">
        <x:v>금기·경고</x:v>
      </x:c>
      <x:c r="E1996" s="6" t="str">
        <x:v>답변 가능</x:v>
      </x:c>
      <x:c r="F1996" s="6" t="str">
        <x:v>보통</x:v>
      </x:c>
      <x:c r="G1996" s="8" t="str">
        <x:v>컴비덤지크림을 사용하면 안 되거나 반드시 확인해야 할 경고사항은 무엇인가요?</x:v>
      </x:c>
      <x:c r="H1996" s="8" t="str">
        <x:v>이 약에 과민증 환자, 세균(결핵, 매독 등)ㆍ진균(칸디다증, 백선 등)ㆍ스피로헤타속ㆍ효모ㆍ바이러스(대상포진, 단순포진, 수두, 종두증 등)ㆍ동물(옴, 사면발이 등)성 피부감염증 환자, 고막천공이 있는 습진성 외이도염 환자, 궤양(베체트병 제외), 제2도 심재성 이상의 화상ㆍ동상 환자, 입주위피부염, 보통여드름, 주사(rosacea) 환자, 스트렙토마이신, 카나마이신, 겐타마이신, 네오마이신 등 아미노글리코사이드계 항생물질 또는 바시트라신에 과민증 환자는 이 약을 사용하지 마십시오. 이 약을 사용하기 전에 임부 또는 임신하고 있을 가능성이 있는 여성 및 수유부, 유ㆍ소아, 아황산 감수성 환자, 프로필렌글리콜에 과민증 환자는 의사 또는 약사와 상의하십시오. 안(눈)과용으로 사용하지 마십시오. 화장이나 면도 후 치료 이외의 목적으로 사용하지 마십시오. 의사의 감독 없이 밀봉붕대법을 사용하지 마십시오. 장기간 사용하지 마십시오.</x:v>
      </x:c>
      <x:c r="I1996" s="8" t="str">
        <x:v>이 약에 과민증 환자, 세균(결핵, 매독 등)ㆍ진균(칸디다증, 백선 등)ㆍ스피로헤타속ㆍ효모ㆍ바이러스(대상포진, 단순포진, 수두, 종두증 등)ㆍ동물(옴, 사면발이 등)성 피부감염증 환자, 고막천공이 있는 습진성 외이도염 환자, 궤양(베체트병 제외), 제2도 심재성 이상의 화상ㆍ동상 환자, 입주위피부염, 보통여드름, 주사(rosacea) 환자, 스트렙토마이신, 카나마이신, 겐타마이신, 네오마이신 등 아미노글리코사이드계 항생물질 또는 바시트라신에 과민증 환자는 이 약을 사용하지 마십시오. 이 약을 사용하기 전에 임부 또는 임신하고 있을 가능성이 있는 여성 및 수유부, 유ㆍ소아, 아황산 감수성 환자, 프로필렌글리콜에 과민증 환자는 의사 또는 약사와 상의하십시오. 안(눈)과용으로 사용하지 마십시오. 화장이나 면도 후 치료 이외의 목적으로 사용하지 마십시오. 의사의 감독 없이 밀봉붕대법을 사용하지 마십시오. 장기간 사용하지 마십시오.</x:v>
      </x:c>
      <x:c r="J1996" s="8" t="str">
        <x:v>컴비덤지크림 [품목기준코드 200001516]</x:v>
      </x:c>
      <x:c r="K1996" s="8" t="str">
        <x:v>식품의약품안전처 의약품개요정보(e약은요) OpenAPI
https://apis.data.go.kr/1471000/DrbEasyDrugInfoService/getDrbEasyDrugList</x:v>
      </x:c>
    </x:row>
    <x:row r="1997" ht="62" customHeight="1">
      <x:c r="A1997" s="9" t="n">
        <x:v>1996</x:v>
      </x:c>
      <x:c r="B1997" s="6" t="str">
        <x:v>최종 평가</x:v>
      </x:c>
      <x:c r="C1997" s="6" t="str">
        <x:v>복약</x:v>
      </x:c>
      <x:c r="D1997" s="6" t="str">
        <x:v>증상·이상반응</x:v>
      </x:c>
      <x:c r="E1997" s="6" t="str">
        <x:v>답변 가능</x:v>
      </x:c>
      <x:c r="F1997" s="6" t="str">
        <x:v>쉬움</x:v>
      </x:c>
      <x:c r="G1997" s="8" t="str">
        <x:v>쿨드림연질캡슐(디펜히드라민염산염)을 사용하면 어떤 부작용이 생길 수 있나요?</x:v>
      </x:c>
      <x:c r="H1997" s="8" t="str">
        <x:v>e약은요에는 다음과 같은 이상반응이 안내되어 있습니다. 발진, 발적, 가려움, 구갈, 위통, 오심ㆍ구토, 식욕부진, 설사, 어지러움, 두통, 기상시의 두중감, 활동중의 졸음, 불쾌감, 신경과민, 일시적인 의식장해(주의력의 저하, 잠이 덜깨는 증상, 판단력의 저하, 말ㆍ행동의 이상 등), 두근거림, 권태감, 배뇨곤란, 시야혼란, 폐쇄각 녹내장 등이 나타나는 경우 복용을 즉각 중지하고 의사 또는 약사와 상의하십시오.</x:v>
      </x:c>
      <x:c r="I1997" s="8" t="str">
        <x:v>발진, 발적, 가려움, 구갈, 위통, 오심ㆍ구토, 식욕부진, 설사, 어지러움, 두통, 기상시의 두중감, 활동중의 졸음, 불쾌감, 신경과민, 일시적인 의식장해(주의력의 저하, 잠이 덜깨는 증상, 판단력의 저하, 말ㆍ행동의 이상 등), 두근거림, 권태감, 배뇨곤란, 시야혼란, 폐쇄각 녹내장 등이 나타나는 경우 복용을 즉각 중지하고 의사 또는 약사와 상의하십시오.</x:v>
      </x:c>
      <x:c r="J1997" s="8" t="str">
        <x:v>쿨드림연질캡슐(디펜히드라민염산염) [품목기준코드 200903737]</x:v>
      </x:c>
      <x:c r="K1997" s="8" t="str">
        <x:v>식품의약품안전처 의약품개요정보(e약은요) OpenAPI
https://apis.data.go.kr/1471000/DrbEasyDrugInfoService/getDrbEasyDrugList</x:v>
      </x:c>
    </x:row>
    <x:row r="1998" ht="62" customHeight="1">
      <x:c r="A1998" s="9" t="n">
        <x:v>1997</x:v>
      </x:c>
      <x:c r="B1998" s="6" t="str">
        <x:v>최종 평가</x:v>
      </x:c>
      <x:c r="C1998" s="6" t="str">
        <x:v>복약</x:v>
      </x:c>
      <x:c r="D1998" s="6" t="str">
        <x:v>답변불가·가격·재고</x:v>
      </x:c>
      <x:c r="E1998" s="6" t="str">
        <x:v>답변 거부</x:v>
      </x:c>
      <x:c r="F1998" s="6" t="str">
        <x:v>어려움</x:v>
      </x:c>
      <x:c r="G1998" s="8" t="str">
        <x:v>오늘 제 주변 약국에서 엘카틸정(엘카르니틴)이 가장 싼 곳과 재고 수량을 알려주세요.</x:v>
      </x:c>
      <x:c r="H1998" s="8" t="str">
        <x:v>제공된 e약은요 VDB에는 실시간 약국별 가격과 재고 정보가 없어 답할 수 없습니다.</x:v>
      </x:c>
      <x:c r="I1998" s="8" t="str">
        <x:v>VDB 범위 밖 질문 — 근거 없음</x:v>
      </x:c>
      <x:c r="J1998" s="8" t="str">
        <x:v>엘카틸정(엘카르니틴) [품목기준코드 201801170]</x:v>
      </x:c>
      <x:c r="K1998" s="8" t="str">
        <x:v>식품의약품안전처 의약품개요정보(e약은요) OpenAPI
https://apis.data.go.kr/1471000/DrbEasyDrugInfoService/getDrbEasyDrugList</x:v>
      </x:c>
    </x:row>
    <x:row r="1999" ht="62" customHeight="1">
      <x:c r="A1999" s="9" t="n">
        <x:v>1998</x:v>
      </x:c>
      <x:c r="B1999" s="6" t="str">
        <x:v>최종 평가</x:v>
      </x:c>
      <x:c r="C1999" s="6" t="str">
        <x:v>복약</x:v>
      </x:c>
      <x:c r="D1999" s="6" t="str">
        <x:v>답변불가·가격·재고</x:v>
      </x:c>
      <x:c r="E1999" s="6" t="str">
        <x:v>답변 거부</x:v>
      </x:c>
      <x:c r="F1999" s="6" t="str">
        <x:v>어려움</x:v>
      </x:c>
      <x:c r="G1999" s="8" t="str">
        <x:v>오늘 제 주변 약국에서 아로나민케어에이치티정이 가장 싼 곳과 재고 수량을 알려주세요.</x:v>
      </x:c>
      <x:c r="H1999" s="8" t="str">
        <x:v>제공된 e약은요 VDB에는 실시간 약국별 가격과 재고 정보가 없어 답할 수 없습니다.</x:v>
      </x:c>
      <x:c r="I1999" s="8" t="str">
        <x:v>VDB 범위 밖 질문 — 근거 없음</x:v>
      </x:c>
      <x:c r="J1999" s="8" t="str">
        <x:v>아로나민케어에이치티정 [품목기준코드 201904226]</x:v>
      </x:c>
      <x:c r="K1999" s="8" t="str">
        <x:v>식품의약품안전처 의약품개요정보(e약은요) OpenAPI
https://apis.data.go.kr/1471000/DrbEasyDrugInfoService/getDrbEasyDrugList</x:v>
      </x:c>
    </x:row>
    <x:row r="2000" ht="62" customHeight="1">
      <x:c r="A2000" s="9" t="n">
        <x:v>1999</x:v>
      </x:c>
      <x:c r="B2000" s="6" t="str">
        <x:v>최종 평가</x:v>
      </x:c>
      <x:c r="C2000" s="6" t="str">
        <x:v>복약</x:v>
      </x:c>
      <x:c r="D2000" s="6" t="str">
        <x:v>효능·사용목적</x:v>
      </x:c>
      <x:c r="E2000" s="6" t="str">
        <x:v>답변 가능</x:v>
      </x:c>
      <x:c r="F2000" s="6" t="str">
        <x:v>쉬움</x:v>
      </x:c>
      <x:c r="G2000" s="8" t="str">
        <x:v>디프로펜시럽(덱시부프로펜)은 어떤 증상이나 질환에 사용하는 약인가요?</x:v>
      </x:c>
      <x:c r="H2000" s="8" t="str">
        <x:v>이 약은 급성 상기도 감염으로 인한 발열 시 해열에 사용합니다.</x:v>
      </x:c>
      <x:c r="I2000" s="8" t="str">
        <x:v>이 약은 급성 상기도 감염으로 인한 발열 시 해열에 사용합니다.</x:v>
      </x:c>
      <x:c r="J2000" s="8" t="str">
        <x:v>디프로펜시럽(덱시부프로펜) [품목기준코드 201305834]</x:v>
      </x:c>
      <x:c r="K2000" s="8" t="str">
        <x:v>식품의약품안전처 의약품개요정보(e약은요) OpenAPI
https://apis.data.go.kr/1471000/DrbEasyDrugInfoService/getDrbEasyDrugList</x:v>
      </x:c>
    </x:row>
    <x:row r="2001" ht="62" customHeight="1">
      <x:c r="A2001" s="9" t="n">
        <x:v>2000</x:v>
      </x:c>
      <x:c r="B2001" s="6" t="str">
        <x:v>최종 평가</x:v>
      </x:c>
      <x:c r="C2001" s="6" t="str">
        <x:v>복약</x:v>
      </x:c>
      <x:c r="D2001" s="6" t="str">
        <x:v>실용·응급대처</x:v>
      </x:c>
      <x:c r="E2001" s="6" t="str">
        <x:v>답변 가능</x:v>
      </x:c>
      <x:c r="F2001" s="6" t="str">
        <x:v>보통</x:v>
      </x:c>
      <x:c r="G2001" s="8" t="str">
        <x:v>훼로큐캡슐 사용 후 심한 이상반응이 나타나면 어떻게 해야 하나요?</x:v>
      </x:c>
      <x:c r="H2001" s="8" t="str">
        <x:v>때때로 홍반(붉은 반점), 피부질환, 가려움, 전신권태, 기관지에 의한 호흡곤란 등의 알레르기 증상, 두드러기, 가려움, 햇빛에 의한 피부 과민반응, 복부(배부분)ㆍ위통증, 위 경련, 구토, 설사, 열, 혼수, 구역, 식욕부진, 체중감소, 부기, 변비, 흑변(검게 변함), 위부불쾌감 등이 나타나는 경우 복용을 즉각 중지하고 의사 또는 약사와 상의하십시오.</x:v>
      </x:c>
      <x:c r="I2001" s="8" t="str">
        <x:v>때때로 홍반(붉은 반점), 피부질환, 가려움, 전신권태, 기관지에 의한 호흡곤란 등의 알레르기 증상, 두드러기, 가려움, 햇빛에 의한 피부 과민반응, 복부(배부분)ㆍ위통증, 위 경련, 구토, 설사, 열, 혼수, 구역, 식욕부진, 체중감소, 부기, 변비, 흑변(검게 변함), 위부불쾌감 등이 나타나는 경우 복용을 즉각 중지하고 의사 또는 약사와 상의하십시오.</x:v>
      </x:c>
      <x:c r="J2001" s="8" t="str">
        <x:v>훼로큐캡슐 [품목기준코드 201800754]</x:v>
      </x:c>
      <x:c r="K2001" s="8" t="str">
        <x:v>식품의약품안전처 의약품개요정보(e약은요) OpenAPI
https://apis.data.go.kr/1471000/DrbEasyDrugInfoService/getDrbEasyDrugList</x:v>
      </x:c>
    </x:row>
    <x:row r="2002" ht="62" customHeight="1">
      <x:c r="A2002" s="9" t="n">
        <x:v>2001</x:v>
      </x:c>
      <x:c r="B2002" s="6" t="str">
        <x:v>최종 평가</x:v>
      </x:c>
      <x:c r="C2002" s="6" t="str">
        <x:v>복약</x:v>
      </x:c>
      <x:c r="D2002" s="6" t="str">
        <x:v>증상→대상 구분</x:v>
      </x:c>
      <x:c r="E2002" s="6" t="str">
        <x:v>답변 가능</x:v>
      </x:c>
      <x:c r="F2002" s="6" t="str">
        <x:v>어려움</x:v>
      </x:c>
      <x:c r="G2002" s="8" t="str">
        <x:v>알레노즈캡슐을 사용한 뒤 발진이 생겼는데, 이 약의 부작용으로 안내되어 있나요?</x:v>
      </x:c>
      <x:c r="H2002" s="8" t="str">
        <x:v>발진은 이 제품의 e약은요 부작용 항목에 기재되어 있습니다. 다만 이 정보만으로 현재 증상의 원인이 해당 약이라고 확정할 수는 없습니다.</x:v>
      </x:c>
      <x:c r="I2002" s="8" t="str">
        <x:v>출혈성뇌졸중, 구역·구토, 지속적이거나 심한 목마름, 변비, 식욕부진, 발진·발적, 가려움, 배뇨곤란, 두통, 안면홍조, 비정상적인 눈부심, 드물게 두드러기, 부종, 가슴답답함 등과 함께 안색이 창백하고, 손발이 차고, 식은땀, 숨쉬기 곤란함, 위알도스테론증(요량이 감소하거나 얼굴과 손발이 붓고, 눈꺼풀이 무거워지고, 손이 굳어지고, 혈압이 높아지거나 두통, 근육병증(무력감, 사지경련, 마비), 가역적 후뇌 병증 증후군 및 가역적 뇌혈관 수축 증후군(갑작스러운 심한 두통, 번개 두통, 구역, 구토, 혼돈, 발작, 시각 장애) 등이 나타나는 경우 복용을 즉각 중지하고 의사 또는 약사와 상의하십시오.</x:v>
      </x:c>
      <x:c r="J2002" s="8" t="str">
        <x:v>알레노즈캡슐 [품목기준코드 202501013]</x:v>
      </x:c>
      <x:c r="K2002" s="8" t="str">
        <x:v>식품의약품안전처 의약품개요정보(e약은요) OpenAPI
https://apis.data.go.kr/1471000/DrbEasyDrugInfoService/getDrbEasyDrugList</x:v>
      </x:c>
    </x:row>
    <x:row r="2003" ht="62" customHeight="1">
      <x:c r="A2003" s="9" t="n">
        <x:v>2002</x:v>
      </x:c>
      <x:c r="B2003" s="6" t="str">
        <x:v>최종 평가</x:v>
      </x:c>
      <x:c r="C2003" s="6" t="str">
        <x:v>복약</x:v>
      </x:c>
      <x:c r="D2003" s="6" t="str">
        <x:v>금기·경고</x:v>
      </x:c>
      <x:c r="E2003" s="6" t="str">
        <x:v>답변 가능</x:v>
      </x:c>
      <x:c r="F2003" s="6" t="str">
        <x:v>쉬움</x:v>
      </x:c>
      <x:c r="G2003" s="8" t="str">
        <x:v>리나치올시럽(카르보시스테인)(수출명:HyundiolSyrup)을 사용하면 안 되거나 반드시 확인해야 할 경고사항은 무엇인가요?</x:v>
      </x:c>
      <x:c r="H2003" s="8" t="str">
        <x:v>이 약에 과민증 환자, 위·십이지장 궤양 환자, 2세 미만 소아는 이 약을 복용하지 마십시오.이 약을 복용하기 전에 간장애, 심장애 환자, 위·십이지장 궤양의 경험자, 임부, 수유부, 고령자, 카라멜에 과민증 환자 또는 경험자는 의사 또는 약사와 상의하십시오.</x:v>
      </x:c>
      <x:c r="I2003" s="8" t="str">
        <x:v>이 약에 과민증 환자, 위·십이지장 궤양 환자, 2세 미만 소아는 이 약을 복용하지 마십시오.이 약을 복용하기 전에 간장애, 심장애 환자, 위·십이지장 궤양의 경험자, 임부, 수유부, 고령자, 카라멜에 과민증 환자 또는 경험자는 의사 또는 약사와 상의하십시오.</x:v>
      </x:c>
      <x:c r="J2003" s="8" t="str">
        <x:v>리나치올시럽(카르보시스테인)(수출명:HyundiolSyrup) [품목기준코드 197600722]</x:v>
      </x:c>
      <x:c r="K2003" s="8" t="str">
        <x:v>식품의약품안전처 의약품개요정보(e약은요) OpenAPI
https://apis.data.go.kr/1471000/DrbEasyDrugInfoService/getDrbEasyDrugList</x:v>
      </x:c>
    </x:row>
    <x:row r="2004" ht="62" customHeight="1">
      <x:c r="A2004" s="9" t="n">
        <x:v>2003</x:v>
      </x:c>
      <x:c r="B2004" s="6" t="str">
        <x:v>최종 평가</x:v>
      </x:c>
      <x:c r="C2004" s="6" t="str">
        <x:v>복약</x:v>
      </x:c>
      <x:c r="D2004" s="6" t="str">
        <x:v>용법·용량</x:v>
      </x:c>
      <x:c r="E2004" s="6" t="str">
        <x:v>답변 가능</x:v>
      </x:c>
      <x:c r="F2004" s="6" t="str">
        <x:v>쉬움</x:v>
      </x:c>
      <x:c r="G2004" s="8" t="str">
        <x:v>나프젠액1%(나프티핀염산염)은 어떻게 사용하나요?</x:v>
      </x:c>
      <x:c r="H2004" s="8" t="str">
        <x:v>피부진균증에 사용하는 경우 1일 1회(가능하면 취침시) 환부를 깨끗이 닦고 완전히 건조시킨 후 환부 및 그 주위의 피부에 얇게 바르고 부드럽게 문지르십시오.조갑(손톱, 발톱) 진균증에 사용하는 경우 손톱, 발톱을 짧게 깎고, 1일 1회(가능하면 취침시) 또는 필요에 따라 1일 2회(아침, 저녁) 얇게 바릅니다. 재발 방지를 위해 모든 증상이 소실된 후에도 약 2주간 더 사용합니다.</x:v>
      </x:c>
      <x:c r="I2004" s="8" t="str">
        <x:v>피부진균증에 사용하는 경우 1일 1회(가능하면 취침시) 환부를 깨끗이 닦고 완전히 건조시킨 후 환부 및 그 주위의 피부에 얇게 바르고 부드럽게 문지르십시오.조갑(손톱, 발톱) 진균증에 사용하는 경우 손톱, 발톱을 짧게 깎고, 1일 1회(가능하면 취침시) 또는 필요에 따라 1일 2회(아침, 저녁) 얇게 바릅니다. 재발 방지를 위해 모든 증상이 소실된 후에도 약 2주간 더 사용합니다.</x:v>
      </x:c>
      <x:c r="J2004" s="8" t="str">
        <x:v>나프젠액1%(나프티핀염산염) [품목기준코드 201607113]</x:v>
      </x:c>
      <x:c r="K2004" s="8" t="str">
        <x:v>식품의약품안전처 의약품개요정보(e약은요) OpenAPI
https://apis.data.go.kr/1471000/DrbEasyDrugInfoService/getDrbEasyDrugList</x:v>
      </x:c>
    </x:row>
    <x:row r="2005" ht="62" customHeight="1">
      <x:c r="A2005" s="9" t="n">
        <x:v>2004</x:v>
      </x:c>
      <x:c r="B2005" s="6" t="str">
        <x:v>최종 평가</x:v>
      </x:c>
      <x:c r="C2005" s="6" t="str">
        <x:v>복약</x:v>
      </x:c>
      <x:c r="D2005" s="6" t="str">
        <x:v>용법·용량</x:v>
      </x:c>
      <x:c r="E2005" s="6" t="str">
        <x:v>답변 가능</x:v>
      </x:c>
      <x:c r="F2005" s="6" t="str">
        <x:v>보통</x:v>
      </x:c>
      <x:c r="G2005" s="8" t="str">
        <x:v>스피록센연질캡슐(나프록센)은 어떻게 사용하나요?</x:v>
      </x:c>
      <x:c r="H2005" s="8" t="str">
        <x:v>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x:v>
      </x:c>
      <x:c r="I2005" s="8" t="str">
        <x:v>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x:v>
      </x:c>
      <x:c r="J2005" s="8" t="str">
        <x:v>스피록센연질캡슐(나프록센) [품목기준코드 201310281]</x:v>
      </x:c>
      <x:c r="K2005" s="8" t="str">
        <x:v>식품의약품안전처 의약품개요정보(e약은요) OpenAPI
https://apis.data.go.kr/1471000/DrbEasyDrugInfoService/getDrbEasyDrugList</x:v>
      </x:c>
    </x:row>
    <x:row r="2006" ht="62" customHeight="1">
      <x:c r="A2006" s="9" t="n">
        <x:v>2005</x:v>
      </x:c>
      <x:c r="B2006" s="6" t="str">
        <x:v>최종 평가</x:v>
      </x:c>
      <x:c r="C2006" s="6" t="str">
        <x:v>복약</x:v>
      </x:c>
      <x:c r="D2006" s="6" t="str">
        <x:v>금기·경고</x:v>
      </x:c>
      <x:c r="E2006" s="6" t="str">
        <x:v>답변 가능</x:v>
      </x:c>
      <x:c r="F2006" s="6" t="str">
        <x:v>보통</x:v>
      </x:c>
      <x:c r="G2006" s="8" t="str">
        <x:v>파인큐나프록센현탁액을 사용하면 안 되거나 반드시 확인해야 할 경고사항은 무엇인가요?</x:v>
      </x:c>
      <x:c r="H2006" s="8" t="str">
        <x:v>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소화성궤양, 심한 혈액이상, 간장애, 심기능부전, 신장장애, 고혈압 환자, 이 약의 성분 또는 아스피린 등 비스테로이드성 소염진통제 과민증 환자, 아스피린이나 다른 비스테로이드성 소염진통제에 의한 천식, 비염, 코의 용종, 두드러기, 알레르기 반응 경험자, 관상동맥 우회로술 전후에 발생하는 통증 치료 환자, 임부(임신말기)는 이 약을 복용하지 마십시오. 이 약을 복용하기 전에 소화성궤양, 혈액이상 또는 경험자, 출혈경향이 있는 환자, 간장애 또는 경험자, 신장장애 또는 경험자 및 신혈류량이 저하된 환자, 심기능 장애 환자, 고혈압 환자, 과민증 경험자, 기관지천식 환자, 전신성홍반성루푸스(SLE) 환자 및 혼합결합조직질환(MCTD) 환자, 고령자는 의사 또는 약사와 상의하십시오.</x:v>
      </x:c>
      <x:c r="I2006" s="8" t="str">
        <x:v>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소화성궤양, 심한 혈액이상, 간장애, 심기능부전, 신장장애, 고혈압 환자, 이 약의 성분 또는 아스피린 등 비스테로이드성 소염진통제 과민증 환자, 아스피린이나 다른 비스테로이드성 소염진통제에 의한 천식, 비염, 코의 용종, 두드러기, 알레르기 반응 경험자, 관상동맥 우회로술 전후에 발생하는 통증 치료 환자, 임부(임신말기)는 이 약을 복용하지 마십시오. 이 약을 복용하기 전에 소화성궤양, 혈액이상 또는 경험자, 출혈경향이 있는 환자, 간장애 또는 경험자, 신장장애 또는 경험자 및 신혈류량이 저하된 환자, 심기능 장애 환자, 고혈압 환자, 과민증 경험자, 기관지천식 환자, 전신성홍반성루푸스(SLE) 환자 및 혼합결합조직질환(MCTD) 환자, 고령자는 의사 또는 약사와 상의하십시오.</x:v>
      </x:c>
      <x:c r="J2006" s="8" t="str">
        <x:v>파인큐나프록센현탁액 [품목기준코드 202402681]</x:v>
      </x:c>
      <x:c r="K2006" s="8" t="str">
        <x:v>식품의약품안전처 의약품개요정보(e약은요) OpenAPI
https://apis.data.go.kr/1471000/DrbEasyDrugInfoService/getDrbEasyDrugList</x:v>
      </x:c>
    </x:row>
    <x:row r="2007" ht="62" customHeight="1">
      <x:c r="A2007" s="9" t="n">
        <x:v>2006</x:v>
      </x:c>
      <x:c r="B2007" s="6" t="str">
        <x:v>최종 평가</x:v>
      </x:c>
      <x:c r="C2007" s="6" t="str">
        <x:v>복약</x:v>
      </x:c>
      <x:c r="D2007" s="6" t="str">
        <x:v>상호작용</x:v>
      </x:c>
      <x:c r="E2007" s="6" t="str">
        <x:v>답변 가능</x:v>
      </x:c>
      <x:c r="F2007" s="6" t="str">
        <x:v>보통</x:v>
      </x:c>
      <x:c r="G2007" s="8" t="str">
        <x:v>브이콜에이치캡슐과 함께 사용하거나 먹을 때 주의해야 할 약이나 음식이 있나요?</x:v>
      </x:c>
      <x:c r="H2007" s="8" t="str">
        <x:v>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이 약을 복용하기 전에 당뇨약, 통풍약, 관절염약, 항응고제, 스테로이드제 등 다른 약물을 투여 받고 있는 사람은 의사 또는 약사와 상의하십시오. 바르비탈계 약물, 삼환계 항우울제 및 알코올을 투여하는 환자는 의사 또는 약사와 상의하십시오. 복용 중에 음주하지 마십시오.</x:v>
      </x:c>
      <x:c r="I2007" s="8" t="str">
        <x:v>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이 약을 복용하기 전에 당뇨약, 통풍약, 관절염약, 항응고제, 스테로이드제 등 다른 약물을 투여 받고 있는 사람은 의사 또는 약사와 상의하십시오. 바르비탈계 약물, 삼환계 항우울제 및 알코올을 투여하는 환자는 의사 또는 약사와 상의하십시오. 복용 중에 음주하지 마십시오.</x:v>
      </x:c>
      <x:c r="J2007" s="8" t="str">
        <x:v>브이콜에이치캡슐 [품목기준코드 202300907]</x:v>
      </x:c>
      <x:c r="K2007" s="8" t="str">
        <x:v>식품의약품안전처 의약품개요정보(e약은요) OpenAPI
https://apis.data.go.kr/1471000/DrbEasyDrugInfoService/getDrbEasyDrugList</x:v>
      </x:c>
    </x:row>
    <x:row r="2008" ht="62" customHeight="1">
      <x:c r="A2008" s="9" t="n">
        <x:v>2007</x:v>
      </x:c>
      <x:c r="B2008" s="6" t="str">
        <x:v>최종 평가</x:v>
      </x:c>
      <x:c r="C2008" s="6" t="str">
        <x:v>복약</x:v>
      </x:c>
      <x:c r="D2008" s="6" t="str">
        <x:v>대상별 정보</x:v>
      </x:c>
      <x:c r="E2008" s="6" t="str">
        <x:v>답변 가능</x:v>
      </x:c>
      <x:c r="F2008" s="6" t="str">
        <x:v>쉬움</x:v>
      </x:c>
      <x:c r="G2008" s="8" t="str">
        <x:v>임신 또는 수유 중에 칸디스텐질정100밀리그램(클로트리마졸)을 사용해도 되나요?</x:v>
      </x:c>
      <x:c r="H2008" s="8" t="str">
        <x:v>e약은요에서 임신 또는 수유 중인 사람과 관련해 안내한 내용은 다음과 같습니다. 이 약을 사용하기 전에 임부 또는 임신하고 있을 가능성이 있는 여성, 수유부는 의사 또는 약사와 상의하십시오.</x:v>
      </x:c>
      <x:c r="I2008" s="8" t="str">
        <x:v>이 약을 사용하기 전에 임부 또는 임신하고 있을 가능성이 있는 여성, 수유부는 의사 또는 약사와 상의하십시오.</x:v>
      </x:c>
      <x:c r="J2008" s="8" t="str">
        <x:v>칸디스텐질정100밀리그램(클로트리마졸) [품목기준코드 201908230]</x:v>
      </x:c>
      <x:c r="K2008" s="8" t="str">
        <x:v>식품의약품안전처 의약품개요정보(e약은요) OpenAPI
https://apis.data.go.kr/1471000/DrbEasyDrugInfoService/getDrbEasyDrugList</x:v>
      </x:c>
    </x:row>
    <x:row r="2009" ht="62" customHeight="1">
      <x:c r="A2009" s="9" t="n">
        <x:v>2008</x:v>
      </x:c>
      <x:c r="B2009" s="6" t="str">
        <x:v>최종 평가</x:v>
      </x:c>
      <x:c r="C2009" s="6" t="str">
        <x:v>복약</x:v>
      </x:c>
      <x:c r="D2009" s="6" t="str">
        <x:v>실용·응급대처</x:v>
      </x:c>
      <x:c r="E2009" s="6" t="str">
        <x:v>답변 가능</x:v>
      </x:c>
      <x:c r="F2009" s="6" t="str">
        <x:v>보통</x:v>
      </x:c>
      <x:c r="G2009" s="8" t="str">
        <x:v>알삭센정(나프록센나트륨) 사용 후 심한 이상반응이 나타나면 어떻게 해야 하나요?</x:v>
      </x:c>
      <x:c r="H2009" s="8" t="str">
        <x:v>드물게 쇽 증상(호흡곤란, 혈압강하, 서맥(느린 맥), 식은땀, 부기), PIE증후군(호산구증가를 수반하는 폐침윤 : 발열, 숨을 쌕쌕거림, 기침, 가래를 동반함), 두드러기, 무과립구증, 호산구증가, 백혈구감소, 혈소판감소, 재생불량성빈혈, 용혈성(적혈구파괴성)빈혈, 혈소판기능저하(출혈시간의 연장) 등의 혈액장애, 때때로 발진, 가려움 등의 과민증상, 토혈(혈액구토), 위장출혈, 소화성궤양, 천공, 무균성 수막염(심한 두통, 구역, 구토, 불면, 목이 뻣뻣함, 발열 또는 의식장애), 습진, 땀이 남, 자반(자주색 반점), 광과민증, 탈모, 발적(충혈되어 붉어짐), 괴사성용해, 다형성홍반(여러 모양의 붉은 반점), 스티븐스-존슨증후군(피부점막안증후군), 두드러기, 표피 수포증, 호산구 증가 및 전신 증상 동반 약물 반응, 고정약물발진, 탈락성 피부염 등이 나타나는 경우 복용을 즉각 중지하고 의사 또는 약사와 상의하십시오.</x:v>
      </x:c>
      <x:c r="I2009" s="8" t="str">
        <x:v>드물게 쇽 증상(호흡곤란, 혈압강하, 서맥(느린 맥), 식은땀, 부기), PIE증후군(호산구증가를 수반하는 폐침윤 : 발열, 숨을 쌕쌕거림, 기침, 가래를 동반함), 두드러기, 무과립구증, 호산구증가, 백혈구감소, 혈소판감소, 재생불량성빈혈, 용혈성(적혈구파괴성)빈혈, 혈소판기능저하(출혈시간의 연장) 등의 혈액장애, 때때로 발진, 가려움 등의 과민증상, 토혈(혈액구토), 위장출혈, 소화성궤양, 천공, 무균성 수막염(심한 두통, 구역, 구토, 불면, 목이 뻣뻣함, 발열 또는 의식장애), 습진, 땀이 남, 자반(자주색 반점), 광과민증, 탈모, 발적(충혈되어 붉어짐), 괴사성용해, 다형성홍반(여러 모양의 붉은 반점), 스티븐스-존슨증후군(피부점막안증후군), 두드러기, 표피 수포증, 호산구 증가 및 전신 증상 동반 약물 반응, 고정약물발진, 탈락성 피부염 등이 나타나는 경우 복용을 즉각 중지하고 의사 또는 약사와 상의하십시오.</x:v>
      </x:c>
      <x:c r="J2009" s="8" t="str">
        <x:v>알삭센정(나프록센나트륨) [품목기준코드 198802481]</x:v>
      </x:c>
      <x:c r="K2009" s="8" t="str">
        <x:v>식품의약품안전처 의약품개요정보(e약은요) OpenAPI
https://apis.data.go.kr/1471000/DrbEasyDrugInfoService/getDrbEasyDrugList</x:v>
      </x:c>
    </x:row>
    <x:row r="2010" ht="62" customHeight="1">
      <x:c r="A2010" s="9" t="n">
        <x:v>2009</x:v>
      </x:c>
      <x:c r="B2010" s="6" t="str">
        <x:v>최종 평가</x:v>
      </x:c>
      <x:c r="C2010" s="6" t="str">
        <x:v>복약</x:v>
      </x:c>
      <x:c r="D2010" s="6" t="str">
        <x:v>효능·사용목적</x:v>
      </x:c>
      <x:c r="E2010" s="6" t="str">
        <x:v>답변 가능</x:v>
      </x:c>
      <x:c r="F2010" s="6" t="str">
        <x:v>쉬움</x:v>
      </x:c>
      <x:c r="G2010" s="8" t="str">
        <x:v>소롤캡슐200밀리그램(소브레롤)은 어떤 증상이나 질환에 사용하는 약인가요?</x:v>
      </x:c>
      <x:c r="H2010" s="8" t="str">
        <x:v>이 약은 급·만성기관지염, 호흡장애(천식, 기침)를 수반한 기관지염, 비인두염, 후두기관염 등 분비기능이 항진된 급·만성 호흡기 장애에 사용합니다.</x:v>
      </x:c>
      <x:c r="I2010" s="8" t="str">
        <x:v>이 약은 급·만성기관지염, 호흡장애(천식, 기침)를 수반한 기관지염, 비인두염, 후두기관염 등 분비기능이 항진된 급·만성 호흡기 장애에 사용합니다.</x:v>
      </x:c>
      <x:c r="J2010" s="8" t="str">
        <x:v>소롤캡슐200밀리그램(소브레롤) [품목기준코드 199302401]</x:v>
      </x:c>
      <x:c r="K2010" s="8" t="str">
        <x:v>식품의약품안전처 의약품개요정보(e약은요) OpenAPI
https://apis.data.go.kr/1471000/DrbEasyDrugInfoService/getDrbEasyDrugList</x:v>
      </x:c>
    </x:row>
    <x:row r="2011" ht="62" customHeight="1">
      <x:c r="A2011" s="9" t="n">
        <x:v>2010</x:v>
      </x:c>
      <x:c r="B2011" s="6" t="str">
        <x:v>최종 평가</x:v>
      </x:c>
      <x:c r="C2011" s="6" t="str">
        <x:v>복약</x:v>
      </x:c>
      <x:c r="D2011" s="6" t="str">
        <x:v>증상→대상 구분</x:v>
      </x:c>
      <x:c r="E2011" s="6" t="str">
        <x:v>답변 가능</x:v>
      </x:c>
      <x:c r="F2011" s="6" t="str">
        <x:v>어려움</x:v>
      </x:c>
      <x:c r="G2011" s="8" t="str">
        <x:v>덱스원큐에스연질캡슐(덱시부프로펜)을 사용한 뒤 설사이 생겼는데, 이 약의 부작용으로 안내되어 있나요?</x:v>
      </x:c>
      <x:c r="H2011" s="8" t="str">
        <x:v>설사은 이 제품의 e약은요 부작용 항목에 기재되어 있습니다. 다만 이 정보만으로 현재 증상의 원인이 해당 약이라고 확정할 수는 없습니다.</x:v>
      </x:c>
      <x:c r="I2011" s="8" t="str">
        <x:v>드물게 쇽(흉부불쾌감, 오한, 호흡곤란, 혈압저하 등), 소화불량, 복부팽만, 속쓰림, 상복부의 통증, 설사나 변비, 다형홍반, 전신홍반루프스(SLE), 탈모, 피로, 졸음, 두통, 어지러움, 요량감소, 전신부종 및 이에 수반한 숨가쁨, 나른함, 말초부종, 급성 폐부종, 체액저류, 고혈압이나 심부전, 여성의 생식능력 감소, 과도한 체온하강, 허탈, 사지냉각, 빈혈, 박탈피부염, 피부점막안증후군(스티븐스-존슨증후군), 독성표피괴사용해(리엘증후군) 등이 나타나는 경우 즉각 복용을 중지하고 의사 또는 약사와 상의하십시오.</x:v>
      </x:c>
      <x:c r="J2011" s="8" t="str">
        <x:v>덱스원큐에스연질캡슐(덱시부프로펜) [품목기준코드 202003788]</x:v>
      </x:c>
      <x:c r="K2011" s="8" t="str">
        <x:v>식품의약품안전처 의약품개요정보(e약은요) OpenAPI
https://apis.data.go.kr/1471000/DrbEasyDrugInfoService/getDrbEasyDrugList</x:v>
      </x:c>
    </x:row>
    <x:row r="2012" ht="62" customHeight="1">
      <x:c r="A2012" s="9" t="n">
        <x:v>2011</x:v>
      </x:c>
      <x:c r="B2012" s="6" t="str">
        <x:v>최종 평가</x:v>
      </x:c>
      <x:c r="C2012" s="6" t="str">
        <x:v>복약</x:v>
      </x:c>
      <x:c r="D2012" s="6" t="str">
        <x:v>용어·정의</x:v>
      </x:c>
      <x:c r="E2012" s="6" t="str">
        <x:v>답변 가능</x:v>
      </x:c>
      <x:c r="F2012" s="6" t="str">
        <x:v>쉬움</x:v>
      </x:c>
      <x:c r="G2012" s="8" t="str">
        <x:v>발무졸크림(수출용)은 어떤 약인가요?</x:v>
      </x:c>
      <x:c r="H2012" s="8" t="str">
        <x:v>발무졸크림(수출용)은 명인제약(주)의 의약품으로, e약은요에는 다음과 같이 안내되어 있습니다. 이 약은 무좀, 완선(사타구니백선(증)), 체부백선에 사용합니다.</x:v>
      </x:c>
      <x:c r="I2012" s="8" t="str">
        <x:v>제품명: 발무졸크림(수출용) 업체명: 명인제약(주) 효능: 이 약은 무좀, 완선(사타구니백선(증)), 체부백선에 사용합니다.</x:v>
      </x:c>
      <x:c r="J2012" s="8" t="str">
        <x:v>발무졸크림(수출용) [품목기준코드 199601069]</x:v>
      </x:c>
      <x:c r="K2012" s="8" t="str">
        <x:v>식품의약품안전처 의약품개요정보(e약은요) OpenAPI
https://apis.data.go.kr/1471000/DrbEasyDrugInfoService/getDrbEasyDrugList</x:v>
      </x:c>
    </x:row>
    <x:row r="2013" ht="62" customHeight="1">
      <x:c r="A2013" s="9" t="n">
        <x:v>2012</x:v>
      </x:c>
      <x:c r="B2013" s="6" t="str">
        <x:v>최종 평가</x:v>
      </x:c>
      <x:c r="C2013" s="6" t="str">
        <x:v>복약</x:v>
      </x:c>
      <x:c r="D2013" s="6" t="str">
        <x:v>금기·경고</x:v>
      </x:c>
      <x:c r="E2013" s="6" t="str">
        <x:v>답변 가능</x:v>
      </x:c>
      <x:c r="F2013" s="6" t="str">
        <x:v>보통</x:v>
      </x:c>
      <x:c r="G2013" s="8" t="str">
        <x:v>그린노즈에스캡슐을 사용하면 안 되거나 반드시 확인해야 할 경고사항은 무엇인가요?</x:v>
      </x:c>
      <x:c r="H2013" s="8" t="str">
        <x:v>만 3개월 미만의 영아, MAO억제제(항우울제, 항정신병제, 감정조절제, 항파킨슨제 등)를 복용하고 있거나 복용을 중단한 후 2주 이내의 사람은 이 약을 복용하지 마십시오.만 3개월 이상 만 2세 미만의 영․유아, 알레르기 등을 일으키기 쉬운 체질, 알레르기 증상(발열, 발진, 관절통, 천식, 가려움증 등) 경험자, 고혈압, 심장질환, 녹내장(눈의 통증, 눈이 침침함 등), 배뇨곤란, 갑상선질환, 당뇨병 등이 있는 사람, 몸이 약한 사람 또는 고열이 있는 사람, 고령자, 흡연, 천식, 만성 기관지염, 폐기종, 과도한 가래가 동반되는 기침, 1주 이상 지속 또는 재발되는 기침, 만성 기침, 발열·발진이나 지속적인 두통이 동반되는 기침이 있는 사람, 황색4호에 과민증 환자는 의사 또는 약사와 상의하십시오.정해진 용법과 용량을 잘 지키십시오.장기간 계속하여 복용하지 마십시오.복용 후 졸음이 나타날 수 있으므로 운전 및 기계조작 시 주의하십시오.</x:v>
      </x:c>
      <x:c r="I2013" s="8" t="str">
        <x:v>만 3개월 미만의 영아, MAO억제제(항우울제, 항정신병제, 감정조절제, 항파킨슨제 등)를 복용하고 있거나 복용을 중단한 후 2주 이내의 사람은 이 약을 복용하지 마십시오.만 3개월 이상 만 2세 미만의 영․유아, 알레르기 등을 일으키기 쉬운 체질, 알레르기 증상(발열, 발진, 관절통, 천식, 가려움증 등) 경험자, 고혈압, 심장질환, 녹내장(눈의 통증, 눈이 침침함 등), 배뇨곤란, 갑상선질환, 당뇨병 등이 있는 사람, 몸이 약한 사람 또는 고열이 있는 사람, 고령자, 흡연, 천식, 만성 기관지염, 폐기종, 과도한 가래가 동반되는 기침, 1주 이상 지속 또는 재발되는 기침, 만성 기침, 발열·발진이나 지속적인 두통이 동반되는 기침이 있는 사람, 황색4호에 과민증 환자는 의사 또는 약사와 상의하십시오.정해진 용법과 용량을 잘 지키십시오.장기간 계속하여 복용하지 마십시오.복용 후 졸음이 나타날 수 있으므로 운전 및 기계조작 시 주의하십시오.</x:v>
      </x:c>
      <x:c r="J2013" s="8" t="str">
        <x:v>그린노즈에스캡슐 [품목기준코드 200902769]</x:v>
      </x:c>
      <x:c r="K2013" s="8" t="str">
        <x:v>식품의약품안전처 의약품개요정보(e약은요) OpenAPI
https://apis.data.go.kr/1471000/DrbEasyDrugInfoService/getDrbEasyDrugList</x:v>
      </x:c>
    </x:row>
    <x:row r="2014" ht="62" customHeight="1">
      <x:c r="A2014" s="9" t="n">
        <x:v>2013</x:v>
      </x:c>
      <x:c r="B2014" s="6" t="str">
        <x:v>최종 평가</x:v>
      </x:c>
      <x:c r="C2014" s="6" t="str">
        <x:v>복약</x:v>
      </x:c>
      <x:c r="D2014" s="6" t="str">
        <x:v>증상→대상 구분</x:v>
      </x:c>
      <x:c r="E2014" s="6" t="str">
        <x:v>답변 가능</x:v>
      </x:c>
      <x:c r="F2014" s="6" t="str">
        <x:v>어려움</x:v>
      </x:c>
      <x:c r="G2014" s="8" t="str">
        <x:v>트리가정(트리메부틴말레산염)을 사용한 뒤 발진이 생겼는데, 이 약의 부작용으로 안내되어 있나요?</x:v>
      </x:c>
      <x:c r="H2014" s="8" t="str">
        <x:v>발진은 이 제품의 e약은요 부작용 항목에 기재되어 있습니다. 다만 이 정보만으로 현재 증상의 원인이 해당 약이라고 확정할 수는 없습니다.</x:v>
      </x:c>
      <x:c r="I2014" s="8" t="str">
        <x:v>드물게 변비, 설사, 복명(창자 가스소리), 구역, 구토, 소화장애, 구갈(목마름증), 구내마비감, 심계항진(두근거림), 피로감, 졸음, 현기(어지러움), 권태감, 두통, GOT, GPT 상승, 발진 등이 나타나는 경우 복용을 즉각 중지하고 의사 또는 약사와 상의하십시오.</x:v>
      </x:c>
      <x:c r="J2014" s="8" t="str">
        <x:v>트리가정(트리메부틴말레산염) [품목기준코드 202001792]</x:v>
      </x:c>
      <x:c r="K2014" s="8" t="str">
        <x:v>식품의약품안전처 의약품개요정보(e약은요) OpenAPI
https://apis.data.go.kr/1471000/DrbEasyDrugInfoService/getDrbEasyDrugList</x:v>
      </x:c>
    </x:row>
    <x:row r="2015" ht="62" customHeight="1">
      <x:c r="A2015" s="9" t="n">
        <x:v>2014</x:v>
      </x:c>
      <x:c r="B2015" s="6" t="str">
        <x:v>최종 평가</x:v>
      </x:c>
      <x:c r="C2015" s="6" t="str">
        <x:v>복약</x:v>
      </x:c>
      <x:c r="D2015" s="6" t="str">
        <x:v>보관·관리</x:v>
      </x:c>
      <x:c r="E2015" s="6" t="str">
        <x:v>답변 가능</x:v>
      </x:c>
      <x:c r="F2015" s="6" t="str">
        <x:v>쉬움</x:v>
      </x:c>
      <x:c r="G2015" s="8" t="str">
        <x:v>빅센액(L-아스파르트산-L-아르기닌수화물)(수출명 : Manpos)은 어떻게 보관해야 하나요?</x:v>
      </x:c>
      <x:c r="H2015" s="8" t="str">
        <x:v>습기와 빛을 피해 실온에서 보관하십시오.</x:v>
      </x:c>
      <x:c r="I2015" s="8" t="str">
        <x:v>습기와 빛을 피해 실온에서 보관하십시오.</x:v>
      </x:c>
      <x:c r="J2015" s="8" t="str">
        <x:v>빅센액(L-아스파르트산-L-아르기닌수화물)(수출명 : Manpos) [품목기준코드 200102790]</x:v>
      </x:c>
      <x:c r="K2015" s="8" t="str">
        <x:v>식품의약품안전처 의약품개요정보(e약은요) OpenAPI
https://apis.data.go.kr/1471000/DrbEasyDrugInfoService/getDrbEasyDrugList</x:v>
      </x:c>
    </x:row>
    <x:row r="2016" ht="62" customHeight="1">
      <x:c r="A2016" s="9" t="n">
        <x:v>2015</x:v>
      </x:c>
      <x:c r="B2016" s="6" t="str">
        <x:v>최종 평가</x:v>
      </x:c>
      <x:c r="C2016" s="6" t="str">
        <x:v>복약</x:v>
      </x:c>
      <x:c r="D2016" s="6" t="str">
        <x:v>효능·사용목적</x:v>
      </x:c>
      <x:c r="E2016" s="6" t="str">
        <x:v>답변 가능</x:v>
      </x:c>
      <x:c r="F2016" s="6" t="str">
        <x:v>쉬움</x:v>
      </x:c>
      <x:c r="G2016" s="8" t="str">
        <x:v>활명수은 어떤 증상이나 질환에 사용하는 약인가요?</x:v>
      </x:c>
      <x:c r="H2016" s="8" t="str">
        <x:v>이 약은 식욕감퇴(식욕부진), 위부팽만감, 소화불량, 과식, 체함, 구역, 구토에 사용합니다.</x:v>
      </x:c>
      <x:c r="I2016" s="8" t="str">
        <x:v>이 약은 식욕감퇴(식욕부진), 위부팽만감, 소화불량, 과식, 체함, 구역, 구토에 사용합니다.</x:v>
      </x:c>
      <x:c r="J2016" s="8" t="str">
        <x:v>활명수 [품목기준코드 195700020]</x:v>
      </x:c>
      <x:c r="K2016" s="8" t="str">
        <x:v>식품의약품안전처 의약품개요정보(e약은요) OpenAPI
https://apis.data.go.kr/1471000/DrbEasyDrugInfoService/getDrbEasyDrugList</x:v>
      </x:c>
    </x:row>
    <x:row r="2017" ht="62" customHeight="1">
      <x:c r="A2017" s="9" t="n">
        <x:v>2016</x:v>
      </x:c>
      <x:c r="B2017" s="6" t="str">
        <x:v>최종 평가</x:v>
      </x:c>
      <x:c r="C2017" s="6" t="str">
        <x:v>복약</x:v>
      </x:c>
      <x:c r="D2017" s="6" t="str">
        <x:v>용어·정의</x:v>
      </x:c>
      <x:c r="E2017" s="6" t="str">
        <x:v>답변 가능</x:v>
      </x:c>
      <x:c r="F2017" s="6" t="str">
        <x:v>쉬움</x:v>
      </x:c>
      <x:c r="G2017" s="8" t="str">
        <x:v>트레스오릭스훠트정은 어떤 약인가요?</x:v>
      </x:c>
      <x:c r="H2017" s="8" t="str">
        <x:v>트레스오릭스훠트정은 신일제약(주)의 의약품으로, e약은요에는 다음과 같이 안내되어 있습니다. 이 약은 식욕부진에 사용합니다.</x:v>
      </x:c>
      <x:c r="I2017" s="8" t="str">
        <x:v>제품명: 트레스오릭스훠트정 업체명: 신일제약(주) 효능: 이 약은 식욕부진에 사용합니다.</x:v>
      </x:c>
      <x:c r="J2017" s="8" t="str">
        <x:v>트레스오릭스훠트정 [품목기준코드 198701352]</x:v>
      </x:c>
      <x:c r="K2017" s="8" t="str">
        <x:v>식품의약품안전처 의약품개요정보(e약은요) OpenAPI
https://apis.data.go.kr/1471000/DrbEasyDrugInfoService/getDrbEasyDrugList</x:v>
      </x:c>
    </x:row>
    <x:row r="2018" ht="62" customHeight="1">
      <x:c r="A2018" s="9" t="n">
        <x:v>2017</x:v>
      </x:c>
      <x:c r="B2018" s="6" t="str">
        <x:v>최종 평가</x:v>
      </x:c>
      <x:c r="C2018" s="6" t="str">
        <x:v>복약</x:v>
      </x:c>
      <x:c r="D2018" s="6" t="str">
        <x:v>효능·사용목적</x:v>
      </x:c>
      <x:c r="E2018" s="6" t="str">
        <x:v>답변 가능</x:v>
      </x:c>
      <x:c r="F2018" s="6" t="str">
        <x:v>쉬움</x:v>
      </x:c>
      <x:c r="G2018" s="8" t="str">
        <x:v>비아핀에멀젼(트롤아민)은 어떤 증상이나 질환에 사용하는 약인가요?</x:v>
      </x:c>
      <x:c r="H2018" s="8" t="str">
        <x:v>이 약은 1도, 2도 화상 및 기타 비감염성 피부상처, 방사선 치료에 의한 2차적 홍반(붉은 반점)에 사용합니다.</x:v>
      </x:c>
      <x:c r="I2018" s="8" t="str">
        <x:v>이 약은 1도, 2도 화상 및 기타 비감염성 피부상처, 방사선 치료에 의한 2차적 홍반(붉은 반점)에 사용합니다.</x:v>
      </x:c>
      <x:c r="J2018" s="8" t="str">
        <x:v>비아핀에멀젼(트롤아민) [품목기준코드 199604632]</x:v>
      </x:c>
      <x:c r="K2018" s="8" t="str">
        <x:v>식품의약품안전처 의약품개요정보(e약은요) OpenAPI
https://apis.data.go.kr/1471000/DrbEasyDrugInfoService/getDrbEasyDrugList</x:v>
      </x:c>
    </x:row>
    <x:row r="2019" ht="62" customHeight="1">
      <x:c r="A2019" s="9" t="n">
        <x:v>2018</x:v>
      </x:c>
      <x:c r="B2019" s="6" t="str">
        <x:v>최종 평가</x:v>
      </x:c>
      <x:c r="C2019" s="6" t="str">
        <x:v>복약</x:v>
      </x:c>
      <x:c r="D2019" s="6" t="str">
        <x:v>실용·응급대처</x:v>
      </x:c>
      <x:c r="E2019" s="6" t="str">
        <x:v>답변 가능</x:v>
      </x:c>
      <x:c r="F2019" s="6" t="str">
        <x:v>보통</x:v>
      </x:c>
      <x:c r="G2019" s="8" t="str">
        <x:v>어린이용타스펜정160밀리그램(아세트아미노펜) 사용 후 심한 이상반응이 나타나면 어떻게 해야 하나요?</x:v>
      </x:c>
      <x:c r="H2019" s="8" t="str">
        <x:v>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쇽(호흡곤란, 두드러기 등), 아나필락시양 증상(과민성유사증상 : 호흡곤란, 온몸이 붉어짐, 혈관부기, 두드러기 등), 천식발작, 혈소판 감소, 과립구감소, 용혈성빈혈, 메트헤모글로빈혈증, 혈소판기능 저하(출혈시간 연장), 청색증, 구역, 구토, 식욕부진, 피부발진, 피부점막안증후군(스티븐스-존슨증후군), 독성표피괴사용해(리엘증후군), 고음이온차 대사성 산증, AST 상승, ALT 상승, 소양성(가려움)발진, 고정발진 등이 나타나는 경우 즉각 복용을 중지하고 의사 또는 약사와 상담하십시오.</x:v>
      </x:c>
      <x:c r="I2019" s="8" t="str">
        <x:v>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쇽(호흡곤란, 두드러기 등), 아나필락시양 증상(과민성유사증상 : 호흡곤란, 온몸이 붉어짐, 혈관부기, 두드러기 등), 천식발작, 혈소판 감소, 과립구감소, 용혈성빈혈, 메트헤모글로빈혈증, 혈소판기능 저하(출혈시간 연장), 청색증, 구역, 구토, 식욕부진, 피부발진, 피부점막안증후군(스티븐스-존슨증후군), 독성표피괴사용해(리엘증후군), 고음이온차 대사성 산증, AST 상승, ALT 상승, 소양성(가려움)발진, 고정발진 등이 나타나는 경우 즉각 복용을 중지하고 의사 또는 약사와 상담하십시오.</x:v>
      </x:c>
      <x:c r="J2019" s="8" t="str">
        <x:v>어린이용타스펜정160밀리그램(아세트아미노펜) [품목기준코드 199400581]</x:v>
      </x:c>
      <x:c r="K2019" s="8" t="str">
        <x:v>식품의약품안전처 의약품개요정보(e약은요) OpenAPI
https://apis.data.go.kr/1471000/DrbEasyDrugInfoService/getDrbEasyDrugList</x:v>
      </x:c>
    </x:row>
    <x:row r="2020" ht="62" customHeight="1">
      <x:c r="A2020" s="9" t="n">
        <x:v>2019</x:v>
      </x:c>
      <x:c r="B2020" s="6" t="str">
        <x:v>최종 평가</x:v>
      </x:c>
      <x:c r="C2020" s="6" t="str">
        <x:v>복약</x:v>
      </x:c>
      <x:c r="D2020" s="6" t="str">
        <x:v>원인·위험요인</x:v>
      </x:c>
      <x:c r="E2020" s="6" t="str">
        <x:v>답변 가능</x:v>
      </x:c>
      <x:c r="F2020" s="6" t="str">
        <x:v>쉬움</x:v>
      </x:c>
      <x:c r="G2020" s="8" t="str">
        <x:v>더게인정을 사용하기 전에 특히 조심해야 하는 사람은 누구인가요?</x:v>
      </x:c>
      <x:c r="H2020" s="8" t="str">
        <x:v>이 제품을 사용하기 전에 특히 확인해야 할 대상과 상황은 다음과 같습니다. 이 약에 과민증 환자, 만 12개월 미만의 젖먹이, 심한 증상의 신부전 환자는 이 약을 복용하지 마십시오. 이 약을 복용하기 전에 심장ㆍ순환기계기능 장애, 신장장애, 저단백혈증 환자, 임부는 의사 또는 약사와 상의하십시오. 1개월 정도 복용하여도 증상의 개선이 없을 경우 복용을 즉각 중지하고 의사 또는 약사와 상의하십시오.</x:v>
      </x:c>
      <x:c r="I2020" s="8" t="str">
        <x:v>이 약에 과민증 환자, 만 12개월 미만의 젖먹이, 심한 증상의 신부전 환자는 이 약을 복용하지 마십시오. 이 약을 복용하기 전에 심장ㆍ순환기계기능 장애, 신장장애, 저단백혈증 환자, 임부는 의사 또는 약사와 상의하십시오. 1개월 정도 복용하여도 증상의 개선이 없을 경우 복용을 즉각 중지하고 의사 또는 약사와 상의하십시오.</x:v>
      </x:c>
      <x:c r="J2020" s="8" t="str">
        <x:v>더게인정 [품목기준코드 201901973]</x:v>
      </x:c>
      <x:c r="K2020" s="8" t="str">
        <x:v>식품의약품안전처 의약품개요정보(e약은요) OpenAPI
https://apis.data.go.kr/1471000/DrbEasyDrugInfoService/getDrbEasyDrugList</x:v>
      </x:c>
    </x:row>
    <x:row r="2021" ht="62" customHeight="1">
      <x:c r="A2021" s="9" t="n">
        <x:v>2020</x:v>
      </x:c>
      <x:c r="B2021" s="6" t="str">
        <x:v>최종 평가</x:v>
      </x:c>
      <x:c r="C2021" s="6" t="str">
        <x:v>복약</x:v>
      </x:c>
      <x:c r="D2021" s="6" t="str">
        <x:v>원인·위험요인</x:v>
      </x:c>
      <x:c r="E2021" s="6" t="str">
        <x:v>답변 가능</x:v>
      </x:c>
      <x:c r="F2021" s="6" t="str">
        <x:v>쉬움</x:v>
      </x:c>
      <x:c r="G2021" s="8" t="str">
        <x:v>액트에버정을 사용하기 전에 특히 조심해야 하는 사람은 누구인가요?</x:v>
      </x:c>
      <x:c r="H2021" s="8" t="str">
        <x:v>이 제품을 사용하기 전에 특히 확인해야 할 대상과 상황은 다음과 같습니다. 이 약에 과민증, 만 12개월 미만의 젖먹이, 고칼슘혈증(혈액중에 칼슘이 과잉으로 존재하는 상태)환자, 유육종증(원인을 알 수 없는 전신 염증질환), 신장질환 환자는 이 약을 복용하지 마십시오. 이 약을 복용하기 전에 햇빛을 많이 보고 정상적인 식사를 하는 어린이, 임부 및 임신하고 있을 가능성이 있는 여성, 수유부, 미숙아, 유아, 심장·순환기계기능 장애, 저단백혈증, 신장결석 경험자, 폴산이 부족한 환자는 의사 또는 약사와 상의하십시오. 어린이에게 투여할 경우 보호자의 지도 감독하에 투여하십시오.</x:v>
      </x:c>
      <x:c r="I2021" s="8" t="str">
        <x:v>이 약에 과민증, 만 12개월 미만의 젖먹이, 고칼슘혈증(혈액중에 칼슘이 과잉으로 존재하는 상태)환자, 유육종증(원인을 알 수 없는 전신 염증질환), 신장질환 환자는 이 약을 복용하지 마십시오. 이 약을 복용하기 전에 햇빛을 많이 보고 정상적인 식사를 하는 어린이, 임부 및 임신하고 있을 가능성이 있는 여성, 수유부, 미숙아, 유아, 심장·순환기계기능 장애, 저단백혈증, 신장결석 경험자, 폴산이 부족한 환자는 의사 또는 약사와 상의하십시오. 어린이에게 투여할 경우 보호자의 지도 감독하에 투여하십시오.</x:v>
      </x:c>
      <x:c r="J2021" s="8" t="str">
        <x:v>액트에버정 [품목기준코드 202102445]</x:v>
      </x:c>
      <x:c r="K2021" s="8" t="str">
        <x:v>식품의약품안전처 의약품개요정보(e약은요) OpenAPI
https://apis.data.go.kr/1471000/DrbEasyDrugInfoService/getDrbEasyDrugList</x:v>
      </x:c>
    </x:row>
    <x:row r="2022" ht="62" customHeight="1">
      <x:c r="A2022" s="9" t="n">
        <x:v>2021</x:v>
      </x:c>
      <x:c r="B2022" s="6" t="str">
        <x:v>최종 평가</x:v>
      </x:c>
      <x:c r="C2022" s="6" t="str">
        <x:v>복약</x:v>
      </x:c>
      <x:c r="D2022" s="6" t="str">
        <x:v>원인·위험요인</x:v>
      </x:c>
      <x:c r="E2022" s="6" t="str">
        <x:v>답변 가능</x:v>
      </x:c>
      <x:c r="F2022" s="6" t="str">
        <x:v>쉬움</x:v>
      </x:c>
      <x:c r="G2022" s="8" t="str">
        <x:v>파워비큐액을 사용하기 전에 특히 조심해야 하는 사람은 누구인가요?</x:v>
      </x:c>
      <x:c r="H2022" s="8" t="str">
        <x:v>이 제품을 사용하기 전에 특히 확인해야 할 대상과 상황은 다음과 같습니다. 이 약에 과민증 환자, 만 12개월 미만의 젖먹이는 이 약을 복용하지 마십시오. 이 약을 복용하기 전에 임부 및 임신하고 있을 가능성이 있는 여성 및 수유부, 미숙아, 유아, 심장ㆍ순환기계 기능장애, 신장장애, 저단백혈증, 혈전성 소인이 있는 환자는 의사 또는 약사와 상의하십시오. 1개월 정도 복용하여도 증상의 개선이 없을 경우 복용을 즉각 중지하고 의사 또는 약사와 상의하십시오.</x:v>
      </x:c>
      <x:c r="I2022" s="8" t="str">
        <x:v>이 약에 과민증 환자, 만 12개월 미만의 젖먹이는 이 약을 복용하지 마십시오. 이 약을 복용하기 전에 임부 및 임신하고 있을 가능성이 있는 여성 및 수유부, 미숙아, 유아, 심장ㆍ순환기계 기능장애, 신장장애, 저단백혈증, 혈전성 소인이 있는 환자는 의사 또는 약사와 상의하십시오. 1개월 정도 복용하여도 증상의 개선이 없을 경우 복용을 즉각 중지하고 의사 또는 약사와 상의하십시오.</x:v>
      </x:c>
      <x:c r="J2022" s="8" t="str">
        <x:v>파워비큐액 [품목기준코드 202003733]</x:v>
      </x:c>
      <x:c r="K2022" s="8" t="str">
        <x:v>식품의약품안전처 의약품개요정보(e약은요) OpenAPI
https://apis.data.go.kr/1471000/DrbEasyDrugInfoService/getDrbEasyDrugList</x:v>
      </x:c>
    </x:row>
    <x:row r="2023" ht="62" customHeight="1">
      <x:c r="A2023" s="9" t="n">
        <x:v>2022</x:v>
      </x:c>
      <x:c r="B2023" s="6" t="str">
        <x:v>최종 평가</x:v>
      </x:c>
      <x:c r="C2023" s="6" t="str">
        <x:v>복약</x:v>
      </x:c>
      <x:c r="D2023" s="6" t="str">
        <x:v>증상·이상반응</x:v>
      </x:c>
      <x:c r="E2023" s="6" t="str">
        <x:v>답변 가능</x:v>
      </x:c>
      <x:c r="F2023" s="6" t="str">
        <x:v>쉬움</x:v>
      </x:c>
      <x:c r="G2023" s="8" t="str">
        <x:v>케라티딘캡슐을 사용하면 어떤 부작용이 생길 수 있나요?</x:v>
      </x:c>
      <x:c r="H2023" s="8" t="str">
        <x:v>e약은요에는 다음과 같은 이상반응이 안내되어 있습니다. 위통, 구토 등 위장관 불쾌감, 발한, 빈맥, 가려움, 두드러기, 두통, 어지럼, 홍조, 두부이외의 신체부위에서 발모현상이 나타나는 경우 복용을 즉각 중지하고 의사 또는 약사와 상의하십시오.</x:v>
      </x:c>
      <x:c r="I2023" s="8" t="str">
        <x:v>위통, 구토 등 위장관 불쾌감, 발한, 빈맥, 가려움, 두드러기, 두통, 어지럼, 홍조, 두부이외의 신체부위에서 발모현상이 나타나는 경우 복용을 즉각 중지하고 의사 또는 약사와 상의하십시오.</x:v>
      </x:c>
      <x:c r="J2023" s="8" t="str">
        <x:v>케라티딘캡슐 [품목기준코드 201905996]</x:v>
      </x:c>
      <x:c r="K2023" s="8" t="str">
        <x:v>식품의약품안전처 의약품개요정보(e약은요) OpenAPI
https://apis.data.go.kr/1471000/DrbEasyDrugInfoService/getDrbEasyDrugList</x:v>
      </x:c>
    </x:row>
    <x:row r="2024" ht="62" customHeight="1">
      <x:c r="A2024" s="9" t="n">
        <x:v>2023</x:v>
      </x:c>
      <x:c r="B2024" s="6" t="str">
        <x:v>최종 평가</x:v>
      </x:c>
      <x:c r="C2024" s="6" t="str">
        <x:v>복약</x:v>
      </x:c>
      <x:c r="D2024" s="6" t="str">
        <x:v>용어·정의</x:v>
      </x:c>
      <x:c r="E2024" s="6" t="str">
        <x:v>답변 가능</x:v>
      </x:c>
      <x:c r="F2024" s="6" t="str">
        <x:v>쉬움</x:v>
      </x:c>
      <x:c r="G2024" s="8" t="str">
        <x:v>라니텐크림(테르비나핀염산염)은 어떤 약인가요?</x:v>
      </x:c>
      <x:c r="H2024" s="8" t="str">
        <x:v>라니텐크림(테르비나핀염산염)은 한국휴텍스제약(주)의 의약품으로, e약은요에는 다음과 같이 안내되어 있습니다. 이 약은 피부사상균에 의한 피부진균감염증(족부백선, 고부백선(완선), 체부백선)과 피티로스포룸 올비큘라레균에 의한 어루러기 및 피부칸디다증에 사용합니다.</x:v>
      </x:c>
      <x:c r="I2024" s="8" t="str">
        <x:v>제품명: 라니텐크림(테르비나핀염산염) 업체명: 한국휴텍스제약(주) 효능: 이 약은 피부사상균에 의한 피부진균감염증(족부백선, 고부백선(완선), 체부백선)과 피티로스포룸 올비큘라레균에 의한 어루러기 및 피부칸디다증에 사용합니다.</x:v>
      </x:c>
      <x:c r="J2024" s="8" t="str">
        <x:v>라니텐크림(테르비나핀염산염) [품목기준코드 199700124]</x:v>
      </x:c>
      <x:c r="K2024" s="8" t="str">
        <x:v>식품의약품안전처 의약품개요정보(e약은요) OpenAPI
https://apis.data.go.kr/1471000/DrbEasyDrugInfoService/getDrbEasyDrugList</x:v>
      </x:c>
    </x:row>
    <x:row r="2025" ht="62" customHeight="1">
      <x:c r="A2025" s="9" t="n">
        <x:v>2024</x:v>
      </x:c>
      <x:c r="B2025" s="6" t="str">
        <x:v>최종 평가</x:v>
      </x:c>
      <x:c r="C2025" s="6" t="str">
        <x:v>복약</x:v>
      </x:c>
      <x:c r="D2025" s="6" t="str">
        <x:v>원인·위험요인</x:v>
      </x:c>
      <x:c r="E2025" s="6" t="str">
        <x:v>답변 가능</x:v>
      </x:c>
      <x:c r="F2025" s="6" t="str">
        <x:v>쉬움</x:v>
      </x:c>
      <x:c r="G2025" s="8" t="str">
        <x:v>스몰크림(프레드니솔론발레로아세테이트)을 사용하기 전에 특히 조심해야 하는 사람은 누구인가요?</x:v>
      </x:c>
      <x:c r="H2025" s="8" t="str">
        <x:v>이 제품을 사용하기 전에 특히 확인해야 할 대상과 상황은 다음과 같습니다. 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환자는 이 약을 사용하지 마십시오.이 약을 사용하기 전에 임부 또는 임신하고 있을 가능성이 있는 여성 및 수유부, 유ㆍ소아, 고령자는 의사 또는 약사와 상의하십시오.안과용으로 사용하지 마십시오.화장이나 면도 후 치료 이외의 목적으로 사용하지 마십시오.의사의 감독 없이 밀봉붕대법을 사용하지 마십시오.</x:v>
      </x:c>
      <x:c r="I2025" s="8" t="str">
        <x:v>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환자는 이 약을 사용하지 마십시오.이 약을 사용하기 전에 임부 또는 임신하고 있을 가능성이 있는 여성 및 수유부, 유ㆍ소아, 고령자는 의사 또는 약사와 상의하십시오.안과용으로 사용하지 마십시오.화장이나 면도 후 치료 이외의 목적으로 사용하지 마십시오.의사의 감독 없이 밀봉붕대법을 사용하지 마십시오.</x:v>
      </x:c>
      <x:c r="J2025" s="8" t="str">
        <x:v>스몰크림(프레드니솔론발레로아세테이트) [품목기준코드 200001147]</x:v>
      </x:c>
      <x:c r="K2025" s="8" t="str">
        <x:v>식품의약품안전처 의약품개요정보(e약은요) OpenAPI
https://apis.data.go.kr/1471000/DrbEasyDrugInfoService/getDrbEasyDrugList</x:v>
      </x:c>
    </x:row>
    <x:row r="2026" ht="62" customHeight="1">
      <x:c r="A2026" s="9" t="n">
        <x:v>2025</x:v>
      </x:c>
      <x:c r="B2026" s="6" t="str">
        <x:v>최종 평가</x:v>
      </x:c>
      <x:c r="C2026" s="6" t="str">
        <x:v>복약</x:v>
      </x:c>
      <x:c r="D2026" s="6" t="str">
        <x:v>증상·이상반응</x:v>
      </x:c>
      <x:c r="E2026" s="6" t="str">
        <x:v>답변 가능</x:v>
      </x:c>
      <x:c r="F2026" s="6" t="str">
        <x:v>쉬움</x:v>
      </x:c>
      <x:c r="G2026" s="8" t="str">
        <x:v>사노바겔(리도카인)을 사용하면 어떤 부작용이 생길 수 있나요?</x:v>
      </x:c>
      <x:c r="H2026" s="8" t="str">
        <x:v>e약은요에는 다음과 같은 이상반응이 안내되어 있습니다. 본인 또는 상대방에 발진 또는 자극이 나타나는 경우 사용을 즉각 중지하고 의사 또는 약사와 상의하십시오.</x:v>
      </x:c>
      <x:c r="I2026" s="8" t="str">
        <x:v>본인 또는 상대방에 발진 또는 자극이 나타나는 경우 사용을 즉각 중지하고 의사 또는 약사와 상의하십시오.</x:v>
      </x:c>
      <x:c r="J2026" s="8" t="str">
        <x:v>사노바겔(리도카인) [품목기준코드 201308592]</x:v>
      </x:c>
      <x:c r="K2026" s="8" t="str">
        <x:v>식품의약품안전처 의약품개요정보(e약은요) OpenAPI
https://apis.data.go.kr/1471000/DrbEasyDrugInfoService/getDrbEasyDrugList</x:v>
      </x:c>
    </x:row>
    <x:row r="2027" ht="62" customHeight="1">
      <x:c r="A2027" s="9" t="n">
        <x:v>2026</x:v>
      </x:c>
      <x:c r="B2027" s="6" t="str">
        <x:v>최종 평가</x:v>
      </x:c>
      <x:c r="C2027" s="6" t="str">
        <x:v>복약</x:v>
      </x:c>
      <x:c r="D2027" s="6" t="str">
        <x:v>상호작용</x:v>
      </x:c>
      <x:c r="E2027" s="6" t="str">
        <x:v>답변 가능</x:v>
      </x:c>
      <x:c r="F2027" s="6" t="str">
        <x:v>쉬움</x:v>
      </x:c>
      <x:c r="G2027" s="8" t="str">
        <x:v>마레오키즈시럽과 함께 사용하거나 먹을 때 주의해야 할 약이나 음식이 있나요?</x:v>
      </x:c>
      <x:c r="H2027" s="8" t="str">
        <x:v>다른 진토제, 감기약, 해열진통제, 항히스타민제, 진정제, 진해거담제, 디펜히드라민을 함유한 외용제와 함께 사용하지 마십시오.복용 중에는 음주하지 마십시오.</x:v>
      </x:c>
      <x:c r="I2027" s="8" t="str">
        <x:v>다른 진토제, 감기약, 해열진통제, 항히스타민제, 진정제, 진해거담제, 디펜히드라민을 함유한 외용제와 함께 사용하지 마십시오.복용 중에는 음주하지 마십시오.</x:v>
      </x:c>
      <x:c r="J2027" s="8" t="str">
        <x:v>마레오키즈시럽 [품목기준코드 201706970]</x:v>
      </x:c>
      <x:c r="K2027" s="8" t="str">
        <x:v>식품의약품안전처 의약품개요정보(e약은요) OpenAPI
https://apis.data.go.kr/1471000/DrbEasyDrugInfoService/getDrbEasyDrugList</x:v>
      </x:c>
    </x:row>
    <x:row r="2028" ht="62" customHeight="1">
      <x:c r="A2028" s="9" t="n">
        <x:v>2027</x:v>
      </x:c>
      <x:c r="B2028" s="6" t="str">
        <x:v>최종 평가</x:v>
      </x:c>
      <x:c r="C2028" s="6" t="str">
        <x:v>복약</x:v>
      </x:c>
      <x:c r="D2028" s="6" t="str">
        <x:v>용어·정의</x:v>
      </x:c>
      <x:c r="E2028" s="6" t="str">
        <x:v>답변 가능</x:v>
      </x:c>
      <x:c r="F2028" s="6" t="str">
        <x:v>쉬움</x:v>
      </x:c>
      <x:c r="G2028" s="8" t="str">
        <x:v>에스로반연고(무피로신)은 어떤 약인가요?</x:v>
      </x:c>
      <x:c r="H2028" s="8" t="str">
        <x:v>에스로반연고(무피로신)은 제이더블유신약(주)의 의약품으로, e약은요에는 다음과 같이 안내되어 있습니다. 이 약은 메치실린 내성균주를 포함한 황색포도상구균(포도알균), 기타 포도상구균(포도알균), 연쇄상구균과 같은 대부분의 피부감염증의 원인균, 대장균 및 인플루엔자균과 같은 그람음성균에 감염된 농가진(고름딱지증), 모낭염, 종기증, 감염성 습진과 외상 및 화상에서의 세균성 피부 감염증에 사용합니다.</x:v>
      </x:c>
      <x:c r="I2028" s="8" t="str">
        <x:v>제품명: 에스로반연고(무피로신) 업체명: 제이더블유신약(주) 효능: 이 약은 메치실린 내성균주를 포함한 황색포도상구균(포도알균), 기타 포도상구균(포도알균), 연쇄상구균과 같은 대부분의 피부감염증의 원인균, 대장균 및 인플루엔자균과 같은 그람음성균에 감염된 농가진(고름딱지증), 모낭염, 종기증, 감염성 습진과 외상 및 화상에서의 세균성 피부 감염증에 사용합니다.</x:v>
      </x:c>
      <x:c r="J2028" s="8" t="str">
        <x:v>에스로반연고(무피로신) [품목기준코드 199902738]</x:v>
      </x:c>
      <x:c r="K2028" s="8" t="str">
        <x:v>식품의약품안전처 의약품개요정보(e약은요) OpenAPI
https://apis.data.go.kr/1471000/DrbEasyDrugInfoService/getDrbEasyDrugList</x:v>
      </x:c>
    </x:row>
    <x:row r="2029" ht="62" customHeight="1">
      <x:c r="A2029" s="9" t="n">
        <x:v>2028</x:v>
      </x:c>
      <x:c r="B2029" s="6" t="str">
        <x:v>최종 평가</x:v>
      </x:c>
      <x:c r="C2029" s="6" t="str">
        <x:v>복약</x:v>
      </x:c>
      <x:c r="D2029" s="6" t="str">
        <x:v>보관·관리</x:v>
      </x:c>
      <x:c r="E2029" s="6" t="str">
        <x:v>답변 가능</x:v>
      </x:c>
      <x:c r="F2029" s="6" t="str">
        <x:v>쉬움</x:v>
      </x:c>
      <x:c r="G2029" s="8" t="str">
        <x:v>락콜드코프시럽은 어떻게 보관해야 하나요?</x:v>
      </x:c>
      <x:c r="H2029" s="8" t="str">
        <x:v>어린이의 손이 닿지 않는 곳에 보관하십시오. 습기와 빛을 피해 실온에서 보관하십시오.</x:v>
      </x:c>
      <x:c r="I2029" s="8" t="str">
        <x:v>어린이의 손이 닿지 않는 곳에 보관하십시오. 습기와 빛을 피해 실온에서 보관하십시오.</x:v>
      </x:c>
      <x:c r="J2029" s="8" t="str">
        <x:v>락콜드코프시럽 [품목기준코드 202501249]</x:v>
      </x:c>
      <x:c r="K2029" s="8" t="str">
        <x:v>식품의약품안전처 의약품개요정보(e약은요) OpenAPI
https://apis.data.go.kr/1471000/DrbEasyDrugInfoService/getDrbEasyDrugList</x:v>
      </x:c>
    </x:row>
    <x:row r="2030" ht="62" customHeight="1">
      <x:c r="A2030" s="9" t="n">
        <x:v>2029</x:v>
      </x:c>
      <x:c r="B2030" s="6" t="str">
        <x:v>최종 평가</x:v>
      </x:c>
      <x:c r="C2030" s="6" t="str">
        <x:v>복약</x:v>
      </x:c>
      <x:c r="D2030" s="6" t="str">
        <x:v>답변불가·가격·재고</x:v>
      </x:c>
      <x:c r="E2030" s="6" t="str">
        <x:v>답변 거부</x:v>
      </x:c>
      <x:c r="F2030" s="6" t="str">
        <x:v>어려움</x:v>
      </x:c>
      <x:c r="G2030" s="8" t="str">
        <x:v>오늘 제 주변 약국에서 자멘쏙정(독시라민숙신산염)이 가장 싼 곳과 재고 수량을 알려주세요.</x:v>
      </x:c>
      <x:c r="H2030" s="8" t="str">
        <x:v>제공된 e약은요 VDB에는 실시간 약국별 가격과 재고 정보가 없어 답할 수 없습니다.</x:v>
      </x:c>
      <x:c r="I2030" s="8" t="str">
        <x:v>VDB 범위 밖 질문 — 근거 없음</x:v>
      </x:c>
      <x:c r="J2030" s="8" t="str">
        <x:v>자멘쏙정(독시라민숙신산염) [품목기준코드 202107184]</x:v>
      </x:c>
      <x:c r="K2030" s="8" t="str">
        <x:v>식품의약품안전처 의약품개요정보(e약은요) OpenAPI
https://apis.data.go.kr/1471000/DrbEasyDrugInfoService/getDrbEasyDrugList</x:v>
      </x:c>
    </x:row>
    <x:row r="2031" ht="62" customHeight="1">
      <x:c r="A2031" s="9" t="n">
        <x:v>2030</x:v>
      </x:c>
      <x:c r="B2031" s="6" t="str">
        <x:v>최종 평가</x:v>
      </x:c>
      <x:c r="C2031" s="6" t="str">
        <x:v>복약</x:v>
      </x:c>
      <x:c r="D2031" s="6" t="str">
        <x:v>실용·응급대처</x:v>
      </x:c>
      <x:c r="E2031" s="6" t="str">
        <x:v>답변 가능</x:v>
      </x:c>
      <x:c r="F2031" s="6" t="str">
        <x:v>보통</x:v>
      </x:c>
      <x:c r="G2031" s="8" t="str">
        <x:v>디프람스프레이0.3%(벤지다민염산염) 사용 후 심한 이상반응이 나타나면 어떻게 해야 하나요?</x:v>
      </x:c>
      <x:c r="H2031" s="8" t="str">
        <x:v>때때로 경미한 구강마비감, 자상감, 작열감, 발진, 두드러기, 드물게 피부 광과민증, 성대문연축, 기관지수축, 비문증, 시야혼탁, 구내염, 식욕부진, 구역, 구토, 위통, 설사, 변비, 위장장애, 구갈, 두중, 졸음, 어지러움, 권태, 드물게 수면장애, 지각이상, 때때로 부종, 전신권태감이 나타나는 경우 사용을 즉각 중지하고 의사 또는 약사와 상의하십시오.</x:v>
      </x:c>
      <x:c r="I2031" s="8" t="str">
        <x:v>때때로 경미한 구강마비감, 자상감, 작열감, 발진, 두드러기, 드물게 피부 광과민증, 성대문연축, 기관지수축, 비문증, 시야혼탁, 구내염, 식욕부진, 구역, 구토, 위통, 설사, 변비, 위장장애, 구갈, 두중, 졸음, 어지러움, 권태, 드물게 수면장애, 지각이상, 때때로 부종, 전신권태감이 나타나는 경우 사용을 즉각 중지하고 의사 또는 약사와 상의하십시오.</x:v>
      </x:c>
      <x:c r="J2031" s="8" t="str">
        <x:v>디프람스프레이0.3%(벤지다민염산염) [품목기준코드 201206423]</x:v>
      </x:c>
      <x:c r="K2031" s="8" t="str">
        <x:v>식품의약품안전처 의약품개요정보(e약은요) OpenAPI
https://apis.data.go.kr/1471000/DrbEasyDrugInfoService/getDrbEasyDrugList</x:v>
      </x:c>
    </x:row>
    <x:row r="2032" ht="62" customHeight="1">
      <x:c r="A2032" s="9" t="n">
        <x:v>2031</x:v>
      </x:c>
      <x:c r="B2032" s="6" t="str">
        <x:v>최종 평가</x:v>
      </x:c>
      <x:c r="C2032" s="6" t="str">
        <x:v>복약</x:v>
      </x:c>
      <x:c r="D2032" s="6" t="str">
        <x:v>증상·이상반응</x:v>
      </x:c>
      <x:c r="E2032" s="6" t="str">
        <x:v>답변 가능</x:v>
      </x:c>
      <x:c r="F2032" s="6" t="str">
        <x:v>쉬움</x:v>
      </x:c>
      <x:c r="G2032" s="8" t="str">
        <x:v>루스트라크림4%(히드로퀴논)을 사용하면 어떤 부작용이 생길 수 있나요?</x:v>
      </x:c>
      <x:c r="H2032" s="8" t="str">
        <x:v>e약은요에는 다음과 같은 이상반응이 안내되어 있습니다. 접촉피부염과 같은 과민반응 등이 나타나는 경우 사용을 즉각 중지하고 의사 또는 약사와 상의하십시오.</x:v>
      </x:c>
      <x:c r="I2032" s="8" t="str">
        <x:v>접촉피부염과 같은 과민반응 등이 나타나는 경우 사용을 즉각 중지하고 의사 또는 약사와 상의하십시오.</x:v>
      </x:c>
      <x:c r="J2032" s="8" t="str">
        <x:v>루스트라크림4%(히드로퀴논) [품목기준코드 200303264]</x:v>
      </x:c>
      <x:c r="K2032" s="8" t="str">
        <x:v>식품의약품안전처 의약품개요정보(e약은요) OpenAPI
https://apis.data.go.kr/1471000/DrbEasyDrugInfoService/getDrbEasyDrugList</x:v>
      </x:c>
    </x:row>
    <x:row r="2033" ht="62" customHeight="1">
      <x:c r="A2033" s="9" t="n">
        <x:v>2032</x:v>
      </x:c>
      <x:c r="B2033" s="6" t="str">
        <x:v>최종 평가</x:v>
      </x:c>
      <x:c r="C2033" s="6" t="str">
        <x:v>복약</x:v>
      </x:c>
      <x:c r="D2033" s="6" t="str">
        <x:v>용어·정의</x:v>
      </x:c>
      <x:c r="E2033" s="6" t="str">
        <x:v>답변 가능</x:v>
      </x:c>
      <x:c r="F2033" s="6" t="str">
        <x:v>쉬움</x:v>
      </x:c>
      <x:c r="G2033" s="8" t="str">
        <x:v>헤파코엔액티브정은 어떤 약인가요?</x:v>
      </x:c>
      <x:c r="H2033" s="8" t="str">
        <x:v>헤파코엔액티브정은 메딕스제약(주)의 의약품으로, e약은요에는 다음과 같이 안내되어 있습니다. 이 약은 육체피로, 임신 및 수유기, 병을 앓는 동안이나 회복 후의 체력저하 시, 발육기, 노년기의 비타민 D, E, B1, B2, B6, C의 보급에 사용합니다. 이 약은 함유된 비타민 등을 통해 신경통, 근육통, 요통이나 어깨결림 등의 관절통, 구각염, 구순염, 구내염, 설염, 습진, 피부염 증상의 완화에 사용합니다. 이 약은 함유된 비타민 등을 통해 뼈나 이의 발육불량, 구루병의 예방, 각기, 눈의 피로에 사용합니다. 이 약은 아연의 보급에 사용합니다.</x:v>
      </x:c>
      <x:c r="I2033" s="8" t="str">
        <x:v>제품명: 헤파코엔액티브정 업체명: 메딕스제약(주) 효능: 이 약은 육체피로, 임신 및 수유기, 병을 앓는 동안이나 회복 후의 체력저하 시, 발육기, 노년기의 비타민 D, E, B1, B2, B6, C의 보급에 사용합니다. 이 약은 함유된 비타민 등을 통해 신경통, 근육통, 요통이나 어깨결림 등의 관절통, 구각염, 구순염, 구내염, 설염, 습진, 피부염 증상의 완화에 사용합니다. 이 약은 함유된 비타민 등을 통해 뼈나 이의 발육불량, 구루병의 예방, 각기, 눈의 피로에 사용합니다. 이 약은 아연의 보급에 사용합니다.</x:v>
      </x:c>
      <x:c r="J2033" s="8" t="str">
        <x:v>헤파코엔액티브정 [품목기준코드 202402403]</x:v>
      </x:c>
      <x:c r="K2033" s="8" t="str">
        <x:v>식품의약품안전처 의약품개요정보(e약은요) OpenAPI
https://apis.data.go.kr/1471000/DrbEasyDrugInfoService/getDrbEasyDrugList</x:v>
      </x:c>
    </x:row>
    <x:row r="2034" ht="62" customHeight="1">
      <x:c r="A2034" s="9" t="n">
        <x:v>2033</x:v>
      </x:c>
      <x:c r="B2034" s="6" t="str">
        <x:v>최종 평가</x:v>
      </x:c>
      <x:c r="C2034" s="6" t="str">
        <x:v>복약</x:v>
      </x:c>
      <x:c r="D2034" s="6" t="str">
        <x:v>원인·위험요인</x:v>
      </x:c>
      <x:c r="E2034" s="6" t="str">
        <x:v>답변 가능</x:v>
      </x:c>
      <x:c r="F2034" s="6" t="str">
        <x:v>보통</x:v>
      </x:c>
      <x:c r="G2034" s="8" t="str">
        <x:v>다이락스-큐정을 사용하기 전에 특히 조심해야 하는 사람은 누구인가요?</x:v>
      </x:c>
      <x:c r="H2034" s="8" t="str">
        <x:v>이 제품을 사용하기 전에 특히 확인해야 할 대상과 상황은 다음과 같습니다. 만 7세 이하의 어린이, 급성 복부질환(충수염, 장출혈, 궤양성 결장염 등), 장폐색(창자막힘),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만 10세 이하의 어린이, 심한 복통(배 아픔) 또는 구역, 구토 환자, 나트륨 제한식이를 하고 있는 사람, 직장의 출혈 혹은 장부전 경험자는 의사 또는 약사와 상의하십시오. 1주 정도 복용하여도 변비의 개선이 없을 경우 복용을 중지하고 의사 또는 약사와 상의하십시오. 어린이에게 투여할 경우 보호자의 지도 감독하에 투여하십시오.</x:v>
      </x:c>
      <x:c r="I2034" s="8" t="str">
        <x:v>만 7세 이하의 어린이, 급성 복부질환(충수염, 장출혈, 궤양성 결장염 등), 장폐색(창자막힘),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만 10세 이하의 어린이, 심한 복통(배 아픔) 또는 구역, 구토 환자, 나트륨 제한식이를 하고 있는 사람, 직장의 출혈 혹은 장부전 경험자는 의사 또는 약사와 상의하십시오. 1주 정도 복용하여도 변비의 개선이 없을 경우 복용을 중지하고 의사 또는 약사와 상의하십시오. 어린이에게 투여할 경우 보호자의 지도 감독하에 투여하십시오.</x:v>
      </x:c>
      <x:c r="J2034" s="8" t="str">
        <x:v>다이락스-큐정 [품목기준코드 200904507]</x:v>
      </x:c>
      <x:c r="K2034" s="8" t="str">
        <x:v>식품의약품안전처 의약품개요정보(e약은요) OpenAPI
https://apis.data.go.kr/1471000/DrbEasyDrugInfoService/getDrbEasyDrugList</x:v>
      </x:c>
    </x:row>
    <x:row r="2035" ht="62" customHeight="1">
      <x:c r="A2035" s="9" t="n">
        <x:v>2034</x:v>
      </x:c>
      <x:c r="B2035" s="6" t="str">
        <x:v>최종 평가</x:v>
      </x:c>
      <x:c r="C2035" s="6" t="str">
        <x:v>복약</x:v>
      </x:c>
      <x:c r="D2035" s="6" t="str">
        <x:v>대상별 정보</x:v>
      </x:c>
      <x:c r="E2035" s="6" t="str">
        <x:v>답변 가능</x:v>
      </x:c>
      <x:c r="F2035" s="6" t="str">
        <x:v>쉬움</x:v>
      </x:c>
      <x:c r="G2035" s="8" t="str">
        <x:v>어린이나 소아가 하벤프레쉬나잘스프레이을 사용해도 되나요?</x:v>
      </x:c>
      <x:c r="H2035" s="8" t="str">
        <x:v>e약은요에서 어린이·소아과 관련해 안내한 내용은 다음과 같습니다. 어린이에게 투여할 경우 보호자의 지도 감독하에 투여하십시오.</x:v>
      </x:c>
      <x:c r="I2035" s="8" t="str">
        <x:v>어린이에게 투여할 경우 보호자의 지도 감독하에 투여하십시오.</x:v>
      </x:c>
      <x:c r="J2035" s="8" t="str">
        <x:v>하벤프레쉬나잘스프레이 [품목기준코드 201601470]</x:v>
      </x:c>
      <x:c r="K2035" s="8" t="str">
        <x:v>식품의약품안전처 의약품개요정보(e약은요) OpenAPI
https://apis.data.go.kr/1471000/DrbEasyDrugInfoService/getDrbEasyDrugList</x:v>
      </x:c>
    </x:row>
    <x:row r="2036" ht="62" customHeight="1">
      <x:c r="A2036" s="9" t="n">
        <x:v>2035</x:v>
      </x:c>
      <x:c r="B2036" s="6" t="str">
        <x:v>최종 평가</x:v>
      </x:c>
      <x:c r="C2036" s="6" t="str">
        <x:v>복약</x:v>
      </x:c>
      <x:c r="D2036" s="6" t="str">
        <x:v>증상·이상반응</x:v>
      </x:c>
      <x:c r="E2036" s="6" t="str">
        <x:v>답변 가능</x:v>
      </x:c>
      <x:c r="F2036" s="6" t="str">
        <x:v>쉬움</x:v>
      </x:c>
      <x:c r="G2036" s="8" t="str">
        <x:v>마로엘정을 사용하면 어떤 부작용이 생길 수 있나요?</x:v>
      </x:c>
      <x:c r="H2036" s="8" t="str">
        <x:v>e약은요에는 다음과 같은 이상반응이 안내되어 있습니다. 발진·충혈되어 붉어짐, 가려움, 심한 복통(배 아픔), 설사, 구토, 복부불쾌감, 경련 등이 나타나는 경우 복용을 즉각 중지하고 의사 또는 약사와 상의하십시오.</x:v>
      </x:c>
      <x:c r="I2036" s="8" t="str">
        <x:v>발진·충혈되어 붉어짐, 가려움, 심한 복통(배 아픔), 설사, 구토, 복부불쾌감, 경련 등이 나타나는 경우 복용을 즉각 중지하고 의사 또는 약사와 상의하십시오.</x:v>
      </x:c>
      <x:c r="J2036" s="8" t="str">
        <x:v>마로엘정 [품목기준코드 200302007]</x:v>
      </x:c>
      <x:c r="K2036" s="8" t="str">
        <x:v>식품의약품안전처 의약품개요정보(e약은요) OpenAPI
https://apis.data.go.kr/1471000/DrbEasyDrugInfoService/getDrbEasyDrugList</x:v>
      </x:c>
    </x:row>
    <x:row r="2037" ht="62" customHeight="1">
      <x:c r="A2037" s="9" t="n">
        <x:v>2036</x:v>
      </x:c>
      <x:c r="B2037" s="6" t="str">
        <x:v>최종 평가</x:v>
      </x:c>
      <x:c r="C2037" s="6" t="str">
        <x:v>복약</x:v>
      </x:c>
      <x:c r="D2037" s="6" t="str">
        <x:v>증상·이상반응</x:v>
      </x:c>
      <x:c r="E2037" s="6" t="str">
        <x:v>답변 가능</x:v>
      </x:c>
      <x:c r="F2037" s="6" t="str">
        <x:v>쉬움</x:v>
      </x:c>
      <x:c r="G2037" s="8" t="str">
        <x:v>마이믹스정을 사용하면 어떤 부작용이 생길 수 있나요?</x:v>
      </x:c>
      <x:c r="H2037" s="8" t="str">
        <x:v>e약은요에는 다음과 같은 이상반응이 안내되어 있습니다. 구역, 구토, 설사, 붉은 반점, 심장박동정지, 중추신경계 기능저하, 위장관장애, 소화장애, 상복부통증, 저혈압, 폐부종, 구토 등이 나타나는 경우 복용을 즉각 중지하고 의사 또는 약사와 상의하십시오.</x:v>
      </x:c>
      <x:c r="I2037" s="8" t="str">
        <x:v>구역, 구토, 설사, 붉은 반점, 심장박동정지, 중추신경계 기능저하, 위장관장애, 소화장애, 상복부통증, 저혈압, 폐부종, 구토 등이 나타나는 경우 복용을 즉각 중지하고 의사 또는 약사와 상의하십시오.</x:v>
      </x:c>
      <x:c r="J2037" s="8" t="str">
        <x:v>마이믹스정 [품목기준코드 201307379]</x:v>
      </x:c>
      <x:c r="K2037" s="8" t="str">
        <x:v>식품의약품안전처 의약품개요정보(e약은요) OpenAPI
https://apis.data.go.kr/1471000/DrbEasyDrugInfoService/getDrbEasyDrugList</x:v>
      </x:c>
    </x:row>
    <x:row r="2038" ht="62" customHeight="1">
      <x:c r="A2038" s="9" t="n">
        <x:v>2037</x:v>
      </x:c>
      <x:c r="B2038" s="6" t="str">
        <x:v>최종 평가</x:v>
      </x:c>
      <x:c r="C2038" s="6" t="str">
        <x:v>복약</x:v>
      </x:c>
      <x:c r="D2038" s="6" t="str">
        <x:v>원인·위험요인</x:v>
      </x:c>
      <x:c r="E2038" s="6" t="str">
        <x:v>답변 가능</x:v>
      </x:c>
      <x:c r="F2038" s="6" t="str">
        <x:v>쉬움</x:v>
      </x:c>
      <x:c r="G2038" s="8" t="str">
        <x:v>마그비액티브정을 사용하기 전에 특히 조심해야 하는 사람은 누구인가요?</x:v>
      </x:c>
      <x:c r="H2038" s="8" t="str">
        <x:v>이 제품을 사용하기 전에 특히 확인해야 할 대상과 상황은 다음과 같습니다. 이 약에 과민증 환자, 만 12개월 미만의 젖먹이, 심한 증상의 신부전 환자는 이 약을 복용하지 마십시오.이 약을 복용하기 전에 임부 및 임신하고 있을 가능성이 있는 여성, 수유부, 미숙아, 유아, 심장ㆍ순환기계기능 장애, 신장장애, 저단백혈증 환자, 폴산이 부족한 환자는 의사 또는 약사와 상의하십시오.정해진 용법과 용량을 잘 지키십시오.요를 황색으로 변하게 하여 임상검사치에 영향을 줄 수 있습니다.</x:v>
      </x:c>
      <x:c r="I2038" s="8" t="str">
        <x:v>이 약에 과민증 환자, 만 12개월 미만의 젖먹이, 심한 증상의 신부전 환자는 이 약을 복용하지 마십시오.이 약을 복용하기 전에 임부 및 임신하고 있을 가능성이 있는 여성, 수유부, 미숙아, 유아, 심장ㆍ순환기계기능 장애, 신장장애, 저단백혈증 환자, 폴산이 부족한 환자는 의사 또는 약사와 상의하십시오.정해진 용법과 용량을 잘 지키십시오.요를 황색으로 변하게 하여 임상검사치에 영향을 줄 수 있습니다.</x:v>
      </x:c>
      <x:c r="J2038" s="8" t="str">
        <x:v>마그비액티브정 [품목기준코드 201706740]</x:v>
      </x:c>
      <x:c r="K2038" s="8" t="str">
        <x:v>식품의약품안전처 의약품개요정보(e약은요) OpenAPI
https://apis.data.go.kr/1471000/DrbEasyDrugInfoService/getDrbEasyDrugList</x:v>
      </x:c>
    </x:row>
    <x:row r="2039" ht="62" customHeight="1">
      <x:c r="A2039" s="9" t="n">
        <x:v>2038</x:v>
      </x:c>
      <x:c r="B2039" s="6" t="str">
        <x:v>최종 평가</x:v>
      </x:c>
      <x:c r="C2039" s="6" t="str">
        <x:v>복약</x:v>
      </x:c>
      <x:c r="D2039" s="6" t="str">
        <x:v>증상·이상반응</x:v>
      </x:c>
      <x:c r="E2039" s="6" t="str">
        <x:v>답변 가능</x:v>
      </x:c>
      <x:c r="F2039" s="6" t="str">
        <x:v>쉬움</x:v>
      </x:c>
      <x:c r="G2039" s="8" t="str">
        <x:v>테리나핀크림(테르비나핀염산염)을 사용하면 어떤 부작용이 생길 수 있나요?</x:v>
      </x:c>
      <x:c r="H2039" s="8" t="str">
        <x:v>e약은요에는 다음과 같은 이상반응이 안내되어 있습니다. 발진을 동반한 과민반응, 과도한 자극, 피부의 두드러기, 발적, 발진, 홍반, 가려움, 자극감, 국소의 접촉피부염, 피부박리, 상처의 딱지, 색소침착이상, 자통(찌르는 것 같은 아픔), 작열감(화끈감)이 나타나는 경우 사용을 즉각 중지하고 의사 또는 약사와 상의하십시오.</x:v>
      </x:c>
      <x:c r="I2039" s="8" t="str">
        <x:v>발진을 동반한 과민반응, 과도한 자극, 피부의 두드러기, 발적, 발진, 홍반, 가려움, 자극감, 국소의 접촉피부염, 피부박리, 상처의 딱지, 색소침착이상, 자통(찌르는 것 같은 아픔), 작열감(화끈감)이 나타나는 경우 사용을 즉각 중지하고 의사 또는 약사와 상의하십시오.</x:v>
      </x:c>
      <x:c r="J2039" s="8" t="str">
        <x:v>테리나핀크림(테르비나핀염산염) [품목기준코드 201501794]</x:v>
      </x:c>
      <x:c r="K2039" s="8" t="str">
        <x:v>식품의약품안전처 의약품개요정보(e약은요) OpenAPI
https://apis.data.go.kr/1471000/DrbEasyDrugInfoService/getDrbEasyDrugList</x:v>
      </x:c>
    </x:row>
    <x:row r="2040" ht="62" customHeight="1">
      <x:c r="A2040" s="9" t="n">
        <x:v>2039</x:v>
      </x:c>
      <x:c r="B2040" s="6" t="str">
        <x:v>최종 평가</x:v>
      </x:c>
      <x:c r="C2040" s="6" t="str">
        <x:v>복약</x:v>
      </x:c>
      <x:c r="D2040" s="6" t="str">
        <x:v>용법·용량</x:v>
      </x:c>
      <x:c r="E2040" s="6" t="str">
        <x:v>답변 가능</x:v>
      </x:c>
      <x:c r="F2040" s="6" t="str">
        <x:v>쉬움</x:v>
      </x:c>
      <x:c r="G2040" s="8" t="str">
        <x:v>디퓨탭서방정(이부프로펜)은 어떻게 사용하나요?</x:v>
      </x:c>
      <x:c r="H2040" s="8" t="str">
        <x:v>류마티양 관절염, 골관절염, 강직성 척추염, 연조직손상, 비관절 류마티스질환, 급성통풍, 건선성 관절염에 성인은 1회1정, 1일 2회 복용하며, 1일 최 3200 mg까지 복용할 수 있습니다. 연소성 류마티양 관절염에는 1일 체중 kg당 30~40 mg을 2회 분할하여 복용하며, 경증 및 중등도의 동통이나 감기에는 성인 1회 1정, 1일 2회 복용합니다. 권장용량을 초과하여 복용하지 마십시오.</x:v>
      </x:c>
      <x:c r="I2040" s="8" t="str">
        <x:v>류마티양 관절염, 골관절염, 강직성 척추염, 연조직손상, 비관절 류마티스질환, 급성통풍, 건선성 관절염에 성인은 1회1정, 1일 2회 복용하며, 1일 최 3200 mg까지 복용할 수 있습니다. 연소성 류마티양 관절염에는 1일 체중 kg당 30~40 mg을 2회 분할하여 복용하며, 경증 및 중등도의 동통이나 감기에는 성인 1회 1정, 1일 2회 복용합니다. 권장용량을 초과하여 복용하지 마십시오.</x:v>
      </x:c>
      <x:c r="J2040" s="8" t="str">
        <x:v>디퓨탭서방정(이부프로펜) [품목기준코드 200001172]</x:v>
      </x:c>
      <x:c r="K2040" s="8" t="str">
        <x:v>식품의약품안전처 의약품개요정보(e약은요) OpenAPI
https://apis.data.go.kr/1471000/DrbEasyDrugInfoService/getDrbEasyDrugList</x:v>
      </x:c>
    </x:row>
    <x:row r="2041" ht="62" customHeight="1">
      <x:c r="A2041" s="9" t="n">
        <x:v>2040</x:v>
      </x:c>
      <x:c r="B2041" s="6" t="str">
        <x:v>최종 평가</x:v>
      </x:c>
      <x:c r="C2041" s="6" t="str">
        <x:v>복약</x:v>
      </x:c>
      <x:c r="D2041" s="6" t="str">
        <x:v>실용·응급대처</x:v>
      </x:c>
      <x:c r="E2041" s="6" t="str">
        <x:v>답변 가능</x:v>
      </x:c>
      <x:c r="F2041" s="6" t="str">
        <x:v>보통</x:v>
      </x:c>
      <x:c r="G2041" s="8" t="str">
        <x:v>아이소펜시럽(덱시부프로펜) 사용 후 심한 이상반응이 나타나면 어떻게 해야 하나요?</x:v>
      </x:c>
      <x:c r="H2041" s="8" t="str">
        <x:v>드물게 쇽(흉내고민, 오한, 호흡곤란, 혈압저하 등), 재생불량성빈혈, 용혈성빈혈, 과립구감소, 혈소판감소, 혈소판기능저하(출혈시간 연장), 호산구증다 등의 혈액장애, 소화성궤양 위장출혈, 천공, 궤양성대장염, 혈변, 위염, 췌장염, 스티븐스-존슨증후군(피부점막안증후군) 또는 리엘증후군(독성표피괴사용해), 빈도불명의 호산구 증가 및 전신 증후군을 동반한 약물 발진(DRESS 증후군), 천식발작의 유발, 두드러기, 습진, 자반, 때때로 발진, 가려움증, 시각장애(무시, 암침 등), 무균성 수막염, 심한 두통, 구역, 구토, 불면, 목이 뻣뻣함, 발열 또는 의식장애, 급성신부전, 핍뇨, 혈뇨, 뇨단백, BUN, 혈중 크레아티닌의 상승, 고칼륨혈증 등이 나타나는 경우 복용을 즉각 중지하고 의사 또는 약사와 상의하십시오.</x:v>
      </x:c>
      <x:c r="I2041" s="8" t="str">
        <x:v>드물게 쇽(흉내고민, 오한, 호흡곤란, 혈압저하 등), 재생불량성빈혈, 용혈성빈혈, 과립구감소, 혈소판감소, 혈소판기능저하(출혈시간 연장), 호산구증다 등의 혈액장애, 소화성궤양 위장출혈, 천공, 궤양성대장염, 혈변, 위염, 췌장염, 스티븐스-존슨증후군(피부점막안증후군) 또는 리엘증후군(독성표피괴사용해), 빈도불명의 호산구 증가 및 전신 증후군을 동반한 약물 발진(DRESS 증후군), 천식발작의 유발, 두드러기, 습진, 자반, 때때로 발진, 가려움증, 시각장애(무시, 암침 등), 무균성 수막염, 심한 두통, 구역, 구토, 불면, 목이 뻣뻣함, 발열 또는 의식장애, 급성신부전, 핍뇨, 혈뇨, 뇨단백, BUN, 혈중 크레아티닌의 상승, 고칼륨혈증 등이 나타나는 경우 복용을 즉각 중지하고 의사 또는 약사와 상의하십시오.</x:v>
      </x:c>
      <x:c r="J2041" s="8" t="str">
        <x:v>아이소펜시럽(덱시부프로펜) [품목기준코드 201800862]</x:v>
      </x:c>
      <x:c r="K2041" s="8" t="str">
        <x:v>식품의약품안전처 의약품개요정보(e약은요) OpenAPI
https://apis.data.go.kr/1471000/DrbEasyDrugInfoService/getDrbEasyDrugList</x:v>
      </x:c>
    </x:row>
    <x:row r="2042" ht="62" customHeight="1">
      <x:c r="A2042" s="9" t="n">
        <x:v>2041</x:v>
      </x:c>
      <x:c r="B2042" s="6" t="str">
        <x:v>최종 평가</x:v>
      </x:c>
      <x:c r="C2042" s="6" t="str">
        <x:v>복약</x:v>
      </x:c>
      <x:c r="D2042" s="6" t="str">
        <x:v>금기·경고</x:v>
      </x:c>
      <x:c r="E2042" s="6" t="str">
        <x:v>답변 가능</x:v>
      </x:c>
      <x:c r="F2042" s="6" t="str">
        <x:v>보통</x:v>
      </x:c>
      <x:c r="G2042" s="8" t="str">
        <x:v>에스프로펜정(덱시부프로펜)을 사용하면 안 되거나 반드시 확인해야 할 경고사항은 무엇인가요?</x:v>
      </x:c>
      <x:c r="H2042" s="8" t="str">
        <x:v>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심각한 심혈관계 이상반응이 나타날 수 있습니다. 이 약 복용 시 위장관의 출혈, 궤양 및 천공(뚫림) 등 치명적일 수 있는 중대한 위장관계 이상반응이 나타날 수 있습니다. 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 황색5호 과민증 또는 알레르기 반응 경험자는 의사 또는 약사와 상의하십시오.</x:v>
      </x:c>
      <x:c r="I2042" s="8" t="str">
        <x:v>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심각한 심혈관계 이상반응이 나타날 수 있습니다. 이 약 복용 시 위장관의 출혈, 궤양 및 천공(뚫림) 등 치명적일 수 있는 중대한 위장관계 이상반응이 나타날 수 있습니다. 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 황색5호 과민증 또는 알레르기 반응 경험자는 의사 또는 약사와 상의하십시오.</x:v>
      </x:c>
      <x:c r="J2042" s="8" t="str">
        <x:v>에스프로펜정(덱시부프로펜) [품목기준코드 200202755]</x:v>
      </x:c>
      <x:c r="K2042" s="8" t="str">
        <x:v>식품의약품안전처 의약품개요정보(e약은요) OpenAPI
https://apis.data.go.kr/1471000/DrbEasyDrugInfoService/getDrbEasyDrugList</x:v>
      </x:c>
    </x:row>
    <x:row r="2043" ht="62" customHeight="1">
      <x:c r="A2043" s="9" t="n">
        <x:v>2042</x:v>
      </x:c>
      <x:c r="B2043" s="6" t="str">
        <x:v>최종 평가</x:v>
      </x:c>
      <x:c r="C2043" s="6" t="str">
        <x:v>복약</x:v>
      </x:c>
      <x:c r="D2043" s="6" t="str">
        <x:v>보관·관리</x:v>
      </x:c>
      <x:c r="E2043" s="6" t="str">
        <x:v>답변 가능</x:v>
      </x:c>
      <x:c r="F2043" s="6" t="str">
        <x:v>쉬움</x:v>
      </x:c>
      <x:c r="G2043" s="8" t="str">
        <x:v>순갈근탕에이액은 어떻게 보관해야 하나요?</x:v>
      </x:c>
      <x:c r="H2043" s="8" t="str">
        <x:v>습기와 빛을 피해 실온에서 보관하십시오. 어린이의 손이 닿지 않는 곳에 보관하십시오.</x:v>
      </x:c>
      <x:c r="I2043" s="8" t="str">
        <x:v>습기와 빛을 피해 실온에서 보관하십시오. 어린이의 손이 닿지 않는 곳에 보관하십시오.</x:v>
      </x:c>
      <x:c r="J2043" s="8" t="str">
        <x:v>순갈근탕에이액 [품목기준코드 202201816]</x:v>
      </x:c>
      <x:c r="K2043" s="8" t="str">
        <x:v>식품의약품안전처 의약품개요정보(e약은요) OpenAPI
https://apis.data.go.kr/1471000/DrbEasyDrugInfoService/getDrbEasyDrugList</x:v>
      </x:c>
    </x:row>
    <x:row r="2044" ht="62" customHeight="1">
      <x:c r="A2044" s="9" t="n">
        <x:v>2043</x:v>
      </x:c>
      <x:c r="B2044" s="6" t="str">
        <x:v>최종 평가</x:v>
      </x:c>
      <x:c r="C2044" s="6" t="str">
        <x:v>복약</x:v>
      </x:c>
      <x:c r="D2044" s="6" t="str">
        <x:v>원인·위험요인</x:v>
      </x:c>
      <x:c r="E2044" s="6" t="str">
        <x:v>답변 가능</x:v>
      </x:c>
      <x:c r="F2044" s="6" t="str">
        <x:v>보통</x:v>
      </x:c>
      <x:c r="G2044" s="8" t="str">
        <x:v>콘드럭알파정을 사용하기 전에 특히 조심해야 하는 사람은 누구인가요?</x:v>
      </x:c>
      <x:c r="H2044" s="8" t="str">
        <x:v>이 제품을 사용하기 전에 특히 확인해야 할 대상과 상황은 다음과 같습니다. 이 약에 과민증 환자, 고칼슘혈증(혈액중에 칼슘이 과잉으로 존재하는 상태), 유육종증(원인을 알 수 없는 전신 염증질환), 신장(콩팥)질환, 만 3개월 미만의 젖먹이, 신장결석,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신장결석 경험자는 의사 또는 약사와 상의하십시오. 1개월 정도 복용하여도 증상의 개선이 없을 경우 복용을 즉각 중지하고 의사 또는 약사와 상의하십시오. 폴산이 부족한 환자는 의사 또는 약사와 상의하십시오. 어린이에게 투여할 경우 보호자의 지도 감독하에 투여하십시오.</x:v>
      </x:c>
      <x:c r="I2044" s="8" t="str">
        <x:v>이 약에 과민증 환자, 고칼슘혈증(혈액중에 칼슘이 과잉으로 존재하는 상태), 유육종증(원인을 알 수 없는 전신 염증질환), 신장(콩팥)질환, 만 3개월 미만의 젖먹이, 신장결석,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신장결석 경험자는 의사 또는 약사와 상의하십시오. 1개월 정도 복용하여도 증상의 개선이 없을 경우 복용을 즉각 중지하고 의사 또는 약사와 상의하십시오. 폴산이 부족한 환자는 의사 또는 약사와 상의하십시오. 어린이에게 투여할 경우 보호자의 지도 감독하에 투여하십시오.</x:v>
      </x:c>
      <x:c r="J2044" s="8" t="str">
        <x:v>콘드럭알파정 [품목기준코드 202400271]</x:v>
      </x:c>
      <x:c r="K2044" s="8" t="str">
        <x:v>식품의약품안전처 의약품개요정보(e약은요) OpenAPI
https://apis.data.go.kr/1471000/DrbEasyDrugInfoService/getDrbEasyDrugList</x:v>
      </x:c>
    </x:row>
    <x:row r="2045" ht="62" customHeight="1">
      <x:c r="A2045" s="9" t="n">
        <x:v>2044</x:v>
      </x:c>
      <x:c r="B2045" s="6" t="str">
        <x:v>최종 평가</x:v>
      </x:c>
      <x:c r="C2045" s="6" t="str">
        <x:v>복약</x:v>
      </x:c>
      <x:c r="D2045" s="6" t="str">
        <x:v>용법·용량</x:v>
      </x:c>
      <x:c r="E2045" s="6" t="str">
        <x:v>답변 가능</x:v>
      </x:c>
      <x:c r="F2045" s="6" t="str">
        <x:v>쉬움</x:v>
      </x:c>
      <x:c r="G2045" s="8" t="str">
        <x:v>이지정(디시클로민염산염)은 어떻게 사용하나요?</x:v>
      </x:c>
      <x:c r="H2045" s="8" t="str">
        <x:v>성인은 1회 1~2정(10~20 mg)씩, 1일 3~4회 복용합니다. 2주 정도 복용하여도 증상의 개선이 없을 경우 복용을 즉각 중지하고 의사 또는 약사와 상의하십시오.</x:v>
      </x:c>
      <x:c r="I2045" s="8" t="str">
        <x:v>성인은 1회 1~2정(10~20 mg)씩, 1일 3~4회 복용합니다. 2주 정도 복용하여도 증상의 개선이 없을 경우 복용을 즉각 중지하고 의사 또는 약사와 상의하십시오.</x:v>
      </x:c>
      <x:c r="J2045" s="8" t="str">
        <x:v>이지정(디시클로민염산염) [품목기준코드 200003011]</x:v>
      </x:c>
      <x:c r="K2045" s="8" t="str">
        <x:v>식품의약품안전처 의약품개요정보(e약은요) OpenAPI
https://apis.data.go.kr/1471000/DrbEasyDrugInfoService/getDrbEasyDrugList</x:v>
      </x:c>
    </x:row>
    <x:row r="2046" ht="62" customHeight="1">
      <x:c r="A2046" s="9" t="n">
        <x:v>2045</x:v>
      </x:c>
      <x:c r="B2046" s="6" t="str">
        <x:v>최종 평가</x:v>
      </x:c>
      <x:c r="C2046" s="6" t="str">
        <x:v>복약</x:v>
      </x:c>
      <x:c r="D2046" s="6" t="str">
        <x:v>용어·정의</x:v>
      </x:c>
      <x:c r="E2046" s="6" t="str">
        <x:v>답변 가능</x:v>
      </x:c>
      <x:c r="F2046" s="6" t="str">
        <x:v>쉬움</x:v>
      </x:c>
      <x:c r="G2046" s="8" t="str">
        <x:v>로세릴네일라카(아모롤핀염산염)은 어떤 약인가요?</x:v>
      </x:c>
      <x:c r="H2046" s="8" t="str">
        <x:v>로세릴네일라카(아모롤핀염산염)은 갈더마코리아(주)의 의약품으로, e약은요에는 다음과 같이 안내되어 있습니다. 이 약은 감염부위가 조갑 표면의 80% 이하인 경우의 피부사상균, 효모균 및 곰팡이에 의한 조갑진균증(손발톱진균증)에 사용합니다.</x:v>
      </x:c>
      <x:c r="I2046" s="8" t="str">
        <x:v>제품명: 로세릴네일라카(아모롤핀염산염) 업체명: 갈더마코리아(주) 효능: 이 약은 감염부위가 조갑 표면의 80% 이하인 경우의 피부사상균, 효모균 및 곰팡이에 의한 조갑진균증(손발톱진균증)에 사용합니다.</x:v>
      </x:c>
      <x:c r="J2046" s="8" t="str">
        <x:v>로세릴네일라카(아모롤핀염산염) [품목기준코드 199907226]</x:v>
      </x:c>
      <x:c r="K2046" s="8" t="str">
        <x:v>식품의약품안전처 의약품개요정보(e약은요) OpenAPI
https://apis.data.go.kr/1471000/DrbEasyDrugInfoService/getDrbEasyDrugList</x:v>
      </x:c>
    </x:row>
    <x:row r="2047" ht="62" customHeight="1">
      <x:c r="A2047" s="9" t="n">
        <x:v>2046</x:v>
      </x:c>
      <x:c r="B2047" s="6" t="str">
        <x:v>최종 평가</x:v>
      </x:c>
      <x:c r="C2047" s="6" t="str">
        <x:v>복약</x:v>
      </x:c>
      <x:c r="D2047" s="6" t="str">
        <x:v>용법·용량</x:v>
      </x:c>
      <x:c r="E2047" s="6" t="str">
        <x:v>답변 가능</x:v>
      </x:c>
      <x:c r="F2047" s="6" t="str">
        <x:v>쉬움</x:v>
      </x:c>
      <x:c r="G2047" s="8" t="str">
        <x:v>제일테르비케어크림(테르비나핀염산염)은 어떻게 사용하나요?</x:v>
      </x:c>
      <x:c r="H2047" s="8" t="str">
        <x:v>1일 1~2회 환부(질환 부위)에 바릅니다. 질환에 따른 치료기간은 족부백선인 경우 1일 1회 1주, 지간형(발가락사이) 족부백선인 경우 1일 2회 1주, 족저형(발바닥) 족부백선인 경우 1일 2회 2주, 체부백선, 고부백선인 경우 1~2주, 피부칸디다증인 경우 1~2주, 어루러기인 경우 2주간 사용합니다.</x:v>
      </x:c>
      <x:c r="I2047" s="8" t="str">
        <x:v>1일 1~2회 환부(질환 부위)에 바릅니다. 질환에 따른 치료기간은 족부백선인 경우 1일 1회 1주, 지간형(발가락사이) 족부백선인 경우 1일 2회 1주, 족저형(발바닥) 족부백선인 경우 1일 2회 2주, 체부백선, 고부백선인 경우 1~2주, 피부칸디다증인 경우 1~2주, 어루러기인 경우 2주간 사용합니다.</x:v>
      </x:c>
      <x:c r="J2047" s="8" t="str">
        <x:v>제일테르비케어크림(테르비나핀염산염) [품목기준코드 201903216]</x:v>
      </x:c>
      <x:c r="K2047" s="8" t="str">
        <x:v>식품의약품안전처 의약품개요정보(e약은요) OpenAPI
https://apis.data.go.kr/1471000/DrbEasyDrugInfoService/getDrbEasyDrugList</x:v>
      </x:c>
    </x:row>
    <x:row r="2048" ht="62" customHeight="1">
      <x:c r="A2048" s="9" t="n">
        <x:v>2047</x:v>
      </x:c>
      <x:c r="B2048" s="6" t="str">
        <x:v>최종 평가</x:v>
      </x:c>
      <x:c r="C2048" s="6" t="str">
        <x:v>복약</x:v>
      </x:c>
      <x:c r="D2048" s="6" t="str">
        <x:v>증상·이상반응</x:v>
      </x:c>
      <x:c r="E2048" s="6" t="str">
        <x:v>답변 가능</x:v>
      </x:c>
      <x:c r="F2048" s="6" t="str">
        <x:v>쉬움</x:v>
      </x:c>
      <x:c r="G2048" s="8" t="str">
        <x:v>벤스나졸크림(테르비나핀염산염)을 사용하면 어떤 부작용이 생길 수 있나요?</x:v>
      </x:c>
      <x:c r="H2048" s="8" t="str">
        <x:v>e약은요에는 다음과 같은 이상반응이 안내되어 있습니다. 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x:v>
      </x:c>
      <x:c r="I2048" s="8" t="str">
        <x:v>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x:v>
      </x:c>
      <x:c r="J2048" s="8" t="str">
        <x:v>벤스나졸크림(테르비나핀염산염) [품목기준코드 200301994]</x:v>
      </x:c>
      <x:c r="K2048" s="8" t="str">
        <x:v>식품의약품안전처 의약품개요정보(e약은요) OpenAPI
https://apis.data.go.kr/1471000/DrbEasyDrugInfoService/getDrbEasyDrugList</x:v>
      </x:c>
    </x:row>
    <x:row r="2049" ht="62" customHeight="1">
      <x:c r="A2049" s="9" t="n">
        <x:v>2048</x:v>
      </x:c>
      <x:c r="B2049" s="6" t="str">
        <x:v>최종 평가</x:v>
      </x:c>
      <x:c r="C2049" s="6" t="str">
        <x:v>복약</x:v>
      </x:c>
      <x:c r="D2049" s="6" t="str">
        <x:v>증상→대상 구분</x:v>
      </x:c>
      <x:c r="E2049" s="6" t="str">
        <x:v>답변 가능</x:v>
      </x:c>
      <x:c r="F2049" s="6" t="str">
        <x:v>어려움</x:v>
      </x:c>
      <x:c r="G2049" s="8" t="str">
        <x:v>푸리덴연고을 사용한 뒤 발진이 생겼는데, 이 약의 부작용으로 안내되어 있나요?</x:v>
      </x:c>
      <x:c r="H2049" s="8" t="str">
        <x:v>발진은 이 제품의 e약은요 부작용 항목에 기재되어 있습니다. 다만 이 정보만으로 현재 증상의 원인이 해당 약이라고 확정할 수는 없습니다.</x:v>
      </x:c>
      <x:c r="I2049" s="8" t="str">
        <x:v>부기, 자극감, 알레르기 증상(발진, 충혈되어 붉어짐, 가려움 등), 출혈, 빈도불명의 시야흐림이 나타나는 경우 사용을 즉각 중지하고 의사 또는 약사와 상의하십시오.</x:v>
      </x:c>
      <x:c r="J2049" s="8" t="str">
        <x:v>푸리덴연고 [품목기준코드 201501920]</x:v>
      </x:c>
      <x:c r="K2049" s="8" t="str">
        <x:v>식품의약품안전처 의약품개요정보(e약은요) OpenAPI
https://apis.data.go.kr/1471000/DrbEasyDrugInfoService/getDrbEasyDrugList</x:v>
      </x:c>
    </x:row>
    <x:row r="2050" ht="62" customHeight="1">
      <x:c r="A2050" s="9" t="n">
        <x:v>2049</x:v>
      </x:c>
      <x:c r="B2050" s="6" t="str">
        <x:v>최종 평가</x:v>
      </x:c>
      <x:c r="C2050" s="6" t="str">
        <x:v>복약</x:v>
      </x:c>
      <x:c r="D2050" s="6" t="str">
        <x:v>상호작용</x:v>
      </x:c>
      <x:c r="E2050" s="6" t="str">
        <x:v>답변 가능</x:v>
      </x:c>
      <x:c r="F2050" s="6" t="str">
        <x:v>쉬움</x:v>
      </x:c>
      <x:c r="G2050" s="8" t="str">
        <x:v>코앤쿨에스나잘스프레이과 함께 사용하거나 먹을 때 주의해야 할 약이나 음식이 있나요?</x:v>
      </x:c>
      <x:c r="H2050" s="8" t="str">
        <x:v>우울증, 파킨슨병 치료 등에 사용되는 MAO 억제제를 복용하고 있거나 복용을 중단한 후 2주 이내인 사람은 이 약을 사용하지 마십시오. 사용 시에는 음주하지 마십시오.</x:v>
      </x:c>
      <x:c r="I2050" s="8" t="str">
        <x:v>우울증, 파킨슨병 치료 등에 사용되는 MAO 억제제를 복용하고 있거나 복용을 중단한 후 2주 이내인 사람은 이 약을 사용하지 마십시오. 사용 시에는 음주하지 마십시오.</x:v>
      </x:c>
      <x:c r="J2050" s="8" t="str">
        <x:v>코앤쿨에스나잘스프레이 [품목기준코드 202401177]</x:v>
      </x:c>
      <x:c r="K2050" s="8" t="str">
        <x:v>식품의약품안전처 의약품개요정보(e약은요) OpenAPI
https://apis.data.go.kr/1471000/DrbEasyDrugInfoService/getDrbEasyDrugList</x:v>
      </x:c>
    </x:row>
    <x:row r="2051" ht="62" customHeight="1">
      <x:c r="A2051" s="9" t="n">
        <x:v>2050</x:v>
      </x:c>
      <x:c r="B2051" s="6" t="str">
        <x:v>최종 평가</x:v>
      </x:c>
      <x:c r="C2051" s="6" t="str">
        <x:v>복약</x:v>
      </x:c>
      <x:c r="D2051" s="6" t="str">
        <x:v>원인·위험요인</x:v>
      </x:c>
      <x:c r="E2051" s="6" t="str">
        <x:v>답변 가능</x:v>
      </x:c>
      <x:c r="F2051" s="6" t="str">
        <x:v>보통</x:v>
      </x:c>
      <x:c r="G2051" s="8" t="str">
        <x:v>프리카바에프캡슐(수출명:FreecofCapsules)을 사용하기 전에 특히 조심해야 하는 사람은 누구인가요?</x:v>
      </x:c>
      <x:c r="H2051" s="8" t="str">
        <x:v>이 제품을 사용하기 전에 특히 확인해야 할 대상과 상황은 다음과 같습니다. 임부 또는 임신하고 있을 가능성이 있는 여성, 갈락토오스 불내성, Lapp 유당분해효소 결핍증 또는 포도당-갈락토오스 흡수장애 등의 유전적인 문제가 있는 환자는 이 약을 복용하지 마십시오.이 약을 복용하기 전에 알레르기 등을 일으키기쉬운 체질, 알레르기 증상(예 : 발열, 발진,관절통, 가려움증 등) 경험자, 간장애, 신장애, 갑상선질환, 당뇨병, 고열환자, 허약자, 심장애 및 고혈압, 고령자, 황색5호에 과민증 환자는 의사 또는 약사와 상의하십시오.정해진 용법과 용량을 잘 지키십시오.수회 복용하여도 증상이 좋아지지 않을 경우 복용을 중단하고 의사 또는 약사와 상의하십시오.</x:v>
      </x:c>
      <x:c r="I2051" s="8" t="str">
        <x:v>임부 또는 임신하고 있을 가능성이 있는 여성, 갈락토오스 불내성, Lapp 유당분해효소 결핍증 또는 포도당-갈락토오스 흡수장애 등의 유전적인 문제가 있는 환자는 이 약을 복용하지 마십시오.이 약을 복용하기 전에 알레르기 등을 일으키기쉬운 체질, 알레르기 증상(예 : 발열, 발진,관절통, 가려움증 등) 경험자, 간장애, 신장애, 갑상선질환, 당뇨병, 고열환자, 허약자, 심장애 및 고혈압, 고령자, 황색5호에 과민증 환자는 의사 또는 약사와 상의하십시오.정해진 용법과 용량을 잘 지키십시오.수회 복용하여도 증상이 좋아지지 않을 경우 복용을 중단하고 의사 또는 약사와 상의하십시오.</x:v>
      </x:c>
      <x:c r="J2051" s="8" t="str">
        <x:v>프리카바에프캡슐(수출명:FreecofCapsules) [품목기준코드 200100673]</x:v>
      </x:c>
      <x:c r="K2051" s="8" t="str">
        <x:v>식품의약품안전처 의약품개요정보(e약은요) OpenAPI
https://apis.data.go.kr/1471000/DrbEasyDrugInfoService/getDrbEasyDrugList</x:v>
      </x:c>
    </x:row>
    <x:row r="2052" ht="62" customHeight="1">
      <x:c r="A2052" s="9" t="n">
        <x:v>2051</x:v>
      </x:c>
      <x:c r="B2052" s="6" t="str">
        <x:v>최종 평가</x:v>
      </x:c>
      <x:c r="C2052" s="6" t="str">
        <x:v>복약</x:v>
      </x:c>
      <x:c r="D2052" s="6" t="str">
        <x:v>효능·사용목적</x:v>
      </x:c>
      <x:c r="E2052" s="6" t="str">
        <x:v>답변 가능</x:v>
      </x:c>
      <x:c r="F2052" s="6" t="str">
        <x:v>쉬움</x:v>
      </x:c>
      <x:c r="G2052" s="8" t="str">
        <x:v>안티렌크림(구아야줄렌)은 어떤 증상이나 질환에 사용하는 약인가요?</x:v>
      </x:c>
      <x:c r="H2052" s="8" t="str">
        <x:v>이 약은 습진, 열상 및 화상, 그 외의 질환에 따른 미란 (짓무름) 및 궤양에 사용합니다.</x:v>
      </x:c>
      <x:c r="I2052" s="8" t="str">
        <x:v>이 약은 습진, 열상 및 화상, 그 외의 질환에 따른 미란 (짓무름) 및 궤양에 사용합니다.</x:v>
      </x:c>
      <x:c r="J2052" s="8" t="str">
        <x:v>안티렌크림(구아야줄렌) [품목기준코드 201903110]</x:v>
      </x:c>
      <x:c r="K2052" s="8" t="str">
        <x:v>식품의약품안전처 의약품개요정보(e약은요) OpenAPI
https://apis.data.go.kr/1471000/DrbEasyDrugInfoService/getDrbEasyDrugList</x:v>
      </x:c>
    </x:row>
    <x:row r="2053" ht="62" customHeight="1">
      <x:c r="A2053" s="9" t="n">
        <x:v>2052</x:v>
      </x:c>
      <x:c r="B2053" s="6" t="str">
        <x:v>최종 평가</x:v>
      </x:c>
      <x:c r="C2053" s="6" t="str">
        <x:v>복약</x:v>
      </x:c>
      <x:c r="D2053" s="6" t="str">
        <x:v>용법·용량</x:v>
      </x:c>
      <x:c r="E2053" s="6" t="str">
        <x:v>답변 가능</x:v>
      </x:c>
      <x:c r="F2053" s="6" t="str">
        <x:v>쉬움</x:v>
      </x:c>
      <x:c r="G2053" s="8" t="str">
        <x:v>프리미어평위천액은 어떻게 사용하나요?</x:v>
      </x:c>
      <x:c r="H2053" s="8" t="str">
        <x:v>만 15세 이상 및 성인은 1회 1병 (75 mL), 만 11세~만 14세는 1회 2/3병 (50 mL), 만 8세~만 10세는 1회 1/2병 (40 mL), 만 5세~만 7세는 1회 1/3병 (25 mL), 만 3세~만 4세는 1회 1/4병 (20 mL), 만 1세~만 2세는 1회 1/5병 (15 mL), 1일 3회 식후에 복용합니다.</x:v>
      </x:c>
      <x:c r="I2053" s="8" t="str">
        <x:v>만 15세 이상 및 성인은 1회 1병 (75 mL), 만 11세~만 14세는 1회 2/3병 (50 mL), 만 8세~만 10세는 1회 1/2병 (40 mL), 만 5세~만 7세는 1회 1/3병 (25 mL), 만 3세~만 4세는 1회 1/4병 (20 mL), 만 1세~만 2세는 1회 1/5병 (15 mL), 1일 3회 식후에 복용합니다.</x:v>
      </x:c>
      <x:c r="J2053" s="8" t="str">
        <x:v>프리미어평위천액 [품목기준코드 201105817]</x:v>
      </x:c>
      <x:c r="K2053" s="8" t="str">
        <x:v>식품의약품안전처 의약품개요정보(e약은요) OpenAPI
https://apis.data.go.kr/1471000/DrbEasyDrugInfoService/getDrbEasyDrugList</x:v>
      </x:c>
    </x:row>
    <x:row r="2054" ht="62" customHeight="1">
      <x:c r="A2054" s="9" t="n">
        <x:v>2053</x:v>
      </x:c>
      <x:c r="B2054" s="6" t="str">
        <x:v>최종 평가</x:v>
      </x:c>
      <x:c r="C2054" s="6" t="str">
        <x:v>복약</x:v>
      </x:c>
      <x:c r="D2054" s="6" t="str">
        <x:v>답변불가·처방 필요 여부</x:v>
      </x:c>
      <x:c r="E2054" s="6" t="str">
        <x:v>답변 거부</x:v>
      </x:c>
      <x:c r="F2054" s="6" t="str">
        <x:v>어려움</x:v>
      </x:c>
      <x:c r="G2054" s="8" t="str">
        <x:v>눈앤쿨점안액0.6%(카르복시메틸셀룰로오스나트륨)(1회용)은 지금 처방전 없이 살 수 있는지 확정해서 알려주세요.</x:v>
      </x:c>
      <x:c r="H2054" s="8" t="str">
        <x:v>제공된 e약은요 VDB 항목만으로는 현재의 전문·일반의약품 분류와 처방 필요 여부를 확정할 수 없습니다.</x:v>
      </x:c>
      <x:c r="I2054" s="8" t="str">
        <x:v>VDB 범위 밖 질문 — 근거 없음</x:v>
      </x:c>
      <x:c r="J2054" s="8" t="str">
        <x:v>눈앤쿨점안액0.6%(카르복시메틸셀룰로오스나트륨)(1회용) [품목기준코드 202400682]</x:v>
      </x:c>
      <x:c r="K2054" s="8" t="str">
        <x:v>식품의약품안전처 의약품개요정보(e약은요) OpenAPI
https://apis.data.go.kr/1471000/DrbEasyDrugInfoService/getDrbEasyDrugList</x:v>
      </x:c>
    </x:row>
    <x:row r="2055" ht="62" customHeight="1">
      <x:c r="A2055" s="9" t="n">
        <x:v>2054</x:v>
      </x:c>
      <x:c r="B2055" s="6" t="str">
        <x:v>최종 평가</x:v>
      </x:c>
      <x:c r="C2055" s="6" t="str">
        <x:v>복약</x:v>
      </x:c>
      <x:c r="D2055" s="6" t="str">
        <x:v>증상·이상반응</x:v>
      </x:c>
      <x:c r="E2055" s="6" t="str">
        <x:v>답변 가능</x:v>
      </x:c>
      <x:c r="F2055" s="6" t="str">
        <x:v>쉬움</x:v>
      </x:c>
      <x:c r="G2055" s="8" t="str">
        <x:v>마그투연질캡슐을 사용하면 어떤 부작용이 생길 수 있나요?</x:v>
      </x:c>
      <x:c r="H2055" s="8" t="str">
        <x:v>e약은요에는 다음과 같은 이상반응이 안내되어 있습니다. 위부불쾌감, 설사, 변비, 발진, 발적(충혈되어 붉어짐), 구역, 구토, 묽은 변, 붉은 반점, 심장박동정지, 중추신경계 기능저하, 생리가 예정보다 빨라지거나 양이 점점 많아지고, 출혈이 오래 지속 되는 경우 복용을 즉각 중지하고 의사 또는 약사와 상의하십시오.</x:v>
      </x:c>
      <x:c r="I2055" s="8" t="str">
        <x:v>위부불쾌감, 설사, 변비, 발진, 발적(충혈되어 붉어짐), 구역, 구토, 묽은 변, 붉은 반점, 심장박동정지, 중추신경계 기능저하, 생리가 예정보다 빨라지거나 양이 점점 많아지고, 출혈이 오래 지속 되는 경우 복용을 즉각 중지하고 의사 또는 약사와 상의하십시오.</x:v>
      </x:c>
      <x:c r="J2055" s="8" t="str">
        <x:v>마그투연질캡슐 [품목기준코드 201604413]</x:v>
      </x:c>
      <x:c r="K2055" s="8" t="str">
        <x:v>식품의약품안전처 의약품개요정보(e약은요) OpenAPI
https://apis.data.go.kr/1471000/DrbEasyDrugInfoService/getDrbEasyDrugList</x:v>
      </x:c>
    </x:row>
    <x:row r="2056" ht="62" customHeight="1">
      <x:c r="A2056" s="9" t="n">
        <x:v>2055</x:v>
      </x:c>
      <x:c r="B2056" s="6" t="str">
        <x:v>최종 평가</x:v>
      </x:c>
      <x:c r="C2056" s="6" t="str">
        <x:v>복약</x:v>
      </x:c>
      <x:c r="D2056" s="6" t="str">
        <x:v>효능·사용목적</x:v>
      </x:c>
      <x:c r="E2056" s="6" t="str">
        <x:v>답변 가능</x:v>
      </x:c>
      <x:c r="F2056" s="6" t="str">
        <x:v>쉬움</x:v>
      </x:c>
      <x:c r="G2056" s="8" t="str">
        <x:v>페라플루디액(과아세트산액0.2%)은 어떤 증상이나 질환에 사용하는 약인가요?</x:v>
      </x:c>
      <x:c r="H2056" s="8" t="str">
        <x:v>이 약은 자바라관, 실리콘 튜브, 비닐 튜브, 실리콘캡, 실리콘 마개, 메스 손잡이, 내시경류의 살균·소독에 사용합니다.</x:v>
      </x:c>
      <x:c r="I2056" s="8" t="str">
        <x:v>이 약은 자바라관, 실리콘 튜브, 비닐 튜브, 실리콘캡, 실리콘 마개, 메스 손잡이, 내시경류의 살균·소독에 사용합니다.</x:v>
      </x:c>
      <x:c r="J2056" s="8" t="str">
        <x:v>페라플루디액(과아세트산액0.2%) [품목기준코드 201708524]</x:v>
      </x:c>
      <x:c r="K2056" s="8" t="str">
        <x:v>식품의약품안전처 의약품개요정보(e약은요) OpenAPI
https://apis.data.go.kr/1471000/DrbEasyDrugInfoService/getDrbEasyDrugList</x:v>
      </x:c>
    </x:row>
    <x:row r="2057" ht="62" customHeight="1">
      <x:c r="A2057" s="9" t="n">
        <x:v>2056</x:v>
      </x:c>
      <x:c r="B2057" s="6" t="str">
        <x:v>최종 평가</x:v>
      </x:c>
      <x:c r="C2057" s="6" t="str">
        <x:v>복약</x:v>
      </x:c>
      <x:c r="D2057" s="6" t="str">
        <x:v>실용·응급대처</x:v>
      </x:c>
      <x:c r="E2057" s="6" t="str">
        <x:v>답변 가능</x:v>
      </x:c>
      <x:c r="F2057" s="6" t="str">
        <x:v>보통</x:v>
      </x:c>
      <x:c r="G2057" s="8" t="str">
        <x:v>하원세티리진정(세티리진염산염) 사용 후 심한 이상반응이 나타나면 어떻게 해야 하나요?</x:v>
      </x:c>
      <x:c r="H2057" s="8" t="str">
        <x:v>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현기증, 때때로 AST, ALT, ALP, 총빌리루빈, -GTP,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x:v>
      </x:c>
      <x:c r="I2057" s="8" t="str">
        <x:v>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현기증, 때때로 AST, ALT, ALP, 총빌리루빈, -GTP,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x:v>
      </x:c>
      <x:c r="J2057" s="8" t="str">
        <x:v>하원세티리진정(세티리진염산염) [품목기준코드 199702846]</x:v>
      </x:c>
      <x:c r="K2057" s="8" t="str">
        <x:v>식품의약품안전처 의약품개요정보(e약은요) OpenAPI
https://apis.data.go.kr/1471000/DrbEasyDrugInfoService/getDrbEasyDrugList</x:v>
      </x:c>
    </x:row>
    <x:row r="2058" ht="62" customHeight="1">
      <x:c r="A2058" s="9" t="n">
        <x:v>2057</x:v>
      </x:c>
      <x:c r="B2058" s="6" t="str">
        <x:v>최종 평가</x:v>
      </x:c>
      <x:c r="C2058" s="6" t="str">
        <x:v>복약</x:v>
      </x:c>
      <x:c r="D2058" s="6" t="str">
        <x:v>답변불가·개인 복용 판단</x:v>
      </x:c>
      <x:c r="E2058" s="6" t="str">
        <x:v>답변 거부</x:v>
      </x:c>
      <x:c r="F2058" s="6" t="str">
        <x:v>어려움</x:v>
      </x:c>
      <x:c r="G2058" s="8" t="str">
        <x:v>제 건강 상태를 따로 확인하지 않고 셀레트론플러스연질캡슐을 지금 먹어도 되는지 결정해 주세요.</x:v>
      </x:c>
      <x:c r="H2058" s="8" t="str">
        <x:v>제공된 e약은요 VDB만으로 개인의 건강 상태를 반영한 복용 가능 여부를 결정할 수 없습니다. 의사 또는 약사와 상담해야 합니다.</x:v>
      </x:c>
      <x:c r="I2058" s="8" t="str">
        <x:v>VDB 범위 밖 질문 — 근거 없음</x:v>
      </x:c>
      <x:c r="J2058" s="8" t="str">
        <x:v>셀레트론플러스연질캡슐 [품목기준코드 200908953]</x:v>
      </x:c>
      <x:c r="K2058" s="8" t="str">
        <x:v>식품의약품안전처 의약품개요정보(e약은요) OpenAPI
https://apis.data.go.kr/1471000/DrbEasyDrugInfoService/getDrbEasyDrugList</x:v>
      </x:c>
    </x:row>
    <x:row r="2059" ht="62" customHeight="1">
      <x:c r="A2059" s="9" t="n">
        <x:v>2058</x:v>
      </x:c>
      <x:c r="B2059" s="6" t="str">
        <x:v>최종 평가</x:v>
      </x:c>
      <x:c r="C2059" s="6" t="str">
        <x:v>복약</x:v>
      </x:c>
      <x:c r="D2059" s="6" t="str">
        <x:v>상호작용</x:v>
      </x:c>
      <x:c r="E2059" s="6" t="str">
        <x:v>답변 가능</x:v>
      </x:c>
      <x:c r="F2059" s="6" t="str">
        <x:v>쉬움</x:v>
      </x:c>
      <x:c r="G2059" s="8" t="str">
        <x:v>암씨롱큐정과 함께 사용하거나 먹을 때 주의해야 할 약이나 음식이 있나요?</x:v>
      </x:c>
      <x:c r="H2059" s="8" t="str">
        <x:v>다른 해열진통제, 감기약, 진정제와 함께 복용하지 마십시오. 바르비탈계 약물, 삼환계 항우울제, 알코올, 이뇨제와 함께 복용 시 의사 또는 약사와 상의하십시오.</x:v>
      </x:c>
      <x:c r="I2059" s="8" t="str">
        <x:v>다른 해열진통제, 감기약, 진정제와 함께 복용하지 마십시오. 바르비탈계 약물, 삼환계 항우울제, 알코올, 이뇨제와 함께 복용 시 의사 또는 약사와 상의하십시오.</x:v>
      </x:c>
      <x:c r="J2059" s="8" t="str">
        <x:v>암씨롱큐정 [품목기준코드 200904932]</x:v>
      </x:c>
      <x:c r="K2059" s="8" t="str">
        <x:v>식품의약품안전처 의약품개요정보(e약은요) OpenAPI
https://apis.data.go.kr/1471000/DrbEasyDrugInfoService/getDrbEasyDrugList</x:v>
      </x:c>
    </x:row>
    <x:row r="2060" ht="62" customHeight="1">
      <x:c r="A2060" s="9" t="n">
        <x:v>2059</x:v>
      </x:c>
      <x:c r="B2060" s="6" t="str">
        <x:v>최종 평가</x:v>
      </x:c>
      <x:c r="C2060" s="6" t="str">
        <x:v>복약</x:v>
      </x:c>
      <x:c r="D2060" s="6" t="str">
        <x:v>상호작용</x:v>
      </x:c>
      <x:c r="E2060" s="6" t="str">
        <x:v>답변 가능</x:v>
      </x:c>
      <x:c r="F2060" s="6" t="str">
        <x:v>쉬움</x:v>
      </x:c>
      <x:c r="G2060" s="8" t="str">
        <x:v>세토펜현탁액(아세트아미노펜)과 함께 사용하거나 먹을 때 주의해야 할 약이나 음식이 있나요?</x:v>
      </x:c>
      <x:c r="H2060" s="8" t="str">
        <x:v>바르비탈계 약물, 삼환계 항우울제, 알코올, 다른 소염(항염)진통제와 함께 복용하지 마십시오. 와파린, 리튬, 티아지드계 이뇨제, 플루클록사실린과 함께 복용 시 의사 또는 약사와 상의하십시오.</x:v>
      </x:c>
      <x:c r="I2060" s="8" t="str">
        <x:v>바르비탈계 약물, 삼환계 항우울제, 알코올, 다른 소염(항염)진통제와 함께 복용하지 마십시오. 와파린, 리튬, 티아지드계 이뇨제, 플루클록사실린과 함께 복용 시 의사 또는 약사와 상의하십시오.</x:v>
      </x:c>
      <x:c r="J2060" s="8" t="str">
        <x:v>세토펜현탁액(아세트아미노펜) [품목기준코드 199800888]</x:v>
      </x:c>
      <x:c r="K2060" s="8" t="str">
        <x:v>식품의약품안전처 의약품개요정보(e약은요) OpenAPI
https://apis.data.go.kr/1471000/DrbEasyDrugInfoService/getDrbEasyDrugList</x:v>
      </x:c>
    </x:row>
    <x:row r="2061" ht="62" customHeight="1">
      <x:c r="A2061" s="9" t="n">
        <x:v>2060</x:v>
      </x:c>
      <x:c r="B2061" s="6" t="str">
        <x:v>최종 평가</x:v>
      </x:c>
      <x:c r="C2061" s="6" t="str">
        <x:v>복약</x:v>
      </x:c>
      <x:c r="D2061" s="6" t="str">
        <x:v>상호작용</x:v>
      </x:c>
      <x:c r="E2061" s="6" t="str">
        <x:v>답변 가능</x:v>
      </x:c>
      <x:c r="F2061" s="6" t="str">
        <x:v>보통</x:v>
      </x:c>
      <x:c r="G2061" s="8" t="str">
        <x:v>덱시부펜연질캡슐(덱시부프로펜)과 함께 사용하거나 먹을 때 주의해야 할 약이나 음식이 있나요?</x:v>
      </x:c>
      <x:c r="H2061" s="8" t="str">
        <x:v>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x:v>
      </x:c>
      <x:c r="I2061" s="8" t="str">
        <x:v>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x:v>
      </x:c>
      <x:c r="J2061" s="8" t="str">
        <x:v>덱시부펜연질캡슐(덱시부프로펜) [품목기준코드 200809274]</x:v>
      </x:c>
      <x:c r="K2061" s="8" t="str">
        <x:v>식품의약품안전처 의약품개요정보(e약은요) OpenAPI
https://apis.data.go.kr/1471000/DrbEasyDrugInfoService/getDrbEasyDrugList</x:v>
      </x:c>
    </x:row>
    <x:row r="2062" ht="62" customHeight="1">
      <x:c r="A2062" s="9" t="n">
        <x:v>2061</x:v>
      </x:c>
      <x:c r="B2062" s="6" t="str">
        <x:v>최종 평가</x:v>
      </x:c>
      <x:c r="C2062" s="6" t="str">
        <x:v>복약</x:v>
      </x:c>
      <x:c r="D2062" s="6" t="str">
        <x:v>금기·경고</x:v>
      </x:c>
      <x:c r="E2062" s="6" t="str">
        <x:v>답변 가능</x:v>
      </x:c>
      <x:c r="F2062" s="6" t="str">
        <x:v>쉬움</x:v>
      </x:c>
      <x:c r="G2062" s="8" t="str">
        <x:v>토마스연질캡슐을 사용하면 안 되거나 반드시 확인해야 할 경고사항은 무엇인가요?</x:v>
      </x:c>
      <x:c r="H2062" s="8" t="str">
        <x:v>이 약 또는 대두유, 콩, 땅콩에 과민증 환자, 만 12개월 미만의 젖먹이, 심한 증상의 신부전 환자는 이 약을 복용하지 마십시오. 이 약을 복용하기 전에 임부 및 임신하고 있을 가능성이 있는 여성, 수유부, 미숙아, 유아, 심장ㆍ순환기계기능 장애, 신장장애, 저단백혈증, 고지단백혈증, 당뇨병성고지질혈증 및 췌장(이자)염 등 지방대사 이상 환자 또는 지질성 유제를 신중히 투여해야 하는 환자, 지방과부하로 특별한 위험이 예상되는 환자, 혈전(혈관 막힘)성 소인이 있는 환자, 황색5호에 과민증 환자 또는 경험자는 의사 또는 약사와 상의하십시오.</x:v>
      </x:c>
      <x:c r="I2062" s="8" t="str">
        <x:v>이 약 또는 대두유, 콩, 땅콩에 과민증 환자, 만 12개월 미만의 젖먹이, 심한 증상의 신부전 환자는 이 약을 복용하지 마십시오. 이 약을 복용하기 전에 임부 및 임신하고 있을 가능성이 있는 여성, 수유부, 미숙아, 유아, 심장ㆍ순환기계기능 장애, 신장장애, 저단백혈증, 고지단백혈증, 당뇨병성고지질혈증 및 췌장(이자)염 등 지방대사 이상 환자 또는 지질성 유제를 신중히 투여해야 하는 환자, 지방과부하로 특별한 위험이 예상되는 환자, 혈전(혈관 막힘)성 소인이 있는 환자, 황색5호에 과민증 환자 또는 경험자는 의사 또는 약사와 상의하십시오.</x:v>
      </x:c>
      <x:c r="J2062" s="8" t="str">
        <x:v>토마스연질캡슐 [품목기준코드 200904590]</x:v>
      </x:c>
      <x:c r="K2062" s="8" t="str">
        <x:v>식품의약품안전처 의약품개요정보(e약은요) OpenAPI
https://apis.data.go.kr/1471000/DrbEasyDrugInfoService/getDrbEasyDrugList</x:v>
      </x:c>
    </x:row>
    <x:row r="2063" ht="62" customHeight="1">
      <x:c r="A2063" s="9" t="n">
        <x:v>2062</x:v>
      </x:c>
      <x:c r="B2063" s="6" t="str">
        <x:v>최종 평가</x:v>
      </x:c>
      <x:c r="C2063" s="6" t="str">
        <x:v>복약</x:v>
      </x:c>
      <x:c r="D2063" s="6" t="str">
        <x:v>실용·응급대처</x:v>
      </x:c>
      <x:c r="E2063" s="6" t="str">
        <x:v>답변 가능</x:v>
      </x:c>
      <x:c r="F2063" s="6" t="str">
        <x:v>보통</x:v>
      </x:c>
      <x:c r="G2063" s="8" t="str">
        <x:v>에코파워600정 사용 후 심한 이상반응이 나타나면 어떻게 해야 하나요?</x:v>
      </x:c>
      <x:c r="H2063" s="8" t="str">
        <x:v>구역, 구토, 설사, 묽은 변, 식욕부진, 복부팽만감, 위장관장애, 소화장애, 상복부통증, 저혈압, 폐부종, 변비, 홍반, 두드러기, 습진, 발진, 반구진성 발진, 가려움, 부종, 수분저류(신부전 또는 심부전 환자) 등이 나타나는 경우 복용을 즉각 중지하고 의사 또는 약사와 상의하십시오.</x:v>
      </x:c>
      <x:c r="I2063" s="8" t="str">
        <x:v>구역, 구토, 설사, 묽은 변, 식욕부진, 복부팽만감, 위장관장애, 소화장애, 상복부통증, 저혈압, 폐부종, 변비, 홍반, 두드러기, 습진, 발진, 반구진성 발진, 가려움, 부종, 수분저류(신부전 또는 심부전 환자) 등이 나타나는 경우 복용을 즉각 중지하고 의사 또는 약사와 상의하십시오.</x:v>
      </x:c>
      <x:c r="J2063" s="8" t="str">
        <x:v>에코파워600정 [품목기준코드 201706865]</x:v>
      </x:c>
      <x:c r="K2063" s="8" t="str">
        <x:v>식품의약품안전처 의약품개요정보(e약은요) OpenAPI
https://apis.data.go.kr/1471000/DrbEasyDrugInfoService/getDrbEasyDrugList</x:v>
      </x:c>
    </x:row>
    <x:row r="2064" ht="62" customHeight="1">
      <x:c r="A2064" s="9" t="n">
        <x:v>2063</x:v>
      </x:c>
      <x:c r="B2064" s="6" t="str">
        <x:v>최종 평가</x:v>
      </x:c>
      <x:c r="C2064" s="6" t="str">
        <x:v>복약</x:v>
      </x:c>
      <x:c r="D2064" s="6" t="str">
        <x:v>증상·이상반응</x:v>
      </x:c>
      <x:c r="E2064" s="6" t="str">
        <x:v>답변 가능</x:v>
      </x:c>
      <x:c r="F2064" s="6" t="str">
        <x:v>쉬움</x:v>
      </x:c>
      <x:c r="G2064" s="8" t="str">
        <x:v>벤포벨지정을 사용하면 어떤 부작용이 생길 수 있나요?</x:v>
      </x:c>
      <x:c r="H2064" s="8" t="str">
        <x:v>e약은요에는 다음과 같은 이상반응이 안내되어 있습니다. 구역, 구토, 설사, 위부불쾌감, 변비, 발진, 발적(충혈되어 붉어짐), 묽은 변, 저혈압, 얼굴달아오름, 심박동불규칙, 피부발진, 붉은 반점, 부전수축(심장박동정지), 중추신경계 기능저하, 피부염, 땀․호흡시 악취, 탈모, 조급증, 위장관장애, 소화장애, 상복부(배부분)통증, 폐부종(부기), 생리가 예정보다 빨라지거나, 양이 점점 많아지거나, 출혈이 오래 지속되는 증상이 나타나는 경우 복용을 즉각 중지하고 의사 또는 약사와 상의하십시오.</x:v>
      </x:c>
      <x:c r="I2064" s="8" t="str">
        <x:v>구역, 구토, 설사, 위부불쾌감, 변비, 발진, 발적(충혈되어 붉어짐), 묽은 변, 저혈압, 얼굴달아오름, 심박동불규칙, 피부발진, 붉은 반점, 부전수축(심장박동정지), 중추신경계 기능저하, 피부염, 땀․호흡시 악취, 탈모, 조급증, 위장관장애, 소화장애, 상복부(배부분)통증, 폐부종(부기), 생리가 예정보다 빨라지거나, 양이 점점 많아지거나, 출혈이 오래 지속되는 증상이 나타나는 경우 복용을 즉각 중지하고 의사 또는 약사와 상의하십시오.</x:v>
      </x:c>
      <x:c r="J2064" s="8" t="str">
        <x:v>벤포벨지정 [품목기준코드 201905072]</x:v>
      </x:c>
      <x:c r="K2064" s="8" t="str">
        <x:v>식품의약품안전처 의약품개요정보(e약은요) OpenAPI
https://apis.data.go.kr/1471000/DrbEasyDrugInfoService/getDrbEasyDrugList</x:v>
      </x:c>
    </x:row>
    <x:row r="2065" ht="62" customHeight="1">
      <x:c r="A2065" s="9" t="n">
        <x:v>2064</x:v>
      </x:c>
      <x:c r="B2065" s="6" t="str">
        <x:v>최종 평가</x:v>
      </x:c>
      <x:c r="C2065" s="6" t="str">
        <x:v>복약</x:v>
      </x:c>
      <x:c r="D2065" s="6" t="str">
        <x:v>증상·이상반응</x:v>
      </x:c>
      <x:c r="E2065" s="6" t="str">
        <x:v>답변 가능</x:v>
      </x:c>
      <x:c r="F2065" s="6" t="str">
        <x:v>쉬움</x:v>
      </x:c>
      <x:c r="G2065" s="8" t="str">
        <x:v>포맨액(L-아스파르트산-L-아르기닌수화물)을 사용하면 어떤 부작용이 생길 수 있나요?</x:v>
      </x:c>
      <x:c r="H2065" s="8" t="str">
        <x:v>e약은요에는 다음과 같은 이상반응이 안내되어 있습니다. 알레르기 반응이 나타나는 경우 복용을 즉각 중지하고 의사 또는 약사와 상의하십시오.</x:v>
      </x:c>
      <x:c r="I2065" s="8" t="str">
        <x:v>알레르기 반응이 나타나는 경우 복용을 즉각 중지하고 의사 또는 약사와 상의하십시오.</x:v>
      </x:c>
      <x:c r="J2065" s="8" t="str">
        <x:v>포맨액(L-아스파르트산-L-아르기닌수화물) [품목기준코드 199602559]</x:v>
      </x:c>
      <x:c r="K2065" s="8" t="str">
        <x:v>식품의약품안전처 의약품개요정보(e약은요) OpenAPI
https://apis.data.go.kr/1471000/DrbEasyDrugInfoService/getDrbEasyDrugList</x:v>
      </x:c>
    </x:row>
    <x:row r="2066" ht="62" customHeight="1">
      <x:c r="A2066" s="9" t="n">
        <x:v>2065</x:v>
      </x:c>
      <x:c r="B2066" s="6" t="str">
        <x:v>최종 평가</x:v>
      </x:c>
      <x:c r="C2066" s="6" t="str">
        <x:v>복약</x:v>
      </x:c>
      <x:c r="D2066" s="6" t="str">
        <x:v>효능·사용목적</x:v>
      </x:c>
      <x:c r="E2066" s="6" t="str">
        <x:v>답변 가능</x:v>
      </x:c>
      <x:c r="F2066" s="6" t="str">
        <x:v>쉬움</x:v>
      </x:c>
      <x:c r="G2066" s="8" t="str">
        <x:v>그날엔큐정은 어떤 증상이나 질환에 사용하는 약인가요?</x:v>
      </x:c>
      <x:c r="H2066" s="8" t="str">
        <x:v>이 약은 두통, 치통, 발치(이를 뽑음)후 동통(통증), 인후(목구멍)통, 귀의 통증, 관절통, 신경통, 요(허리)통, 근육통, 견통(어깨통증), 타박통, 골절통, 염좌통(삔 통증), 생리통, 외상(상처)통의 진통, 오한, 발열시의 해열에 사용합니다.</x:v>
      </x:c>
      <x:c r="I2066" s="8" t="str">
        <x:v>이 약은 두통, 치통, 발치(이를 뽑음)후 동통(통증), 인후(목구멍)통, 귀의 통증, 관절통, 신경통, 요(허리)통, 근육통, 견통(어깨통증), 타박통, 골절통, 염좌통(삔 통증), 생리통, 외상(상처)통의 진통, 오한, 발열시의 해열에 사용합니다.</x:v>
      </x:c>
      <x:c r="J2066" s="8" t="str">
        <x:v>그날엔큐정 [품목기준코드 200906330]</x:v>
      </x:c>
      <x:c r="K2066" s="8" t="str">
        <x:v>식품의약품안전처 의약품개요정보(e약은요) OpenAPI
https://apis.data.go.kr/1471000/DrbEasyDrugInfoService/getDrbEasyDrugList</x:v>
      </x:c>
    </x:row>
    <x:row r="2067" ht="62" customHeight="1">
      <x:c r="A2067" s="9" t="n">
        <x:v>2066</x:v>
      </x:c>
      <x:c r="B2067" s="6" t="str">
        <x:v>최종 평가</x:v>
      </x:c>
      <x:c r="C2067" s="6" t="str">
        <x:v>복약</x:v>
      </x:c>
      <x:c r="D2067" s="6" t="str">
        <x:v>상호작용</x:v>
      </x:c>
      <x:c r="E2067" s="6" t="str">
        <x:v>답변 가능</x:v>
      </x:c>
      <x:c r="F2067" s="6" t="str">
        <x:v>쉬움</x:v>
      </x:c>
      <x:c r="G2067" s="8" t="str">
        <x:v>알앤샷연질캡슐(세티리진염산염)과 함께 사용하거나 먹을 때 주의해야 할 약이나 음식이 있나요?</x:v>
      </x:c>
      <x:c r="H2067" s="8" t="str">
        <x:v>테오필린, 리토나비르와 함께 복용하지 마십시오.과량의 알코올과 함께 복용하지 마십시오.</x:v>
      </x:c>
      <x:c r="I2067" s="8" t="str">
        <x:v>테오필린, 리토나비르와 함께 복용하지 마십시오.과량의 알코올과 함께 복용하지 마십시오.</x:v>
      </x:c>
      <x:c r="J2067" s="8" t="str">
        <x:v>알앤샷연질캡슐(세티리진염산염) [품목기준코드 201901675]</x:v>
      </x:c>
      <x:c r="K2067" s="8" t="str">
        <x:v>식품의약품안전처 의약품개요정보(e약은요) OpenAPI
https://apis.data.go.kr/1471000/DrbEasyDrugInfoService/getDrbEasyDrugList</x:v>
      </x:c>
    </x:row>
    <x:row r="2068" ht="62" customHeight="1">
      <x:c r="A2068" s="9" t="n">
        <x:v>2067</x:v>
      </x:c>
      <x:c r="B2068" s="6" t="str">
        <x:v>최종 평가</x:v>
      </x:c>
      <x:c r="C2068" s="6" t="str">
        <x:v>복약</x:v>
      </x:c>
      <x:c r="D2068" s="6" t="str">
        <x:v>대상별 정보</x:v>
      </x:c>
      <x:c r="E2068" s="6" t="str">
        <x:v>답변 가능</x:v>
      </x:c>
      <x:c r="F2068" s="6" t="str">
        <x:v>쉬움</x:v>
      </x:c>
      <x:c r="G2068" s="8" t="str">
        <x:v>임신 또는 수유 중에 아크클리어크림을 사용해도 되나요?</x:v>
      </x:c>
      <x:c r="H2068" s="8" t="str">
        <x:v>e약은요에서 임신 또는 수유 중인 사람과 관련해 안내한 내용은 다음과 같습니다. 이 약에 과민증 환자, 임신 3기, 눈 또는 눈 주위에는 이 약을 사용하지 마십시오. 이 약을 사용하기 전에 임부(임신 1기와 2기), 약물 또는 화장품에 의한 알레르기 환자 또는 경험자, 습윤이나 짓무름이 심한 사람은 의사 또는 약사와 상의하십시오.</x:v>
      </x:c>
      <x:c r="I2068" s="8" t="str">
        <x:v>이 약에 과민증 환자, 임신 3기, 눈 또는 눈 주위에는 이 약을 사용하지 마십시오. 이 약을 사용하기 전에 임부(임신 1기와 2기), 약물 또는 화장품에 의한 알레르기 환자 또는 경험자, 습윤이나 짓무름이 심한 사람은 의사 또는 약사와 상의하십시오.</x:v>
      </x:c>
      <x:c r="J2068" s="8" t="str">
        <x:v>아크클리어크림 [품목기준코드 202203168]</x:v>
      </x:c>
      <x:c r="K2068" s="8" t="str">
        <x:v>식품의약품안전처 의약품개요정보(e약은요) OpenAPI
https://apis.data.go.kr/1471000/DrbEasyDrugInfoService/getDrbEasyDrugList</x:v>
      </x:c>
    </x:row>
    <x:row r="2069" ht="62" customHeight="1">
      <x:c r="A2069" s="9" t="n">
        <x:v>2068</x:v>
      </x:c>
      <x:c r="B2069" s="6" t="str">
        <x:v>최종 평가</x:v>
      </x:c>
      <x:c r="C2069" s="6" t="str">
        <x:v>복약</x:v>
      </x:c>
      <x:c r="D2069" s="6" t="str">
        <x:v>답변불가·가격·재고</x:v>
      </x:c>
      <x:c r="E2069" s="6" t="str">
        <x:v>답변 거부</x:v>
      </x:c>
      <x:c r="F2069" s="6" t="str">
        <x:v>어려움</x:v>
      </x:c>
      <x:c r="G2069" s="8" t="str">
        <x:v>오늘 제 주변 약국에서 코모졸크림(케토코나졸)(수출명:NAZOL)이 가장 싼 곳과 재고 수량을 알려주세요.</x:v>
      </x:c>
      <x:c r="H2069" s="8" t="str">
        <x:v>제공된 e약은요 VDB에는 실시간 약국별 가격과 재고 정보가 없어 답할 수 없습니다.</x:v>
      </x:c>
      <x:c r="I2069" s="8" t="str">
        <x:v>VDB 범위 밖 질문 — 근거 없음</x:v>
      </x:c>
      <x:c r="J2069" s="8" t="str">
        <x:v>코모졸크림(케토코나졸)(수출명:NAZOL) [품목기준코드 199201802]</x:v>
      </x:c>
      <x:c r="K2069" s="8" t="str">
        <x:v>식품의약품안전처 의약품개요정보(e약은요) OpenAPI
https://apis.data.go.kr/1471000/DrbEasyDrugInfoService/getDrbEasyDrugList</x:v>
      </x:c>
    </x:row>
    <x:row r="2070" ht="62" customHeight="1">
      <x:c r="A2070" s="9" t="n">
        <x:v>2069</x:v>
      </x:c>
      <x:c r="B2070" s="6" t="str">
        <x:v>최종 평가</x:v>
      </x:c>
      <x:c r="C2070" s="6" t="str">
        <x:v>복약</x:v>
      </x:c>
      <x:c r="D2070" s="6" t="str">
        <x:v>증상→대상 구분</x:v>
      </x:c>
      <x:c r="E2070" s="6" t="str">
        <x:v>답변 가능</x:v>
      </x:c>
      <x:c r="F2070" s="6" t="str">
        <x:v>어려움</x:v>
      </x:c>
      <x:c r="G2070" s="8" t="str">
        <x:v>블루콜엠연질캡슐을 사용한 뒤 발진이 생겼는데, 이 약의 부작용으로 안내되어 있나요?</x:v>
      </x:c>
      <x:c r="H2070" s="8" t="str">
        <x:v>발진은 이 제품의 e약은요 부작용 항목에 기재되어 있습니다. 다만 이 정보만으로 현재 증상의 원인이 해당 약이라고 확정할 수는 없습니다.</x:v>
      </x:c>
      <x:c r="I2070" s="8" t="str">
        <x:v>발진·발적(충혈되어 붉어짐), 가려움, 구역·구토, 식욕부진, 어지러움, 불안, 떨림, 불면 등이 나타나는 경우 복용을 즉각 중지하고 의사 또는 약사와 상의하십시오.</x:v>
      </x:c>
      <x:c r="J2070" s="8" t="str">
        <x:v>블루콜엠연질캡슐 [품목기준코드 201500001]</x:v>
      </x:c>
      <x:c r="K2070" s="8" t="str">
        <x:v>식품의약품안전처 의약품개요정보(e약은요) OpenAPI
https://apis.data.go.kr/1471000/DrbEasyDrugInfoService/getDrbEasyDrugList</x:v>
      </x:c>
    </x:row>
    <x:row r="2071" ht="62" customHeight="1">
      <x:c r="A2071" s="9" t="n">
        <x:v>2070</x:v>
      </x:c>
      <x:c r="B2071" s="6" t="str">
        <x:v>최종 평가</x:v>
      </x:c>
      <x:c r="C2071" s="6" t="str">
        <x:v>복약</x:v>
      </x:c>
      <x:c r="D2071" s="6" t="str">
        <x:v>용어·정의</x:v>
      </x:c>
      <x:c r="E2071" s="6" t="str">
        <x:v>답변 가능</x:v>
      </x:c>
      <x:c r="F2071" s="6" t="str">
        <x:v>쉬움</x:v>
      </x:c>
      <x:c r="G2071" s="8" t="str">
        <x:v>메가원플러스정은 어떤 약인가요?</x:v>
      </x:c>
      <x:c r="H2071" s="8" t="str">
        <x:v>메가원플러스정은 하나제약(주)의 의약품으로, e약은요에는 다음과 같이 안내되어 있습니다. 이 약은 육체피로, 임신·수유기, 병중·병후, 발육기, 노년기의 비타민 D, E, B1, B2, B6, C의 보급 또는 신경통, 근육통, 관절통(요통, 어깨결림 등), 구각염(입꼬리염), 구순염(입술염), 구내염(입안염), 설염(혀염), 습진, 피부염 증상의 완화, 뼈·이의 발육불량, 구루병의 예방, 각기, 눈의 피로, 아연의 보급에 사용합니다.</x:v>
      </x:c>
      <x:c r="I2071" s="8" t="str">
        <x:v>제품명: 메가원플러스정 업체명: 하나제약(주) 효능: 이 약은 육체피로, 임신·수유기, 병중·병후, 발육기, 노년기의 비타민 D, E, B1, B2, B6, C의 보급 또는 신경통, 근육통, 관절통(요통, 어깨결림 등), 구각염(입꼬리염), 구순염(입술염), 구내염(입안염), 설염(혀염), 습진, 피부염 증상의 완화, 뼈·이의 발육불량, 구루병의 예방, 각기, 눈의 피로, 아연의 보급에 사용합니다.</x:v>
      </x:c>
      <x:c r="J2071" s="8" t="str">
        <x:v>메가원플러스정 [품목기준코드 202400366]</x:v>
      </x:c>
      <x:c r="K2071" s="8" t="str">
        <x:v>식품의약품안전처 의약품개요정보(e약은요) OpenAPI
https://apis.data.go.kr/1471000/DrbEasyDrugInfoService/getDrbEasyDrugList</x:v>
      </x:c>
    </x:row>
    <x:row r="2072" ht="62" customHeight="1">
      <x:c r="A2072" s="9" t="n">
        <x:v>2071</x:v>
      </x:c>
      <x:c r="B2072" s="6" t="str">
        <x:v>최종 평가</x:v>
      </x:c>
      <x:c r="C2072" s="6" t="str">
        <x:v>복약</x:v>
      </x:c>
      <x:c r="D2072" s="6" t="str">
        <x:v>실용·응급대처</x:v>
      </x:c>
      <x:c r="E2072" s="6" t="str">
        <x:v>답변 가능</x:v>
      </x:c>
      <x:c r="F2072" s="6" t="str">
        <x:v>보통</x:v>
      </x:c>
      <x:c r="G2072" s="8" t="str">
        <x:v>쎄스콘미니정 사용 후 심한 이상반응이 나타나면 어떻게 해야 하나요?</x:v>
      </x:c>
      <x:c r="H2072" s="8" t="str">
        <x:v>혈전성정맥염, 동맥혈전색전증, 정맥혈전색전증, 뇌졸중, 뇌출혈, 혈관폐쇄, 심근경색, 심근경색, 폐색전증, 혈압상승, 정맥류 악화, 월경외출혈(점상출혈, 파괴성출혈), 월경량 변화, 무월경, 질분비물변화, 자궁근종 크기의 증가, 자궁경부 미란, 질칸디다증, 질염, 월경전증후군, 용혈성 요독증후군, 월경곤란, 유방긴장감 및 확대, 유루증, 유방통, 양성유선병증, 유방압통, 유방분비물, 구역, 구토, 복부팽만감, 복부경련, 위장장애, 담즙분비, 무황달성 간염, 담즙울체성 황달, 악성 및 양성 간종양, 구역, 담낭질환, 두통, 편두통, 우울증, 어지러움, 신경과민, 무도병, 간질, 지각능력감소, 허탈, 조절장애, 기분변화, 기미의 지속, 여드름, 다형성홍반, 결절성홍반, 전신성홍반성루푸스의 악화, 출혈성·알레르기성 발진, 부종, 가려움, 두드러기, 지루, 조모증, 탈모, 발진, 시각장애, 각막굴절률 변화, 콘택트렌즈에 대한 감수성 이상, 망막혈전증, 시신경염, 청각장애, 나트륨 및 체액저류, 내당능 감소, 당뇨병, 고트리글리세리드혈증, 고콜레스테롤혈증, 체중변화, 식욕변화, 성욕변화, 언어장애, 드물게 프로락틴성 뇌하수체종양 등이 나타나는 경우 복용을 즉각 중지하고 의사 또는 약사와 상의하십시오.피임제의 일반적인 부작용이며 자세한 사항은 허가사항을 참조하십시오.</x:v>
      </x:c>
      <x:c r="I2072" s="8" t="str">
        <x:v>혈전성정맥염, 동맥혈전색전증, 정맥혈전색전증, 뇌졸중, 뇌출혈, 혈관폐쇄, 심근경색, 심근경색, 폐색전증, 혈압상승, 정맥류 악화, 월경외출혈(점상출혈, 파괴성출혈), 월경량 변화, 무월경, 질분비물변화, 자궁근종 크기의 증가, 자궁경부 미란, 질칸디다증, 질염, 월경전증후군, 용혈성 요독증후군, 월경곤란, 유방긴장감 및 확대, 유루증, 유방통, 양성유선병증, 유방압통, 유방분비물, 구역, 구토, 복부팽만감, 복부경련, 위장장애, 담즙분비, 무황달성 간염, 담즙울체성 황달, 악성 및 양성 간종양, 구역, 담낭질환, 두통, 편두통, 우울증, 어지러움, 신경과민, 무도병, 간질, 지각능력감소, 허탈, 조절장애, 기분변화, 기미의 지속, 여드름, 다형성홍반, 결절성홍반, 전신성홍반성루푸스의 악화, 출혈성·알레르기성 발진, 부종, 가려움, 두드러기, 지루, 조모증, 탈모, 발진, 시각장애, 각막굴절률 변화, 콘택트렌즈에 대한 감수성 이상, 망막혈전증, 시신경염, 청각장애, 나트륨 및 체액저류, 내당능 감소, 당뇨병, 고트리글리세리드혈증, 고콜레스테롤혈증, 체중변화, 식욕변화, 성욕변화, 언어장애, 드물게 프로락틴성 뇌하수체종양 등이 나타나는 경우 복용을 즉각 중지하고 의사 또는 약사와 상의하십시오.피임제의 일반적인 부작용이며 자세한 사항은 허가사항을 참조하십시오.</x:v>
      </x:c>
      <x:c r="J2072" s="8" t="str">
        <x:v>쎄스콘미니정 [품목기준코드 201803160]</x:v>
      </x:c>
      <x:c r="K2072" s="8" t="str">
        <x:v>식품의약품안전처 의약품개요정보(e약은요) OpenAPI
https://apis.data.go.kr/1471000/DrbEasyDrugInfoService/getDrbEasyDrugList</x:v>
      </x:c>
    </x:row>
    <x:row r="2073" ht="62" customHeight="1">
      <x:c r="A2073" s="9" t="n">
        <x:v>2072</x:v>
      </x:c>
      <x:c r="B2073" s="6" t="str">
        <x:v>최종 평가</x:v>
      </x:c>
      <x:c r="C2073" s="6" t="str">
        <x:v>복약</x:v>
      </x:c>
      <x:c r="D2073" s="6" t="str">
        <x:v>용법·용량</x:v>
      </x:c>
      <x:c r="E2073" s="6" t="str">
        <x:v>답변 가능</x:v>
      </x:c>
      <x:c r="F2073" s="6" t="str">
        <x:v>쉬움</x:v>
      </x:c>
      <x:c r="G2073" s="8" t="str">
        <x:v>파비안디정은 어떻게 사용하나요?</x:v>
      </x:c>
      <x:c r="H2073" s="8" t="str">
        <x:v>만 15세 이상 및 성인은 1회 1정씩, 1일 3회 식후 30분에 복용합니다.</x:v>
      </x:c>
      <x:c r="I2073" s="8" t="str">
        <x:v>만 15세 이상 및 성인은 1회 1정씩, 1일 3회 식후 30분에 복용합니다.</x:v>
      </x:c>
      <x:c r="J2073" s="8" t="str">
        <x:v>파비안디정 [품목기준코드 202303447]</x:v>
      </x:c>
      <x:c r="K2073" s="8" t="str">
        <x:v>식품의약품안전처 의약품개요정보(e약은요) OpenAPI
https://apis.data.go.kr/1471000/DrbEasyDrugInfoService/getDrbEasyDrugList</x:v>
      </x:c>
    </x:row>
    <x:row r="2074" ht="62" customHeight="1">
      <x:c r="A2074" s="9" t="n">
        <x:v>2073</x:v>
      </x:c>
      <x:c r="B2074" s="6" t="str">
        <x:v>최종 평가</x:v>
      </x:c>
      <x:c r="C2074" s="6" t="str">
        <x:v>복약</x:v>
      </x:c>
      <x:c r="D2074" s="6" t="str">
        <x:v>상호작용</x:v>
      </x:c>
      <x:c r="E2074" s="6" t="str">
        <x:v>답변 가능</x:v>
      </x:c>
      <x:c r="F2074" s="6" t="str">
        <x:v>쉬움</x:v>
      </x:c>
      <x:c r="G2074" s="8" t="str">
        <x:v>비스칸엔캡슐(바실루스리케니포르미스균)과 함께 사용하거나 먹을 때 주의해야 할 약이나 음식이 있나요?</x:v>
      </x:c>
      <x:c r="H2074" s="8" t="str">
        <x:v>시프로플록사신, 이미페넴, 실라스타틴나트륨과 함께 사용 시 의사 또는 약사와 상의하십시오.</x:v>
      </x:c>
      <x:c r="I2074" s="8" t="str">
        <x:v>시프로플록사신, 이미페넴, 실라스타틴나트륨과 함께 사용 시 의사 또는 약사와 상의하십시오.</x:v>
      </x:c>
      <x:c r="J2074" s="8" t="str">
        <x:v>비스칸엔캡슐(바실루스리케니포르미스균) [품목기준코드 200907725]</x:v>
      </x:c>
      <x:c r="K2074" s="8" t="str">
        <x:v>식품의약품안전처 의약품개요정보(e약은요) OpenAPI
https://apis.data.go.kr/1471000/DrbEasyDrugInfoService/getDrbEasyDrugList</x:v>
      </x:c>
    </x:row>
    <x:row r="2075" ht="62" customHeight="1">
      <x:c r="A2075" s="9" t="n">
        <x:v>2074</x:v>
      </x:c>
      <x:c r="B2075" s="6" t="str">
        <x:v>최종 평가</x:v>
      </x:c>
      <x:c r="C2075" s="6" t="str">
        <x:v>복약</x:v>
      </x:c>
      <x:c r="D2075" s="6" t="str">
        <x:v>효능·사용목적</x:v>
      </x:c>
      <x:c r="E2075" s="6" t="str">
        <x:v>답변 가능</x:v>
      </x:c>
      <x:c r="F2075" s="6" t="str">
        <x:v>쉬움</x:v>
      </x:c>
      <x:c r="G2075" s="8" t="str">
        <x:v>알메텍정(세티리진염산염)은 어떤 증상이나 질환에 사용하는 약인가요?</x:v>
      </x:c>
      <x:c r="H2075" s="8" t="str">
        <x:v>이 약은 계절성 및 다년성 알레르기성 비염, 알레르기성 결막염, 만성 특발성 두드러기, 피부소양증과 하이드로코티손 외용제와 병용에 의한 습진, 피부염에 사용합니다.</x:v>
      </x:c>
      <x:c r="I2075" s="8" t="str">
        <x:v>이 약은 계절성 및 다년성 알레르기성 비염, 알레르기성 결막염, 만성 특발성 두드러기, 피부소양증과 하이드로코티손 외용제와 병용에 의한 습진, 피부염에 사용합니다.</x:v>
      </x:c>
      <x:c r="J2075" s="8" t="str">
        <x:v>알메텍정(세티리진염산염) [품목기준코드 199701099]</x:v>
      </x:c>
      <x:c r="K2075" s="8" t="str">
        <x:v>식품의약품안전처 의약품개요정보(e약은요) OpenAPI
https://apis.data.go.kr/1471000/DrbEasyDrugInfoService/getDrbEasyDrugList</x:v>
      </x:c>
    </x:row>
    <x:row r="2076" ht="62" customHeight="1">
      <x:c r="A2076" s="9" t="n">
        <x:v>2075</x:v>
      </x:c>
      <x:c r="B2076" s="6" t="str">
        <x:v>최종 평가</x:v>
      </x:c>
      <x:c r="C2076" s="6" t="str">
        <x:v>복약</x:v>
      </x:c>
      <x:c r="D2076" s="6" t="str">
        <x:v>용법·용량</x:v>
      </x:c>
      <x:c r="E2076" s="6" t="str">
        <x:v>답변 가능</x:v>
      </x:c>
      <x:c r="F2076" s="6" t="str">
        <x:v>쉬움</x:v>
      </x:c>
      <x:c r="G2076" s="8" t="str">
        <x:v>엘도프로캡슐(에르도스테인)은 어떻게 사용하나요?</x:v>
      </x:c>
      <x:c r="H2076" s="8" t="str">
        <x:v>성인은 1회 300 mg씩, 1일 2~3회 복용합니다. 급성 호흡기질환에 복용 시 연속으로 10일 이상 복용하지 마십시오.</x:v>
      </x:c>
      <x:c r="I2076" s="8" t="str">
        <x:v>성인은 1회 300 mg씩, 1일 2~3회 복용합니다. 급성 호흡기질환에 복용 시 연속으로 10일 이상 복용하지 마십시오.</x:v>
      </x:c>
      <x:c r="J2076" s="8" t="str">
        <x:v>엘도프로캡슐(에르도스테인) [품목기준코드 201805194]</x:v>
      </x:c>
      <x:c r="K2076" s="8" t="str">
        <x:v>식품의약품안전처 의약품개요정보(e약은요) OpenAPI
https://apis.data.go.kr/1471000/DrbEasyDrugInfoService/getDrbEasyDrugList</x:v>
      </x:c>
    </x:row>
    <x:row r="2077" ht="62" customHeight="1">
      <x:c r="A2077" s="9" t="n">
        <x:v>2076</x:v>
      </x:c>
      <x:c r="B2077" s="6" t="str">
        <x:v>최종 평가</x:v>
      </x:c>
      <x:c r="C2077" s="6" t="str">
        <x:v>복약</x:v>
      </x:c>
      <x:c r="D2077" s="6" t="str">
        <x:v>대상별 정보</x:v>
      </x:c>
      <x:c r="E2077" s="6" t="str">
        <x:v>답변 가능</x:v>
      </x:c>
      <x:c r="F2077" s="6" t="str">
        <x:v>쉬움</x:v>
      </x:c>
      <x:c r="G2077" s="8" t="str">
        <x:v>어린이나 소아가 브로아제장용정(브로멜라인)을 사용해도 되나요?</x:v>
      </x:c>
      <x:c r="H2077" s="8" t="str">
        <x:v>e약은요에서 어린이·소아과 관련해 안내한 내용은 다음과 같습니다. 심한 혈액응고이상(혈우병 등), 심한 간 또는 심한 신질환(혈액투석환자 등), 항응고제 또는 혈소판응집억제제를 투여중인 환자, 임부 및 수유부, 12세 미만의 소아는 이 약을 복용하지 마십시오.이 약을 복용하기 전에 황색5호에 과민증 환자 또는 경험자는 의사 또는 약사와 상의하십시오.</x:v>
      </x:c>
      <x:c r="I2077" s="8" t="str">
        <x:v>심한 혈액응고이상(혈우병 등), 심한 간 또는 심한 신질환(혈액투석환자 등), 항응고제 또는 혈소판응집억제제를 투여중인 환자, 임부 및 수유부, 12세 미만의 소아는 이 약을 복용하지 마십시오.이 약을 복용하기 전에 황색5호에 과민증 환자 또는 경험자는 의사 또는 약사와 상의하십시오.</x:v>
      </x:c>
      <x:c r="J2077" s="8" t="str">
        <x:v>브로아제장용정(브로멜라인) [품목기준코드 201907157]</x:v>
      </x:c>
      <x:c r="K2077" s="8" t="str">
        <x:v>식품의약품안전처 의약품개요정보(e약은요) OpenAPI
https://apis.data.go.kr/1471000/DrbEasyDrugInfoService/getDrbEasyDrugList</x:v>
      </x:c>
    </x:row>
    <x:row r="2078" ht="62" customHeight="1">
      <x:c r="A2078" s="9" t="n">
        <x:v>2077</x:v>
      </x:c>
      <x:c r="B2078" s="6" t="str">
        <x:v>최종 평가</x:v>
      </x:c>
      <x:c r="C2078" s="6" t="str">
        <x:v>복약</x:v>
      </x:c>
      <x:c r="D2078" s="6" t="str">
        <x:v>용법·용량</x:v>
      </x:c>
      <x:c r="E2078" s="6" t="str">
        <x:v>답변 가능</x:v>
      </x:c>
      <x:c r="F2078" s="6" t="str">
        <x:v>쉬움</x:v>
      </x:c>
      <x:c r="G2078" s="8" t="str">
        <x:v>파워브이벤정은 어떻게 사용하나요?</x:v>
      </x:c>
      <x:c r="H2078" s="8" t="str">
        <x:v>만 12세 이상 및 성인은 1일 1회, 1회 1정을 복용합니다.</x:v>
      </x:c>
      <x:c r="I2078" s="8" t="str">
        <x:v>만 12세 이상 및 성인은 1일 1회, 1회 1정을 복용합니다.</x:v>
      </x:c>
      <x:c r="J2078" s="8" t="str">
        <x:v>파워브이벤정 [품목기준코드 202301306]</x:v>
      </x:c>
      <x:c r="K2078" s="8" t="str">
        <x:v>식품의약품안전처 의약품개요정보(e약은요) OpenAPI
https://apis.data.go.kr/1471000/DrbEasyDrugInfoService/getDrbEasyDrugList</x:v>
      </x:c>
    </x:row>
    <x:row r="2079" ht="62" customHeight="1">
      <x:c r="A2079" s="9" t="n">
        <x:v>2078</x:v>
      </x:c>
      <x:c r="B2079" s="6" t="str">
        <x:v>최종 평가</x:v>
      </x:c>
      <x:c r="C2079" s="6" t="str">
        <x:v>복약</x:v>
      </x:c>
      <x:c r="D2079" s="6" t="str">
        <x:v>대상별 정보</x:v>
      </x:c>
      <x:c r="E2079" s="6" t="str">
        <x:v>답변 가능</x:v>
      </x:c>
      <x:c r="F2079" s="6" t="str">
        <x:v>보통</x:v>
      </x:c>
      <x:c r="G2079" s="8" t="str">
        <x:v>고령자가 클로맥스연질캡슐(클로닉신리시네이트)을 사용할 때 주의할 점은 무엇인가요?</x:v>
      </x:c>
      <x:c r="H2079" s="8" t="str">
        <x:v>e약은요에서 고령자·노인과 관련해 안내한 내용은 다음과 같습니다. 소화성궤양, 약물에 기인한 위·십이지장에 동요,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또는 경험자, 신장애 또는 경험자는 의사 또는 약사와 상의하십시오.</x:v>
      </x:c>
      <x:c r="I2079" s="8" t="str">
        <x:v>소화성궤양, 약물에 기인한 위·십이지장에 동요,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또는 경험자, 신장애 또는 경험자는 의사 또는 약사와 상의하십시오.</x:v>
      </x:c>
      <x:c r="J2079" s="8" t="str">
        <x:v>클로맥스연질캡슐(클로닉신리시네이트) [품목기준코드 201708036]</x:v>
      </x:c>
      <x:c r="K2079" s="8" t="str">
        <x:v>식품의약품안전처 의약품개요정보(e약은요) OpenAPI
https://apis.data.go.kr/1471000/DrbEasyDrugInfoService/getDrbEasyDrugList</x:v>
      </x:c>
    </x:row>
    <x:row r="2080" ht="62" customHeight="1">
      <x:c r="A2080" s="9" t="n">
        <x:v>2079</x:v>
      </x:c>
      <x:c r="B2080" s="6" t="str">
        <x:v>최종 평가</x:v>
      </x:c>
      <x:c r="C2080" s="6" t="str">
        <x:v>복약</x:v>
      </x:c>
      <x:c r="D2080" s="6" t="str">
        <x:v>효능·사용목적</x:v>
      </x:c>
      <x:c r="E2080" s="6" t="str">
        <x:v>답변 가능</x:v>
      </x:c>
      <x:c r="F2080" s="6" t="str">
        <x:v>쉬움</x:v>
      </x:c>
      <x:c r="G2080" s="8" t="str">
        <x:v>메디알정500mg(알마게이트)은 어떤 증상이나 질환에 사용하는 약인가요?</x:v>
      </x:c>
      <x:c r="H2080" s="8" t="str">
        <x:v>이 약은 위·십이지장궤양, 위염, 위산과다, 속쓰림, 구역, 구토, 위통, 신트림의 제산작용 및 증상의 개선에 사용합니다.</x:v>
      </x:c>
      <x:c r="I2080" s="8" t="str">
        <x:v>이 약은 위·십이지장궤양, 위염, 위산과다, 속쓰림, 구역, 구토, 위통, 신트림의 제산작용 및 증상의 개선에 사용합니다.</x:v>
      </x:c>
      <x:c r="J2080" s="8" t="str">
        <x:v>메디알정500mg(알마게이트) [품목기준코드 201801676]</x:v>
      </x:c>
      <x:c r="K2080" s="8" t="str">
        <x:v>식품의약품안전처 의약품개요정보(e약은요) OpenAPI
https://apis.data.go.kr/1471000/DrbEasyDrugInfoService/getDrbEasyDrugList</x:v>
      </x:c>
    </x:row>
    <x:row r="2081" ht="62" customHeight="1">
      <x:c r="A2081" s="9" t="n">
        <x:v>2080</x:v>
      </x:c>
      <x:c r="B2081" s="6" t="str">
        <x:v>최종 평가</x:v>
      </x:c>
      <x:c r="C2081" s="6" t="str">
        <x:v>복약</x:v>
      </x:c>
      <x:c r="D2081" s="6" t="str">
        <x:v>보관·관리</x:v>
      </x:c>
      <x:c r="E2081" s="6" t="str">
        <x:v>답변 가능</x:v>
      </x:c>
      <x:c r="F2081" s="6" t="str">
        <x:v>쉬움</x:v>
      </x:c>
      <x:c r="G2081" s="8" t="str">
        <x:v>마그칼연질캡슐은 어떻게 보관해야 하나요?</x:v>
      </x:c>
      <x:c r="H2081" s="8" t="str">
        <x:v>습기와 빛을 피해 실온에서 보관하십시오.어린이의 손이 닿지 않는 곳에 보관하십시오.</x:v>
      </x:c>
      <x:c r="I2081" s="8" t="str">
        <x:v>습기와 빛을 피해 실온에서 보관하십시오.어린이의 손이 닿지 않는 곳에 보관하십시오.</x:v>
      </x:c>
      <x:c r="J2081" s="8" t="str">
        <x:v>마그칼연질캡슐 [품목기준코드 201705249]</x:v>
      </x:c>
      <x:c r="K2081" s="8" t="str">
        <x:v>식품의약품안전처 의약품개요정보(e약은요) OpenAPI
https://apis.data.go.kr/1471000/DrbEasyDrugInfoService/getDrbEasyDrugList</x:v>
      </x:c>
    </x:row>
    <x:row r="2082" ht="62" customHeight="1">
      <x:c r="A2082" s="9" t="n">
        <x:v>2081</x:v>
      </x:c>
      <x:c r="B2082" s="6" t="str">
        <x:v>최종 평가</x:v>
      </x:c>
      <x:c r="C2082" s="6" t="str">
        <x:v>복약</x:v>
      </x:c>
      <x:c r="D2082" s="6" t="str">
        <x:v>상호작용</x:v>
      </x:c>
      <x:c r="E2082" s="6" t="str">
        <x:v>답변 가능</x:v>
      </x:c>
      <x:c r="F2082" s="6" t="str">
        <x:v>쉬움</x:v>
      </x:c>
      <x:c r="G2082" s="8" t="str">
        <x:v>엘카탄정(엘카르니틴)과 함께 사용하거나 먹을 때 주의해야 할 약이나 음식이 있나요?</x:v>
      </x:c>
      <x:c r="H2082" s="8" t="str">
        <x:v>정주용 지질제와 함께 사용 시 의사 또는 약사와 상의하십시오.</x:v>
      </x:c>
      <x:c r="I2082" s="8" t="str">
        <x:v>정주용 지질제와 함께 사용 시 의사 또는 약사와 상의하십시오.</x:v>
      </x:c>
      <x:c r="J2082" s="8" t="str">
        <x:v>엘카탄정(엘카르니틴) [품목기준코드 200810766]</x:v>
      </x:c>
      <x:c r="K2082" s="8" t="str">
        <x:v>식품의약품안전처 의약품개요정보(e약은요) OpenAPI
https://apis.data.go.kr/1471000/DrbEasyDrugInfoService/getDrbEasyDrugList</x:v>
      </x:c>
    </x:row>
    <x:row r="2083" ht="62" customHeight="1">
      <x:c r="A2083" s="9" t="n">
        <x:v>2082</x:v>
      </x:c>
      <x:c r="B2083" s="6" t="str">
        <x:v>최종 평가</x:v>
      </x:c>
      <x:c r="C2083" s="6" t="str">
        <x:v>복약</x:v>
      </x:c>
      <x:c r="D2083" s="6" t="str">
        <x:v>효능·사용목적</x:v>
      </x:c>
      <x:c r="E2083" s="6" t="str">
        <x:v>답변 가능</x:v>
      </x:c>
      <x:c r="F2083" s="6" t="str">
        <x:v>쉬움</x:v>
      </x:c>
      <x:c r="G2083" s="8" t="str">
        <x:v>알코펜연질캡슐(이부프로펜)은 어떤 증상이나 질환에 사용하는 약인가요?</x:v>
      </x:c>
      <x:c r="H2083" s="8" t="str">
        <x:v>이 약은 감기로 인한 발열 및 동통(통증), 요통, 생리통, 류마티양 관절염, 연소성(어리거나 젊은나이에 나타나는) 류마티양 관절염, 골관절염(퇴행성 관절질환), 수술후 동통(통증)과 두통, 편두통, 치통, 근육통, 신경통, 강직성 척추염, 급성통풍, 건선(마른비닐증)성 관절염, 연조직손상(염좌(삠), 좌상(타박상)), 비관절 류마티스질환(건염(힘줄염), 건초염(힘줄윤활막염), 활액(윤활)낭염)에 사용합니다.</x:v>
      </x:c>
      <x:c r="I2083" s="8" t="str">
        <x:v>이 약은 감기로 인한 발열 및 동통(통증), 요통, 생리통, 류마티양 관절염, 연소성(어리거나 젊은나이에 나타나는) 류마티양 관절염, 골관절염(퇴행성 관절질환), 수술후 동통(통증)과 두통, 편두통, 치통, 근육통, 신경통, 강직성 척추염, 급성통풍, 건선(마른비닐증)성 관절염, 연조직손상(염좌(삠), 좌상(타박상)), 비관절 류마티스질환(건염(힘줄염), 건초염(힘줄윤활막염), 활액(윤활)낭염)에 사용합니다.</x:v>
      </x:c>
      <x:c r="J2083" s="8" t="str">
        <x:v>알코펜연질캡슐(이부프로펜) [품목기준코드 201802728]</x:v>
      </x:c>
      <x:c r="K2083" s="8" t="str">
        <x:v>식품의약품안전처 의약품개요정보(e약은요) OpenAPI
https://apis.data.go.kr/1471000/DrbEasyDrugInfoService/getDrbEasyDrugList</x:v>
      </x:c>
    </x:row>
    <x:row r="2084" ht="62" customHeight="1">
      <x:c r="A2084" s="9" t="n">
        <x:v>2083</x:v>
      </x:c>
      <x:c r="B2084" s="6" t="str">
        <x:v>최종 평가</x:v>
      </x:c>
      <x:c r="C2084" s="6" t="str">
        <x:v>복약</x:v>
      </x:c>
      <x:c r="D2084" s="6" t="str">
        <x:v>효능·사용목적</x:v>
      </x:c>
      <x:c r="E2084" s="6" t="str">
        <x:v>답변 가능</x:v>
      </x:c>
      <x:c r="F2084" s="6" t="str">
        <x:v>쉬움</x:v>
      </x:c>
      <x:c r="G2084" s="8" t="str">
        <x:v>이텍스암브록솔시럽(암브록솔염산염)은 어떤 증상이나 질환에 사용하는 약인가요?</x:v>
      </x:c>
      <x:c r="H2084" s="8" t="str">
        <x:v>이 약은 점액분비장애로 인한 급·만성기관지염, 천식성기관지염에 사용합니다.</x:v>
      </x:c>
      <x:c r="I2084" s="8" t="str">
        <x:v>이 약은 점액분비장애로 인한 급·만성기관지염, 천식성기관지염에 사용합니다.</x:v>
      </x:c>
      <x:c r="J2084" s="8" t="str">
        <x:v>이텍스암브록솔시럽(암브록솔염산염) [품목기준코드 199802171]</x:v>
      </x:c>
      <x:c r="K2084" s="8" t="str">
        <x:v>식품의약품안전처 의약품개요정보(e약은요) OpenAPI
https://apis.data.go.kr/1471000/DrbEasyDrugInfoService/getDrbEasyDrugList</x:v>
      </x:c>
    </x:row>
    <x:row r="2085" ht="62" customHeight="1">
      <x:c r="A2085" s="9" t="n">
        <x:v>2084</x:v>
      </x:c>
      <x:c r="B2085" s="6" t="str">
        <x:v>최종 평가</x:v>
      </x:c>
      <x:c r="C2085" s="6" t="str">
        <x:v>복약</x:v>
      </x:c>
      <x:c r="D2085" s="6" t="str">
        <x:v>증상·이상반응</x:v>
      </x:c>
      <x:c r="E2085" s="6" t="str">
        <x:v>답변 가능</x:v>
      </x:c>
      <x:c r="F2085" s="6" t="str">
        <x:v>쉬움</x:v>
      </x:c>
      <x:c r="G2085" s="8" t="str">
        <x:v>유클리어톡외용액(살리실산)을 사용하면 어떤 부작용이 생길 수 있나요?</x:v>
      </x:c>
      <x:c r="H2085" s="8" t="str">
        <x:v>e약은요에는 다음과 같은 이상반응이 안내되어 있습니다. 발진, 발적(충혈되어 붉어짐), 홍반(붉은 반점), 가려움, 정상 피부에 닿았을 경우 국소 자극 반응 등이 나타나는 경우 사용을 즉각 중지하고 의사 또는 약사와 상의하십시오.</x:v>
      </x:c>
      <x:c r="I2085" s="8" t="str">
        <x:v>발진, 발적(충혈되어 붉어짐), 홍반(붉은 반점), 가려움, 정상 피부에 닿았을 경우 국소 자극 반응 등이 나타나는 경우 사용을 즉각 중지하고 의사 또는 약사와 상의하십시오.</x:v>
      </x:c>
      <x:c r="J2085" s="8" t="str">
        <x:v>유클리어톡외용액(살리실산) [품목기준코드 201703185]</x:v>
      </x:c>
      <x:c r="K2085" s="8" t="str">
        <x:v>식품의약품안전처 의약품개요정보(e약은요) OpenAPI
https://apis.data.go.kr/1471000/DrbEasyDrugInfoService/getDrbEasyDrugList</x:v>
      </x:c>
    </x:row>
    <x:row r="2086" ht="62" customHeight="1">
      <x:c r="A2086" s="9" t="n">
        <x:v>2085</x:v>
      </x:c>
      <x:c r="B2086" s="6" t="str">
        <x:v>최종 평가</x:v>
      </x:c>
      <x:c r="C2086" s="6" t="str">
        <x:v>복약</x:v>
      </x:c>
      <x:c r="D2086" s="6" t="str">
        <x:v>증상→대상 구분</x:v>
      </x:c>
      <x:c r="E2086" s="6" t="str">
        <x:v>답변 가능</x:v>
      </x:c>
      <x:c r="F2086" s="6" t="str">
        <x:v>어려움</x:v>
      </x:c>
      <x:c r="G2086" s="8" t="str">
        <x:v>키즈애드츄어블정을 사용한 뒤 발진이 생겼는데, 이 약의 부작용으로 안내되어 있나요?</x:v>
      </x:c>
      <x:c r="H2086" s="8" t="str">
        <x:v>발진은 이 제품의 e약은요 부작용 항목에 기재되어 있습니다. 다만 이 정보만으로 현재 증상의 원인이 해당 약이라고 확정할 수는 없습니다.</x:v>
      </x:c>
      <x:c r="I2086" s="8" t="str">
        <x:v>구역, 구토, 가려움, 건조하고 거친 피부, 통증성 관절부종, 설사, 위부불쾌감, 변비, 발진, 발적, 묽은 변, 저혈압, 얼굴달아오름, 심박동불규칙, 붉은 반점, 심장박동정지, 중추신경계 기능저하, 생리가 예정보다 빨라지거나 양이 점점 많아지거나, 출혈이 오래 지속되는 증상이 나타나는 경우 복용을 즉각 중지하고 의사 또는 약사와 상의하십시오.</x:v>
      </x:c>
      <x:c r="J2086" s="8" t="str">
        <x:v>키즈애드츄어블정 [품목기준코드 201505023]</x:v>
      </x:c>
      <x:c r="K2086" s="8" t="str">
        <x:v>식품의약품안전처 의약품개요정보(e약은요) OpenAPI
https://apis.data.go.kr/1471000/DrbEasyDrugInfoService/getDrbEasyDrugList</x:v>
      </x:c>
    </x:row>
    <x:row r="2087" ht="62" customHeight="1">
      <x:c r="A2087" s="9" t="n">
        <x:v>2086</x:v>
      </x:c>
      <x:c r="B2087" s="6" t="str">
        <x:v>최종 평가</x:v>
      </x:c>
      <x:c r="C2087" s="6" t="str">
        <x:v>복약</x:v>
      </x:c>
      <x:c r="D2087" s="6" t="str">
        <x:v>증상→대상 구분</x:v>
      </x:c>
      <x:c r="E2087" s="6" t="str">
        <x:v>답변 가능</x:v>
      </x:c>
      <x:c r="F2087" s="6" t="str">
        <x:v>어려움</x:v>
      </x:c>
      <x:c r="G2087" s="8" t="str">
        <x:v>인프라센액을 사용한 뒤 구역이 생겼는데, 이 약의 부작용으로 안내되어 있나요?</x:v>
      </x:c>
      <x:c r="H2087" s="8" t="str">
        <x:v>구역은 이 제품의 e약은요 부작용 항목에 기재되어 있습니다. 다만 이 정보만으로 현재 증상의 원인이 해당 약이라고 확정할 수는 없습니다.</x:v>
      </x:c>
      <x:c r="I2087" s="8" t="str">
        <x:v>구역, 구토, 묽은 변, 속쓰림 등이 나타나는 경우 복용을 즉각 중지하고 의사 또는 약사와 상의하십시오.</x:v>
      </x:c>
      <x:c r="J2087" s="8" t="str">
        <x:v>인프라센액 [품목기준코드 200210839]</x:v>
      </x:c>
      <x:c r="K2087" s="8" t="str">
        <x:v>식품의약품안전처 의약품개요정보(e약은요) OpenAPI
https://apis.data.go.kr/1471000/DrbEasyDrugInfoService/getDrbEasyDrugList</x:v>
      </x:c>
    </x:row>
    <x:row r="2088" ht="62" customHeight="1">
      <x:c r="A2088" s="9" t="n">
        <x:v>2087</x:v>
      </x:c>
      <x:c r="B2088" s="6" t="str">
        <x:v>최종 평가</x:v>
      </x:c>
      <x:c r="C2088" s="6" t="str">
        <x:v>복약</x:v>
      </x:c>
      <x:c r="D2088" s="6" t="str">
        <x:v>증상→대상 구분</x:v>
      </x:c>
      <x:c r="E2088" s="6" t="str">
        <x:v>답변 가능</x:v>
      </x:c>
      <x:c r="F2088" s="6" t="str">
        <x:v>어려움</x:v>
      </x:c>
      <x:c r="G2088" s="8" t="str">
        <x:v>위제로정을 사용한 뒤 설사이 생겼는데, 이 약의 부작용으로 안내되어 있나요?</x:v>
      </x:c>
      <x:c r="H2088" s="8" t="str">
        <x:v>설사은 이 제품의 e약은요 부작용 항목에 기재되어 있습니다. 다만 이 정보만으로 현재 증상의 원인이 해당 약이라고 확정할 수는 없습니다.</x:v>
      </x:c>
      <x:c r="I2088" s="8" t="str">
        <x:v>이 약을 복용하는 동안 변비 또는 설사의 증상이 나타날 경우 복용을 즉각 중지하고 의사 또는 약사와 상의하십시오.</x:v>
      </x:c>
      <x:c r="J2088" s="8" t="str">
        <x:v>위제로정 [품목기준코드 201202780]</x:v>
      </x:c>
      <x:c r="K2088" s="8" t="str">
        <x:v>식품의약품안전처 의약품개요정보(e약은요) OpenAPI
https://apis.data.go.kr/1471000/DrbEasyDrugInfoService/getDrbEasyDrugList</x:v>
      </x:c>
    </x:row>
    <x:row r="2089" ht="62" customHeight="1">
      <x:c r="A2089" s="9" t="n">
        <x:v>2088</x:v>
      </x:c>
      <x:c r="B2089" s="6" t="str">
        <x:v>최종 평가</x:v>
      </x:c>
      <x:c r="C2089" s="6" t="str">
        <x:v>복약</x:v>
      </x:c>
      <x:c r="D2089" s="6" t="str">
        <x:v>금기·경고</x:v>
      </x:c>
      <x:c r="E2089" s="6" t="str">
        <x:v>답변 가능</x:v>
      </x:c>
      <x:c r="F2089" s="6" t="str">
        <x:v>쉬움</x:v>
      </x:c>
      <x:c r="G2089" s="8" t="str">
        <x:v>로라딘연질캡슐(로라타딘)을 사용하면 안 되거나 반드시 확인해야 할 경고사항은 무엇인가요?</x:v>
      </x:c>
      <x:c r="H2089" s="8" t="str">
        <x:v>이 약에 과민증 환자, 6 세 미만의 소아, 임부 및 수유부, 갈락토오스 불내성, Lapp 유당분해효소 결핍증 또는 포도당-갈락토오스 흡수장애 등의 유전적인 문제가 있는 환자는 이 약을 복용하지 마십시오.이 약을 복용하기 전에 간장애 또는 신부전 환자는 의사 또는 약사와 상의하십시오.</x:v>
      </x:c>
      <x:c r="I2089" s="8" t="str">
        <x:v>이 약에 과민증 환자, 6 세 미만의 소아, 임부 및 수유부, 갈락토오스 불내성, Lapp 유당분해효소 결핍증 또는 포도당-갈락토오스 흡수장애 등의 유전적인 문제가 있는 환자는 이 약을 복용하지 마십시오.이 약을 복용하기 전에 간장애 또는 신부전 환자는 의사 또는 약사와 상의하십시오.</x:v>
      </x:c>
      <x:c r="J2089" s="8" t="str">
        <x:v>로라딘연질캡슐(로라타딘) [품목기준코드 201507693]</x:v>
      </x:c>
      <x:c r="K2089" s="8" t="str">
        <x:v>식품의약품안전처 의약품개요정보(e약은요) OpenAPI
https://apis.data.go.kr/1471000/DrbEasyDrugInfoService/getDrbEasyDrugList</x:v>
      </x:c>
    </x:row>
    <x:row r="2090" ht="62" customHeight="1">
      <x:c r="A2090" s="9" t="n">
        <x:v>2089</x:v>
      </x:c>
      <x:c r="B2090" s="6" t="str">
        <x:v>최종 평가</x:v>
      </x:c>
      <x:c r="C2090" s="6" t="str">
        <x:v>복약</x:v>
      </x:c>
      <x:c r="D2090" s="6" t="str">
        <x:v>실용·응급대처</x:v>
      </x:c>
      <x:c r="E2090" s="6" t="str">
        <x:v>답변 가능</x:v>
      </x:c>
      <x:c r="F2090" s="6" t="str">
        <x:v>보통</x:v>
      </x:c>
      <x:c r="G2090" s="8" t="str">
        <x:v>디쿨파워플라스타(디클로페낙나트륨) 사용 후 심한 이상반응이 나타나면 어떻게 해야 하나요?</x:v>
      </x:c>
      <x:c r="H2090" s="8" t="str">
        <x:v>광선과민반응, 부종(부기), 피부박탈, 습진, 피부건조, 드물게 수포형성, 색소침착, 매우 드물게 과민반응, 혈관신경성 부종(부기), 천식 등이 나타나는 경우 사용을 즉각 중지하고 의사 또는 약사와 상의하십시오. 탈락성 피부염, 스티븐스-존슨 증후군 및 독성 표피괴사 같은 중대한 피부 이상반응, 위 또는 장관의 출혈, 궤양 및 천공을 포함하는 중대한 위장관계 이상반응이 나타나는 경우 사용을 즉각 중지하고 의사 또는 약사와 상의하십시오.</x:v>
      </x:c>
      <x:c r="I2090" s="8" t="str">
        <x:v>광선과민반응, 부종(부기), 피부박탈, 습진, 피부건조, 드물게 수포형성, 색소침착, 매우 드물게 과민반응, 혈관신경성 부종(부기), 천식 등이 나타나는 경우 사용을 즉각 중지하고 의사 또는 약사와 상의하십시오. 탈락성 피부염, 스티븐스-존슨 증후군 및 독성 표피괴사 같은 중대한 피부 이상반응, 위 또는 장관의 출혈, 궤양 및 천공을 포함하는 중대한 위장관계 이상반응이 나타나는 경우 사용을 즉각 중지하고 의사 또는 약사와 상의하십시오.</x:v>
      </x:c>
      <x:c r="J2090" s="8" t="str">
        <x:v>디쿨파워플라스타(디클로페낙나트륨) [품목기준코드 202103144]</x:v>
      </x:c>
      <x:c r="K2090" s="8" t="str">
        <x:v>식품의약품안전처 의약품개요정보(e약은요) OpenAPI
https://apis.data.go.kr/1471000/DrbEasyDrugInfoService/getDrbEasyDrugList</x:v>
      </x:c>
    </x:row>
    <x:row r="2091" ht="62" customHeight="1">
      <x:c r="A2091" s="9" t="n">
        <x:v>2090</x:v>
      </x:c>
      <x:c r="B2091" s="6" t="str">
        <x:v>최종 평가</x:v>
      </x:c>
      <x:c r="C2091" s="6" t="str">
        <x:v>복약</x:v>
      </x:c>
      <x:c r="D2091" s="6" t="str">
        <x:v>효능·사용목적</x:v>
      </x:c>
      <x:c r="E2091" s="6" t="str">
        <x:v>답변 가능</x:v>
      </x:c>
      <x:c r="F2091" s="6" t="str">
        <x:v>쉬움</x:v>
      </x:c>
      <x:c r="G2091" s="8" t="str">
        <x:v>엑세라민비정은 어떤 증상이나 질환에 사용하는 약인가요?</x:v>
      </x:c>
      <x:c r="H2091" s="8" t="str">
        <x:v>이 약은 육체피로, 임신ㆍ수유기, 병중ㆍ병후(병을 앓는 동안이나 회복 후)의 체력 저하 시, 발육기, 노년기의 비타민 B1, B2, B6, C, D, E의 보급과 신경통, 근육통, 관절통(요(허리)통, 어깨결림 등), 구각염(입꼬리염), 구순염(입술염), 구내염(입안염), 설염(혀염), 습진, 피부염 증상의 완화, 각기, 눈의 피로, 뼈, 이의 발육불량, 구루병의 예방과 아연의 보급에 사용합니다.</x:v>
      </x:c>
      <x:c r="I2091" s="8" t="str">
        <x:v>이 약은 육체피로, 임신ㆍ수유기, 병중ㆍ병후(병을 앓는 동안이나 회복 후)의 체력 저하 시, 발육기, 노년기의 비타민 B1, B2, B6, C, D, E의 보급과 신경통, 근육통, 관절통(요(허리)통, 어깨결림 등), 구각염(입꼬리염), 구순염(입술염), 구내염(입안염), 설염(혀염), 습진, 피부염 증상의 완화, 각기, 눈의 피로, 뼈, 이의 발육불량, 구루병의 예방과 아연의 보급에 사용합니다.</x:v>
      </x:c>
      <x:c r="J2091" s="8" t="str">
        <x:v>엑세라민비정 [품목기준코드 201206056]</x:v>
      </x:c>
      <x:c r="K2091" s="8" t="str">
        <x:v>식품의약품안전처 의약품개요정보(e약은요) OpenAPI
https://apis.data.go.kr/1471000/DrbEasyDrugInfoService/getDrbEasyDrugList</x:v>
      </x:c>
    </x:row>
    <x:row r="2092" ht="62" customHeight="1">
      <x:c r="A2092" s="9" t="n">
        <x:v>2091</x:v>
      </x:c>
      <x:c r="B2092" s="6" t="str">
        <x:v>최종 평가</x:v>
      </x:c>
      <x:c r="C2092" s="6" t="str">
        <x:v>복약</x:v>
      </x:c>
      <x:c r="D2092" s="6" t="str">
        <x:v>용법·용량</x:v>
      </x:c>
      <x:c r="E2092" s="6" t="str">
        <x:v>답변 가능</x:v>
      </x:c>
      <x:c r="F2092" s="6" t="str">
        <x:v>쉬움</x:v>
      </x:c>
      <x:c r="G2092" s="8" t="str">
        <x:v>바이스탑캡슐은 어떻게 사용하나요?</x:v>
      </x:c>
      <x:c r="H2092" s="8" t="str">
        <x:v>만 15세 이상 및 성인은 1회 2캡슐씩, 1일 3회, 만 11세 이상~만 15세 미만은 1회 1~2캡슐씩, 1일 2회, 만 8세 이상~만 11세 미만은 1회 1캡슐씩, 1일 3회 복용합니다.복용간격은 4시간 이상으로 합니다.</x:v>
      </x:c>
      <x:c r="I2092" s="8" t="str">
        <x:v>만 15세 이상 및 성인은 1회 2캡슐씩, 1일 3회, 만 11세 이상~만 15세 미만은 1회 1~2캡슐씩, 1일 2회, 만 8세 이상~만 11세 미만은 1회 1캡슐씩, 1일 3회 복용합니다.복용간격은 4시간 이상으로 합니다.</x:v>
      </x:c>
      <x:c r="J2092" s="8" t="str">
        <x:v>바이스탑캡슐 [품목기준코드 200805092]</x:v>
      </x:c>
      <x:c r="K2092" s="8" t="str">
        <x:v>식품의약품안전처 의약품개요정보(e약은요) OpenAPI
https://apis.data.go.kr/1471000/DrbEasyDrugInfoService/getDrbEasyDrugList</x:v>
      </x:c>
    </x:row>
    <x:row r="2093" ht="62" customHeight="1">
      <x:c r="A2093" s="9" t="n">
        <x:v>2092</x:v>
      </x:c>
      <x:c r="B2093" s="6" t="str">
        <x:v>최종 평가</x:v>
      </x:c>
      <x:c r="C2093" s="6" t="str">
        <x:v>복약</x:v>
      </x:c>
      <x:c r="D2093" s="6" t="str">
        <x:v>답변불가·처방 필요 여부</x:v>
      </x:c>
      <x:c r="E2093" s="6" t="str">
        <x:v>답변 거부</x:v>
      </x:c>
      <x:c r="F2093" s="6" t="str">
        <x:v>어려움</x:v>
      </x:c>
      <x:c r="G2093" s="8" t="str">
        <x:v>제놀파워풀플라스타(플루르비프로펜)은 지금 처방전 없이 살 수 있는지 확정해서 알려주세요.</x:v>
      </x:c>
      <x:c r="H2093" s="8" t="str">
        <x:v>제공된 e약은요 VDB 항목만으로는 현재의 전문·일반의약품 분류와 처방 필요 여부를 확정할 수 없습니다.</x:v>
      </x:c>
      <x:c r="I2093" s="8" t="str">
        <x:v>VDB 범위 밖 질문 — 근거 없음</x:v>
      </x:c>
      <x:c r="J2093" s="8" t="str">
        <x:v>제놀파워풀플라스타(플루르비프로펜) [품목기준코드 201900024]</x:v>
      </x:c>
      <x:c r="K2093" s="8" t="str">
        <x:v>식품의약품안전처 의약품개요정보(e약은요) OpenAPI
https://apis.data.go.kr/1471000/DrbEasyDrugInfoService/getDrbEasyDrugList</x:v>
      </x:c>
    </x:row>
    <x:row r="2094" ht="62" customHeight="1">
      <x:c r="A2094" s="9" t="n">
        <x:v>2093</x:v>
      </x:c>
      <x:c r="B2094" s="6" t="str">
        <x:v>최종 평가</x:v>
      </x:c>
      <x:c r="C2094" s="6" t="str">
        <x:v>복약</x:v>
      </x:c>
      <x:c r="D2094" s="6" t="str">
        <x:v>실용·응급대처</x:v>
      </x:c>
      <x:c r="E2094" s="6" t="str">
        <x:v>답변 가능</x:v>
      </x:c>
      <x:c r="F2094" s="6" t="str">
        <x:v>보통</x:v>
      </x:c>
      <x:c r="G2094" s="8" t="str">
        <x:v>씨메탈시정 사용 후 심한 이상반응이 나타나면 어떻게 해야 하나요?</x:v>
      </x:c>
      <x:c r="H2094" s="8" t="str">
        <x:v>두드러기, 부종, 가슴답답함과 동시에 안색창백, 수족냉증, 식은땀, 숨가뿜, 고열을 동반한 발진, 발적, 열상의 수종 등의 심한 증상이 전신의 피부, 입, 눈의 점막에 나타나는 경우, 알레르기 증상(발진, 발적, 가려움, 부종), 변비, 설사, 두통, 발열, 권태감, 탈력감, 감기 증상, 하지ㆍ점막하출혈, 사지저림 및 굳은감, 두근거림, 황달, 전신부종, 혈뇨 등이 나타나는 경우 복용을 즉각 중지하고 의사 또는 약사와 상의하십시오.</x:v>
      </x:c>
      <x:c r="I2094" s="8" t="str">
        <x:v>두드러기, 부종, 가슴답답함과 동시에 안색창백, 수족냉증, 식은땀, 숨가뿜, 고열을 동반한 발진, 발적, 열상의 수종 등의 심한 증상이 전신의 피부, 입, 눈의 점막에 나타나는 경우, 알레르기 증상(발진, 발적, 가려움, 부종), 변비, 설사, 두통, 발열, 권태감, 탈력감, 감기 증상, 하지ㆍ점막하출혈, 사지저림 및 굳은감, 두근거림, 황달, 전신부종, 혈뇨 등이 나타나는 경우 복용을 즉각 중지하고 의사 또는 약사와 상의하십시오.</x:v>
      </x:c>
      <x:c r="J2094" s="8" t="str">
        <x:v>씨메탈시정 [품목기준코드 199806985]</x:v>
      </x:c>
      <x:c r="K2094" s="8" t="str">
        <x:v>식품의약품안전처 의약품개요정보(e약은요) OpenAPI
https://apis.data.go.kr/1471000/DrbEasyDrugInfoService/getDrbEasyDrugList</x:v>
      </x:c>
    </x:row>
    <x:row r="2095" ht="62" customHeight="1">
      <x:c r="A2095" s="9" t="n">
        <x:v>2094</x:v>
      </x:c>
      <x:c r="B2095" s="6" t="str">
        <x:v>최종 평가</x:v>
      </x:c>
      <x:c r="C2095" s="6" t="str">
        <x:v>복약</x:v>
      </x:c>
      <x:c r="D2095" s="6" t="str">
        <x:v>증상→대상 구분</x:v>
      </x:c>
      <x:c r="E2095" s="6" t="str">
        <x:v>답변 가능</x:v>
      </x:c>
      <x:c r="F2095" s="6" t="str">
        <x:v>어려움</x:v>
      </x:c>
      <x:c r="G2095" s="8" t="str">
        <x:v>노바프록센정(나프록센나트륨)을 사용한 뒤 발진이 생겼는데, 이 약의 부작용으로 안내되어 있나요?</x:v>
      </x:c>
      <x:c r="H2095" s="8" t="str">
        <x:v>발진은 이 제품의 e약은요 부작용 항목에 기재되어 있습니다. 다만 이 정보만으로 현재 증상의 원인이 해당 약이라고 확정할 수는 없습니다.</x:v>
      </x:c>
      <x:c r="I2095" s="8" t="str">
        <x:v>때때로 발진, 가려움, 위부불쾌감, 위통, 복통, 구역, 구토, 식욕부진, 소화불량, 가슴쓰림, 설사, 변비, 구내염, 드물게 복부팽만감, 흑변, 구갈, 졸음, 인식기능장애 드물게 현기(어지러움), 두통, 수족저림, 정력감퇴, 피로, 우울, 비정상적인 꿈, 집중능력 상실, 지남력상실(방향감각장애), 불면, 근육통, 근쇠약, 습진, 발한(땀이 남), 자반(자주색 반점), 부종, 호흡곤란, 드물게 쇽증상(호흡곤란, 혈압강하, 느린 맥, 식은땀, 부종 등), PIE증후군(호산구증가를 수반하는 폐침윤 : 발열, 천명(숨을 쌕쌕거림), 기침, 가래를 동반함), 두드러기, 토혈(혈액구토), 위장출혈, 소화성궤양, 천공(뚫림), 무과립구증, 호산구증가, 백혈구감소, 혈소판감소, 재생불량성빈혈, 용혈성(적혈구파괴성)빈혈, 혈소판 기능저하(출혈시간의 연장), GOT, GPT치의 상승, 황달, 간염, 신장장애, 사구체 신염(신장염), 혈뇨, 고칼륨 혈증, 간질성 신염(신장염), 신증후군, 신장(콩팥) 유두괴사, 단백뇨(단백질이 섞인 오줌), 신부전, 무균성 수막염(심한 두통, 구역, 구토, 불면, 목이 뻣뻣함, 발열 또는 의식장애), 광과민증, 탈모, 발적(충혈되어 붉어짐), 괴사성용해, 다형성홍반(여러 모양의 붉은 반점), 피부점막안증후군(스티븐스-존슨증후군), 두드러기, 표피 수포증, 호산구 증가 및 전신 증상을 동반한 약물 반응, 고정약물발진, 탈락성 피부염, 독성 표피괴사, 이명(귀울림), 청각장애, 시각장애, 심계항진(두근거림), 근무력증(근육무력증), 울혈성심부전, 호산구성 폐렴, 아나필락시양 반응, 월경장애, 오한(춥고 떨리는 증상)과 발열, 맥관염(혈관염), 고혈당, 저혈당 등이 나타나는 경우 복용을 즉각 중지하고 의사 또는 약사와 상의하십시오.</x:v>
      </x:c>
      <x:c r="J2095" s="8" t="str">
        <x:v>노바프록센정(나프록센나트륨) [품목기준코드 202106248]</x:v>
      </x:c>
      <x:c r="K2095" s="8" t="str">
        <x:v>식품의약품안전처 의약품개요정보(e약은요) OpenAPI
https://apis.data.go.kr/1471000/DrbEasyDrugInfoService/getDrbEasyDrugList</x:v>
      </x:c>
    </x:row>
    <x:row r="2096" ht="62" customHeight="1">
      <x:c r="A2096" s="9" t="n">
        <x:v>2095</x:v>
      </x:c>
      <x:c r="B2096" s="6" t="str">
        <x:v>최종 평가</x:v>
      </x:c>
      <x:c r="C2096" s="6" t="str">
        <x:v>복약</x:v>
      </x:c>
      <x:c r="D2096" s="6" t="str">
        <x:v>답변불가·처방 필요 여부</x:v>
      </x:c>
      <x:c r="E2096" s="6" t="str">
        <x:v>답변 거부</x:v>
      </x:c>
      <x:c r="F2096" s="6" t="str">
        <x:v>어려움</x:v>
      </x:c>
      <x:c r="G2096" s="8" t="str">
        <x:v>킥콜연질캡슐은 지금 처방전 없이 살 수 있는지 확정해서 알려주세요.</x:v>
      </x:c>
      <x:c r="H2096" s="8" t="str">
        <x:v>제공된 e약은요 VDB 항목만으로는 현재의 전문·일반의약품 분류와 처방 필요 여부를 확정할 수 없습니다.</x:v>
      </x:c>
      <x:c r="I2096" s="8" t="str">
        <x:v>VDB 범위 밖 질문 — 근거 없음</x:v>
      </x:c>
      <x:c r="J2096" s="8" t="str">
        <x:v>킥콜연질캡슐 [품목기준코드 201707524]</x:v>
      </x:c>
      <x:c r="K2096" s="8" t="str">
        <x:v>식품의약품안전처 의약품개요정보(e약은요) OpenAPI
https://apis.data.go.kr/1471000/DrbEasyDrugInfoService/getDrbEasyDrugList</x:v>
      </x:c>
    </x:row>
    <x:row r="2097" ht="62" customHeight="1">
      <x:c r="A2097" s="9" t="n">
        <x:v>2096</x:v>
      </x:c>
      <x:c r="B2097" s="6" t="str">
        <x:v>최종 평가</x:v>
      </x:c>
      <x:c r="C2097" s="6" t="str">
        <x:v>복약</x:v>
      </x:c>
      <x:c r="D2097" s="6" t="str">
        <x:v>답변불가·개인 용량 변경</x:v>
      </x:c>
      <x:c r="E2097" s="6" t="str">
        <x:v>답변 거부</x:v>
      </x:c>
      <x:c r="F2097" s="6" t="str">
        <x:v>어려움</x:v>
      </x:c>
      <x:c r="G2097" s="8" t="str">
        <x:v>덴스롤캡슐이 잘 듣지 않는데 제 상태에 맞춰 복용량을 얼마나 늘리면 되나요?</x:v>
      </x:c>
      <x:c r="H2097" s="8" t="str">
        <x:v>제공된 e약은요 VDB만으로 개인별 복용량 변경을 결정할 수 없습니다. 임의로 증량하지 말고 의사 또는 약사와 상담해야 합니다.</x:v>
      </x:c>
      <x:c r="I2097" s="8" t="str">
        <x:v>VDB 범위 밖 질문 — 근거 없음</x:v>
      </x:c>
      <x:c r="J2097" s="8" t="str">
        <x:v>덴스롤캡슐 [품목기준코드 200201998]</x:v>
      </x:c>
      <x:c r="K2097" s="8" t="str">
        <x:v>식품의약품안전처 의약품개요정보(e약은요) OpenAPI
https://apis.data.go.kr/1471000/DrbEasyDrugInfoService/getDrbEasyDrugList</x:v>
      </x:c>
    </x:row>
    <x:row r="2098" ht="62" customHeight="1">
      <x:c r="A2098" s="9" t="n">
        <x:v>2097</x:v>
      </x:c>
      <x:c r="B2098" s="6" t="str">
        <x:v>최종 평가</x:v>
      </x:c>
      <x:c r="C2098" s="6" t="str">
        <x:v>복약</x:v>
      </x:c>
      <x:c r="D2098" s="6" t="str">
        <x:v>증상·이상반응</x:v>
      </x:c>
      <x:c r="E2098" s="6" t="str">
        <x:v>답변 가능</x:v>
      </x:c>
      <x:c r="F2098" s="6" t="str">
        <x:v>쉬움</x:v>
      </x:c>
      <x:c r="G2098" s="8" t="str">
        <x:v>카펜에스정을 사용하면 어떤 부작용이 생길 수 있나요?</x:v>
      </x:c>
      <x:c r="H2098" s="8" t="str">
        <x:v>e약은요에는 다음과 같은 이상반응이 안내되어 있습니다. 발진·발적, 가려움, 구역·구토, 식욕부진, 변비, 부종, 어지러움, 불안, 떨림, 불면, 쇽(복용 후 바로 두드러기, 부종, 가슴답답함 등과 함께 안색이 창백하고, 손발이 차고, 식은땀, 숨쉬기 곤란함 등), 피부점막안증후군(스티븐스-존슨증후군), 독성표피괴사용해(리엘증후군), 전신의 나른함, 황달(피부 또는 눈의 흰자위가 황색을 띄게 됨) 등의 간기능장애, 간질성폐렴(기침을 동반하고, 숨이 차고, 호흡곤란, 발열 등)이 나타나는 경우 복용을 즉각 중지하고 의사 또는 약사와 상의하십시오.</x:v>
      </x:c>
      <x:c r="I2098" s="8" t="str">
        <x:v>발진·발적, 가려움, 구역·구토, 식욕부진, 변비, 부종, 어지러움, 불안, 떨림, 불면, 쇽(복용 후 바로 두드러기, 부종, 가슴답답함 등과 함께 안색이 창백하고, 손발이 차고, 식은땀, 숨쉬기 곤란함 등), 피부점막안증후군(스티븐스-존슨증후군), 독성표피괴사용해(리엘증후군), 전신의 나른함, 황달(피부 또는 눈의 흰자위가 황색을 띄게 됨) 등의 간기능장애, 간질성폐렴(기침을 동반하고, 숨이 차고, 호흡곤란, 발열 등)이 나타나는 경우 복용을 즉각 중지하고 의사 또는 약사와 상의하십시오.</x:v>
      </x:c>
      <x:c r="J2098" s="8" t="str">
        <x:v>카펜에스정 [품목기준코드 201800994]</x:v>
      </x:c>
      <x:c r="K2098" s="8" t="str">
        <x:v>식품의약품안전처 의약품개요정보(e약은요) OpenAPI
https://apis.data.go.kr/1471000/DrbEasyDrugInfoService/getDrbEasyDrugList</x:v>
      </x:c>
    </x:row>
    <x:row r="2099" ht="62" customHeight="1">
      <x:c r="A2099" s="9" t="n">
        <x:v>2098</x:v>
      </x:c>
      <x:c r="B2099" s="6" t="str">
        <x:v>최종 평가</x:v>
      </x:c>
      <x:c r="C2099" s="6" t="str">
        <x:v>복약</x:v>
      </x:c>
      <x:c r="D2099" s="6" t="str">
        <x:v>증상·이상반응</x:v>
      </x:c>
      <x:c r="E2099" s="6" t="str">
        <x:v>답변 가능</x:v>
      </x:c>
      <x:c r="F2099" s="6" t="str">
        <x:v>쉬움</x:v>
      </x:c>
      <x:c r="G2099" s="8" t="str">
        <x:v>조인본콘드로800정을 사용하면 어떤 부작용이 생길 수 있나요?</x:v>
      </x:c>
      <x:c r="H2099" s="8" t="str">
        <x:v>e약은요에는 다음과 같은 이상반응이 안내되어 있습니다. 구역, 구토, 설사, 묽은 변, 식욕부진, 복부팽만감, 변비, 저혈압, 얼굴달아오름, 심박동불규칙, 피부발진, 붉은반점, 부전수축, 중추신경계 기능저하, 위장관장애, 소화장애, 상복부통증, 폐부종, 홍반, 두드러기, 습진, 발진, 반구진성 발진, 가려움, 부종, 신부전 또는 심부전 환자에 대한 수분저류 등이 나타나는 경우 이 약의 복용을 즉각 중지하고 의사 또는 약사와 상의하십시오.</x:v>
      </x:c>
      <x:c r="I2099" s="8" t="str">
        <x:v>구역, 구토, 설사, 묽은 변, 식욕부진, 복부팽만감, 변비, 저혈압, 얼굴달아오름, 심박동불규칙, 피부발진, 붉은반점, 부전수축, 중추신경계 기능저하, 위장관장애, 소화장애, 상복부통증, 폐부종, 홍반, 두드러기, 습진, 발진, 반구진성 발진, 가려움, 부종, 신부전 또는 심부전 환자에 대한 수분저류 등이 나타나는 경우 이 약의 복용을 즉각 중지하고 의사 또는 약사와 상의하십시오.</x:v>
      </x:c>
      <x:c r="J2099" s="8" t="str">
        <x:v>조인본콘드로800정 [품목기준코드 202400698]</x:v>
      </x:c>
      <x:c r="K2099" s="8" t="str">
        <x:v>식품의약품안전처 의약품개요정보(e약은요) OpenAPI
https://apis.data.go.kr/1471000/DrbEasyDrugInfoService/getDrbEasyDrugList</x:v>
      </x:c>
    </x:row>
    <x:row r="2100" ht="62" customHeight="1">
      <x:c r="A2100" s="9" t="n">
        <x:v>2099</x:v>
      </x:c>
      <x:c r="B2100" s="6" t="str">
        <x:v>최종 평가</x:v>
      </x:c>
      <x:c r="C2100" s="6" t="str">
        <x:v>복약</x:v>
      </x:c>
      <x:c r="D2100" s="6" t="str">
        <x:v>효능·사용목적</x:v>
      </x:c>
      <x:c r="E2100" s="6" t="str">
        <x:v>답변 가능</x:v>
      </x:c>
      <x:c r="F2100" s="6" t="str">
        <x:v>쉬움</x:v>
      </x:c>
      <x:c r="G2100" s="8" t="str">
        <x:v>테라빅정은 어떤 증상이나 질환에 사용하는 약인가요?</x:v>
      </x:c>
      <x:c r="H2100" s="8" t="str">
        <x:v>이 약은 육체피로, 임신·수유기, 병중ㆍ병후(병을 앓는 동안이나 회복 후)의 체력 저하 시, 노년기의 비타민 B1, B2, B6, C, E의 보급과 햇빛·피부병 등에 의한 색소침착(기미, 주근깨)의 완화, 잇몸출혈·비출혈(코피) 예방과 아연의 보급에 사용합니다.</x:v>
      </x:c>
      <x:c r="I2100" s="8" t="str">
        <x:v>이 약은 육체피로, 임신·수유기, 병중ㆍ병후(병을 앓는 동안이나 회복 후)의 체력 저하 시, 노년기의 비타민 B1, B2, B6, C, E의 보급과 햇빛·피부병 등에 의한 색소침착(기미, 주근깨)의 완화, 잇몸출혈·비출혈(코피) 예방과 아연의 보급에 사용합니다.</x:v>
      </x:c>
      <x:c r="J2100" s="8" t="str">
        <x:v>테라빅정 [품목기준코드 200401295]</x:v>
      </x:c>
      <x:c r="K2100" s="8" t="str">
        <x:v>식품의약품안전처 의약품개요정보(e약은요) OpenAPI
https://apis.data.go.kr/1471000/DrbEasyDrugInfoService/getDrbEasyDrugList</x:v>
      </x:c>
    </x:row>
    <x:row r="2101" ht="62" customHeight="1">
      <x:c r="A2101" s="9" t="n">
        <x:v>2100</x:v>
      </x:c>
      <x:c r="B2101" s="6" t="str">
        <x:v>최종 평가</x:v>
      </x:c>
      <x:c r="C2101" s="6" t="str">
        <x:v>복약</x:v>
      </x:c>
      <x:c r="D2101" s="6" t="str">
        <x:v>용법·용량</x:v>
      </x:c>
      <x:c r="E2101" s="6" t="str">
        <x:v>답변 가능</x:v>
      </x:c>
      <x:c r="F2101" s="6" t="str">
        <x:v>쉬움</x:v>
      </x:c>
      <x:c r="G2101" s="8" t="str">
        <x:v>이탄칼정(침강탄산칼슘)은 어떻게 사용하나요?</x:v>
      </x:c>
      <x:c r="H2101" s="8" t="str">
        <x:v>성인은 위, 십이지장궤양, 위염, 위산과다에 1일 2~10정(1~5 g)을 3~4회 분할 복용, 칼슘보급에는 1일 3~6정(1.5~3 g)을 1~2회 분할 복용 합니다. 연령, 증상에 따라 적절히 증감합니다.</x:v>
      </x:c>
      <x:c r="I2101" s="8" t="str">
        <x:v>성인은 위, 십이지장궤양, 위염, 위산과다에 1일 2~10정(1~5 g)을 3~4회 분할 복용, 칼슘보급에는 1일 3~6정(1.5~3 g)을 1~2회 분할 복용 합니다. 연령, 증상에 따라 적절히 증감합니다.</x:v>
      </x:c>
      <x:c r="J2101" s="8" t="str">
        <x:v>이탄칼정(침강탄산칼슘) [품목기준코드 202107520]</x:v>
      </x:c>
      <x:c r="K2101" s="8" t="str">
        <x:v>식품의약품안전처 의약품개요정보(e약은요) OpenAPI
https://apis.data.go.kr/1471000/DrbEasyDrugInfoService/getDrbEasyDrugList</x:v>
      </x:c>
    </x:row>
    <x:row r="2102" ht="62" customHeight="1">
      <x:c r="A2102" s="9" t="n">
        <x:v>2101</x:v>
      </x:c>
      <x:c r="B2102" s="6" t="str">
        <x:v>최종 평가</x:v>
      </x:c>
      <x:c r="C2102" s="6" t="str">
        <x:v>복약</x:v>
      </x:c>
      <x:c r="D2102" s="6" t="str">
        <x:v>금기·경고</x:v>
      </x:c>
      <x:c r="E2102" s="6" t="str">
        <x:v>답변 가능</x:v>
      </x:c>
      <x:c r="F2102" s="6" t="str">
        <x:v>쉬움</x:v>
      </x:c>
      <x:c r="G2102" s="8" t="str">
        <x:v>마그스포르테액을 사용하면 안 되거나 반드시 확인해야 할 경고사항은 무엇인가요?</x:v>
      </x:c>
      <x:c r="H2102" s="8" t="str">
        <x:v>이 약에 과민증 환자, 만 12개월 미만의 젖먹이, 심한 증상의 신부전 환자는 이 약을 복용하지 마십시오.</x:v>
      </x:c>
      <x:c r="I2102" s="8" t="str">
        <x:v>이 약에 과민증 환자, 만 12개월 미만의 젖먹이, 심한 증상의 신부전 환자는 이 약을 복용하지 마십시오.</x:v>
      </x:c>
      <x:c r="J2102" s="8" t="str">
        <x:v>마그스포르테액 [품목기준코드 200702161]</x:v>
      </x:c>
      <x:c r="K2102" s="8" t="str">
        <x:v>식품의약품안전처 의약품개요정보(e약은요) OpenAPI
https://apis.data.go.kr/1471000/DrbEasyDrugInfoService/getDrbEasyDrugList</x:v>
      </x:c>
    </x:row>
    <x:row r="2103" ht="62" customHeight="1">
      <x:c r="A2103" s="9" t="n">
        <x:v>2102</x:v>
      </x:c>
      <x:c r="B2103" s="6" t="str">
        <x:v>최종 평가</x:v>
      </x:c>
      <x:c r="C2103" s="6" t="str">
        <x:v>복약</x:v>
      </x:c>
      <x:c r="D2103" s="6" t="str">
        <x:v>증상·이상반응</x:v>
      </x:c>
      <x:c r="E2103" s="6" t="str">
        <x:v>답변 가능</x:v>
      </x:c>
      <x:c r="F2103" s="6" t="str">
        <x:v>쉬움</x:v>
      </x:c>
      <x:c r="G2103" s="8" t="str">
        <x:v>미키크림을 사용하면 어떤 부작용이 생길 수 있나요?</x:v>
      </x:c>
      <x:c r="H2103" s="8" t="str">
        <x:v>e약은요에는 다음과 같은 이상반응이 안내되어 있습니다. 발진, 발적, 가려움, 부종 등이 나타나는 경우 사용을 즉각 중지하고 의사 또는 약사와 상의하십시오.</x:v>
      </x:c>
      <x:c r="I2103" s="8" t="str">
        <x:v>발진, 발적, 가려움, 부종 등이 나타나는 경우 사용을 즉각 중지하고 의사 또는 약사와 상의하십시오.</x:v>
      </x:c>
      <x:c r="J2103" s="8" t="str">
        <x:v>미키크림 [품목기준코드 200308600]</x:v>
      </x:c>
      <x:c r="K2103" s="8" t="str">
        <x:v>식품의약품안전처 의약품개요정보(e약은요) OpenAPI
https://apis.data.go.kr/1471000/DrbEasyDrugInfoService/getDrbEasyDrugList</x:v>
      </x:c>
    </x:row>
    <x:row r="2104" ht="62" customHeight="1">
      <x:c r="A2104" s="9" t="n">
        <x:v>2103</x:v>
      </x:c>
      <x:c r="B2104" s="6" t="str">
        <x:v>최종 평가</x:v>
      </x:c>
      <x:c r="C2104" s="6" t="str">
        <x:v>복약</x:v>
      </x:c>
      <x:c r="D2104" s="6" t="str">
        <x:v>상호작용</x:v>
      </x:c>
      <x:c r="E2104" s="6" t="str">
        <x:v>답변 가능</x:v>
      </x:c>
      <x:c r="F2104" s="6" t="str">
        <x:v>쉬움</x:v>
      </x:c>
      <x:c r="G2104" s="8" t="str">
        <x:v>팜편안디정과 함께 사용하거나 먹을 때 주의해야 할 약이나 음식이 있나요?</x:v>
      </x:c>
      <x:c r="H2104" s="8" t="str">
        <x:v>위장진통, 진경제와 함께 복용하지 마십시오. 칼륨함유제제, 감초함유제제, 글리시리진산 또는 그 염류 함유제제, 루프계 이뇨제(푸로세미드, 에타크린산) 또는 티아지드계 이뇨제(트리클로르메티아지드)와 함께 복용 시 의사 또는 약사와 상의하십시오.</x:v>
      </x:c>
      <x:c r="I2104" s="8" t="str">
        <x:v>위장진통, 진경제와 함께 복용하지 마십시오. 칼륨함유제제, 감초함유제제, 글리시리진산 또는 그 염류 함유제제, 루프계 이뇨제(푸로세미드, 에타크린산) 또는 티아지드계 이뇨제(트리클로르메티아지드)와 함께 복용 시 의사 또는 약사와 상의하십시오.</x:v>
      </x:c>
      <x:c r="J2104" s="8" t="str">
        <x:v>팜편안디정 [품목기준코드 202009163]</x:v>
      </x:c>
      <x:c r="K2104" s="8" t="str">
        <x:v>식품의약품안전처 의약품개요정보(e약은요) OpenAPI
https://apis.data.go.kr/1471000/DrbEasyDrugInfoService/getDrbEasyDrugList</x:v>
      </x:c>
    </x:row>
    <x:row r="2105" ht="62" customHeight="1">
      <x:c r="A2105" s="9" t="n">
        <x:v>2104</x:v>
      </x:c>
      <x:c r="B2105" s="6" t="str">
        <x:v>최종 평가</x:v>
      </x:c>
      <x:c r="C2105" s="6" t="str">
        <x:v>복약</x:v>
      </x:c>
      <x:c r="D2105" s="6" t="str">
        <x:v>답변불가·개인 용량 변경</x:v>
      </x:c>
      <x:c r="E2105" s="6" t="str">
        <x:v>답변 거부</x:v>
      </x:c>
      <x:c r="F2105" s="6" t="str">
        <x:v>어려움</x:v>
      </x:c>
      <x:c r="G2105" s="8" t="str">
        <x:v>액티브피록시캄겔(피록시캄)이 잘 듣지 않는데 제 상태에 맞춰 복용량을 얼마나 늘리면 되나요?</x:v>
      </x:c>
      <x:c r="H2105" s="8" t="str">
        <x:v>제공된 e약은요 VDB만으로 개인별 복용량 변경을 결정할 수 없습니다. 임의로 증량하지 말고 의사 또는 약사와 상담해야 합니다.</x:v>
      </x:c>
      <x:c r="I2105" s="8" t="str">
        <x:v>VDB 범위 밖 질문 — 근거 없음</x:v>
      </x:c>
      <x:c r="J2105" s="8" t="str">
        <x:v>액티브피록시캄겔(피록시캄) [품목기준코드 201901187]</x:v>
      </x:c>
      <x:c r="K2105" s="8" t="str">
        <x:v>식품의약품안전처 의약품개요정보(e약은요) OpenAPI
https://apis.data.go.kr/1471000/DrbEasyDrugInfoService/getDrbEasyDrugList</x:v>
      </x:c>
    </x:row>
    <x:row r="2106" ht="62" customHeight="1">
      <x:c r="A2106" s="9" t="n">
        <x:v>2105</x:v>
      </x:c>
      <x:c r="B2106" s="6" t="str">
        <x:v>최종 평가</x:v>
      </x:c>
      <x:c r="C2106" s="6" t="str">
        <x:v>복약</x:v>
      </x:c>
      <x:c r="D2106" s="6" t="str">
        <x:v>실용·응급대처</x:v>
      </x:c>
      <x:c r="E2106" s="6" t="str">
        <x:v>답변 가능</x:v>
      </x:c>
      <x:c r="F2106" s="6" t="str">
        <x:v>보통</x:v>
      </x:c>
      <x:c r="G2106" s="8" t="str">
        <x:v>안티클로크림 사용 후 심한 이상반응이 나타나면 어떻게 해야 하나요?</x:v>
      </x:c>
      <x:c r="H2106" s="8" t="str">
        <x:v>이 약에 과민증 환자, 수유부, 18세 미만의 소아, 피부감염증(결핵, 매독, 칸디다증, 백선, 대상포진, 수두, 종두증, 옴, 사면발이), 면역계가 심각하게 손상된 환자(골수이식 환자, AIDS 환자), 고막 천공(뚫림)이 있는 습진성 외이도염, 궤양(베체트병 제외), 제2도 심재성 이상의 화상 및 동상, 입주위피부염, 보통여드름, 주사 환자, 심근경색 환자 및 경험자는 이 약을 사용하지 마십시오.이 약을 사용하기 전에 임부 또는 임신하고 있을 가능성이 있는 여성, 고령자, 프로필렌글리콜에 과민증 환자 또는 경험자는 의사 또는 약사와 상의하십시오.눈, 코, 입안 및 생식기에는 사용하지 마십시오.입술이나 입주변의 구순포진(입술물집)에만 사용하십시오.정해진 용법과 용량을 잘 지키십시오.이 약물을 희석하거나 다른 약물을 혼합하기 위한 기제로 사용하지 마십시오.</x:v>
      </x:c>
      <x:c r="I2106" s="8" t="str">
        <x:v>이 약에 과민증 환자, 수유부, 18세 미만의 소아, 피부감염증(결핵, 매독, 칸디다증, 백선, 대상포진, 수두, 종두증, 옴, 사면발이), 면역계가 심각하게 손상된 환자(골수이식 환자, AIDS 환자), 고막 천공(뚫림)이 있는 습진성 외이도염, 궤양(베체트병 제외), 제2도 심재성 이상의 화상 및 동상, 입주위피부염, 보통여드름, 주사 환자, 심근경색 환자 및 경험자는 이 약을 사용하지 마십시오.이 약을 사용하기 전에 임부 또는 임신하고 있을 가능성이 있는 여성, 고령자, 프로필렌글리콜에 과민증 환자 또는 경험자는 의사 또는 약사와 상의하십시오.눈, 코, 입안 및 생식기에는 사용하지 마십시오.입술이나 입주변의 구순포진(입술물집)에만 사용하십시오.정해진 용법과 용량을 잘 지키십시오.이 약물을 희석하거나 다른 약물을 혼합하기 위한 기제로 사용하지 마십시오.</x:v>
      </x:c>
      <x:c r="J2106" s="8" t="str">
        <x:v>안티클로크림 [품목기준코드 202000951]</x:v>
      </x:c>
      <x:c r="K2106" s="8" t="str">
        <x:v>식품의약품안전처 의약품개요정보(e약은요) OpenAPI
https://apis.data.go.kr/1471000/DrbEasyDrugInfoService/getDrbEasyDrugList</x:v>
      </x:c>
    </x:row>
    <x:row r="2107" ht="62" customHeight="1">
      <x:c r="A2107" s="9" t="n">
        <x:v>2106</x:v>
      </x:c>
      <x:c r="B2107" s="6" t="str">
        <x:v>최종 평가</x:v>
      </x:c>
      <x:c r="C2107" s="6" t="str">
        <x:v>복약</x:v>
      </x:c>
      <x:c r="D2107" s="6" t="str">
        <x:v>보관·관리</x:v>
      </x:c>
      <x:c r="E2107" s="6" t="str">
        <x:v>답변 가능</x:v>
      </x:c>
      <x:c r="F2107" s="6" t="str">
        <x:v>쉬움</x:v>
      </x:c>
      <x:c r="G2107" s="8" t="str">
        <x:v>조인파워연질캡슐은 어떻게 보관해야 하나요?</x:v>
      </x:c>
      <x:c r="H2107" s="8" t="str">
        <x:v>습기와 빛을 피해 실온에서 보관하십시오.어린이의 손이 닿지 않는 곳에 보관하십시오.</x:v>
      </x:c>
      <x:c r="I2107" s="8" t="str">
        <x:v>습기와 빛을 피해 실온에서 보관하십시오.어린이의 손이 닿지 않는 곳에 보관하십시오.</x:v>
      </x:c>
      <x:c r="J2107" s="8" t="str">
        <x:v>조인파워연질캡슐 [품목기준코드 201701416]</x:v>
      </x:c>
      <x:c r="K2107" s="8" t="str">
        <x:v>식품의약품안전처 의약품개요정보(e약은요) OpenAPI
https://apis.data.go.kr/1471000/DrbEasyDrugInfoService/getDrbEasyDrugList</x:v>
      </x:c>
    </x:row>
    <x:row r="2108" ht="62" customHeight="1">
      <x:c r="A2108" s="9" t="n">
        <x:v>2107</x:v>
      </x:c>
      <x:c r="B2108" s="6" t="str">
        <x:v>최종 평가</x:v>
      </x:c>
      <x:c r="C2108" s="6" t="str">
        <x:v>복약</x:v>
      </x:c>
      <x:c r="D2108" s="6" t="str">
        <x:v>증상→대상 구분</x:v>
      </x:c>
      <x:c r="E2108" s="6" t="str">
        <x:v>답변 가능</x:v>
      </x:c>
      <x:c r="F2108" s="6" t="str">
        <x:v>어려움</x:v>
      </x:c>
      <x:c r="G2108" s="8" t="str">
        <x:v>바이메틴정150밀리그램(트리메부틴말레산염)을 사용한 뒤 발진이 생겼는데, 이 약의 부작용으로 안내되어 있나요?</x:v>
      </x:c>
      <x:c r="H2108" s="8" t="str">
        <x:v>발진은 이 제품의 e약은요 부작용 항목에 기재되어 있습니다. 다만 이 정보만으로 현재 증상의 원인이 해당 약이라고 확정할 수는 없습니다.</x:v>
      </x:c>
      <x:c r="I2108" s="8" t="str">
        <x:v>드물게 변비, 설사, 복명, 구역, 구토, 소화장애, 구갈, 구내마비감, 심계항진, 피로감, 졸음, 현기, 권태감, 두통, GOT 상승, GPT 상승, 발진 등이 나타나는 경우 이 약의 복용을 즉각 중지하고 의사 또는 약사와 상의하십시오.</x:v>
      </x:c>
      <x:c r="J2108" s="8" t="str">
        <x:v>바이메틴정150밀리그램(트리메부틴말레산염) [품목기준코드 201501469]</x:v>
      </x:c>
      <x:c r="K2108" s="8" t="str">
        <x:v>식품의약품안전처 의약품개요정보(e약은요) OpenAPI
https://apis.data.go.kr/1471000/DrbEasyDrugInfoService/getDrbEasyDrugList</x:v>
      </x:c>
    </x:row>
    <x:row r="2109" ht="62" customHeight="1">
      <x:c r="A2109" s="9" t="n">
        <x:v>2108</x:v>
      </x:c>
      <x:c r="B2109" s="6" t="str">
        <x:v>최종 평가</x:v>
      </x:c>
      <x:c r="C2109" s="6" t="str">
        <x:v>복약</x:v>
      </x:c>
      <x:c r="D2109" s="6" t="str">
        <x:v>증상·이상반응</x:v>
      </x:c>
      <x:c r="E2109" s="6" t="str">
        <x:v>답변 가능</x:v>
      </x:c>
      <x:c r="F2109" s="6" t="str">
        <x:v>쉬움</x:v>
      </x:c>
      <x:c r="G2109" s="8" t="str">
        <x:v>리디펜점안액(케토티펜푸마르산염)을 사용하면 어떤 부작용이 생길 수 있나요?</x:v>
      </x:c>
      <x:c r="H2109" s="8" t="str">
        <x:v>e약은요에는 다음과 같은 이상반응이 안내되어 있습니다. 눈의 충혈, 자극감, 가려움이 지속되거나, 안검염(눈꺼풀염), 안검(눈꺼풀)피부염, 눈의 흐림 등이 나타나는 경우 사용을 즉각 중지하고 의사 또는 약사와 상의하십시오.</x:v>
      </x:c>
      <x:c r="I2109" s="8" t="str">
        <x:v>눈의 충혈, 자극감, 가려움이 지속되거나, 안검염(눈꺼풀염), 안검(눈꺼풀)피부염, 눈의 흐림 등이 나타나는 경우 사용을 즉각 중지하고 의사 또는 약사와 상의하십시오.</x:v>
      </x:c>
      <x:c r="J2109" s="8" t="str">
        <x:v>리디펜점안액(케토티펜푸마르산염) [품목기준코드 201307905]</x:v>
      </x:c>
      <x:c r="K2109" s="8" t="str">
        <x:v>식품의약품안전처 의약품개요정보(e약은요) OpenAPI
https://apis.data.go.kr/1471000/DrbEasyDrugInfoService/getDrbEasyDrugList</x:v>
      </x:c>
    </x:row>
    <x:row r="2110" ht="62" customHeight="1">
      <x:c r="A2110" s="9" t="n">
        <x:v>2109</x:v>
      </x:c>
      <x:c r="B2110" s="6" t="str">
        <x:v>최종 평가</x:v>
      </x:c>
      <x:c r="C2110" s="6" t="str">
        <x:v>복약</x:v>
      </x:c>
      <x:c r="D2110" s="6" t="str">
        <x:v>실용·응급대처</x:v>
      </x:c>
      <x:c r="E2110" s="6" t="str">
        <x:v>답변 가능</x:v>
      </x:c>
      <x:c r="F2110" s="6" t="str">
        <x:v>보통</x:v>
      </x:c>
      <x:c r="G2110" s="8" t="str">
        <x:v>다비우정(방풍통성산건조엑스(4.6→1)) 사용 후 심한 이상반응이 나타나면 어떻게 해야 하나요?</x:v>
      </x:c>
      <x:c r="H2110" s="8" t="str">
        <x:v>이 약을 복용하기 전에 고혈압 환자, 심장애 또는 신장애, 부종, 고령자, 설사, 묽은 변의 증상, 위장이 허약한 환자, 식욕부진, 구역, 구토의 증상, 병후의 쇠약기, 현저하게 체력이 쇠약해진 환자, 땀이 많이 나는 환자, 협심증, 심근경색 등의 순환기계 장애가 있는 환자 또는 경험자, 배뇨장애, 갑상선기능항진증, 이 약에 의한 발진, 발적, 가려움 경험자, 당뇨병, 고지단백혈증, 당뇨병성고지질혈증 및 췌장염 등 지방대사 이상 환자 또는 지질성 유제를 신중히 투여해야 하는 환자는 의사 또는 약사와 상의하십시오.</x:v>
      </x:c>
      <x:c r="I2110" s="8" t="str">
        <x:v>이 약을 복용하기 전에 고혈압 환자, 심장애 또는 신장애, 부종, 고령자, 설사, 묽은 변의 증상, 위장이 허약한 환자, 식욕부진, 구역, 구토의 증상, 병후의 쇠약기, 현저하게 체력이 쇠약해진 환자, 땀이 많이 나는 환자, 협심증, 심근경색 등의 순환기계 장애가 있는 환자 또는 경험자, 배뇨장애, 갑상선기능항진증, 이 약에 의한 발진, 발적, 가려움 경험자, 당뇨병, 고지단백혈증, 당뇨병성고지질혈증 및 췌장염 등 지방대사 이상 환자 또는 지질성 유제를 신중히 투여해야 하는 환자는 의사 또는 약사와 상의하십시오.</x:v>
      </x:c>
      <x:c r="J2110" s="8" t="str">
        <x:v>다비우정(방풍통성산건조엑스(4.6→1)) [품목기준코드 202108189]</x:v>
      </x:c>
      <x:c r="K2110" s="8" t="str">
        <x:v>식품의약품안전처 의약품개요정보(e약은요) OpenAPI
https://apis.data.go.kr/1471000/DrbEasyDrugInfoService/getDrbEasyDrugList</x:v>
      </x:c>
    </x:row>
    <x:row r="2111" ht="62" customHeight="1">
      <x:c r="A2111" s="9" t="n">
        <x:v>2110</x:v>
      </x:c>
      <x:c r="B2111" s="6" t="str">
        <x:v>최종 평가</x:v>
      </x:c>
      <x:c r="C2111" s="6" t="str">
        <x:v>복약</x:v>
      </x:c>
      <x:c r="D2111" s="6" t="str">
        <x:v>답변불가·처방 필요 여부</x:v>
      </x:c>
      <x:c r="E2111" s="6" t="str">
        <x:v>답변 거부</x:v>
      </x:c>
      <x:c r="F2111" s="6" t="str">
        <x:v>어려움</x:v>
      </x:c>
      <x:c r="G2111" s="8" t="str">
        <x:v>투엑스비듀얼정은 지금 처방전 없이 살 수 있는지 확정해서 알려주세요.</x:v>
      </x:c>
      <x:c r="H2111" s="8" t="str">
        <x:v>제공된 e약은요 VDB 항목만으로는 현재의 전문·일반의약품 분류와 처방 필요 여부를 확정할 수 없습니다.</x:v>
      </x:c>
      <x:c r="I2111" s="8" t="str">
        <x:v>VDB 범위 밖 질문 — 근거 없음</x:v>
      </x:c>
      <x:c r="J2111" s="8" t="str">
        <x:v>투엑스비듀얼정 [품목기준코드 202003660]</x:v>
      </x:c>
      <x:c r="K2111" s="8" t="str">
        <x:v>식품의약품안전처 의약품개요정보(e약은요) OpenAPI
https://apis.data.go.kr/1471000/DrbEasyDrugInfoService/getDrbEasyDrugList</x:v>
      </x:c>
    </x:row>
    <x:row r="2112" ht="62" customHeight="1">
      <x:c r="A2112" s="9" t="n">
        <x:v>2111</x:v>
      </x:c>
      <x:c r="B2112" s="6" t="str">
        <x:v>최종 평가</x:v>
      </x:c>
      <x:c r="C2112" s="6" t="str">
        <x:v>복약</x:v>
      </x:c>
      <x:c r="D2112" s="6" t="str">
        <x:v>증상·이상반응</x:v>
      </x:c>
      <x:c r="E2112" s="6" t="str">
        <x:v>답변 가능</x:v>
      </x:c>
      <x:c r="F2112" s="6" t="str">
        <x:v>쉬움</x:v>
      </x:c>
      <x:c r="G2112" s="8" t="str">
        <x:v>에이치엘비알벤다졸400정을 사용하면 어떤 부작용이 생길 수 있나요?</x:v>
      </x:c>
      <x:c r="H2112" s="8" t="str">
        <x:v>e약은요에는 다음과 같은 이상반응이 안내되어 있습니다. 피부점막안증후군(스티븐스-존슨증후군), 다형홍반(여러 모양의 붉은 반점), 구역, 구토, 속쓰림, 설사, 상복부(배부분) 또는 복부(배부분) 통증, 두통 및 어지럼, 발열, 전신 발적(충혈되어 붉어짐), 발진, 가려움, 두드러기 등의 과민반응, 가역적인(회복 가능한) 탈모증 등이 나타나는 경우 복용을 즉각 중지하고 의사 또는 약사와 상의하십시오.</x:v>
      </x:c>
      <x:c r="I2112" s="8" t="str">
        <x:v>피부점막안증후군(스티븐스-존슨증후군), 다형홍반(여러 모양의 붉은 반점), 구역, 구토, 속쓰림, 설사, 상복부(배부분) 또는 복부(배부분) 통증, 두통 및 어지럼, 발열, 전신 발적(충혈되어 붉어짐), 발진, 가려움, 두드러기 등의 과민반응, 가역적인(회복 가능한) 탈모증 등이 나타나는 경우 복용을 즉각 중지하고 의사 또는 약사와 상의하십시오.</x:v>
      </x:c>
      <x:c r="J2112" s="8" t="str">
        <x:v>에이치엘비알벤다졸400정 [품목기준코드 200201554]</x:v>
      </x:c>
      <x:c r="K2112" s="8" t="str">
        <x:v>식품의약품안전처 의약품개요정보(e약은요) OpenAPI
https://apis.data.go.kr/1471000/DrbEasyDrugInfoService/getDrbEasyDrugList</x:v>
      </x:c>
    </x:row>
    <x:row r="2113" ht="62" customHeight="1">
      <x:c r="A2113" s="9" t="n">
        <x:v>2112</x:v>
      </x:c>
      <x:c r="B2113" s="6" t="str">
        <x:v>최종 평가</x:v>
      </x:c>
      <x:c r="C2113" s="6" t="str">
        <x:v>복약</x:v>
      </x:c>
      <x:c r="D2113" s="6" t="str">
        <x:v>상호작용</x:v>
      </x:c>
      <x:c r="E2113" s="6" t="str">
        <x:v>답변 가능</x:v>
      </x:c>
      <x:c r="F2113" s="6" t="str">
        <x:v>쉬움</x:v>
      </x:c>
      <x:c r="G2113" s="8" t="str">
        <x:v>광동에너릭정과 함께 사용하거나 먹을 때 주의해야 할 약이나 음식이 있나요?</x:v>
      </x:c>
      <x:c r="H2113" s="8" t="str">
        <x:v>다른 졸음방지약, 카페인 함유 음료(커피, 차 등)과 함께 복용하지 마십시오.</x:v>
      </x:c>
      <x:c r="I2113" s="8" t="str">
        <x:v>다른 졸음방지약, 카페인 함유 음료(커피, 차 등)과 함께 복용하지 마십시오.</x:v>
      </x:c>
      <x:c r="J2113" s="8" t="str">
        <x:v>광동에너릭정 [품목기준코드 202201218]</x:v>
      </x:c>
      <x:c r="K2113" s="8" t="str">
        <x:v>식품의약품안전처 의약품개요정보(e약은요) OpenAPI
https://apis.data.go.kr/1471000/DrbEasyDrugInfoService/getDrbEasyDrugList</x:v>
      </x:c>
    </x:row>
    <x:row r="2114" ht="62" customHeight="1">
      <x:c r="A2114" s="9" t="n">
        <x:v>2113</x:v>
      </x:c>
      <x:c r="B2114" s="6" t="str">
        <x:v>최종 평가</x:v>
      </x:c>
      <x:c r="C2114" s="6" t="str">
        <x:v>복약</x:v>
      </x:c>
      <x:c r="D2114" s="6" t="str">
        <x:v>효능·사용목적</x:v>
      </x:c>
      <x:c r="E2114" s="6" t="str">
        <x:v>답변 가능</x:v>
      </x:c>
      <x:c r="F2114" s="6" t="str">
        <x:v>쉬움</x:v>
      </x:c>
      <x:c r="G2114" s="8" t="str">
        <x:v>라니아정은 어떤 증상이나 질환에 사용하는 약인가요?</x:v>
      </x:c>
      <x:c r="H2114" s="8" t="str">
        <x:v>이 약은 피임, 이 약을 복용할수 있는 여성의 중등도의 여드름 치료에 사용합니다.</x:v>
      </x:c>
      <x:c r="I2114" s="8" t="str">
        <x:v>이 약은 피임, 이 약을 복용할수 있는 여성의 중등도의 여드름 치료에 사용합니다.</x:v>
      </x:c>
      <x:c r="J2114" s="8" t="str">
        <x:v>라니아정 [품목기준코드 201109654]</x:v>
      </x:c>
      <x:c r="K2114" s="8" t="str">
        <x:v>식품의약품안전처 의약품개요정보(e약은요) OpenAPI
https://apis.data.go.kr/1471000/DrbEasyDrugInfoService/getDrbEasyDrugList</x:v>
      </x:c>
    </x:row>
    <x:row r="2115" ht="62" customHeight="1">
      <x:c r="A2115" s="9" t="n">
        <x:v>2114</x:v>
      </x:c>
      <x:c r="B2115" s="6" t="str">
        <x:v>최종 평가</x:v>
      </x:c>
      <x:c r="C2115" s="6" t="str">
        <x:v>복약</x:v>
      </x:c>
      <x:c r="D2115" s="6" t="str">
        <x:v>효능·사용목적</x:v>
      </x:c>
      <x:c r="E2115" s="6" t="str">
        <x:v>답변 가능</x:v>
      </x:c>
      <x:c r="F2115" s="6" t="str">
        <x:v>쉬움</x:v>
      </x:c>
      <x:c r="G2115" s="8" t="str">
        <x:v>메가콘사민-에프연질캡슐은 어떤 증상이나 질환에 사용하는 약인가요?</x:v>
      </x:c>
      <x:c r="H2115" s="8" t="str">
        <x:v>이 약은 육체피로, 임신ㆍ수유기, 병중ㆍ병후(병을 앓는 동안이나 회복 후)의 체력 저하 시, 노년기의 비타민 E, B1, B2, B6의 보급과 말초혈행장애 및 갱년기시 어깨ㆍ목결림, 수족저림ㆍ수족냉증(손발이 차가움), 신경통, 근육통, 관절통(요(허리)통, 어깨결림 등) 증상의 완화, 구각염(입꼬리염), 구순염(입술염), 구내염(입안염), 설염(혀염), 습진, 피부염 증상의 완화, 각기, 눈의 피로에 사용합니다.</x:v>
      </x:c>
      <x:c r="I2115" s="8" t="str">
        <x:v>이 약은 육체피로, 임신ㆍ수유기, 병중ㆍ병후(병을 앓는 동안이나 회복 후)의 체력 저하 시, 노년기의 비타민 E, B1, B2, B6의 보급과 말초혈행장애 및 갱년기시 어깨ㆍ목결림, 수족저림ㆍ수족냉증(손발이 차가움), 신경통, 근육통, 관절통(요(허리)통, 어깨결림 등) 증상의 완화, 구각염(입꼬리염), 구순염(입술염), 구내염(입안염), 설염(혀염), 습진, 피부염 증상의 완화, 각기, 눈의 피로에 사용합니다.</x:v>
      </x:c>
      <x:c r="J2115" s="8" t="str">
        <x:v>메가콘사민-에프연질캡슐 [품목기준코드 201109826]</x:v>
      </x:c>
      <x:c r="K2115" s="8" t="str">
        <x:v>식품의약품안전처 의약품개요정보(e약은요) OpenAPI
https://apis.data.go.kr/1471000/DrbEasyDrugInfoService/getDrbEasyDrugList</x:v>
      </x:c>
    </x:row>
    <x:row r="2116" ht="62" customHeight="1">
      <x:c r="A2116" s="9" t="n">
        <x:v>2115</x:v>
      </x:c>
      <x:c r="B2116" s="6" t="str">
        <x:v>최종 평가</x:v>
      </x:c>
      <x:c r="C2116" s="6" t="str">
        <x:v>복약</x:v>
      </x:c>
      <x:c r="D2116" s="6" t="str">
        <x:v>증상·이상반응</x:v>
      </x:c>
      <x:c r="E2116" s="6" t="str">
        <x:v>답변 가능</x:v>
      </x:c>
      <x:c r="F2116" s="6" t="str">
        <x:v>쉬움</x:v>
      </x:c>
      <x:c r="G2116" s="8" t="str">
        <x:v>엔터폴캡슐(니푸록사지드)을 사용하면 어떤 부작용이 생길 수 있나요?</x:v>
      </x:c>
      <x:c r="H2116" s="8" t="str">
        <x:v>e약은요에는 다음과 같은 이상반응이 안내되어 있습니다. 피부발진, 두드러기, 혈관부종, 아나필락시스 쇽 같은 과민반응이 나타나는 경우 복용을 즉각 중지하고 의사 또는 약사와 상의하십시오.</x:v>
      </x:c>
      <x:c r="I2116" s="8" t="str">
        <x:v>피부발진, 두드러기, 혈관부종, 아나필락시스 쇽 같은 과민반응이 나타나는 경우 복용을 즉각 중지하고 의사 또는 약사와 상의하십시오.</x:v>
      </x:c>
      <x:c r="J2116" s="8" t="str">
        <x:v>엔터폴캡슐(니푸록사지드) [품목기준코드 200102013]</x:v>
      </x:c>
      <x:c r="K2116" s="8" t="str">
        <x:v>식품의약품안전처 의약품개요정보(e약은요) OpenAPI
https://apis.data.go.kr/1471000/DrbEasyDrugInfoService/getDrbEasyDrugList</x:v>
      </x:c>
    </x:row>
    <x:row r="2117" ht="62" customHeight="1">
      <x:c r="A2117" s="9" t="n">
        <x:v>2116</x:v>
      </x:c>
      <x:c r="B2117" s="6" t="str">
        <x:v>최종 평가</x:v>
      </x:c>
      <x:c r="C2117" s="6" t="str">
        <x:v>복약</x:v>
      </x:c>
      <x:c r="D2117" s="6" t="str">
        <x:v>상호작용</x:v>
      </x:c>
      <x:c r="E2117" s="6" t="str">
        <x:v>답변 가능</x:v>
      </x:c>
      <x:c r="F2117" s="6" t="str">
        <x:v>쉬움</x:v>
      </x:c>
      <x:c r="G2117" s="8" t="str">
        <x:v>모바렌캡슐과 함께 사용하거나 먹을 때 주의해야 할 약이나 음식이 있나요?</x:v>
      </x:c>
      <x:c r="H2117" s="8" t="str">
        <x:v>설폰아미드 제제와 함께 사용 시 의사 또는 약사와 상의하십시오.</x:v>
      </x:c>
      <x:c r="I2117" s="8" t="str">
        <x:v>설폰아미드 제제와 함께 사용 시 의사 또는 약사와 상의하십시오.</x:v>
      </x:c>
      <x:c r="J2117" s="8" t="str">
        <x:v>모바렌캡슐 [품목기준코드 201704017]</x:v>
      </x:c>
      <x:c r="K2117" s="8" t="str">
        <x:v>식품의약품안전처 의약품개요정보(e약은요) OpenAPI
https://apis.data.go.kr/1471000/DrbEasyDrugInfoService/getDrbEasyDrugList</x:v>
      </x:c>
    </x:row>
    <x:row r="2118" ht="62" customHeight="1">
      <x:c r="A2118" s="9" t="n">
        <x:v>2117</x:v>
      </x:c>
      <x:c r="B2118" s="6" t="str">
        <x:v>최종 평가</x:v>
      </x:c>
      <x:c r="C2118" s="6" t="str">
        <x:v>복약</x:v>
      </x:c>
      <x:c r="D2118" s="6" t="str">
        <x:v>보관·관리</x:v>
      </x:c>
      <x:c r="E2118" s="6" t="str">
        <x:v>답변 가능</x:v>
      </x:c>
      <x:c r="F2118" s="6" t="str">
        <x:v>쉬움</x:v>
      </x:c>
      <x:c r="G2118" s="8" t="str">
        <x:v>오로페롤연질캡슐100밀리그램(토코페롤아세테이트)은 어떻게 보관해야 하나요?</x:v>
      </x:c>
      <x:c r="H2118" s="8" t="str">
        <x:v>습기와 빛을 피해 실온에서 보관하십시오.어린이의 손이 닿지 않는 곳에 보관하십시오.</x:v>
      </x:c>
      <x:c r="I2118" s="8" t="str">
        <x:v>습기와 빛을 피해 실온에서 보관하십시오.어린이의 손이 닿지 않는 곳에 보관하십시오.</x:v>
      </x:c>
      <x:c r="J2118" s="8" t="str">
        <x:v>오로페롤연질캡슐100밀리그램(토코페롤아세테이트) [품목기준코드 198000440]</x:v>
      </x:c>
      <x:c r="K2118" s="8" t="str">
        <x:v>식품의약품안전처 의약품개요정보(e약은요) OpenAPI
https://apis.data.go.kr/1471000/DrbEasyDrugInfoService/getDrbEasyDrugList</x:v>
      </x:c>
    </x:row>
    <x:row r="2119" ht="62" customHeight="1">
      <x:c r="A2119" s="9" t="n">
        <x:v>2118</x:v>
      </x:c>
      <x:c r="B2119" s="6" t="str">
        <x:v>최종 평가</x:v>
      </x:c>
      <x:c r="C2119" s="6" t="str">
        <x:v>복약</x:v>
      </x:c>
      <x:c r="D2119" s="6" t="str">
        <x:v>원인·위험요인</x:v>
      </x:c>
      <x:c r="E2119" s="6" t="str">
        <x:v>답변 가능</x:v>
      </x:c>
      <x:c r="F2119" s="6" t="str">
        <x:v>쉬움</x:v>
      </x:c>
      <x:c r="G2119" s="8" t="str">
        <x:v>네프비타정을 사용하기 전에 특히 조심해야 하는 사람은 누구인가요?</x:v>
      </x:c>
      <x:c r="H2119" s="8" t="str">
        <x:v>이 제품을 사용하기 전에 특히 확인해야 할 대상과 상황은 다음과 같습니다. 이 약에 과민증 환자, 3개월 미만의 영아는 이 약을 복용하지 마십시오. 이 약을 복용하기 전에 고옥살산뇨증(요중에 과량의 수산염이 배설되는 상태), 임부 및 수유부, 황색4호 및 황색5호에 과민증 또는 알레르기 반응 경험자는 의사 또는 약사와 상의하십시오. 1개월 정도 복용하여도 증상의 개선이 없을 경우 복용을 즉각 중지하고 의사 또는 약사와 상의하십시오.</x:v>
      </x:c>
      <x:c r="I2119" s="8" t="str">
        <x:v>이 약에 과민증 환자, 3개월 미만의 영아는 이 약을 복용하지 마십시오. 이 약을 복용하기 전에 고옥살산뇨증(요중에 과량의 수산염이 배설되는 상태), 임부 및 수유부, 황색4호 및 황색5호에 과민증 또는 알레르기 반응 경험자는 의사 또는 약사와 상의하십시오. 1개월 정도 복용하여도 증상의 개선이 없을 경우 복용을 즉각 중지하고 의사 또는 약사와 상의하십시오.</x:v>
      </x:c>
      <x:c r="J2119" s="8" t="str">
        <x:v>네프비타정 [품목기준코드 199802000]</x:v>
      </x:c>
      <x:c r="K2119" s="8" t="str">
        <x:v>식품의약품안전처 의약품개요정보(e약은요) OpenAPI
https://apis.data.go.kr/1471000/DrbEasyDrugInfoService/getDrbEasyDrugList</x:v>
      </x:c>
    </x:row>
    <x:row r="2120" ht="62" customHeight="1">
      <x:c r="A2120" s="9" t="n">
        <x:v>2119</x:v>
      </x:c>
      <x:c r="B2120" s="6" t="str">
        <x:v>최종 평가</x:v>
      </x:c>
      <x:c r="C2120" s="6" t="str">
        <x:v>복약</x:v>
      </x:c>
      <x:c r="D2120" s="6" t="str">
        <x:v>증상→대상 구분</x:v>
      </x:c>
      <x:c r="E2120" s="6" t="str">
        <x:v>답변 가능</x:v>
      </x:c>
      <x:c r="F2120" s="6" t="str">
        <x:v>어려움</x:v>
      </x:c>
      <x:c r="G2120" s="8" t="str">
        <x:v>캐치콜에스연질캡슐을 사용한 뒤 발진이 생겼는데, 이 약의 부작용으로 안내되어 있나요?</x:v>
      </x:c>
      <x:c r="H2120" s="8" t="str">
        <x:v>발진은 이 제품의 e약은요 부작용 항목에 기재되어 있습니다. 다만 이 정보만으로 현재 증상의 원인이 해당 약이라고 확정할 수는 없습니다.</x:v>
      </x:c>
      <x:c r="I2120" s="8" t="str">
        <x:v>발진ㆍ발적, 가려움, 구역ㆍ구토, 식욕부진, 변비, 부종(부기), 배뇨(소변을 눔)곤란, 목마름(지속적이거나 심한),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독성표피괴사용해(리엘증후군)(고열을 동반하고, 발진ㆍ발적(충혈되어 붉어짐), 화상과 같이 물집이 생기는 등의 심한 증상이 전신피부, 입이나 눈 점막에 나타남), 천식, 간기능장애(전신의 나른함, 황달(피부 또는 눈의 흰자위가 황색을 띄게 됨)), 간질성폐렴(기침을 동반하고, 숨이 차고, 호흡곤란, 발열) 등이 나타나는 경우 복용을 즉각 중지하고 의사 또는 약사와 상의하십시오.</x:v>
      </x:c>
      <x:c r="J2120" s="8" t="str">
        <x:v>캐치콜에스연질캡슐 [품목기준코드 201400293]</x:v>
      </x:c>
      <x:c r="K2120" s="8" t="str">
        <x:v>식품의약품안전처 의약품개요정보(e약은요) OpenAPI
https://apis.data.go.kr/1471000/DrbEasyDrugInfoService/getDrbEasyDrugList</x:v>
      </x:c>
    </x:row>
    <x:row r="2121" ht="62" customHeight="1">
      <x:c r="A2121" s="9" t="n">
        <x:v>2120</x:v>
      </x:c>
      <x:c r="B2121" s="6" t="str">
        <x:v>최종 평가</x:v>
      </x:c>
      <x:c r="C2121" s="6" t="str">
        <x:v>복약</x:v>
      </x:c>
      <x:c r="D2121" s="6" t="str">
        <x:v>원인·위험요인</x:v>
      </x:c>
      <x:c r="E2121" s="6" t="str">
        <x:v>답변 가능</x:v>
      </x:c>
      <x:c r="F2121" s="6" t="str">
        <x:v>보통</x:v>
      </x:c>
      <x:c r="G2121" s="8" t="str">
        <x:v>메가트루파워정을 사용하기 전에 특히 조심해야 하는 사람은 누구인가요?</x:v>
      </x:c>
      <x:c r="H2121" s="8" t="str">
        <x:v>이 제품을 사용하기 전에 특히 확인해야 할 대상과 상황은 다음과 같습니다. 고칼슘혈증, 유육종증, 신장질환, 이 약에 과민증 환자, 만 12개월 미만의 젖먹이, 신장결석, 심한 증상의 신부전 환자는 이 약을 복용하지 마십시오. 이 약을 복용하기 전에 만 1세 미만의 젖먹이, 햇빛을 많이 보고 정상적인 식사를 하는 어린이, 고옥살산뇨증, 임부 및 임신하고 있을 가능성이 있는 여성, 수유부, 미숙아, 유아, 소화성궤양, 만성궤양성대장염, 국한성대장염 등의 위장질환, 심장·순환기계기능 장애, 신장장애, 저단백혈증, 통풍환자, 신장결석 환자 또는 경험자, 폴산이 부족한 환자는 의사 또는 약사와 상의하십시오. 어린이에게 투여할 경우 보호자의 지도 감독하에 투여하십시오. 1개월 정도 복용하여도 증상의 개선이 없을 경우 복용을 즉각 중지하고 의사 또는 약사와 상의하십시오.</x:v>
      </x:c>
      <x:c r="I2121" s="8" t="str">
        <x:v>고칼슘혈증, 유육종증, 신장질환, 이 약에 과민증 환자, 만 12개월 미만의 젖먹이, 신장결석, 심한 증상의 신부전 환자는 이 약을 복용하지 마십시오. 이 약을 복용하기 전에 만 1세 미만의 젖먹이, 햇빛을 많이 보고 정상적인 식사를 하는 어린이, 고옥살산뇨증, 임부 및 임신하고 있을 가능성이 있는 여성, 수유부, 미숙아, 유아, 소화성궤양, 만성궤양성대장염, 국한성대장염 등의 위장질환, 심장·순환기계기능 장애, 신장장애, 저단백혈증, 통풍환자, 신장결석 환자 또는 경험자, 폴산이 부족한 환자는 의사 또는 약사와 상의하십시오. 어린이에게 투여할 경우 보호자의 지도 감독하에 투여하십시오. 1개월 정도 복용하여도 증상의 개선이 없을 경우 복용을 즉각 중지하고 의사 또는 약사와 상의하십시오.</x:v>
      </x:c>
      <x:c r="J2121" s="8" t="str">
        <x:v>메가트루파워정 [품목기준코드 201802364]</x:v>
      </x:c>
      <x:c r="K2121" s="8" t="str">
        <x:v>식품의약품안전처 의약품개요정보(e약은요) OpenAPI
https://apis.data.go.kr/1471000/DrbEasyDrugInfoService/getDrbEasyDrugList</x:v>
      </x:c>
    </x:row>
    <x:row r="2122" ht="62" customHeight="1">
      <x:c r="A2122" s="9" t="n">
        <x:v>2121</x:v>
      </x:c>
      <x:c r="B2122" s="6" t="str">
        <x:v>최종 평가</x:v>
      </x:c>
      <x:c r="C2122" s="6" t="str">
        <x:v>복약</x:v>
      </x:c>
      <x:c r="D2122" s="6" t="str">
        <x:v>금기·경고</x:v>
      </x:c>
      <x:c r="E2122" s="6" t="str">
        <x:v>답변 가능</x:v>
      </x:c>
      <x:c r="F2122" s="6" t="str">
        <x:v>쉬움</x:v>
      </x:c>
      <x:c r="G2122" s="8" t="str">
        <x:v>엠코발500마이크로그램캡슐(메코발라민)을 사용하면 안 되거나 반드시 확인해야 할 경고사항은 무엇인가요?</x:v>
      </x:c>
      <x:c r="H2122" s="8" t="str">
        <x:v>이 약에 과민증 환자, 갈락토오스 불내성, Lapp 유당분해효소 결핍증 또는 포도당-갈락토오스 흡수장애 등의 유전적인 문제가 있는 환자는 이 약을 복용하지 마십시오.이 약을 복용하기 전에 임부, 수유부는 의사 또는 약사와 상의하십시오.정해진 용법과 용량을 잘 지키십시오.1개월 정도 복용하여도 증상의 개선이 없거나 악화될 경우에는 의사 또는 약사와 상의하십시오.</x:v>
      </x:c>
      <x:c r="I2122" s="8" t="str">
        <x:v>이 약에 과민증 환자, 갈락토오스 불내성, Lapp 유당분해효소 결핍증 또는 포도당-갈락토오스 흡수장애 등의 유전적인 문제가 있는 환자는 이 약을 복용하지 마십시오.이 약을 복용하기 전에 임부, 수유부는 의사 또는 약사와 상의하십시오.정해진 용법과 용량을 잘 지키십시오.1개월 정도 복용하여도 증상의 개선이 없거나 악화될 경우에는 의사 또는 약사와 상의하십시오.</x:v>
      </x:c>
      <x:c r="J2122" s="8" t="str">
        <x:v>엠코발500마이크로그램캡슐(메코발라민) [품목기준코드 198500436]</x:v>
      </x:c>
      <x:c r="K2122" s="8" t="str">
        <x:v>식품의약품안전처 의약품개요정보(e약은요) OpenAPI
https://apis.data.go.kr/1471000/DrbEasyDrugInfoService/getDrbEasyDrugList</x:v>
      </x:c>
    </x:row>
    <x:row r="2123" ht="62" customHeight="1">
      <x:c r="A2123" s="9" t="n">
        <x:v>2122</x:v>
      </x:c>
      <x:c r="B2123" s="6" t="str">
        <x:v>최종 평가</x:v>
      </x:c>
      <x:c r="C2123" s="6" t="str">
        <x:v>복약</x:v>
      </x:c>
      <x:c r="D2123" s="6" t="str">
        <x:v>대상별 정보</x:v>
      </x:c>
      <x:c r="E2123" s="6" t="str">
        <x:v>답변 가능</x:v>
      </x:c>
      <x:c r="F2123" s="6" t="str">
        <x:v>쉬움</x:v>
      </x:c>
      <x:c r="G2123" s="8" t="str">
        <x:v>어린이나 소아가 솔트스틱액을 사용해도 되나요?</x:v>
      </x:c>
      <x:c r="H2123" s="8" t="str">
        <x:v>e약은요에서 어린이·소아과 관련해 안내한 내용은 다음과 같습니다. 이 약을 사용하기 전에 약 또는 화장품에 알레르기 증상(발진, 발적, 가려움, 옻 등에 의한 피부염 등) 경험자, 알레르기 체질, 환부가 광범위하고 상처가 심하거나 화상이 심한 환자는 의사 또는 약사와 상의하십시오.정해진 용법과 용량을 잘 지키십시오.눈에 들어갔을 경우 즉시 냉수로 세척한 후 의사와 상담하십시오.어린이에게 투여할 경우 보호자의 지도 감독하에 투여하십시오.이 약은 외용으로만 사용하고 내복하지 마십시오.5~6일간 사용하여도 증상의 개선이 없을 경우 사용을 즉각 중지하고 의사 또는 약사와 상의하십시오.</x:v>
      </x:c>
      <x:c r="I2123" s="8" t="str">
        <x:v>이 약을 사용하기 전에 약 또는 화장품에 알레르기 증상(발진, 발적, 가려움, 옻 등에 의한 피부염 등) 경험자, 알레르기 체질, 환부가 광범위하고 상처가 심하거나 화상이 심한 환자는 의사 또는 약사와 상의하십시오.정해진 용법과 용량을 잘 지키십시오.눈에 들어갔을 경우 즉시 냉수로 세척한 후 의사와 상담하십시오.어린이에게 투여할 경우 보호자의 지도 감독하에 투여하십시오.이 약은 외용으로만 사용하고 내복하지 마십시오.5~6일간 사용하여도 증상의 개선이 없을 경우 사용을 즉각 중지하고 의사 또는 약사와 상의하십시오.</x:v>
      </x:c>
      <x:c r="J2123" s="8" t="str">
        <x:v>솔트스틱액 [품목기준코드 201803284]</x:v>
      </x:c>
      <x:c r="K2123" s="8" t="str">
        <x:v>식품의약품안전처 의약품개요정보(e약은요) OpenAPI
https://apis.data.go.kr/1471000/DrbEasyDrugInfoService/getDrbEasyDrugList</x:v>
      </x:c>
    </x:row>
    <x:row r="2124" ht="62" customHeight="1">
      <x:c r="A2124" s="9" t="n">
        <x:v>2123</x:v>
      </x:c>
      <x:c r="B2124" s="6" t="str">
        <x:v>최종 평가</x:v>
      </x:c>
      <x:c r="C2124" s="6" t="str">
        <x:v>복약</x:v>
      </x:c>
      <x:c r="D2124" s="6" t="str">
        <x:v>금기·경고</x:v>
      </x:c>
      <x:c r="E2124" s="6" t="str">
        <x:v>답변 가능</x:v>
      </x:c>
      <x:c r="F2124" s="6" t="str">
        <x:v>쉬움</x:v>
      </x:c>
      <x:c r="G2124" s="8" t="str">
        <x:v>페르빈카타플라스마(펠비낙)을 사용하면 안 되거나 반드시 확인해야 할 경고사항은 무엇인가요?</x:v>
      </x:c>
      <x:c r="H2124" s="8" t="str">
        <x:v>이 약에 과민증 환자, 아스피린 또는 기타의 비스테로이드성 소염진통제에 천식 환자 또는 경험자, 아스피린 또는 기타의 비스테로이드성 소염진통제에 대한 두드러기 또는 급성 비염 경험자, 손상피부, 점막, 습진 또는 발진 부위에는 이 약을 사용하지 마십시오. 기관지 천식 환자, 프로필렌글리콜 과민증 또는 알레르기 반응 경험자, 천식 환자, 임부 또는 임신하고 있을 가능성이 있는 부인 및 수유부, 소아는 의사 또는 약사와 상의하십시오.</x:v>
      </x:c>
      <x:c r="I2124" s="8" t="str">
        <x:v>이 약에 과민증 환자, 아스피린 또는 기타의 비스테로이드성 소염진통제에 천식 환자 또는 경험자, 아스피린 또는 기타의 비스테로이드성 소염진통제에 대한 두드러기 또는 급성 비염 경험자, 손상피부, 점막, 습진 또는 발진 부위에는 이 약을 사용하지 마십시오. 기관지 천식 환자, 프로필렌글리콜 과민증 또는 알레르기 반응 경험자, 천식 환자, 임부 또는 임신하고 있을 가능성이 있는 부인 및 수유부, 소아는 의사 또는 약사와 상의하십시오.</x:v>
      </x:c>
      <x:c r="J2124" s="8" t="str">
        <x:v>페르빈카타플라스마(펠비낙) [품목기준코드 201208853]</x:v>
      </x:c>
      <x:c r="K2124" s="8" t="str">
        <x:v>식품의약품안전처 의약품개요정보(e약은요) OpenAPI
https://apis.data.go.kr/1471000/DrbEasyDrugInfoService/getDrbEasyDrugList</x:v>
      </x:c>
    </x:row>
    <x:row r="2125" ht="62" customHeight="1">
      <x:c r="A2125" s="9" t="n">
        <x:v>2124</x:v>
      </x:c>
      <x:c r="B2125" s="6" t="str">
        <x:v>최종 평가</x:v>
      </x:c>
      <x:c r="C2125" s="6" t="str">
        <x:v>복약</x:v>
      </x:c>
      <x:c r="D2125" s="6" t="str">
        <x:v>용법·용량</x:v>
      </x:c>
      <x:c r="E2125" s="6" t="str">
        <x:v>답변 가능</x:v>
      </x:c>
      <x:c r="F2125" s="6" t="str">
        <x:v>쉬움</x:v>
      </x:c>
      <x:c r="G2125" s="8" t="str">
        <x:v>투엑스비엠연질캡슐은 어떻게 사용하나요?</x:v>
      </x:c>
      <x:c r="H2125" s="8" t="str">
        <x:v>만 12세 이상 및 성인은 1회 1캡슐씩, 1일 2회 복용합니다.</x:v>
      </x:c>
      <x:c r="I2125" s="8" t="str">
        <x:v>만 12세 이상 및 성인은 1회 1캡슐씩, 1일 2회 복용합니다.</x:v>
      </x:c>
      <x:c r="J2125" s="8" t="str">
        <x:v>투엑스비엠연질캡슐 [품목기준코드 201705252]</x:v>
      </x:c>
      <x:c r="K2125" s="8" t="str">
        <x:v>식품의약품안전처 의약품개요정보(e약은요) OpenAPI
https://apis.data.go.kr/1471000/DrbEasyDrugInfoService/getDrbEasyDrugList</x:v>
      </x:c>
    </x:row>
    <x:row r="2126" ht="62" customHeight="1">
      <x:c r="A2126" s="9" t="n">
        <x:v>2125</x:v>
      </x:c>
      <x:c r="B2126" s="6" t="str">
        <x:v>최종 평가</x:v>
      </x:c>
      <x:c r="C2126" s="6" t="str">
        <x:v>복약</x:v>
      </x:c>
      <x:c r="D2126" s="6" t="str">
        <x:v>용법·용량</x:v>
      </x:c>
      <x:c r="E2126" s="6" t="str">
        <x:v>답변 가능</x:v>
      </x:c>
      <x:c r="F2126" s="6" t="str">
        <x:v>쉬움</x:v>
      </x:c>
      <x:c r="G2126" s="8" t="str">
        <x:v>알코타민정은 어떻게 사용하나요?</x:v>
      </x:c>
      <x:c r="H2126" s="8" t="str">
        <x:v>성인 1회 1정씩, 1일 1회 복용합니다.</x:v>
      </x:c>
      <x:c r="I2126" s="8" t="str">
        <x:v>성인 1회 1정씩, 1일 1회 복용합니다.</x:v>
      </x:c>
      <x:c r="J2126" s="8" t="str">
        <x:v>알코타민정 [품목기준코드 201706818]</x:v>
      </x:c>
      <x:c r="K2126" s="8" t="str">
        <x:v>식품의약품안전처 의약품개요정보(e약은요) OpenAPI
https://apis.data.go.kr/1471000/DrbEasyDrugInfoService/getDrbEasyDrugList</x:v>
      </x:c>
    </x:row>
    <x:row r="2127" ht="62" customHeight="1">
      <x:c r="A2127" s="9" t="n">
        <x:v>2126</x:v>
      </x:c>
      <x:c r="B2127" s="6" t="str">
        <x:v>최종 평가</x:v>
      </x:c>
      <x:c r="C2127" s="6" t="str">
        <x:v>복약</x:v>
      </x:c>
      <x:c r="D2127" s="6" t="str">
        <x:v>효능·사용목적</x:v>
      </x:c>
      <x:c r="E2127" s="6" t="str">
        <x:v>답변 가능</x:v>
      </x:c>
      <x:c r="F2127" s="6" t="str">
        <x:v>쉬움</x:v>
      </x:c>
      <x:c r="G2127" s="8" t="str">
        <x:v>콜드펜코프연질캡슐은 어떤 증상이나 질환에 사용하는 약인가요?</x:v>
      </x:c>
      <x:c r="H2127" s="8" t="str">
        <x:v>이 약은 감기의 여러 증상(콧물, 코막힘, 재채기, 인후통, 기침, 가래, 오한(춥고 떨리는 증상), 발열, 두통, 관절통, 근육통)의 완화에 사용합니다.</x:v>
      </x:c>
      <x:c r="I2127" s="8" t="str">
        <x:v>이 약은 감기의 여러 증상(콧물, 코막힘, 재채기, 인후통, 기침, 가래, 오한(춥고 떨리는 증상), 발열, 두통, 관절통, 근육통)의 완화에 사용합니다.</x:v>
      </x:c>
      <x:c r="J2127" s="8" t="str">
        <x:v>콜드펜코프연질캡슐 [품목기준코드 201708197]</x:v>
      </x:c>
      <x:c r="K2127" s="8" t="str">
        <x:v>식품의약품안전처 의약품개요정보(e약은요) OpenAPI
https://apis.data.go.kr/1471000/DrbEasyDrugInfoService/getDrbEasyDrugList</x:v>
      </x:c>
    </x:row>
    <x:row r="2128" ht="62" customHeight="1">
      <x:c r="A2128" s="9" t="n">
        <x:v>2127</x:v>
      </x:c>
      <x:c r="B2128" s="6" t="str">
        <x:v>최종 평가</x:v>
      </x:c>
      <x:c r="C2128" s="6" t="str">
        <x:v>복약</x:v>
      </x:c>
      <x:c r="D2128" s="6" t="str">
        <x:v>대상별 정보</x:v>
      </x:c>
      <x:c r="E2128" s="6" t="str">
        <x:v>답변 가능</x:v>
      </x:c>
      <x:c r="F2128" s="6" t="str">
        <x:v>쉬움</x:v>
      </x:c>
      <x:c r="G2128" s="8" t="str">
        <x:v>임신 또는 수유 중에 볼두민캡슐을 사용해도 되나요?</x:v>
      </x:c>
      <x:c r="H2128" s="8" t="str">
        <x:v>e약은요에서 임신 또는 수유 중인 사람과 관련해 안내한 내용은 다음과 같습니다. 이 약에 과민증 환자, 12세 미만 소아, 흉터로 인한 탈모, 안드로젠 유전성 탈모증, 남성형 대머리에는 이 약을 복용하지 마십시오.이 약을 복용하기 전에 임부 또는 임신하고 있을 가능성이 있는 여성 및 수유부는 의사 또는 약사와 상의하십시오.</x:v>
      </x:c>
      <x:c r="I2128" s="8" t="str">
        <x:v>이 약에 과민증 환자, 12세 미만 소아, 흉터로 인한 탈모, 안드로젠 유전성 탈모증, 남성형 대머리에는 이 약을 복용하지 마십시오.이 약을 복용하기 전에 임부 또는 임신하고 있을 가능성이 있는 여성 및 수유부는 의사 또는 약사와 상의하십시오.</x:v>
      </x:c>
      <x:c r="J2128" s="8" t="str">
        <x:v>볼두민캡슐 [품목기준코드 200810584]</x:v>
      </x:c>
      <x:c r="K2128" s="8" t="str">
        <x:v>식품의약품안전처 의약품개요정보(e약은요) OpenAPI
https://apis.data.go.kr/1471000/DrbEasyDrugInfoService/getDrbEasyDrugList</x:v>
      </x:c>
    </x:row>
    <x:row r="2129" ht="62" customHeight="1">
      <x:c r="A2129" s="9" t="n">
        <x:v>2128</x:v>
      </x:c>
      <x:c r="B2129" s="6" t="str">
        <x:v>최종 평가</x:v>
      </x:c>
      <x:c r="C2129" s="6" t="str">
        <x:v>복약</x:v>
      </x:c>
      <x:c r="D2129" s="6" t="str">
        <x:v>보관·관리</x:v>
      </x:c>
      <x:c r="E2129" s="6" t="str">
        <x:v>답변 가능</x:v>
      </x:c>
      <x:c r="F2129" s="6" t="str">
        <x:v>쉬움</x:v>
      </x:c>
      <x:c r="G2129" s="8" t="str">
        <x:v>아이클리어점안액은 어떻게 보관해야 하나요?</x:v>
      </x:c>
      <x:c r="H2129" s="8" t="str">
        <x:v>습기와 빛을 피해 실온에서 보관하십시오. 어린이의 손이 닿지 않는 곳에 보관하십시오.</x:v>
      </x:c>
      <x:c r="I2129" s="8" t="str">
        <x:v>습기와 빛을 피해 실온에서 보관하십시오. 어린이의 손이 닿지 않는 곳에 보관하십시오.</x:v>
      </x:c>
      <x:c r="J2129" s="8" t="str">
        <x:v>아이클리어점안액 [품목기준코드 200901761]</x:v>
      </x:c>
      <x:c r="K2129" s="8" t="str">
        <x:v>식품의약품안전처 의약품개요정보(e약은요) OpenAPI
https://apis.data.go.kr/1471000/DrbEasyDrugInfoService/getDrbEasyDrugList</x:v>
      </x:c>
    </x:row>
    <x:row r="2130" ht="62" customHeight="1">
      <x:c r="A2130" s="9" t="n">
        <x:v>2129</x:v>
      </x:c>
      <x:c r="B2130" s="6" t="str">
        <x:v>최종 평가</x:v>
      </x:c>
      <x:c r="C2130" s="6" t="str">
        <x:v>복약</x:v>
      </x:c>
      <x:c r="D2130" s="6" t="str">
        <x:v>증상·이상반응</x:v>
      </x:c>
      <x:c r="E2130" s="6" t="str">
        <x:v>답변 가능</x:v>
      </x:c>
      <x:c r="F2130" s="6" t="str">
        <x:v>쉬움</x:v>
      </x:c>
      <x:c r="G2130" s="8" t="str">
        <x:v>클리마졸질정(클로트리마졸)을 사용하면 어떤 부작용이 생길 수 있나요?</x:v>
      </x:c>
      <x:c r="H2130" s="8" t="str">
        <x:v>e약은요에는 다음과 같은 이상반응이 안내되어 있습니다. 아나필락시스, 맥관(혈관) 부종, 과민(증), 실신, 저혈압, 호흡 곤란, 복통, 오심(구역), 발진, 담마진(두드러기), 소양증, 질 박리(벗겨짐), 질 분비물, 질 출혈, 외음질 불편감, 외음질 홍반(붉은 반점), 외음질 작열감(화끈감), 외음질 소양증, 외음질 통증, 적용 부위 자극, 부종(부기), 통증, 38 ˚C 이상의 고열, 하복부 통증, 요통, 악취가 나는 질분비물, 오심, 질 출혈 및 관련된 어깨 통증 등이 나타나는 경우 사용을 즉각 중지하고 의사 또는 약사와 상의하십시오.</x:v>
      </x:c>
      <x:c r="I2130" s="8" t="str">
        <x:v>아나필락시스, 맥관(혈관) 부종, 과민(증), 실신, 저혈압, 호흡 곤란, 복통, 오심(구역), 발진, 담마진(두드러기), 소양증, 질 박리(벗겨짐), 질 분비물, 질 출혈, 외음질 불편감, 외음질 홍반(붉은 반점), 외음질 작열감(화끈감), 외음질 소양증, 외음질 통증, 적용 부위 자극, 부종(부기), 통증, 38 ˚C 이상의 고열, 하복부 통증, 요통, 악취가 나는 질분비물, 오심, 질 출혈 및 관련된 어깨 통증 등이 나타나는 경우 사용을 즉각 중지하고 의사 또는 약사와 상의하십시오.</x:v>
      </x:c>
      <x:c r="J2130" s="8" t="str">
        <x:v>클리마졸질정(클로트리마졸) [품목기준코드 201310681]</x:v>
      </x:c>
      <x:c r="K2130" s="8" t="str">
        <x:v>식품의약품안전처 의약품개요정보(e약은요) OpenAPI
https://apis.data.go.kr/1471000/DrbEasyDrugInfoService/getDrbEasyDrugList</x:v>
      </x:c>
    </x:row>
    <x:row r="2131" ht="62" customHeight="1">
      <x:c r="A2131" s="9" t="n">
        <x:v>2130</x:v>
      </x:c>
      <x:c r="B2131" s="6" t="str">
        <x:v>최종 평가</x:v>
      </x:c>
      <x:c r="C2131" s="6" t="str">
        <x:v>복약</x:v>
      </x:c>
      <x:c r="D2131" s="6" t="str">
        <x:v>대상별 정보</x:v>
      </x:c>
      <x:c r="E2131" s="6" t="str">
        <x:v>답변 가능</x:v>
      </x:c>
      <x:c r="F2131" s="6" t="str">
        <x:v>쉬움</x:v>
      </x:c>
      <x:c r="G2131" s="8" t="str">
        <x:v>임신 또는 수유 중에 브이멜라인장용정(브로멜라인)을 사용해도 되나요?</x:v>
      </x:c>
      <x:c r="H2131" s="8" t="str">
        <x:v>e약은요에서 임신 또는 수유 중인 사람과 관련해 안내한 내용은 다음과 같습니다. 갈락토오스 불내성, Lapp 유당분해효소 결핍증 또는 포도당-갈락토오스 흡수장애 등의 유전적인 문제가 있는 환자, 심한 혈액응고이상(예 : 혈우병), 심한 간 또는 심한 신질환(혈액투석환자 등), 항응고제 또는 혈소판응집억제제 투여중인 환자, 임부 및 수유부, 12세 미만의 소아는 이 약을 복용하지 마십시오.이 약을 복용하기 전에 황색5호에 과민증 환자는 의사 또는 약사와 상의하십시오.</x:v>
      </x:c>
      <x:c r="I2131" s="8" t="str">
        <x:v>갈락토오스 불내성, Lapp 유당분해효소 결핍증 또는 포도당-갈락토오스 흡수장애 등의 유전적인 문제가 있는 환자, 심한 혈액응고이상(예 : 혈우병), 심한 간 또는 심한 신질환(혈액투석환자 등), 항응고제 또는 혈소판응집억제제 투여중인 환자, 임부 및 수유부, 12세 미만의 소아는 이 약을 복용하지 마십시오.이 약을 복용하기 전에 황색5호에 과민증 환자는 의사 또는 약사와 상의하십시오.</x:v>
      </x:c>
      <x:c r="J2131" s="8" t="str">
        <x:v>브이멜라인장용정(브로멜라인) [품목기준코드 202000112]</x:v>
      </x:c>
      <x:c r="K2131" s="8" t="str">
        <x:v>식품의약품안전처 의약품개요정보(e약은요) OpenAPI
https://apis.data.go.kr/1471000/DrbEasyDrugInfoService/getDrbEasyDrugList</x:v>
      </x:c>
    </x:row>
    <x:row r="2132" ht="62" customHeight="1">
      <x:c r="A2132" s="9" t="n">
        <x:v>2131</x:v>
      </x:c>
      <x:c r="B2132" s="6" t="str">
        <x:v>최종 평가</x:v>
      </x:c>
      <x:c r="C2132" s="6" t="str">
        <x:v>복약</x:v>
      </x:c>
      <x:c r="D2132" s="6" t="str">
        <x:v>답변불가·처방 필요 여부</x:v>
      </x:c>
      <x:c r="E2132" s="6" t="str">
        <x:v>답변 거부</x:v>
      </x:c>
      <x:c r="F2132" s="6" t="str">
        <x:v>어려움</x:v>
      </x:c>
      <x:c r="G2132" s="8" t="str">
        <x:v>시원타조아나잘스프레이(옥시메타졸린염산염)은 지금 처방전 없이 살 수 있는지 확정해서 알려주세요.</x:v>
      </x:c>
      <x:c r="H2132" s="8" t="str">
        <x:v>제공된 e약은요 VDB 항목만으로는 현재의 전문·일반의약품 분류와 처방 필요 여부를 확정할 수 없습니다.</x:v>
      </x:c>
      <x:c r="I2132" s="8" t="str">
        <x:v>VDB 범위 밖 질문 — 근거 없음</x:v>
      </x:c>
      <x:c r="J2132" s="8" t="str">
        <x:v>시원타조아나잘스프레이(옥시메타졸린염산염) [품목기준코드 201405694]</x:v>
      </x:c>
      <x:c r="K2132" s="8" t="str">
        <x:v>식품의약품안전처 의약품개요정보(e약은요) OpenAPI
https://apis.data.go.kr/1471000/DrbEasyDrugInfoService/getDrbEasyDrugList</x:v>
      </x:c>
    </x:row>
    <x:row r="2133" ht="62" customHeight="1">
      <x:c r="A2133" s="9" t="n">
        <x:v>2132</x:v>
      </x:c>
      <x:c r="B2133" s="6" t="str">
        <x:v>최종 평가</x:v>
      </x:c>
      <x:c r="C2133" s="6" t="str">
        <x:v>복약</x:v>
      </x:c>
      <x:c r="D2133" s="6" t="str">
        <x:v>금기·경고</x:v>
      </x:c>
      <x:c r="E2133" s="6" t="str">
        <x:v>답변 가능</x:v>
      </x:c>
      <x:c r="F2133" s="6" t="str">
        <x:v>쉬움</x:v>
      </x:c>
      <x:c r="G2133" s="8" t="str">
        <x:v>팝업플라스타(플루르비프로펜)을 사용하면 안 되거나 반드시 확인해야 할 경고사항은 무엇인가요?</x:v>
      </x:c>
      <x:c r="H2133" s="8" t="str">
        <x:v>이 약에 과민증 환자, 아스피린 천식(비스테로이드성 소염진통제 등에 의한 천식발작) 환자 또는 경험자, 손상된 피부와 점막, 습진, 발진 부위에는 이 약을 사용하지 마십시오.</x:v>
      </x:c>
      <x:c r="I2133" s="8" t="str">
        <x:v>이 약에 과민증 환자, 아스피린 천식(비스테로이드성 소염진통제 등에 의한 천식발작) 환자 또는 경험자, 손상된 피부와 점막, 습진, 발진 부위에는 이 약을 사용하지 마십시오.</x:v>
      </x:c>
      <x:c r="J2133" s="8" t="str">
        <x:v>팝업플라스타(플루르비프로펜) [품목기준코드 200612147]</x:v>
      </x:c>
      <x:c r="K2133" s="8" t="str">
        <x:v>식품의약품안전처 의약품개요정보(e약은요) OpenAPI
https://apis.data.go.kr/1471000/DrbEasyDrugInfoService/getDrbEasyDrugList</x:v>
      </x:c>
    </x:row>
    <x:row r="2134" ht="62" customHeight="1">
      <x:c r="A2134" s="9" t="n">
        <x:v>2133</x:v>
      </x:c>
      <x:c r="B2134" s="6" t="str">
        <x:v>최종 평가</x:v>
      </x:c>
      <x:c r="C2134" s="6" t="str">
        <x:v>복약</x:v>
      </x:c>
      <x:c r="D2134" s="6" t="str">
        <x:v>상호작용</x:v>
      </x:c>
      <x:c r="E2134" s="6" t="str">
        <x:v>답변 가능</x:v>
      </x:c>
      <x:c r="F2134" s="6" t="str">
        <x:v>쉬움</x:v>
      </x:c>
      <x:c r="G2134" s="8" t="str">
        <x:v>바실리포미스산(바실루스리케니포르미스균)과 함께 사용하거나 먹을 때 주의해야 할 약이나 음식이 있나요?</x:v>
      </x:c>
      <x:c r="H2134" s="8" t="str">
        <x:v>시프로플록사신, 이미페넴, 실라스타틴나트륨과 함께 사용 시 의사 또는 약사와 상의하십시오.</x:v>
      </x:c>
      <x:c r="I2134" s="8" t="str">
        <x:v>시프로플록사신, 이미페넴, 실라스타틴나트륨과 함께 사용 시 의사 또는 약사와 상의하십시오.</x:v>
      </x:c>
      <x:c r="J2134" s="8" t="str">
        <x:v>바실리포미스산(바실루스리케니포르미스균) [품목기준코드 201602592]</x:v>
      </x:c>
      <x:c r="K2134" s="8" t="str">
        <x:v>식품의약품안전처 의약품개요정보(e약은요) OpenAPI
https://apis.data.go.kr/1471000/DrbEasyDrugInfoService/getDrbEasyDrugList</x:v>
      </x:c>
    </x:row>
    <x:row r="2135" ht="62" customHeight="1">
      <x:c r="A2135" s="9" t="n">
        <x:v>2134</x:v>
      </x:c>
      <x:c r="B2135" s="6" t="str">
        <x:v>최종 평가</x:v>
      </x:c>
      <x:c r="C2135" s="6" t="str">
        <x:v>복약</x:v>
      </x:c>
      <x:c r="D2135" s="6" t="str">
        <x:v>금기·경고</x:v>
      </x:c>
      <x:c r="E2135" s="6" t="str">
        <x:v>답변 가능</x:v>
      </x:c>
      <x:c r="F2135" s="6" t="str">
        <x:v>보통</x:v>
      </x:c>
      <x:c r="G2135" s="8" t="str">
        <x:v>파인펜정을 사용하면 안 되거나 반드시 확인해야 할 경고사항은 무엇인가요?</x:v>
      </x:c>
      <x:c r="H2135" s="8" t="str">
        <x:v>매일 세 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환자들은 신중히 고려하여 이부프로펜을 사용하고 고용량 이부프로펜(1일 2,400 mg)의 사용을 피하십시오. 또한, 심혈관계 위험 요소(예: 고혈압, 고지혈증, 당뇨병, 흡연)를 가지고 있는 환자가 고용량 이부프로펜(1일 2,400 mg)이 필요한 경우 장기간 치료를 시작하기 전 신중히 고려하십시오. 임상연구 결과, 고용량(1일 2,400 mg) 이부프로펜 사용이 동맥 혈전 증상(심근경색증 또는 뇌졸중)에 대한 위험성을 다소 증가시킬 수 있다고 나타났습니다. 이 약에 과민증 환자 또는 경험자, 이 약 및 이 약의 구성성분, 다른 해열진통제, 감기약 복용 시 천식 경험자, 만 3개월 미만의 영아, 갈락토오스 불내성, Lapp 유당분해효소 결핍증 또는 포도당-갈락토오스 흡수장애 등의 유전적인 문제가 있는 환자는 이 약을 복용하지 마십시오.</x:v>
      </x:c>
      <x:c r="I2135" s="8" t="str">
        <x:v>매일 세 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환자들은 신중히 고려하여 이부프로펜을 사용하고 고용량 이부프로펜(1일 2,400 mg)의 사용을 피하십시오. 또한, 심혈관계 위험 요소(예: 고혈압, 고지혈증, 당뇨병, 흡연)를 가지고 있는 환자가 고용량 이부프로펜(1일 2,400 mg)이 필요한 경우 장기간 치료를 시작하기 전 신중히 고려하십시오. 임상연구 결과, 고용량(1일 2,400 mg) 이부프로펜 사용이 동맥 혈전 증상(심근경색증 또는 뇌졸중)에 대한 위험성을 다소 증가시킬 수 있다고 나타났습니다. 이 약에 과민증 환자 또는 경험자, 이 약 및 이 약의 구성성분, 다른 해열진통제, 감기약 복용 시 천식 경험자, 만 3개월 미만의 영아, 갈락토오스 불내성, Lapp 유당분해효소 결핍증 또는 포도당-갈락토오스 흡수장애 등의 유전적인 문제가 있는 환자는 이 약을 복용하지 마십시오.</x:v>
      </x:c>
      <x:c r="J2135" s="8" t="str">
        <x:v>파인펜정 [품목기준코드 201301235]</x:v>
      </x:c>
      <x:c r="K2135" s="8" t="str">
        <x:v>식품의약품안전처 의약품개요정보(e약은요) OpenAPI
https://apis.data.go.kr/1471000/DrbEasyDrugInfoService/getDrbEasyDrugList</x:v>
      </x:c>
    </x:row>
    <x:row r="2136" ht="62" customHeight="1">
      <x:c r="A2136" s="9" t="n">
        <x:v>2135</x:v>
      </x:c>
      <x:c r="B2136" s="6" t="str">
        <x:v>최종 평가</x:v>
      </x:c>
      <x:c r="C2136" s="6" t="str">
        <x:v>복약</x:v>
      </x:c>
      <x:c r="D2136" s="6" t="str">
        <x:v>보관·관리</x:v>
      </x:c>
      <x:c r="E2136" s="6" t="str">
        <x:v>답변 가능</x:v>
      </x:c>
      <x:c r="F2136" s="6" t="str">
        <x:v>쉬움</x:v>
      </x:c>
      <x:c r="G2136" s="8" t="str">
        <x:v>큐센연질캡슐(나프록센)은 어떻게 보관해야 하나요?</x:v>
      </x:c>
      <x:c r="H2136" s="8" t="str">
        <x:v>실온에서 보관하십시오. 어린이의 손이 닿지 않는 곳에 보관하십시오.</x:v>
      </x:c>
      <x:c r="I2136" s="8" t="str">
        <x:v>실온에서 보관하십시오. 어린이의 손이 닿지 않는 곳에 보관하십시오.</x:v>
      </x:c>
      <x:c r="J2136" s="8" t="str">
        <x:v>큐센연질캡슐(나프록센) [품목기준코드 201900682]</x:v>
      </x:c>
      <x:c r="K2136" s="8" t="str">
        <x:v>식품의약품안전처 의약품개요정보(e약은요) OpenAPI
https://apis.data.go.kr/1471000/DrbEasyDrugInfoService/getDrbEasyDrugList</x:v>
      </x:c>
    </x:row>
    <x:row r="2137" ht="62" customHeight="1">
      <x:c r="A2137" s="9" t="n">
        <x:v>2136</x:v>
      </x:c>
      <x:c r="B2137" s="6" t="str">
        <x:v>최종 평가</x:v>
      </x:c>
      <x:c r="C2137" s="6" t="str">
        <x:v>복약</x:v>
      </x:c>
      <x:c r="D2137" s="6" t="str">
        <x:v>답변불가·처방 필요 여부</x:v>
      </x:c>
      <x:c r="E2137" s="6" t="str">
        <x:v>답변 거부</x:v>
      </x:c>
      <x:c r="F2137" s="6" t="str">
        <x:v>어려움</x:v>
      </x:c>
      <x:c r="G2137" s="8" t="str">
        <x:v>아노덱스골드정은 지금 처방전 없이 살 수 있는지 확정해서 알려주세요.</x:v>
      </x:c>
      <x:c r="H2137" s="8" t="str">
        <x:v>제공된 e약은요 VDB 항목만으로는 현재의 전문·일반의약품 분류와 처방 필요 여부를 확정할 수 없습니다.</x:v>
      </x:c>
      <x:c r="I2137" s="8" t="str">
        <x:v>VDB 범위 밖 질문 — 근거 없음</x:v>
      </x:c>
      <x:c r="J2137" s="8" t="str">
        <x:v>아노덱스골드정 [품목기준코드 202007844]</x:v>
      </x:c>
      <x:c r="K2137" s="8" t="str">
        <x:v>식품의약품안전처 의약품개요정보(e약은요) OpenAPI
https://apis.data.go.kr/1471000/DrbEasyDrugInfoService/getDrbEasyDrugList</x:v>
      </x:c>
    </x:row>
    <x:row r="2138" ht="62" customHeight="1">
      <x:c r="A2138" s="9" t="n">
        <x:v>2137</x:v>
      </x:c>
      <x:c r="B2138" s="6" t="str">
        <x:v>최종 평가</x:v>
      </x:c>
      <x:c r="C2138" s="6" t="str">
        <x:v>복약</x:v>
      </x:c>
      <x:c r="D2138" s="6" t="str">
        <x:v>용어·정의</x:v>
      </x:c>
      <x:c r="E2138" s="6" t="str">
        <x:v>답변 가능</x:v>
      </x:c>
      <x:c r="F2138" s="6" t="str">
        <x:v>쉬움</x:v>
      </x:c>
      <x:c r="G2138" s="8" t="str">
        <x:v>뉴로친연질캡슐은 어떤 약인가요?</x:v>
      </x:c>
      <x:c r="H2138" s="8" t="str">
        <x:v>뉴로친연질캡슐은 (주)씨엠지제약의 의약품으로, e약은요에는 다음과 같이 안내되어 있습니다. 이 약은 육체피로, 임신ㆍ수유기, 병중ㆍ병후(병을 앓는 동안이나 회복 후)의 체력 저하 시, 노년기의 비타민 E, B1, B2, B6의 보급과 신경통, 근육통, 관절통(요통, 어깨결림 등), 각기, 눈의 피로 증상의 완화, 말초혈행장애 및 갱년기시 어깨·목결림, 수족저림·수족냉증(손발이 차가움) 증상의 완화에 사용합니다.</x:v>
      </x:c>
      <x:c r="I2138" s="8" t="str">
        <x:v>제품명: 뉴로친연질캡슐 업체명: (주)씨엠지제약 효능: 이 약은 육체피로, 임신ㆍ수유기, 병중ㆍ병후(병을 앓는 동안이나 회복 후)의 체력 저하 시, 노년기의 비타민 E, B1, B2, B6의 보급과 신경통, 근육통, 관절통(요통, 어깨결림 등), 각기, 눈의 피로 증상의 완화, 말초혈행장애 및 갱년기시 어깨·목결림, 수족저림·수족냉증(손발이 차가움) 증상의 완화에 사용합니다.</x:v>
      </x:c>
      <x:c r="J2138" s="8" t="str">
        <x:v>뉴로친연질캡슐 [품목기준코드 200301985]</x:v>
      </x:c>
      <x:c r="K2138" s="8" t="str">
        <x:v>식품의약품안전처 의약품개요정보(e약은요) OpenAPI
https://apis.data.go.kr/1471000/DrbEasyDrugInfoService/getDrbEasyDrugList</x:v>
      </x:c>
    </x:row>
    <x:row r="2139" ht="62" customHeight="1">
      <x:c r="A2139" s="9" t="n">
        <x:v>2138</x:v>
      </x:c>
      <x:c r="B2139" s="6" t="str">
        <x:v>최종 평가</x:v>
      </x:c>
      <x:c r="C2139" s="6" t="str">
        <x:v>복약</x:v>
      </x:c>
      <x:c r="D2139" s="6" t="str">
        <x:v>금기·경고</x:v>
      </x:c>
      <x:c r="E2139" s="6" t="str">
        <x:v>답변 가능</x:v>
      </x:c>
      <x:c r="F2139" s="6" t="str">
        <x:v>쉬움</x:v>
      </x:c>
      <x:c r="G2139" s="8" t="str">
        <x:v>메코비정을 사용하면 안 되거나 반드시 확인해야 할 경고사항은 무엇인가요?</x:v>
      </x:c>
      <x:c r="H2139" s="8" t="str">
        <x:v>이 약에 과민증, 고칼슘혈증(혈액중에 칼슘이 과잉으로 존재하는 상태), 유육종증(원인을 알 수 없는 전신 염증질환), 신장(콩팥)질환 환자, 만 12개월 미만의 젖먹이, 신장(콩팥)결석, 심한 증상의 신부전, 대두유 과민증 또는 알레르기 반응 경험자, 콩 또는 땅콩 과민증 환자는 이 약을 복용하지 마십시오.</x:v>
      </x:c>
      <x:c r="I2139" s="8" t="str">
        <x:v>이 약에 과민증, 고칼슘혈증(혈액중에 칼슘이 과잉으로 존재하는 상태), 유육종증(원인을 알 수 없는 전신 염증질환), 신장(콩팥)질환 환자, 만 12개월 미만의 젖먹이, 신장(콩팥)결석, 심한 증상의 신부전, 대두유 과민증 또는 알레르기 반응 경험자, 콩 또는 땅콩 과민증 환자는 이 약을 복용하지 마십시오.</x:v>
      </x:c>
      <x:c r="J2139" s="8" t="str">
        <x:v>메코비정 [품목기준코드 202203119]</x:v>
      </x:c>
      <x:c r="K2139" s="8" t="str">
        <x:v>식품의약품안전처 의약품개요정보(e약은요) OpenAPI
https://apis.data.go.kr/1471000/DrbEasyDrugInfoService/getDrbEasyDrugList</x:v>
      </x:c>
    </x:row>
    <x:row r="2140" ht="62" customHeight="1">
      <x:c r="A2140" s="9" t="n">
        <x:v>2139</x:v>
      </x:c>
      <x:c r="B2140" s="6" t="str">
        <x:v>최종 평가</x:v>
      </x:c>
      <x:c r="C2140" s="6" t="str">
        <x:v>복약</x:v>
      </x:c>
      <x:c r="D2140" s="6" t="str">
        <x:v>용어·정의</x:v>
      </x:c>
      <x:c r="E2140" s="6" t="str">
        <x:v>답변 가능</x:v>
      </x:c>
      <x:c r="F2140" s="6" t="str">
        <x:v>쉬움</x:v>
      </x:c>
      <x:c r="G2140" s="8" t="str">
        <x:v>더마칸크림(리도카인)은 어떤 약인가요?</x:v>
      </x:c>
      <x:c r="H2140" s="8" t="str">
        <x:v>더마칸크림(리도카인)은 구주제약(주)의 의약품으로, e약은요에는 다음과 같이 안내되어 있습니다. 이 약은 남성 성기 촉각의 예민성 감소에 사용합니다.</x:v>
      </x:c>
      <x:c r="I2140" s="8" t="str">
        <x:v>제품명: 더마칸크림(리도카인) 업체명: 구주제약(주) 효능: 이 약은 남성 성기 촉각의 예민성 감소에 사용합니다.</x:v>
      </x:c>
      <x:c r="J2140" s="8" t="str">
        <x:v>더마칸크림(리도카인) [품목기준코드 201706797]</x:v>
      </x:c>
      <x:c r="K2140" s="8" t="str">
        <x:v>식품의약품안전처 의약품개요정보(e약은요) OpenAPI
https://apis.data.go.kr/1471000/DrbEasyDrugInfoService/getDrbEasyDrugList</x:v>
      </x:c>
    </x:row>
    <x:row r="2141" ht="62" customHeight="1">
      <x:c r="A2141" s="9" t="n">
        <x:v>2140</x:v>
      </x:c>
      <x:c r="B2141" s="6" t="str">
        <x:v>최종 평가</x:v>
      </x:c>
      <x:c r="C2141" s="6" t="str">
        <x:v>복약</x:v>
      </x:c>
      <x:c r="D2141" s="6" t="str">
        <x:v>원인·위험요인</x:v>
      </x:c>
      <x:c r="E2141" s="6" t="str">
        <x:v>답변 가능</x:v>
      </x:c>
      <x:c r="F2141" s="6" t="str">
        <x:v>쉬움</x:v>
      </x:c>
      <x:c r="G2141" s="8" t="str">
        <x:v>룩스씨엠씨점안액(카르복시메틸셀룰로오스나트륨)(1회용)을 사용하기 전에 특히 조심해야 하는 사람은 누구인가요?</x:v>
      </x:c>
      <x:c r="H2141" s="8" t="str">
        <x:v>이 제품을 사용하기 전에 특히 확인해야 할 대상과 상황은 다음과 같습니다. 외용으로만 사용하십시오.일회 사용 후 재사용하지 말며 남은 액과 용기는 반드시 버리도록 하십시오.오염을 피하기 위하여 용기의 팁이 외부에 닿지 않도록 하십시오.액의 색이 변했거나 혼탁된 것은 사용하지 마십시오.일시적인 시야 혼탁이 생길 수 있으므로 시야가 선명해질 때까지 운전이나 위험한 기계조작시 주의하십시오.</x:v>
      </x:c>
      <x:c r="I2141" s="8" t="str">
        <x:v>외용으로만 사용하십시오.일회 사용 후 재사용하지 말며 남은 액과 용기는 반드시 버리도록 하십시오.오염을 피하기 위하여 용기의 팁이 외부에 닿지 않도록 하십시오.액의 색이 변했거나 혼탁된 것은 사용하지 마십시오.일시적인 시야 혼탁이 생길 수 있으므로 시야가 선명해질 때까지 운전이나 위험한 기계조작시 주의하십시오.</x:v>
      </x:c>
      <x:c r="J2141" s="8" t="str">
        <x:v>룩스씨엠씨점안액(카르복시메틸셀룰로오스나트륨)(1회용) [품목기준코드 201706393]</x:v>
      </x:c>
      <x:c r="K2141" s="8" t="str">
        <x:v>식품의약품안전처 의약품개요정보(e약은요) OpenAPI
https://apis.data.go.kr/1471000/DrbEasyDrugInfoService/getDrbEasyDrugList</x:v>
      </x:c>
    </x:row>
    <x:row r="2142" ht="62" customHeight="1">
      <x:c r="A2142" s="9" t="n">
        <x:v>2141</x:v>
      </x:c>
      <x:c r="B2142" s="6" t="str">
        <x:v>최종 평가</x:v>
      </x:c>
      <x:c r="C2142" s="6" t="str">
        <x:v>복약</x:v>
      </x:c>
      <x:c r="D2142" s="6" t="str">
        <x:v>대상별 정보</x:v>
      </x:c>
      <x:c r="E2142" s="6" t="str">
        <x:v>답변 가능</x:v>
      </x:c>
      <x:c r="F2142" s="6" t="str">
        <x:v>쉬움</x:v>
      </x:c>
      <x:c r="G2142" s="8" t="str">
        <x:v>어린이나 소아가 커버롤핀네일라카(아모롤핀염산염)을 사용해도 되나요?</x:v>
      </x:c>
      <x:c r="H2142" s="8" t="str">
        <x:v>e약은요에서 어린이·소아과 관련해 안내한 내용은 다음과 같습니다. 이 약에 과민증 환자 또는 경험자, 영ㆍ유아 및 소아, 조갑주위의 염증성 변화가 나타나는 환자, 혈액순환장애, 영양실조, 알코올 중독 환자, 임부 또는 임신하고 있을 가능성이 있는 여성 및 수유부는 이 약을 사용하지 마십시오.</x:v>
      </x:c>
      <x:c r="I2142" s="8" t="str">
        <x:v>이 약에 과민증 환자 또는 경험자, 영ㆍ유아 및 소아, 조갑주위의 염증성 변화가 나타나는 환자, 혈액순환장애, 영양실조, 알코올 중독 환자, 임부 또는 임신하고 있을 가능성이 있는 여성 및 수유부는 이 약을 사용하지 마십시오.</x:v>
      </x:c>
      <x:c r="J2142" s="8" t="str">
        <x:v>커버롤핀네일라카(아모롤핀염산염) [품목기준코드 201906414]</x:v>
      </x:c>
      <x:c r="K2142" s="8" t="str">
        <x:v>식품의약품안전처 의약품개요정보(e약은요) OpenAPI
https://apis.data.go.kr/1471000/DrbEasyDrugInfoService/getDrbEasyDrugList</x:v>
      </x:c>
    </x:row>
    <x:row r="2143" ht="62" customHeight="1">
      <x:c r="A2143" s="9" t="n">
        <x:v>2142</x:v>
      </x:c>
      <x:c r="B2143" s="6" t="str">
        <x:v>최종 평가</x:v>
      </x:c>
      <x:c r="C2143" s="6" t="str">
        <x:v>복약</x:v>
      </x:c>
      <x:c r="D2143" s="6" t="str">
        <x:v>대상별 정보</x:v>
      </x:c>
      <x:c r="E2143" s="6" t="str">
        <x:v>답변 가능</x:v>
      </x:c>
      <x:c r="F2143" s="6" t="str">
        <x:v>보통</x:v>
      </x:c>
      <x:c r="G2143" s="8" t="str">
        <x:v>어린이나 소아가 나프원큐에스연질캡슐(나프록센)을 사용해도 되나요?</x:v>
      </x:c>
      <x:c r="H2143" s="8" t="str">
        <x:v>e약은요에서 어린이·소아과 관련해 안내한 내용은 다음과 같습니다. 소화성궤양, 심한 혈액이상, 심한 간장애, 심한 심기능부전, 심한 신장애[신장장애], 심한 고혈압, 이 약의 성분 또는 아스피린 등 비스테로이드성 소염[항염]진통제 과민증 환자, 아스피린이나 다른 비스테로이드성 소염[항염]진통제(COX-2 저해제[억제제] 포함)에 의하여 천식, 비염[코염], 코의 용종, 두드러기, 알레르기 반응 또는 경험자, 관상동맥(심장동맥) 우회로술(CABG) 전후에 발생하는 통증 치료 환자, 임부, 수유부, 2세 이하 영아는 이 약을 복용하지 마십시오. 이 약을 복용하기 전에 임신하고 있을 가능성이 있는 부인, 소아, 고령자[노인], 소화성궤양 경험자, 혈액이상 또는 경험자, 출혈경향이 있는 환자, 간장애 또는 경험자, 신장애[신장장애] 또는 경험자 및 신혈류량이 저하된 환자, 심기능 장애, 고혈압 환자, 과민증 경험자, 기관지천식, 전신성홍반[붉은 반점]성루푸스(SLE) 및 혼합결합조직질환(MCTD), 자가면역질환(SLE, MCTD)환자는 의사 또는 약사와 상의하십시오.</x:v>
      </x:c>
      <x:c r="I2143" s="8" t="str">
        <x:v>소화성궤양, 심한 혈액이상, 심한 간장애, 심한 심기능부전, 심한 신장애[신장장애], 심한 고혈압, 이 약의 성분 또는 아스피린 등 비스테로이드성 소염[항염]진통제 과민증 환자, 아스피린이나 다른 비스테로이드성 소염[항염]진통제(COX-2 저해제[억제제] 포함)에 의하여 천식, 비염[코염], 코의 용종, 두드러기, 알레르기 반응 또는 경험자, 관상동맥(심장동맥) 우회로술(CABG) 전후에 발생하는 통증 치료 환자, 임부, 수유부, 2세 이하 영아는 이 약을 복용하지 마십시오. 이 약을 복용하기 전에 임신하고 있을 가능성이 있는 부인, 소아, 고령자[노인], 소화성궤양 경험자, 혈액이상 또는 경험자, 출혈경향이 있는 환자, 간장애 또는 경험자, 신장애[신장장애] 또는 경험자 및 신혈류량이 저하된 환자, 심기능 장애, 고혈압 환자, 과민증 경험자, 기관지천식, 전신성홍반[붉은 반점]성루푸스(SLE) 및 혼합결합조직질환(MCTD), 자가면역질환(SLE, MCTD)환자는 의사 또는 약사와 상의하십시오.</x:v>
      </x:c>
      <x:c r="J2143" s="8" t="str">
        <x:v>나프원큐에스연질캡슐(나프록센) [품목기준코드 202003877]</x:v>
      </x:c>
      <x:c r="K2143" s="8" t="str">
        <x:v>식품의약품안전처 의약품개요정보(e약은요) OpenAPI
https://apis.data.go.kr/1471000/DrbEasyDrugInfoService/getDrbEasyDrugList</x:v>
      </x:c>
    </x:row>
    <x:row r="2144" ht="62" customHeight="1">
      <x:c r="A2144" s="9" t="n">
        <x:v>2143</x:v>
      </x:c>
      <x:c r="B2144" s="6" t="str">
        <x:v>최종 평가</x:v>
      </x:c>
      <x:c r="C2144" s="6" t="str">
        <x:v>복약</x:v>
      </x:c>
      <x:c r="D2144" s="6" t="str">
        <x:v>용법·용량</x:v>
      </x:c>
      <x:c r="E2144" s="6" t="str">
        <x:v>답변 가능</x:v>
      </x:c>
      <x:c r="F2144" s="6" t="str">
        <x:v>쉬움</x:v>
      </x:c>
      <x:c r="G2144" s="8" t="str">
        <x:v>세네풀에스액은 어떻게 사용하나요?</x:v>
      </x:c>
      <x:c r="H2144" s="8" t="str">
        <x:v>1일 수회(여러 차례) 환부(질환 부위)에 뿌리거나 가아제 또는 탈지면에 적셔서 바릅니다.</x:v>
      </x:c>
      <x:c r="I2144" s="8" t="str">
        <x:v>1일 수회(여러 차례) 환부(질환 부위)에 뿌리거나 가아제 또는 탈지면에 적셔서 바릅니다.</x:v>
      </x:c>
      <x:c r="J2144" s="8" t="str">
        <x:v>세네풀에스액 [품목기준코드 201210143]</x:v>
      </x:c>
      <x:c r="K2144" s="8" t="str">
        <x:v>식품의약품안전처 의약품개요정보(e약은요) OpenAPI
https://apis.data.go.kr/1471000/DrbEasyDrugInfoService/getDrbEasyDrugList</x:v>
      </x:c>
    </x:row>
    <x:row r="2145" ht="62" customHeight="1">
      <x:c r="A2145" s="9" t="n">
        <x:v>2144</x:v>
      </x:c>
      <x:c r="B2145" s="6" t="str">
        <x:v>최종 평가</x:v>
      </x:c>
      <x:c r="C2145" s="6" t="str">
        <x:v>복약</x:v>
      </x:c>
      <x:c r="D2145" s="6" t="str">
        <x:v>상호작용</x:v>
      </x:c>
      <x:c r="E2145" s="6" t="str">
        <x:v>답변 가능</x:v>
      </x:c>
      <x:c r="F2145" s="6" t="str">
        <x:v>쉬움</x:v>
      </x:c>
      <x:c r="G2145" s="8" t="str">
        <x:v>센스가드이브정(데소게스트렐)과 함께 사용하거나 먹을 때 주의해야 할 약이나 음식이 있나요?</x:v>
      </x:c>
      <x:c r="H2145" s="8" t="str">
        <x:v>간 마이크로좀 효소를 유도하는 약물, 바르비탈류, 보센탄, 항전간(간질)제(카르바마제핀, 페니토인, 프리미돈), 리팜피신, 에파비렌즈, 옥스카르바제핀, 토피라메이트, 펠바메이트, 세인트존스워트, 리토나비어, 넬피나비어, 비뉴클레오시드 역전사효소 저해제(네비라핀), C형 간염 바이러스와의 조합(HCV) 의약품(보세프레비르, 텔라프레비르), 케토코나졸, 이트라코나졸, 클래리스로마이신, 플루코나졸, 딜티아젬, 에리트로마이신 등과 함께 복용하지 마십시오.</x:v>
      </x:c>
      <x:c r="I2145" s="8" t="str">
        <x:v>간 마이크로좀 효소를 유도하는 약물, 바르비탈류, 보센탄, 항전간(간질)제(카르바마제핀, 페니토인, 프리미돈), 리팜피신, 에파비렌즈, 옥스카르바제핀, 토피라메이트, 펠바메이트, 세인트존스워트, 리토나비어, 넬피나비어, 비뉴클레오시드 역전사효소 저해제(네비라핀), C형 간염 바이러스와의 조합(HCV) 의약품(보세프레비르, 텔라프레비르), 케토코나졸, 이트라코나졸, 클래리스로마이신, 플루코나졸, 딜티아젬, 에리트로마이신 등과 함께 복용하지 마십시오.</x:v>
      </x:c>
      <x:c r="J2145" s="8" t="str">
        <x:v>센스가드이브정(데소게스트렐) [품목기준코드 202202274]</x:v>
      </x:c>
      <x:c r="K2145" s="8" t="str">
        <x:v>식품의약품안전처 의약품개요정보(e약은요) OpenAPI
https://apis.data.go.kr/1471000/DrbEasyDrugInfoService/getDrbEasyDrugList</x:v>
      </x:c>
    </x:row>
    <x:row r="2146" ht="62" customHeight="1">
      <x:c r="A2146" s="9" t="n">
        <x:v>2145</x:v>
      </x:c>
      <x:c r="B2146" s="6" t="str">
        <x:v>최종 평가</x:v>
      </x:c>
      <x:c r="C2146" s="6" t="str">
        <x:v>복약</x:v>
      </x:c>
      <x:c r="D2146" s="6" t="str">
        <x:v>용법·용량</x:v>
      </x:c>
      <x:c r="E2146" s="6" t="str">
        <x:v>답변 가능</x:v>
      </x:c>
      <x:c r="F2146" s="6" t="str">
        <x:v>쉬움</x:v>
      </x:c>
      <x:c r="G2146" s="8" t="str">
        <x:v>알마트린정은 어떻게 사용하나요?</x:v>
      </x:c>
      <x:c r="H2146" s="8" t="str">
        <x:v>성인은 1회 2정씩, 1일 3회 식후에 복용합니다.</x:v>
      </x:c>
      <x:c r="I2146" s="8" t="str">
        <x:v>성인은 1회 2정씩, 1일 3회 식후에 복용합니다.</x:v>
      </x:c>
      <x:c r="J2146" s="8" t="str">
        <x:v>알마트린정 [품목기준코드 200204177]</x:v>
      </x:c>
      <x:c r="K2146" s="8" t="str">
        <x:v>식품의약품안전처 의약품개요정보(e약은요) OpenAPI
https://apis.data.go.kr/1471000/DrbEasyDrugInfoService/getDrbEasyDrugList</x:v>
      </x:c>
    </x:row>
    <x:row r="2147" ht="62" customHeight="1">
      <x:c r="A2147" s="9" t="n">
        <x:v>2146</x:v>
      </x:c>
      <x:c r="B2147" s="6" t="str">
        <x:v>최종 평가</x:v>
      </x:c>
      <x:c r="C2147" s="6" t="str">
        <x:v>복약</x:v>
      </x:c>
      <x:c r="D2147" s="6" t="str">
        <x:v>증상→대상 구분</x:v>
      </x:c>
      <x:c r="E2147" s="6" t="str">
        <x:v>답변 가능</x:v>
      </x:c>
      <x:c r="F2147" s="6" t="str">
        <x:v>어려움</x:v>
      </x:c>
      <x:c r="G2147" s="8" t="str">
        <x:v>코린시럽을 사용한 뒤 구역이 생겼는데, 이 약의 부작용으로 안내되어 있나요?</x:v>
      </x:c>
      <x:c r="H2147" s="8" t="str">
        <x:v>구역은 이 제품의 e약은요 부작용 항목에 기재되어 있습니다. 다만 이 정보만으로 현재 증상의 원인이 해당 약이라고 확정할 수는 없습니다.</x:v>
      </x:c>
      <x:c r="I2147" s="8" t="str">
        <x:v>공포, 불안, 긴장, 진전(떨림), 쇠약, 창백, 호흡곤란, 배뇨곤란, 불면, 환각, 경련, 중추신경억제, 부정맥, 어지러움, 저혈압을 동반한 심혈관 허탈, 빈맥, 동계(두근거림), 두통, 어지러움, 오심(구역), 중등도의 진정작용, 구갈(목마름), 쇠약, 식욕부진, 구토, 신경과민, 다뇨(소변량과다)증, 가슴앓이, 복시(겹보임), 배뇨곤란, 드물게 피부염, 졸음, 흥분 등이 나타날 수 있습니다.</x:v>
      </x:c>
      <x:c r="J2147" s="8" t="str">
        <x:v>코린시럽 [품목기준코드 200102565]</x:v>
      </x:c>
      <x:c r="K2147" s="8" t="str">
        <x:v>식품의약품안전처 의약품개요정보(e약은요) OpenAPI
https://apis.data.go.kr/1471000/DrbEasyDrugInfoService/getDrbEasyDrugList</x:v>
      </x:c>
    </x:row>
    <x:row r="2148" ht="62" customHeight="1">
      <x:c r="A2148" s="9" t="n">
        <x:v>2147</x:v>
      </x:c>
      <x:c r="B2148" s="6" t="str">
        <x:v>최종 평가</x:v>
      </x:c>
      <x:c r="C2148" s="6" t="str">
        <x:v>복약</x:v>
      </x:c>
      <x:c r="D2148" s="6" t="str">
        <x:v>실용·응급대처</x:v>
      </x:c>
      <x:c r="E2148" s="6" t="str">
        <x:v>답변 가능</x:v>
      </x:c>
      <x:c r="F2148" s="6" t="str">
        <x:v>보통</x:v>
      </x:c>
      <x:c r="G2148" s="8" t="str">
        <x:v>코비메타비정 사용 후 심한 이상반응이 나타나면 어떻게 해야 하나요?</x:v>
      </x:c>
      <x:c r="H2148" s="8" t="str">
        <x:v>구역, 구토, 설사, 위부불쾌감, 변비, 발진, 발적(충혈되어 붉어짐), 묽은 변, 식욕부진, 복부(배부분) 팽만감, 붉은 반점, 부전수축(심장박동정지), 중추신경계 기능저하, 피부염, 땀․호흡 시 악취, 탈모, 조급증, 위장관장애, 소화장애, 상복부(배부분)통증, 저혈압, 폐부종(부기), 생리가 예정보다 빨라지거나 양이 점점 많아지거나, 출혈이 오래 지속되는 증상이 나타나는 경우 복용을 즉각 중지하고 의사 또는 약사와 상의하십시오.</x:v>
      </x:c>
      <x:c r="I2148" s="8" t="str">
        <x:v>구역, 구토, 설사, 위부불쾌감, 변비, 발진, 발적(충혈되어 붉어짐), 묽은 변, 식욕부진, 복부(배부분) 팽만감, 붉은 반점, 부전수축(심장박동정지), 중추신경계 기능저하, 피부염, 땀․호흡 시 악취, 탈모, 조급증, 위장관장애, 소화장애, 상복부(배부분)통증, 저혈압, 폐부종(부기), 생리가 예정보다 빨라지거나 양이 점점 많아지거나, 출혈이 오래 지속되는 증상이 나타나는 경우 복용을 즉각 중지하고 의사 또는 약사와 상의하십시오.</x:v>
      </x:c>
      <x:c r="J2148" s="8" t="str">
        <x:v>코비메타비정 [품목기준코드 202301812]</x:v>
      </x:c>
      <x:c r="K2148" s="8" t="str">
        <x:v>식품의약품안전처 의약품개요정보(e약은요) OpenAPI
https://apis.data.go.kr/1471000/DrbEasyDrugInfoService/getDrbEasyDrugList</x:v>
      </x:c>
    </x:row>
    <x:row r="2149" ht="62" customHeight="1">
      <x:c r="A2149" s="9" t="n">
        <x:v>2148</x:v>
      </x:c>
      <x:c r="B2149" s="6" t="str">
        <x:v>최종 평가</x:v>
      </x:c>
      <x:c r="C2149" s="6" t="str">
        <x:v>복약</x:v>
      </x:c>
      <x:c r="D2149" s="6" t="str">
        <x:v>용어·정의</x:v>
      </x:c>
      <x:c r="E2149" s="6" t="str">
        <x:v>답변 가능</x:v>
      </x:c>
      <x:c r="F2149" s="6" t="str">
        <x:v>쉬움</x:v>
      </x:c>
      <x:c r="G2149" s="8" t="str">
        <x:v>콜레시움정은 어떤 약인가요?</x:v>
      </x:c>
      <x:c r="H2149" s="8" t="str">
        <x:v>콜레시움정은 (주)메디카코리아의 의약품으로, e약은요에는 다음과 같이 안내되어 있습니다. 이 약은 육체피로, 임신 및 수유기, 병을 앓는 동안이나 회복 후의 체력저하 시, 발육기, 노년기의 비타민 D, B1의 보급과 뼈, 이의 발육불량, 구루병의 예방에 사용합니다.</x:v>
      </x:c>
      <x:c r="I2149" s="8" t="str">
        <x:v>제품명: 콜레시움정 업체명: (주)메디카코리아 효능: 이 약은 육체피로, 임신 및 수유기, 병을 앓는 동안이나 회복 후의 체력저하 시, 발육기, 노년기의 비타민 D, B1의 보급과 뼈, 이의 발육불량, 구루병의 예방에 사용합니다.</x:v>
      </x:c>
      <x:c r="J2149" s="8" t="str">
        <x:v>콜레시움정 [품목기준코드 202500690]</x:v>
      </x:c>
      <x:c r="K2149" s="8" t="str">
        <x:v>식품의약품안전처 의약품개요정보(e약은요) OpenAPI
https://apis.data.go.kr/1471000/DrbEasyDrugInfoService/getDrbEasyDrugList</x:v>
      </x:c>
    </x:row>
    <x:row r="2150" ht="62" customHeight="1">
      <x:c r="A2150" s="9" t="n">
        <x:v>2149</x:v>
      </x:c>
      <x:c r="B2150" s="6" t="str">
        <x:v>최종 평가</x:v>
      </x:c>
      <x:c r="C2150" s="6" t="str">
        <x:v>복약</x:v>
      </x:c>
      <x:c r="D2150" s="6" t="str">
        <x:v>상호작용</x:v>
      </x:c>
      <x:c r="E2150" s="6" t="str">
        <x:v>답변 가능</x:v>
      </x:c>
      <x:c r="F2150" s="6" t="str">
        <x:v>쉬움</x:v>
      </x:c>
      <x:c r="G2150" s="8" t="str">
        <x:v>캐롤비코프연질캡슐과 함께 사용하거나 먹을 때 주의해야 할 약이나 음식이 있나요?</x:v>
      </x:c>
      <x:c r="H2150" s="8" t="str">
        <x:v>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알코올을 투여한 환자는 의사 또는 약사와 상의하십시오.</x:v>
      </x:c>
      <x:c r="I2150" s="8" t="str">
        <x:v>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알코올을 투여한 환자는 의사 또는 약사와 상의하십시오.</x:v>
      </x:c>
      <x:c r="J2150" s="8" t="str">
        <x:v>캐롤비코프연질캡슐 [품목기준코드 201802397]</x:v>
      </x:c>
      <x:c r="K2150" s="8" t="str">
        <x:v>식품의약품안전처 의약품개요정보(e약은요) OpenAPI
https://apis.data.go.kr/1471000/DrbEasyDrugInfoService/getDrbEasyDrugList</x:v>
      </x:c>
    </x:row>
    <x:row r="2151" ht="62" customHeight="1">
      <x:c r="A2151" s="9" t="n">
        <x:v>2150</x:v>
      </x:c>
      <x:c r="B2151" s="6" t="str">
        <x:v>최종 평가</x:v>
      </x:c>
      <x:c r="C2151" s="6" t="str">
        <x:v>복약</x:v>
      </x:c>
      <x:c r="D2151" s="6" t="str">
        <x:v>답변불가·가격·재고</x:v>
      </x:c>
      <x:c r="E2151" s="6" t="str">
        <x:v>답변 거부</x:v>
      </x:c>
      <x:c r="F2151" s="6" t="str">
        <x:v>어려움</x:v>
      </x:c>
      <x:c r="G2151" s="8" t="str">
        <x:v>오늘 제 주변 약국에서 알리겔정(알마게이트)이 가장 싼 곳과 재고 수량을 알려주세요.</x:v>
      </x:c>
      <x:c r="H2151" s="8" t="str">
        <x:v>제공된 e약은요 VDB에는 실시간 약국별 가격과 재고 정보가 없어 답할 수 없습니다.</x:v>
      </x:c>
      <x:c r="I2151" s="8" t="str">
        <x:v>VDB 범위 밖 질문 — 근거 없음</x:v>
      </x:c>
      <x:c r="J2151" s="8" t="str">
        <x:v>알리겔정(알마게이트) [품목기준코드 201402826]</x:v>
      </x:c>
      <x:c r="K2151" s="8" t="str">
        <x:v>식품의약품안전처 의약품개요정보(e약은요) OpenAPI
https://apis.data.go.kr/1471000/DrbEasyDrugInfoService/getDrbEasyDrugList</x:v>
      </x:c>
    </x:row>
    <x:row r="2152" ht="62" customHeight="1">
      <x:c r="A2152" s="9" t="n">
        <x:v>2151</x:v>
      </x:c>
      <x:c r="B2152" s="6" t="str">
        <x:v>최종 평가</x:v>
      </x:c>
      <x:c r="C2152" s="6" t="str">
        <x:v>복약</x:v>
      </x:c>
      <x:c r="D2152" s="6" t="str">
        <x:v>상호작용</x:v>
      </x:c>
      <x:c r="E2152" s="6" t="str">
        <x:v>답변 가능</x:v>
      </x:c>
      <x:c r="F2152" s="6" t="str">
        <x:v>쉬움</x:v>
      </x:c>
      <x:c r="G2152" s="8" t="str">
        <x:v>기가프신연질캡슐과 함께 사용하거나 먹을 때 주의해야 할 약이나 음식이 있나요?</x:v>
      </x:c>
      <x:c r="H2152" s="8" t="str">
        <x:v>다른 진해(기침을 그치게 함)·거담제(가래약), 감기약과 함께 복용하지 마십시오.</x:v>
      </x:c>
      <x:c r="I2152" s="8" t="str">
        <x:v>다른 진해(기침을 그치게 함)·거담제(가래약), 감기약과 함께 복용하지 마십시오.</x:v>
      </x:c>
      <x:c r="J2152" s="8" t="str">
        <x:v>기가프신연질캡슐 [품목기준코드 201606791]</x:v>
      </x:c>
      <x:c r="K2152" s="8" t="str">
        <x:v>식품의약품안전처 의약품개요정보(e약은요) OpenAPI
https://apis.data.go.kr/1471000/DrbEasyDrugInfoService/getDrbEasyDrugList</x:v>
      </x:c>
    </x:row>
    <x:row r="2153" ht="62" customHeight="1">
      <x:c r="A2153" s="9" t="n">
        <x:v>2152</x:v>
      </x:c>
      <x:c r="B2153" s="6" t="str">
        <x:v>최종 평가</x:v>
      </x:c>
      <x:c r="C2153" s="6" t="str">
        <x:v>복약</x:v>
      </x:c>
      <x:c r="D2153" s="6" t="str">
        <x:v>실용·응급대처</x:v>
      </x:c>
      <x:c r="E2153" s="6" t="str">
        <x:v>답변 가능</x:v>
      </x:c>
      <x:c r="F2153" s="6" t="str">
        <x:v>보통</x:v>
      </x:c>
      <x:c r="G2153" s="8" t="str">
        <x:v>제뉴원이부펜시럽(이부프로펜) 사용 후 심한 이상반응이 나타나면 어떻게 해야 하나요?</x:v>
      </x:c>
      <x:c r="H2153" s="8" t="str">
        <x:v>쇽, 아나필락시양 반응(과민성유사 반응), 흉내고민(가슴쓰림), 오한, 호흡곤란, 혈압저하, 헤마토크릿 감소, 헤모글로빈 감소, 빈혈, 재생불량성빈혈, 용혈성빈혈, 무과립구증, 과립구감소, 백혈구감소, 혈소판감소, 혈소판 기능 저하 (출혈시간 연장), 호산구증가 등의 혈액장애, 소화성궤양, 위장관궤양, 위장출혈, 천공, 궤양성 대장염, 혈변, 위염, 췌장염, 토혈, 크론병, 식욕부진, 구역, 구토, 복통, 소화불량, 설사, 위부불쾌감, 상복부 통증, 구갈(목마름), 구내염(입안염), 복부팽만감, 구강궤양, 변비, 흑변, 스티븐스-존슨증후군, 독성표피괴사용해, 광민감 반응(빈도불명), 빈도불명의 호산구 증가 및 전신 증후군을 동반한 약물 발진(DRESS 증후군), 혈관신경성 부종, 수포성피부염, 다형성 홍반, 반구진 발진, 피부 붉어짐, 수포, 발진, 탈락 피부염, 급성전신발진고름물집증, 간염, 황달, GOT, GPT, 알칼라인 포스파타제(ALP)의 상승 등과 같은 간기능이상, 간장애, 과민증 또는 아나필락시스 반응, 천식발작, 두드러기, 습진, 자반, 발진, 가려움증, 천식, 기관지수축, 호흡곤란 또는 쌕쌕거림, 암점(시야불능부위) 등 시각장애, 난청, 이명, 미각이상, 현기증, 졸음, 어지러움, 우울, 두통, 뇌혈관 사고 또는 신경질, 무균성 수막염 또는 수막염(심한 두통, 구역, 구토, 불면, 목이 뻣뻣함, 발열 또는 의식장애 등의 증상), 혈압저하,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안와주위부종(눈주변 부기), 안면부종, 권태감, 발열, 비출혈(코피), 부종, 말초부종이 나타나는 경우 복용을 즉각 중지하고 의사 또는 약사와 상의하십시오.</x:v>
      </x:c>
      <x:c r="I2153" s="8" t="str">
        <x:v>쇽, 아나필락시양 반응(과민성유사 반응), 흉내고민(가슴쓰림), 오한, 호흡곤란, 혈압저하, 헤마토크릿 감소, 헤모글로빈 감소, 빈혈, 재생불량성빈혈, 용혈성빈혈, 무과립구증, 과립구감소, 백혈구감소, 혈소판감소, 혈소판 기능 저하 (출혈시간 연장), 호산구증가 등의 혈액장애, 소화성궤양, 위장관궤양, 위장출혈, 천공, 궤양성 대장염, 혈변, 위염, 췌장염, 토혈, 크론병, 식욕부진, 구역, 구토, 복통, 소화불량, 설사, 위부불쾌감, 상복부 통증, 구갈(목마름), 구내염(입안염), 복부팽만감, 구강궤양, 변비, 흑변, 스티븐스-존슨증후군, 독성표피괴사용해, 광민감 반응(빈도불명), 빈도불명의 호산구 증가 및 전신 증후군을 동반한 약물 발진(DRESS 증후군), 혈관신경성 부종, 수포성피부염, 다형성 홍반, 반구진 발진, 피부 붉어짐, 수포, 발진, 탈락 피부염, 급성전신발진고름물집증, 간염, 황달, GOT, GPT, 알칼라인 포스파타제(ALP)의 상승 등과 같은 간기능이상, 간장애, 과민증 또는 아나필락시스 반응, 천식발작, 두드러기, 습진, 자반, 발진, 가려움증, 천식, 기관지수축, 호흡곤란 또는 쌕쌕거림, 암점(시야불능부위) 등 시각장애, 난청, 이명, 미각이상, 현기증, 졸음, 어지러움, 우울, 두통, 뇌혈관 사고 또는 신경질, 무균성 수막염 또는 수막염(심한 두통, 구역, 구토, 불면, 목이 뻣뻣함, 발열 또는 의식장애 등의 증상), 혈압저하,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안와주위부종(눈주변 부기), 안면부종, 권태감, 발열, 비출혈(코피), 부종, 말초부종이 나타나는 경우 복용을 즉각 중지하고 의사 또는 약사와 상의하십시오.</x:v>
      </x:c>
      <x:c r="J2153" s="8" t="str">
        <x:v>제뉴원이부펜시럽(이부프로펜) [품목기준코드 200901979]</x:v>
      </x:c>
      <x:c r="K2153" s="8" t="str">
        <x:v>식품의약품안전처 의약품개요정보(e약은요) OpenAPI
https://apis.data.go.kr/1471000/DrbEasyDrugInfoService/getDrbEasyDrugList</x:v>
      </x:c>
    </x:row>
    <x:row r="2154" ht="62" customHeight="1">
      <x:c r="A2154" s="9" t="n">
        <x:v>2153</x:v>
      </x:c>
      <x:c r="B2154" s="6" t="str">
        <x:v>최종 평가</x:v>
      </x:c>
      <x:c r="C2154" s="6" t="str">
        <x:v>복약</x:v>
      </x:c>
      <x:c r="D2154" s="6" t="str">
        <x:v>보관·관리</x:v>
      </x:c>
      <x:c r="E2154" s="6" t="str">
        <x:v>답변 가능</x:v>
      </x:c>
      <x:c r="F2154" s="6" t="str">
        <x:v>쉬움</x:v>
      </x:c>
      <x:c r="G2154" s="8" t="str">
        <x:v>쎈비백정은 어떻게 보관해야 하나요?</x:v>
      </x:c>
      <x:c r="H2154" s="8" t="str">
        <x:v>습기와 빛을 피해 실온에서 보관하십시오. 어린이의 손이 닿지 않는 곳에 보관하십시오.</x:v>
      </x:c>
      <x:c r="I2154" s="8" t="str">
        <x:v>습기와 빛을 피해 실온에서 보관하십시오. 어린이의 손이 닿지 않는 곳에 보관하십시오.</x:v>
      </x:c>
      <x:c r="J2154" s="8" t="str">
        <x:v>쎈비백정 [품목기준코드 201800124]</x:v>
      </x:c>
      <x:c r="K2154" s="8" t="str">
        <x:v>식품의약품안전처 의약품개요정보(e약은요) OpenAPI
https://apis.data.go.kr/1471000/DrbEasyDrugInfoService/getDrbEasyDrugList</x:v>
      </x:c>
    </x:row>
    <x:row r="2155" ht="62" customHeight="1">
      <x:c r="A2155" s="9" t="n">
        <x:v>2154</x:v>
      </x:c>
      <x:c r="B2155" s="6" t="str">
        <x:v>최종 평가</x:v>
      </x:c>
      <x:c r="C2155" s="6" t="str">
        <x:v>복약</x:v>
      </x:c>
      <x:c r="D2155" s="6" t="str">
        <x:v>금기·경고</x:v>
      </x:c>
      <x:c r="E2155" s="6" t="str">
        <x:v>답변 가능</x:v>
      </x:c>
      <x:c r="F2155" s="6" t="str">
        <x:v>쉬움</x:v>
      </x:c>
      <x:c r="G2155" s="8" t="str">
        <x:v>현대에르도스테인캡슐을 사용하면 안 되거나 반드시 확인해야 할 경고사항은 무엇인가요?</x:v>
      </x:c>
      <x:c r="H2155" s="8" t="str">
        <x:v>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x:v>
      </x:c>
      <x:c r="I2155" s="8" t="str">
        <x:v>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x:v>
      </x:c>
      <x:c r="J2155" s="8" t="str">
        <x:v>현대에르도스테인캡슐 [품목기준코드 201903082]</x:v>
      </x:c>
      <x:c r="K2155" s="8" t="str">
        <x:v>식품의약품안전처 의약품개요정보(e약은요) OpenAPI
https://apis.data.go.kr/1471000/DrbEasyDrugInfoService/getDrbEasyDrugList</x:v>
      </x:c>
    </x:row>
    <x:row r="2156" ht="62" customHeight="1">
      <x:c r="A2156" s="9" t="n">
        <x:v>2155</x:v>
      </x:c>
      <x:c r="B2156" s="6" t="str">
        <x:v>최종 평가</x:v>
      </x:c>
      <x:c r="C2156" s="6" t="str">
        <x:v>복약</x:v>
      </x:c>
      <x:c r="D2156" s="6" t="str">
        <x:v>증상·이상반응</x:v>
      </x:c>
      <x:c r="E2156" s="6" t="str">
        <x:v>답변 가능</x:v>
      </x:c>
      <x:c r="F2156" s="6" t="str">
        <x:v>보통</x:v>
      </x:c>
      <x:c r="G2156" s="8" t="str">
        <x:v>이콕스펜레이디연질캡슐을 사용하면 어떤 부작용이 생길 수 있나요?</x:v>
      </x:c>
      <x:c r="H2156" s="8" t="str">
        <x:v>e약은요에는 다음과 같은 이상반응이 안내되어 있습니다. 발진, 발적, 가려움, 구역, 구토, 식욕부진, 변비, 위통, 소화관출혈, 위부불쾌감, 어지러움, 부종(부기),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매우 드물게 다형성 홍반, 탈락 피부염, 빈도불명의 광민감 반응, 호산구 증가 및 전신 증후군을 동반한 약물 반응(DRESS 증후군), 급성전신발진고름물집증, 빈도 불명의 코니스 증후군 등이 나타나는 경우 복용을 즉각 중지하고 의사 또는 약사와 상의하십시오.</x:v>
      </x:c>
      <x:c r="I2156" s="8" t="str">
        <x:v>발진, 발적, 가려움, 구역, 구토, 식욕부진, 변비, 위통, 소화관출혈, 위부불쾌감, 어지러움, 부종(부기),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매우 드물게 다형성 홍반, 탈락 피부염, 빈도불명의 광민감 반응, 호산구 증가 및 전신 증후군을 동반한 약물 반응(DRESS 증후군), 급성전신발진고름물집증, 빈도 불명의 코니스 증후군 등이 나타나는 경우 복용을 즉각 중지하고 의사 또는 약사와 상의하십시오.</x:v>
      </x:c>
      <x:c r="J2156" s="8" t="str">
        <x:v>이콕스펜레이디연질캡슐 [품목기준코드 202501957]</x:v>
      </x:c>
      <x:c r="K2156" s="8" t="str">
        <x:v>식품의약품안전처 의약품개요정보(e약은요) OpenAPI
https://apis.data.go.kr/1471000/DrbEasyDrugInfoService/getDrbEasyDrugList</x:v>
      </x:c>
    </x:row>
    <x:row r="2157" ht="62" customHeight="1">
      <x:c r="A2157" s="9" t="n">
        <x:v>2156</x:v>
      </x:c>
      <x:c r="B2157" s="6" t="str">
        <x:v>최종 평가</x:v>
      </x:c>
      <x:c r="C2157" s="6" t="str">
        <x:v>복약</x:v>
      </x:c>
      <x:c r="D2157" s="6" t="str">
        <x:v>효능·사용목적</x:v>
      </x:c>
      <x:c r="E2157" s="6" t="str">
        <x:v>답변 가능</x:v>
      </x:c>
      <x:c r="F2157" s="6" t="str">
        <x:v>쉬움</x:v>
      </x:c>
      <x:c r="G2157" s="8" t="str">
        <x:v>일성아세트아미노펜정325밀리그램은 어떤 증상이나 질환에 사용하는 약인가요?</x:v>
      </x:c>
      <x:c r="H2157" s="8" t="str">
        <x:v>이 약은 감기로 인한 발열 및 동통(통증), 두통, 신경통, 근육통, 월경통, 염좌통(삔 통증)과 치통, 관절통, 류마티양 동통(통증)에 사용합니다.</x:v>
      </x:c>
      <x:c r="I2157" s="8" t="str">
        <x:v>이 약은 감기로 인한 발열 및 동통(통증), 두통, 신경통, 근육통, 월경통, 염좌통(삔 통증)과 치통, 관절통, 류마티양 동통(통증)에 사용합니다.</x:v>
      </x:c>
      <x:c r="J2157" s="8" t="str">
        <x:v>일성아세트아미노펜정325밀리그램 [품목기준코드 201705636]</x:v>
      </x:c>
      <x:c r="K2157" s="8" t="str">
        <x:v>식품의약품안전처 의약품개요정보(e약은요) OpenAPI
https://apis.data.go.kr/1471000/DrbEasyDrugInfoService/getDrbEasyDrugList</x:v>
      </x:c>
    </x:row>
    <x:row r="2158" ht="62" customHeight="1">
      <x:c r="A2158" s="9" t="n">
        <x:v>2157</x:v>
      </x:c>
      <x:c r="B2158" s="6" t="str">
        <x:v>최종 평가</x:v>
      </x:c>
      <x:c r="C2158" s="6" t="str">
        <x:v>복약</x:v>
      </x:c>
      <x:c r="D2158" s="6" t="str">
        <x:v>원인·위험요인</x:v>
      </x:c>
      <x:c r="E2158" s="6" t="str">
        <x:v>답변 가능</x:v>
      </x:c>
      <x:c r="F2158" s="6" t="str">
        <x:v>보통</x:v>
      </x:c>
      <x:c r="G2158" s="8" t="str">
        <x:v>이부프렌드프로연질캡슐을 사용하기 전에 특히 조심해야 하는 사람은 누구인가요?</x:v>
      </x:c>
      <x:c r="H2158" s="8" t="str">
        <x:v>이 제품을 사용하기 전에 특히 확인해야 할 대상과 상황은 다음과 같습니다. 이 약에 과민증 환자,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갑상선질환, 당뇨병, 고혈압, 몸이 약한 사람 또는 고열이 있는 사람, 고령자, 임부 또는 임신하고 있을 가능성이 있는 여성 및 수유부, 속쓰림, 위부불쾌감, 위통과 같은 위장문제가 지속 혹은 재발되거나 궤양, 출혈문제를 가지고 있는 사람, 구토와 설사로 많은 수분을 손실하거나 수분을 흡수하지 않는 사람, 만 2세 미만의 소아는 의사 또는 약사와 상의하십시오. 5~6회 복용하여도 증상이 좋아지지 않을 경우 복용을 즉각 중지하고 의사 또는 약사와 상의하십시오.</x:v>
      </x:c>
      <x:c r="I2158" s="8" t="str">
        <x:v>이 약에 과민증 환자,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갑상선질환, 당뇨병, 고혈압, 몸이 약한 사람 또는 고열이 있는 사람, 고령자, 임부 또는 임신하고 있을 가능성이 있는 여성 및 수유부, 속쓰림, 위부불쾌감, 위통과 같은 위장문제가 지속 혹은 재발되거나 궤양, 출혈문제를 가지고 있는 사람, 구토와 설사로 많은 수분을 손실하거나 수분을 흡수하지 않는 사람, 만 2세 미만의 소아는 의사 또는 약사와 상의하십시오. 5~6회 복용하여도 증상이 좋아지지 않을 경우 복용을 즉각 중지하고 의사 또는 약사와 상의하십시오.</x:v>
      </x:c>
      <x:c r="J2158" s="8" t="str">
        <x:v>이부프렌드프로연질캡슐 [품목기준코드 201502753]</x:v>
      </x:c>
      <x:c r="K2158" s="8" t="str">
        <x:v>식품의약품안전처 의약품개요정보(e약은요) OpenAPI
https://apis.data.go.kr/1471000/DrbEasyDrugInfoService/getDrbEasyDrugList</x:v>
      </x:c>
    </x:row>
    <x:row r="2159" ht="62" customHeight="1">
      <x:c r="A2159" s="9" t="n">
        <x:v>2158</x:v>
      </x:c>
      <x:c r="B2159" s="6" t="str">
        <x:v>최종 평가</x:v>
      </x:c>
      <x:c r="C2159" s="6" t="str">
        <x:v>복약</x:v>
      </x:c>
      <x:c r="D2159" s="6" t="str">
        <x:v>용법·용량</x:v>
      </x:c>
      <x:c r="E2159" s="6" t="str">
        <x:v>답변 가능</x:v>
      </x:c>
      <x:c r="F2159" s="6" t="str">
        <x:v>쉬움</x:v>
      </x:c>
      <x:c r="G2159" s="8" t="str">
        <x:v>아세드린정은 어떻게 사용하나요?</x:v>
      </x:c>
      <x:c r="H2159" s="8" t="str">
        <x:v>만 15세 이상 및 성인은 1회 2정씩, 1일 3회 식후 30분에 복용합니다.</x:v>
      </x:c>
      <x:c r="I2159" s="8" t="str">
        <x:v>만 15세 이상 및 성인은 1회 2정씩, 1일 3회 식후 30분에 복용합니다.</x:v>
      </x:c>
      <x:c r="J2159" s="8" t="str">
        <x:v>아세드린정 [품목기준코드 201602240]</x:v>
      </x:c>
      <x:c r="K2159" s="8" t="str">
        <x:v>식품의약품안전처 의약품개요정보(e약은요) OpenAPI
https://apis.data.go.kr/1471000/DrbEasyDrugInfoService/getDrbEasyDrugList</x:v>
      </x:c>
    </x:row>
    <x:row r="2160" ht="62" customHeight="1">
      <x:c r="A2160" s="9" t="n">
        <x:v>2159</x:v>
      </x:c>
      <x:c r="B2160" s="6" t="str">
        <x:v>최종 평가</x:v>
      </x:c>
      <x:c r="C2160" s="6" t="str">
        <x:v>복약</x:v>
      </x:c>
      <x:c r="D2160" s="6" t="str">
        <x:v>실용·응급대처</x:v>
      </x:c>
      <x:c r="E2160" s="6" t="str">
        <x:v>답변 가능</x:v>
      </x:c>
      <x:c r="F2160" s="6" t="str">
        <x:v>보통</x:v>
      </x:c>
      <x:c r="G2160" s="8" t="str">
        <x:v>레스타민코와파우더크림 사용 후 심한 이상반응이 나타나면 어떻게 해야 하나요?</x:v>
      </x:c>
      <x:c r="H2160" s="8" t="str">
        <x:v>발진ㆍ발적, 가려움, 부종 등이 나타나는 경우 사용을 즉각 중지하고 의사 또는 약사와 상의하십시오.</x:v>
      </x:c>
      <x:c r="I2160" s="8" t="str">
        <x:v>발진ㆍ발적, 가려움, 부종 등이 나타나는 경우 사용을 즉각 중지하고 의사 또는 약사와 상의하십시오.</x:v>
      </x:c>
      <x:c r="J2160" s="8" t="str">
        <x:v>레스타민코와파우더크림 [품목기준코드 201604986]</x:v>
      </x:c>
      <x:c r="K2160" s="8" t="str">
        <x:v>식품의약품안전처 의약품개요정보(e약은요) OpenAPI
https://apis.data.go.kr/1471000/DrbEasyDrugInfoService/getDrbEasyDrugList</x:v>
      </x:c>
    </x:row>
    <x:row r="2161" ht="62" customHeight="1">
      <x:c r="A2161" s="9" t="n">
        <x:v>2160</x:v>
      </x:c>
      <x:c r="B2161" s="6" t="str">
        <x:v>최종 평가</x:v>
      </x:c>
      <x:c r="C2161" s="6" t="str">
        <x:v>복약</x:v>
      </x:c>
      <x:c r="D2161" s="6" t="str">
        <x:v>답변불가·가격·재고</x:v>
      </x:c>
      <x:c r="E2161" s="6" t="str">
        <x:v>답변 거부</x:v>
      </x:c>
      <x:c r="F2161" s="6" t="str">
        <x:v>어려움</x:v>
      </x:c>
      <x:c r="G2161" s="8" t="str">
        <x:v>오늘 제 주변 약국에서 미리놀캡슐(아세틸시스테인)이 가장 싼 곳과 재고 수량을 알려주세요.</x:v>
      </x:c>
      <x:c r="H2161" s="8" t="str">
        <x:v>제공된 e약은요 VDB에는 실시간 약국별 가격과 재고 정보가 없어 답할 수 없습니다.</x:v>
      </x:c>
      <x:c r="I2161" s="8" t="str">
        <x:v>VDB 범위 밖 질문 — 근거 없음</x:v>
      </x:c>
      <x:c r="J2161" s="8" t="str">
        <x:v>미리놀캡슐(아세틸시스테인) [품목기준코드 199800785]</x:v>
      </x:c>
      <x:c r="K2161" s="8" t="str">
        <x:v>식품의약품안전처 의약품개요정보(e약은요) OpenAPI
https://apis.data.go.kr/1471000/DrbEasyDrugInfoService/getDrbEasyDrugList</x:v>
      </x:c>
    </x:row>
    <x:row r="2162" ht="62" customHeight="1">
      <x:c r="A2162" s="9" t="n">
        <x:v>2161</x:v>
      </x:c>
      <x:c r="B2162" s="6" t="str">
        <x:v>최종 평가</x:v>
      </x:c>
      <x:c r="C2162" s="6" t="str">
        <x:v>복약</x:v>
      </x:c>
      <x:c r="D2162" s="6" t="str">
        <x:v>원인·위험요인</x:v>
      </x:c>
      <x:c r="E2162" s="6" t="str">
        <x:v>답변 가능</x:v>
      </x:c>
      <x:c r="F2162" s="6" t="str">
        <x:v>쉬움</x:v>
      </x:c>
      <x:c r="G2162" s="8" t="str">
        <x:v>바이오아지니나액(L-아르기닌)을 사용하기 전에 특히 조심해야 하는 사람은 누구인가요?</x:v>
      </x:c>
      <x:c r="H2162" s="8" t="str">
        <x:v>이 제품을 사용하기 전에 특히 확인해야 할 대상과 상황은 다음과 같습니다. 이 약에 과민증 환자, 중증(심한 증상) 간부전(간기능 상실), 담도(쓸개길)폐쇄 환자, 심근경색 및 그 경험자는 이 약을 복용하지 마십시오.이 약을 복용하기 전에 당뇨병 환자는 의사 또는 약사와 상의하십시오.정해진 용법과 용량을 잘 지키십시오.이 약은 내복으로만 사용하십시오.1개월 정도 복용하여도 증상의 개선이 없을 경우 의사 또는 약사와 상의하십시오.</x:v>
      </x:c>
      <x:c r="I2162" s="8" t="str">
        <x:v>이 약에 과민증 환자, 중증(심한 증상) 간부전(간기능 상실), 담도(쓸개길)폐쇄 환자, 심근경색 및 그 경험자는 이 약을 복용하지 마십시오.이 약을 복용하기 전에 당뇨병 환자는 의사 또는 약사와 상의하십시오.정해진 용법과 용량을 잘 지키십시오.이 약은 내복으로만 사용하십시오.1개월 정도 복용하여도 증상의 개선이 없을 경우 의사 또는 약사와 상의하십시오.</x:v>
      </x:c>
      <x:c r="J2162" s="8" t="str">
        <x:v>바이오아지니나액(L-아르기닌) [품목기준코드 201201493]</x:v>
      </x:c>
      <x:c r="K2162" s="8" t="str">
        <x:v>식품의약품안전처 의약품개요정보(e약은요) OpenAPI
https://apis.data.go.kr/1471000/DrbEasyDrugInfoService/getDrbEasyDrugList</x:v>
      </x:c>
    </x:row>
    <x:row r="2163" ht="62" customHeight="1">
      <x:c r="A2163" s="9" t="n">
        <x:v>2162</x:v>
      </x:c>
      <x:c r="B2163" s="6" t="str">
        <x:v>최종 평가</x:v>
      </x:c>
      <x:c r="C2163" s="6" t="str">
        <x:v>복약</x:v>
      </x:c>
      <x:c r="D2163" s="6" t="str">
        <x:v>답변불가·개인 복용 판단</x:v>
      </x:c>
      <x:c r="E2163" s="6" t="str">
        <x:v>답변 거부</x:v>
      </x:c>
      <x:c r="F2163" s="6" t="str">
        <x:v>어려움</x:v>
      </x:c>
      <x:c r="G2163" s="8" t="str">
        <x:v>제 건강 상태를 따로 확인하지 않고 마그메코정을 지금 먹어도 되는지 결정해 주세요.</x:v>
      </x:c>
      <x:c r="H2163" s="8" t="str">
        <x:v>제공된 e약은요 VDB만으로 개인의 건강 상태를 반영한 복용 가능 여부를 결정할 수 없습니다. 의사 또는 약사와 상담해야 합니다.</x:v>
      </x:c>
      <x:c r="I2163" s="8" t="str">
        <x:v>VDB 범위 밖 질문 — 근거 없음</x:v>
      </x:c>
      <x:c r="J2163" s="8" t="str">
        <x:v>마그메코정 [품목기준코드 202302653]</x:v>
      </x:c>
      <x:c r="K2163" s="8" t="str">
        <x:v>식품의약품안전처 의약품개요정보(e약은요) OpenAPI
https://apis.data.go.kr/1471000/DrbEasyDrugInfoService/getDrbEasyDrugList</x:v>
      </x:c>
    </x:row>
    <x:row r="2164" ht="62" customHeight="1">
      <x:c r="A2164" s="9" t="n">
        <x:v>2163</x:v>
      </x:c>
      <x:c r="B2164" s="6" t="str">
        <x:v>최종 평가</x:v>
      </x:c>
      <x:c r="C2164" s="6" t="str">
        <x:v>복약</x:v>
      </x:c>
      <x:c r="D2164" s="6" t="str">
        <x:v>답변불가·개인 용량 변경</x:v>
      </x:c>
      <x:c r="E2164" s="6" t="str">
        <x:v>답변 거부</x:v>
      </x:c>
      <x:c r="F2164" s="6" t="str">
        <x:v>어려움</x:v>
      </x:c>
      <x:c r="G2164" s="8" t="str">
        <x:v>컴비덤지크림이 잘 듣지 않는데 제 상태에 맞춰 복용량을 얼마나 늘리면 되나요?</x:v>
      </x:c>
      <x:c r="H2164" s="8" t="str">
        <x:v>제공된 e약은요 VDB만으로 개인별 복용량 변경을 결정할 수 없습니다. 임의로 증량하지 말고 의사 또는 약사와 상담해야 합니다.</x:v>
      </x:c>
      <x:c r="I2164" s="8" t="str">
        <x:v>VDB 범위 밖 질문 — 근거 없음</x:v>
      </x:c>
      <x:c r="J2164" s="8" t="str">
        <x:v>컴비덤지크림 [품목기준코드 200001516]</x:v>
      </x:c>
      <x:c r="K2164" s="8" t="str">
        <x:v>식품의약품안전처 의약품개요정보(e약은요) OpenAPI
https://apis.data.go.kr/1471000/DrbEasyDrugInfoService/getDrbEasyDrugList</x:v>
      </x:c>
    </x:row>
    <x:row r="2165" ht="62" customHeight="1">
      <x:c r="A2165" s="9" t="n">
        <x:v>2164</x:v>
      </x:c>
      <x:c r="B2165" s="6" t="str">
        <x:v>최종 평가</x:v>
      </x:c>
      <x:c r="C2165" s="6" t="str">
        <x:v>복약</x:v>
      </x:c>
      <x:c r="D2165" s="6" t="str">
        <x:v>용법·용량</x:v>
      </x:c>
      <x:c r="E2165" s="6" t="str">
        <x:v>답변 가능</x:v>
      </x:c>
      <x:c r="F2165" s="6" t="str">
        <x:v>쉬움</x:v>
      </x:c>
      <x:c r="G2165" s="8" t="str">
        <x:v>큐앤큐포비돈요오드탈지면볼(대)은 어떻게 사용하나요?</x:v>
      </x:c>
      <x:c r="H2165" s="8" t="str">
        <x:v>1일 수회 환부에 적당량 바릅니다.</x:v>
      </x:c>
      <x:c r="I2165" s="8" t="str">
        <x:v>1일 수회 환부에 적당량 바릅니다.</x:v>
      </x:c>
      <x:c r="J2165" s="8" t="str">
        <x:v>큐앤큐포비돈요오드탈지면볼(대) [품목기준코드 200901683]</x:v>
      </x:c>
      <x:c r="K2165" s="8" t="str">
        <x:v>식품의약품안전처 의약품개요정보(e약은요) OpenAPI
https://apis.data.go.kr/1471000/DrbEasyDrugInfoService/getDrbEasyDrugList</x:v>
      </x:c>
    </x:row>
    <x:row r="2166" ht="62" customHeight="1">
      <x:c r="A2166" s="9" t="n">
        <x:v>2165</x:v>
      </x:c>
      <x:c r="B2166" s="6" t="str">
        <x:v>최종 평가</x:v>
      </x:c>
      <x:c r="C2166" s="6" t="str">
        <x:v>복약</x:v>
      </x:c>
      <x:c r="D2166" s="6" t="str">
        <x:v>원인·위험요인</x:v>
      </x:c>
      <x:c r="E2166" s="6" t="str">
        <x:v>답변 가능</x:v>
      </x:c>
      <x:c r="F2166" s="6" t="str">
        <x:v>쉬움</x:v>
      </x:c>
      <x:c r="G2166" s="8" t="str">
        <x:v>자하골드액을 사용하기 전에 특히 조심해야 하는 사람은 누구인가요?</x:v>
      </x:c>
      <x:c r="H2166" s="8" t="str">
        <x:v>이 제품을 사용하기 전에 특히 확인해야 할 대상과 상황은 다음과 같습니다. 이 약에 과민증 환자는 이 약을 복용하지 마십시오. 이 약을 복용하기 전에 임부, 수유부는 의사 또는 약사와 상의하십시오. 일정기간 복용하여도 증상의 개선이 없거나 악화될 경우에는 의사 또는 약사와 상의하십시오. 경구용으로만 사용하고 주사용으로는 사용하지 마십시오.</x:v>
      </x:c>
      <x:c r="I2166" s="8" t="str">
        <x:v>이 약에 과민증 환자는 이 약을 복용하지 마십시오. 이 약을 복용하기 전에 임부, 수유부는 의사 또는 약사와 상의하십시오. 일정기간 복용하여도 증상의 개선이 없거나 악화될 경우에는 의사 또는 약사와 상의하십시오. 경구용으로만 사용하고 주사용으로는 사용하지 마십시오.</x:v>
      </x:c>
      <x:c r="J2166" s="8" t="str">
        <x:v>자하골드액 [품목기준코드 202501602]</x:v>
      </x:c>
      <x:c r="K2166" s="8" t="str">
        <x:v>식품의약품안전처 의약품개요정보(e약은요) OpenAPI
https://apis.data.go.kr/1471000/DrbEasyDrugInfoService/getDrbEasyDrugList</x:v>
      </x:c>
    </x:row>
    <x:row r="2167" ht="62" customHeight="1">
      <x:c r="A2167" s="9" t="n">
        <x:v>2166</x:v>
      </x:c>
      <x:c r="B2167" s="6" t="str">
        <x:v>최종 평가</x:v>
      </x:c>
      <x:c r="C2167" s="6" t="str">
        <x:v>복약</x:v>
      </x:c>
      <x:c r="D2167" s="6" t="str">
        <x:v>용법·용량</x:v>
      </x:c>
      <x:c r="E2167" s="6" t="str">
        <x:v>답변 가능</x:v>
      </x:c>
      <x:c r="F2167" s="6" t="str">
        <x:v>보통</x:v>
      </x:c>
      <x:c r="G2167" s="8" t="str">
        <x:v>경남나프록센연질캡슐은 어떻게 사용하나요?</x:v>
      </x:c>
      <x:c r="H2167" s="8" t="str">
        <x:v>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x:v>
      </x:c>
      <x:c r="I2167" s="8" t="str">
        <x:v>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x:v>
      </x:c>
      <x:c r="J2167" s="8" t="str">
        <x:v>경남나프록센연질캡슐 [품목기준코드 201403474]</x:v>
      </x:c>
      <x:c r="K2167" s="8" t="str">
        <x:v>식품의약품안전처 의약품개요정보(e약은요) OpenAPI
https://apis.data.go.kr/1471000/DrbEasyDrugInfoService/getDrbEasyDrugList</x:v>
      </x:c>
    </x:row>
    <x:row r="2168" ht="62" customHeight="1">
      <x:c r="A2168" s="9" t="n">
        <x:v>2167</x:v>
      </x:c>
      <x:c r="B2168" s="6" t="str">
        <x:v>최종 평가</x:v>
      </x:c>
      <x:c r="C2168" s="6" t="str">
        <x:v>복약</x:v>
      </x:c>
      <x:c r="D2168" s="6" t="str">
        <x:v>금기·경고</x:v>
      </x:c>
      <x:c r="E2168" s="6" t="str">
        <x:v>답변 가능</x:v>
      </x:c>
      <x:c r="F2168" s="6" t="str">
        <x:v>쉬움</x:v>
      </x:c>
      <x:c r="G2168" s="8" t="str">
        <x:v>엘테인캡슐(에르도스테인)을 사용하면 안 되거나 반드시 확인해야 할 경고사항은 무엇인가요?</x:v>
      </x:c>
      <x:c r="H2168" s="8" t="str">
        <x:v>이 약에 과민증 환자, 간경변, 시스타티오닌 합성효소 결핍, 소화성궤양, 중증 신장장애(크레아티닌청소율이 이 약을 복용하기 전에 경증 및 중등도 간장애 환자, 임부 또는 임신하고 있을 가능성이 있는 여성 및 수유부, 황색 5호에 과민증인 환자는 의사 또는 약사와 상담하십시오.</x:v>
      </x:c>
      <x:c r="I2168" s="8" t="str">
        <x:v>이 약에 과민증 환자, 간경변, 시스타티오닌 합성효소 결핍, 소화성궤양, 중증 신장장애(크레아티닌청소율이 이 약을 복용하기 전에 경증 및 중등도 간장애 환자, 임부 또는 임신하고 있을 가능성이 있는 여성 및 수유부, 황색 5호에 과민증인 환자는 의사 또는 약사와 상담하십시오.</x:v>
      </x:c>
      <x:c r="J2168" s="8" t="str">
        <x:v>엘테인캡슐(에르도스테인) [품목기준코드 200402508]</x:v>
      </x:c>
      <x:c r="K2168" s="8" t="str">
        <x:v>식품의약품안전처 의약품개요정보(e약은요) OpenAPI
https://apis.data.go.kr/1471000/DrbEasyDrugInfoService/getDrbEasyDrugList</x:v>
      </x:c>
    </x:row>
    <x:row r="2169" ht="62" customHeight="1">
      <x:c r="A2169" s="9" t="n">
        <x:v>2168</x:v>
      </x:c>
      <x:c r="B2169" s="6" t="str">
        <x:v>최종 평가</x:v>
      </x:c>
      <x:c r="C2169" s="6" t="str">
        <x:v>복약</x:v>
      </x:c>
      <x:c r="D2169" s="6" t="str">
        <x:v>증상·이상반응</x:v>
      </x:c>
      <x:c r="E2169" s="6" t="str">
        <x:v>답변 가능</x:v>
      </x:c>
      <x:c r="F2169" s="6" t="str">
        <x:v>보통</x:v>
      </x:c>
      <x:c r="G2169" s="8" t="str">
        <x:v>욱씬정을 사용하면 어떤 부작용이 생길 수 있나요?</x:v>
      </x:c>
      <x:c r="H2169" s="8" t="str">
        <x:v>e약은요에는 다음과 같은 이상반응이 안내되어 있습니다. 발진·발적, 가려움, 구역·구토, 식욕부진, 변비, 부종(부기), 어지러움, 드물게 쇽 증상(복용후 바로 두드러기, 부종(부기), 가슴답답함 등과 함께 안색이 창백하고, 손발이 차고, 식은땀, 숨쉬기 곤란함), 피부점막안증후군(스티븐스-존슨증후군), 독성표피괴사용해(리엘증후군)(고열을 동반하고, 발진ㆍ발적(충혈되어 붉어짐), 화상과 같이 물집이 생기는 등의 심한 증상이 전신피부, 입이나 눈 점막에 나타남), 천식, 간기능장애(전신의 나른함, 황달(피부 또는 눈의 흰자위가 황색을 띄게 됨)), 간질성폐렴(기침을 동반하고, 숨이 차고, 호흡곤란, 발열) 등이 나타나는 경우 복용을 즉각 중지하고 의사 또는 약사와 상의하십시오.</x:v>
      </x:c>
      <x:c r="I2169" s="8" t="str">
        <x:v>발진·발적, 가려움, 구역·구토, 식욕부진, 변비, 부종(부기), 어지러움, 드물게 쇽 증상(복용후 바로 두드러기, 부종(부기), 가슴답답함 등과 함께 안색이 창백하고, 손발이 차고, 식은땀, 숨쉬기 곤란함), 피부점막안증후군(스티븐스-존슨증후군), 독성표피괴사용해(리엘증후군)(고열을 동반하고, 발진ㆍ발적(충혈되어 붉어짐), 화상과 같이 물집이 생기는 등의 심한 증상이 전신피부, 입이나 눈 점막에 나타남), 천식, 간기능장애(전신의 나른함, 황달(피부 또는 눈의 흰자위가 황색을 띄게 됨)), 간질성폐렴(기침을 동반하고, 숨이 차고, 호흡곤란, 발열) 등이 나타나는 경우 복용을 즉각 중지하고 의사 또는 약사와 상의하십시오.</x:v>
      </x:c>
      <x:c r="J2169" s="8" t="str">
        <x:v>욱씬정 [품목기준코드 201401034]</x:v>
      </x:c>
      <x:c r="K2169" s="8" t="str">
        <x:v>식품의약품안전처 의약품개요정보(e약은요) OpenAPI
https://apis.data.go.kr/1471000/DrbEasyDrugInfoService/getDrbEasyDrugList</x:v>
      </x:c>
    </x:row>
    <x:row r="2170" ht="62" customHeight="1">
      <x:c r="A2170" s="9" t="n">
        <x:v>2169</x:v>
      </x:c>
      <x:c r="B2170" s="6" t="str">
        <x:v>최종 평가</x:v>
      </x:c>
      <x:c r="C2170" s="6" t="str">
        <x:v>복약</x:v>
      </x:c>
      <x:c r="D2170" s="6" t="str">
        <x:v>증상→대상 구분</x:v>
      </x:c>
      <x:c r="E2170" s="6" t="str">
        <x:v>답변 가능</x:v>
      </x:c>
      <x:c r="F2170" s="6" t="str">
        <x:v>어려움</x:v>
      </x:c>
      <x:c r="G2170" s="8" t="str">
        <x:v>단자민정(디펜히드라민염산염)을 사용한 뒤 발진이 생겼는데, 이 약의 부작용으로 안내되어 있나요?</x:v>
      </x:c>
      <x:c r="H2170" s="8" t="str">
        <x:v>발진은 이 제품의 e약은요 부작용 항목에 기재되어 있습니다. 다만 이 정보만으로 현재 증상의 원인이 해당 약이라고 확정할 수는 없습니다.</x:v>
      </x:c>
      <x:c r="I2170" s="8" t="str">
        <x:v>발진, 발적, 가려움, 구갈, 위통, 오심ㆍ구토, 식욕부진, 설사, 어지러움, 두통, 기상시의 두중감, 활동중의 졸음, 불쾌감, 신경과민, 일시적인 의식장해(주의력의 저하, 잠이 덜 깨는 증상, 판단력의 저하, 말ㆍ행동의 이상 등), 두근거림, 권태감, 배뇨곤란, 시야혼란, 폐쇄각 녹내장 등이 나타나는 경우 복용을 즉각 중지하고 의사 또는 약사와 상의하십시오.</x:v>
      </x:c>
      <x:c r="J2170" s="8" t="str">
        <x:v>단자민정(디펜히드라민염산염) [품목기준코드 200808028]</x:v>
      </x:c>
      <x:c r="K2170" s="8" t="str">
        <x:v>식품의약품안전처 의약품개요정보(e약은요) OpenAPI
https://apis.data.go.kr/1471000/DrbEasyDrugInfoService/getDrbEasyDrugList</x:v>
      </x:c>
    </x:row>
    <x:row r="2171" ht="62" customHeight="1">
      <x:c r="A2171" s="9" t="n">
        <x:v>2170</x:v>
      </x:c>
      <x:c r="B2171" s="6" t="str">
        <x:v>최종 평가</x:v>
      </x:c>
      <x:c r="C2171" s="6" t="str">
        <x:v>복약</x:v>
      </x:c>
      <x:c r="D2171" s="6" t="str">
        <x:v>보관·관리</x:v>
      </x:c>
      <x:c r="E2171" s="6" t="str">
        <x:v>답변 가능</x:v>
      </x:c>
      <x:c r="F2171" s="6" t="str">
        <x:v>쉬움</x:v>
      </x:c>
      <x:c r="G2171" s="8" t="str">
        <x:v>알드린정(알마게이트)은 어떻게 보관해야 하나요?</x:v>
      </x:c>
      <x:c r="H2171" s="8" t="str">
        <x:v>습기와 빛을 피해 실온에서 보관하십시오.어린이의 손이 닿지 않는 곳에 보관하십시오.</x:v>
      </x:c>
      <x:c r="I2171" s="8" t="str">
        <x:v>습기와 빛을 피해 실온에서 보관하십시오.어린이의 손이 닿지 않는 곳에 보관하십시오.</x:v>
      </x:c>
      <x:c r="J2171" s="8" t="str">
        <x:v>알드린정(알마게이트) [품목기준코드 199201106]</x:v>
      </x:c>
      <x:c r="K2171" s="8" t="str">
        <x:v>식품의약품안전처 의약품개요정보(e약은요) OpenAPI
https://apis.data.go.kr/1471000/DrbEasyDrugInfoService/getDrbEasyDrugList</x:v>
      </x:c>
    </x:row>
    <x:row r="2172" ht="62" customHeight="1">
      <x:c r="A2172" s="9" t="n">
        <x:v>2171</x:v>
      </x:c>
      <x:c r="B2172" s="6" t="str">
        <x:v>최종 평가</x:v>
      </x:c>
      <x:c r="C2172" s="6" t="str">
        <x:v>복약</x:v>
      </x:c>
      <x:c r="D2172" s="6" t="str">
        <x:v>보관·관리</x:v>
      </x:c>
      <x:c r="E2172" s="6" t="str">
        <x:v>답변 가능</x:v>
      </x:c>
      <x:c r="F2172" s="6" t="str">
        <x:v>쉬움</x:v>
      </x:c>
      <x:c r="G2172" s="8" t="str">
        <x:v>판테놀케어연고(D-판테놀)은 어떻게 보관해야 하나요?</x:v>
      </x:c>
      <x:c r="H2172" s="8" t="str">
        <x:v>실온에서 보관하십시오. 어린이의 손이 닿지 않는 곳에 보관하십시오.</x:v>
      </x:c>
      <x:c r="I2172" s="8" t="str">
        <x:v>실온에서 보관하십시오. 어린이의 손이 닿지 않는 곳에 보관하십시오.</x:v>
      </x:c>
      <x:c r="J2172" s="8" t="str">
        <x:v>판테놀케어연고(D-판테놀) [품목기준코드 202500870]</x:v>
      </x:c>
      <x:c r="K2172" s="8" t="str">
        <x:v>식품의약품안전처 의약품개요정보(e약은요) OpenAPI
https://apis.data.go.kr/1471000/DrbEasyDrugInfoService/getDrbEasyDrugList</x:v>
      </x:c>
    </x:row>
    <x:row r="2173" ht="62" customHeight="1">
      <x:c r="A2173" s="9" t="n">
        <x:v>2172</x:v>
      </x:c>
      <x:c r="B2173" s="6" t="str">
        <x:v>최종 평가</x:v>
      </x:c>
      <x:c r="C2173" s="6" t="str">
        <x:v>복약</x:v>
      </x:c>
      <x:c r="D2173" s="6" t="str">
        <x:v>금기·경고</x:v>
      </x:c>
      <x:c r="E2173" s="6" t="str">
        <x:v>답변 가능</x:v>
      </x:c>
      <x:c r="F2173" s="6" t="str">
        <x:v>쉬움</x:v>
      </x:c>
      <x:c r="G2173" s="8" t="str">
        <x:v>유니도스캡슐(에르도스테인)을 사용하면 안 되거나 반드시 확인해야 할 경고사항은 무엇인가요?</x:v>
      </x:c>
      <x:c r="H2173" s="8" t="str">
        <x:v>이 약에 과민증 환자, 간경변, 시스타티오닌 합성효소 결핍, 소화성궤양, 중증 신장장애(크레아티닌청소율이 이 약을 복용하기 전에 경증 및 중등도 간장애 환자, 임부 또는 임신하고 있을 가능성이 있는 여성 및 수유부, 황색5호에 과민증 또는 알레르기 반응 경험자는 의사 또는 약사와 상의하십시오.</x:v>
      </x:c>
      <x:c r="I2173" s="8" t="str">
        <x:v>이 약에 과민증 환자, 간경변, 시스타티오닌 합성효소 결핍, 소화성궤양, 중증 신장장애(크레아티닌청소율이 이 약을 복용하기 전에 경증 및 중등도 간장애 환자, 임부 또는 임신하고 있을 가능성이 있는 여성 및 수유부, 황색5호에 과민증 또는 알레르기 반응 경험자는 의사 또는 약사와 상의하십시오.</x:v>
      </x:c>
      <x:c r="J2173" s="8" t="str">
        <x:v>유니도스캡슐(에르도스테인) [품목기준코드 201700567]</x:v>
      </x:c>
      <x:c r="K2173" s="8" t="str">
        <x:v>식품의약품안전처 의약품개요정보(e약은요) OpenAPI
https://apis.data.go.kr/1471000/DrbEasyDrugInfoService/getDrbEasyDrugList</x:v>
      </x:c>
    </x:row>
    <x:row r="2174" ht="62" customHeight="1">
      <x:c r="A2174" s="9" t="n">
        <x:v>2173</x:v>
      </x:c>
      <x:c r="B2174" s="6" t="str">
        <x:v>최종 평가</x:v>
      </x:c>
      <x:c r="C2174" s="6" t="str">
        <x:v>복약</x:v>
      </x:c>
      <x:c r="D2174" s="6" t="str">
        <x:v>상호작용</x:v>
      </x:c>
      <x:c r="E2174" s="6" t="str">
        <x:v>답변 가능</x:v>
      </x:c>
      <x:c r="F2174" s="6" t="str">
        <x:v>쉬움</x:v>
      </x:c>
      <x:c r="G2174" s="8" t="str">
        <x:v>파모콤푸정과 함께 사용하거나 먹을 때 주의해야 할 약이나 음식이 있나요?</x:v>
      </x:c>
      <x:c r="H2174" s="8" t="str">
        <x:v>위장약과 함께 복용하지 마십시오. 제산제, 아테놀올, 메토프로롤, 프로프라놀롤, 클로로퀸, 싸이클린계 항생제, 디클루니살, 디곡신, 이인산염, 펙소페나딘, 철(염), 플루오로퀴놀론계 항생제, 불화나트륨, 글루코코르티코이드, 인도메타신, 케토코나졸, 란소프라졸, 페노치아전계 항전간제, 페니실라민, 인산염, 티록신(약물의 소화 흡수 감소), 살리실산과 함께 복용 시 의사 또는 약사와 상의하십시오.</x:v>
      </x:c>
      <x:c r="I2174" s="8" t="str">
        <x:v>위장약과 함께 복용하지 마십시오. 제산제, 아테놀올, 메토프로롤, 프로프라놀롤, 클로로퀸, 싸이클린계 항생제, 디클루니살, 디곡신, 이인산염, 펙소페나딘, 철(염), 플루오로퀴놀론계 항생제, 불화나트륨, 글루코코르티코이드, 인도메타신, 케토코나졸, 란소프라졸, 페노치아전계 항전간제, 페니실라민, 인산염, 티록신(약물의 소화 흡수 감소), 살리실산과 함께 복용 시 의사 또는 약사와 상의하십시오.</x:v>
      </x:c>
      <x:c r="J2174" s="8" t="str">
        <x:v>파모콤푸정 [품목기준코드 202105999]</x:v>
      </x:c>
      <x:c r="K2174" s="8" t="str">
        <x:v>식품의약품안전처 의약품개요정보(e약은요) OpenAPI
https://apis.data.go.kr/1471000/DrbEasyDrugInfoService/getDrbEasyDrugList</x:v>
      </x:c>
    </x:row>
    <x:row r="2175" ht="62" customHeight="1">
      <x:c r="A2175" s="9" t="n">
        <x:v>2174</x:v>
      </x:c>
      <x:c r="B2175" s="6" t="str">
        <x:v>최종 평가</x:v>
      </x:c>
      <x:c r="C2175" s="6" t="str">
        <x:v>복약</x:v>
      </x:c>
      <x:c r="D2175" s="6" t="str">
        <x:v>효능·사용목적</x:v>
      </x:c>
      <x:c r="E2175" s="6" t="str">
        <x:v>답변 가능</x:v>
      </x:c>
      <x:c r="F2175" s="6" t="str">
        <x:v>쉬움</x:v>
      </x:c>
      <x:c r="G2175" s="8" t="str">
        <x:v>올편제에스정은 어떤 증상이나 질환에 사용하는 약인가요?</x:v>
      </x:c>
      <x:c r="H2175" s="8" t="str">
        <x:v>이 약은 소화불량, 식욕감퇴(식욕부진), 과식, 체함, 소화촉진, 소화불량으로 인한 위부팽만감에 사용합니다.</x:v>
      </x:c>
      <x:c r="I2175" s="8" t="str">
        <x:v>이 약은 소화불량, 식욕감퇴(식욕부진), 과식, 체함, 소화촉진, 소화불량으로 인한 위부팽만감에 사용합니다.</x:v>
      </x:c>
      <x:c r="J2175" s="8" t="str">
        <x:v>올편제에스정 [품목기준코드 202003068]</x:v>
      </x:c>
      <x:c r="K2175" s="8" t="str">
        <x:v>식품의약품안전처 의약품개요정보(e약은요) OpenAPI
https://apis.data.go.kr/1471000/DrbEasyDrugInfoService/getDrbEasyDrugList</x:v>
      </x:c>
    </x:row>
    <x:row r="2176" ht="62" customHeight="1">
      <x:c r="A2176" s="9" t="n">
        <x:v>2175</x:v>
      </x:c>
      <x:c r="B2176" s="6" t="str">
        <x:v>최종 평가</x:v>
      </x:c>
      <x:c r="C2176" s="6" t="str">
        <x:v>복약</x:v>
      </x:c>
      <x:c r="D2176" s="6" t="str">
        <x:v>실용·응급대처</x:v>
      </x:c>
      <x:c r="E2176" s="6" t="str">
        <x:v>답변 가능</x:v>
      </x:c>
      <x:c r="F2176" s="6" t="str">
        <x:v>보통</x:v>
      </x:c>
      <x:c r="G2176" s="8" t="str">
        <x:v>니코프리패취(니코틴) 사용 후 심한 이상반응이 나타나면 어떻게 해야 하나요?</x:v>
      </x:c>
      <x:c r="H2176" s="8" t="str">
        <x:v>홍반, 부종, 알러지, 피진, 헤르페스진, 가려움증, 두드러기, 여드름, 드물게 피부탈색이 나타나는 경우 사용을 즉각 중지하고 의사 또는 약사와 상의하십시오.두통, 어지러움, 수면장애, 불안, 감정의 불안정, 초조, 비정상적인 꿈, 혼몽, 동요, 집중장애, 피로, 편두통, 연축, 하지경련, 혈압의 변화, 고혈압, 심계항진, 구역, 복부 동통, 소화불량, 변비, 설사, 구토, 위궤양, 연하 곤란, 배변 이상, 식욕증가, 감기 및 인플루엔자 증상, 기침, 인두염, 비염, 부비강염, 상부 호흡기증상, 기관지염, 호흡곤란, 미각도착, 시야이상, 월경곤란증, 근육통, 관절통, 치통, 배통, 흉통, 동통, 이통, 안면홍조, 국소부종, 체중증가, 구갈, 고창, 치은염, 갑상선 기능장애, 임파선 동통, 방광염, 발한증가 등이 나타날 수 있습니다.</x:v>
      </x:c>
      <x:c r="I2176" s="8" t="str">
        <x:v>홍반, 부종, 알러지, 피진, 헤르페스진, 가려움증, 두드러기, 여드름, 드물게 피부탈색이 나타나는 경우 사용을 즉각 중지하고 의사 또는 약사와 상의하십시오.두통, 어지러움, 수면장애, 불안, 감정의 불안정, 초조, 비정상적인 꿈, 혼몽, 동요, 집중장애, 피로, 편두통, 연축, 하지경련, 혈압의 변화, 고혈압, 심계항진, 구역, 복부 동통, 소화불량, 변비, 설사, 구토, 위궤양, 연하 곤란, 배변 이상, 식욕증가, 감기 및 인플루엔자 증상, 기침, 인두염, 비염, 부비강염, 상부 호흡기증상, 기관지염, 호흡곤란, 미각도착, 시야이상, 월경곤란증, 근육통, 관절통, 치통, 배통, 흉통, 동통, 이통, 안면홍조, 국소부종, 체중증가, 구갈, 고창, 치은염, 갑상선 기능장애, 임파선 동통, 방광염, 발한증가 등이 나타날 수 있습니다.</x:v>
      </x:c>
      <x:c r="J2176" s="8" t="str">
        <x:v>니코프리패취(니코틴) [품목기준코드 201003178]</x:v>
      </x:c>
      <x:c r="K2176" s="8" t="str">
        <x:v>식품의약품안전처 의약품개요정보(e약은요) OpenAPI
https://apis.data.go.kr/1471000/DrbEasyDrugInfoService/getDrbEasyDrugList</x:v>
      </x:c>
    </x:row>
    <x:row r="2177" ht="62" customHeight="1">
      <x:c r="A2177" s="9" t="n">
        <x:v>2176</x:v>
      </x:c>
      <x:c r="B2177" s="6" t="str">
        <x:v>최종 평가</x:v>
      </x:c>
      <x:c r="C2177" s="6" t="str">
        <x:v>복약</x:v>
      </x:c>
      <x:c r="D2177" s="6" t="str">
        <x:v>용법·용량</x:v>
      </x:c>
      <x:c r="E2177" s="6" t="str">
        <x:v>답변 가능</x:v>
      </x:c>
      <x:c r="F2177" s="6" t="str">
        <x:v>쉬움</x:v>
      </x:c>
      <x:c r="G2177" s="8" t="str">
        <x:v>뮤코원캡슐(에르도스테인)은 어떻게 사용하나요?</x:v>
      </x:c>
      <x:c r="H2177" s="8" t="str">
        <x:v>성인은 1회 1캡슐(300 mg)을 1일 2~3회 복용합니다.급성 호흡기질환에 복용 시 연속으로 10일 이상 복용하지 않습니다.</x:v>
      </x:c>
      <x:c r="I2177" s="8" t="str">
        <x:v>성인은 1회 1캡슐(300 mg)을 1일 2~3회 복용합니다.급성 호흡기질환에 복용 시 연속으로 10일 이상 복용하지 않습니다.</x:v>
      </x:c>
      <x:c r="J2177" s="8" t="str">
        <x:v>뮤코원캡슐(에르도스테인) [품목기준코드 201602679]</x:v>
      </x:c>
      <x:c r="K2177" s="8" t="str">
        <x:v>식품의약품안전처 의약품개요정보(e약은요) OpenAPI
https://apis.data.go.kr/1471000/DrbEasyDrugInfoService/getDrbEasyDrugList</x:v>
      </x:c>
    </x:row>
    <x:row r="2178" ht="62" customHeight="1">
      <x:c r="A2178" s="9" t="n">
        <x:v>2177</x:v>
      </x:c>
      <x:c r="B2178" s="6" t="str">
        <x:v>최종 평가</x:v>
      </x:c>
      <x:c r="C2178" s="6" t="str">
        <x:v>복약</x:v>
      </x:c>
      <x:c r="D2178" s="6" t="str">
        <x:v>답변불가·처방 필요 여부</x:v>
      </x:c>
      <x:c r="E2178" s="6" t="str">
        <x:v>답변 거부</x:v>
      </x:c>
      <x:c r="F2178" s="6" t="str">
        <x:v>어려움</x:v>
      </x:c>
      <x:c r="G2178" s="8" t="str">
        <x:v>콜레시움정은 지금 처방전 없이 살 수 있는지 확정해서 알려주세요.</x:v>
      </x:c>
      <x:c r="H2178" s="8" t="str">
        <x:v>제공된 e약은요 VDB 항목만으로는 현재의 전문·일반의약품 분류와 처방 필요 여부를 확정할 수 없습니다.</x:v>
      </x:c>
      <x:c r="I2178" s="8" t="str">
        <x:v>VDB 범위 밖 질문 — 근거 없음</x:v>
      </x:c>
      <x:c r="J2178" s="8" t="str">
        <x:v>콜레시움정 [품목기준코드 202500690]</x:v>
      </x:c>
      <x:c r="K2178" s="8" t="str">
        <x:v>식품의약품안전처 의약품개요정보(e약은요) OpenAPI
https://apis.data.go.kr/1471000/DrbEasyDrugInfoService/getDrbEasyDrugList</x:v>
      </x:c>
    </x:row>
    <x:row r="2179" ht="62" customHeight="1">
      <x:c r="A2179" s="9" t="n">
        <x:v>2178</x:v>
      </x:c>
      <x:c r="B2179" s="6" t="str">
        <x:v>최종 평가</x:v>
      </x:c>
      <x:c r="C2179" s="6" t="str">
        <x:v>복약</x:v>
      </x:c>
      <x:c r="D2179" s="6" t="str">
        <x:v>증상·이상반응</x:v>
      </x:c>
      <x:c r="E2179" s="6" t="str">
        <x:v>답변 가능</x:v>
      </x:c>
      <x:c r="F2179" s="6" t="str">
        <x:v>쉬움</x:v>
      </x:c>
      <x:c r="G2179" s="8" t="str">
        <x:v>알벤졸정(알벤다졸)을 사용하면 어떤 부작용이 생길 수 있나요?</x:v>
      </x:c>
      <x:c r="H2179" s="8" t="str">
        <x:v>e약은요에는 다음과 같은 이상반응이 안내되어 있습니다. 피부점막안증후군(스티븐스-존슨증후군), 다형홍반(여러 모양의 붉은 반점), 구역, 구토, 속쓰림, 설사, 상복부(배부분) 또는 복부(배부분) 통증, 두통 및 어지럼, 발열, 전신 발적(충혈되어 붉어짐), 발진, 가려움, 두드러기 등의 과민반응, 가역적인(회복 가능한) 탈모증 등이 나타나는 경우 복용을 즉각 중지하고 의사 또는 약사와 상의하십시오.</x:v>
      </x:c>
      <x:c r="I2179" s="8" t="str">
        <x:v>피부점막안증후군(스티븐스-존슨증후군), 다형홍반(여러 모양의 붉은 반점), 구역, 구토, 속쓰림, 설사, 상복부(배부분) 또는 복부(배부분) 통증, 두통 및 어지럼, 발열, 전신 발적(충혈되어 붉어짐), 발진, 가려움, 두드러기 등의 과민반응, 가역적인(회복 가능한) 탈모증 등이 나타나는 경우 복용을 즉각 중지하고 의사 또는 약사와 상의하십시오.</x:v>
      </x:c>
      <x:c r="J2179" s="8" t="str">
        <x:v>알벤졸정(알벤다졸) [품목기준코드 200904615]</x:v>
      </x:c>
      <x:c r="K2179" s="8" t="str">
        <x:v>식품의약품안전처 의약품개요정보(e약은요) OpenAPI
https://apis.data.go.kr/1471000/DrbEasyDrugInfoService/getDrbEasyDrugList</x:v>
      </x:c>
    </x:row>
    <x:row r="2180" ht="62" customHeight="1">
      <x:c r="A2180" s="9" t="n">
        <x:v>2179</x:v>
      </x:c>
      <x:c r="B2180" s="6" t="str">
        <x:v>최종 평가</x:v>
      </x:c>
      <x:c r="C2180" s="6" t="str">
        <x:v>복약</x:v>
      </x:c>
      <x:c r="D2180" s="6" t="str">
        <x:v>실용·응급대처</x:v>
      </x:c>
      <x:c r="E2180" s="6" t="str">
        <x:v>답변 가능</x:v>
      </x:c>
      <x:c r="F2180" s="6" t="str">
        <x:v>보통</x:v>
      </x:c>
      <x:c r="G2180" s="8" t="str">
        <x:v>부스코판플러스정 사용 후 심한 이상반응이 나타나면 어떻게 해야 하나요?</x:v>
      </x:c>
      <x:c r="H2180" s="8" t="str">
        <x:v>혈소판감소증, 무과립구증, 청색증, 백혈구감소증, 과립구감소, 용혈성(적혈구 파괴성)빈혈, 메트헤모글로빈혈증, 혈소판기능 저하(출혈시간 연장), 홍조, 피부 반응, 땀분비이상, 가려움증, 피부건조 (땀분비억제영향), 두드러기, 홍반(붉은 반점), 쇼크를 포함한 혈압저하, 아나필락시스성 쇼크, 아나필락시스성 반응, 약물 발진, 호흡곤란, 과민증, 혈관 부종, 발진, 피부발진, 부종(후두, 눈꺼풀, 입술 등), 가슴답답함, 수족냉증(손발이 차가움), 식은 땀, 숨가쁨, 화상모양 수포(물집), 알레르기 반응, 피부점막안증후군(스티븐스-존슨 증후군), 독성표피괴사용해(리엘 증후군), 두근거림, 빈맥(빠른 맥), 현기증, 피로감, 기관지경련(특히, 기관지 천식이나 알레르기 반응 경험자), 목마름, 설사, 구역, 구토, 식욕부진, 변비, 복부팽만, 배뇨곤란, 요저류(소변이 고임), 동공확대, 모양근마비, 조절장애(고도원시환자), 불안, 흥분, 환각, 두통, 머리 무거움, 고음이온차 대사성 산증, 이상고열, 예기치 못한 복통의 지속 또는 악화, 장운동의 변화, 복부압통(누르는 통증), 혈압 저하, 실신 및 혈변 등이 나타나는 경우 복용을 즉각 중지하고 의사 또는 약사와 상의하십시오.</x:v>
      </x:c>
      <x:c r="I2180" s="8" t="str">
        <x:v>혈소판감소증, 무과립구증, 청색증, 백혈구감소증, 과립구감소, 용혈성(적혈구 파괴성)빈혈, 메트헤모글로빈혈증, 혈소판기능 저하(출혈시간 연장), 홍조, 피부 반응, 땀분비이상, 가려움증, 피부건조 (땀분비억제영향), 두드러기, 홍반(붉은 반점), 쇼크를 포함한 혈압저하, 아나필락시스성 쇼크, 아나필락시스성 반응, 약물 발진, 호흡곤란, 과민증, 혈관 부종, 발진, 피부발진, 부종(후두, 눈꺼풀, 입술 등), 가슴답답함, 수족냉증(손발이 차가움), 식은 땀, 숨가쁨, 화상모양 수포(물집), 알레르기 반응, 피부점막안증후군(스티븐스-존슨 증후군), 독성표피괴사용해(리엘 증후군), 두근거림, 빈맥(빠른 맥), 현기증, 피로감, 기관지경련(특히, 기관지 천식이나 알레르기 반응 경험자), 목마름, 설사, 구역, 구토, 식욕부진, 변비, 복부팽만, 배뇨곤란, 요저류(소변이 고임), 동공확대, 모양근마비, 조절장애(고도원시환자), 불안, 흥분, 환각, 두통, 머리 무거움, 고음이온차 대사성 산증, 이상고열, 예기치 못한 복통의 지속 또는 악화, 장운동의 변화, 복부압통(누르는 통증), 혈압 저하, 실신 및 혈변 등이 나타나는 경우 복용을 즉각 중지하고 의사 또는 약사와 상의하십시오.</x:v>
      </x:c>
      <x:c r="J2180" s="8" t="str">
        <x:v>부스코판플러스정 [품목기준코드 200901257]</x:v>
      </x:c>
      <x:c r="K2180" s="8" t="str">
        <x:v>식품의약품안전처 의약품개요정보(e약은요) OpenAPI
https://apis.data.go.kr/1471000/DrbEasyDrugInfoService/getDrbEasyDrugList</x:v>
      </x:c>
    </x:row>
    <x:row r="2181" ht="62" customHeight="1">
      <x:c r="A2181" s="9" t="n">
        <x:v>2180</x:v>
      </x:c>
      <x:c r="B2181" s="6" t="str">
        <x:v>최종 평가</x:v>
      </x:c>
      <x:c r="C2181" s="6" t="str">
        <x:v>복약</x:v>
      </x:c>
      <x:c r="D2181" s="6" t="str">
        <x:v>대상별 정보</x:v>
      </x:c>
      <x:c r="E2181" s="6" t="str">
        <x:v>답변 가능</x:v>
      </x:c>
      <x:c r="F2181" s="6" t="str">
        <x:v>쉬움</x:v>
      </x:c>
      <x:c r="G2181" s="8" t="str">
        <x:v>어린이나 소아가 모드알레나잘스프레이을 사용해도 되나요?</x:v>
      </x:c>
      <x:c r="H2181" s="8" t="str">
        <x:v>e약은요에서 어린이·소아과 관련해 안내한 내용은 다음과 같습니다. 이 약에 과민증, 만 7세 미만의 어린이, 만 2세 미만의 영아(젖먹이)는 이 약을 사용하지 마십시오. 어린이에게 투여할 경우 보호자의 지도 감독 하에 투여하십시오.</x:v>
      </x:c>
      <x:c r="I2181" s="8" t="str">
        <x:v>이 약에 과민증, 만 7세 미만의 어린이, 만 2세 미만의 영아(젖먹이)는 이 약을 사용하지 마십시오. 어린이에게 투여할 경우 보호자의 지도 감독 하에 투여하십시오.</x:v>
      </x:c>
      <x:c r="J2181" s="8" t="str">
        <x:v>모드알레나잘스프레이 [품목기준코드 202301363]</x:v>
      </x:c>
      <x:c r="K2181" s="8" t="str">
        <x:v>식품의약품안전처 의약품개요정보(e약은요) OpenAPI
https://apis.data.go.kr/1471000/DrbEasyDrugInfoService/getDrbEasyDrugList</x:v>
      </x:c>
    </x:row>
    <x:row r="2182" ht="62" customHeight="1">
      <x:c r="A2182" s="9" t="n">
        <x:v>2181</x:v>
      </x:c>
      <x:c r="B2182" s="6" t="str">
        <x:v>최종 평가</x:v>
      </x:c>
      <x:c r="C2182" s="6" t="str">
        <x:v>복약</x:v>
      </x:c>
      <x:c r="D2182" s="6" t="str">
        <x:v>금기·경고</x:v>
      </x:c>
      <x:c r="E2182" s="6" t="str">
        <x:v>답변 가능</x:v>
      </x:c>
      <x:c r="F2182" s="6" t="str">
        <x:v>쉬움</x:v>
      </x:c>
      <x:c r="G2182" s="8" t="str">
        <x:v>오트리빈0.05%비강분무액(자일로메타졸린염산염)을 사용하면 안 되거나 반드시 확인해야 할 경고사항은 무엇인가요?</x:v>
      </x:c>
      <x:c r="H2182" s="8" t="str">
        <x:v>이 약에 과민증 환자, 만 2세 미만의 영아, MAO억제제(항우울제, 항정신병제, 감정조절제, 항파킨슨제 등)를 복용하고 있거나 복용을 중단한 후 2주 이내의 사람, 뇌경질막이 노출되는 수술이나 나비뼈통과 뇌하수체절제술 경험자, 폐쇄각 녹내장, 건성 비염(코염) 혹은 위축 비염(코염), 크롬친화성세포종이나 전립선비대증 환자는 이 약을 사용하지 마십시오. 과도하게 사용하면 오히려 코막힘을 일으킬 수 있으므로 과도하게 사용하지 마십시오. 오염을 방지하기 위해 가능한 공동으로 사용하지 마십시오. 7일 이상 계속 사용하지 마십시오. 눈과 귀에는 사용하지 마십시오.</x:v>
      </x:c>
      <x:c r="I2182" s="8" t="str">
        <x:v>이 약에 과민증 환자, 만 2세 미만의 영아, MAO억제제(항우울제, 항정신병제, 감정조절제, 항파킨슨제 등)를 복용하고 있거나 복용을 중단한 후 2주 이내의 사람, 뇌경질막이 노출되는 수술이나 나비뼈통과 뇌하수체절제술 경험자, 폐쇄각 녹내장, 건성 비염(코염) 혹은 위축 비염(코염), 크롬친화성세포종이나 전립선비대증 환자는 이 약을 사용하지 마십시오. 과도하게 사용하면 오히려 코막힘을 일으킬 수 있으므로 과도하게 사용하지 마십시오. 오염을 방지하기 위해 가능한 공동으로 사용하지 마십시오. 7일 이상 계속 사용하지 마십시오. 눈과 귀에는 사용하지 마십시오.</x:v>
      </x:c>
      <x:c r="J2182" s="8" t="str">
        <x:v>오트리빈0.05%비강분무액(자일로메타졸린염산염) [품목기준코드 200209700]</x:v>
      </x:c>
      <x:c r="K2182" s="8" t="str">
        <x:v>식품의약품안전처 의약품개요정보(e약은요) OpenAPI
https://apis.data.go.kr/1471000/DrbEasyDrugInfoService/getDrbEasyDrugList</x:v>
      </x:c>
    </x:row>
    <x:row r="2183" ht="62" customHeight="1">
      <x:c r="A2183" s="9" t="n">
        <x:v>2182</x:v>
      </x:c>
      <x:c r="B2183" s="6" t="str">
        <x:v>최종 평가</x:v>
      </x:c>
      <x:c r="C2183" s="6" t="str">
        <x:v>복약</x:v>
      </x:c>
      <x:c r="D2183" s="6" t="str">
        <x:v>증상→대상 구분</x:v>
      </x:c>
      <x:c r="E2183" s="6" t="str">
        <x:v>답변 가능</x:v>
      </x:c>
      <x:c r="F2183" s="6" t="str">
        <x:v>어려움</x:v>
      </x:c>
      <x:c r="G2183" s="8" t="str">
        <x:v>미안블루점안액을 사용한 뒤 가려움이 생겼는데, 이 약의 부작용으로 안내되어 있나요?</x:v>
      </x:c>
      <x:c r="H2183" s="8" t="str">
        <x:v>가려움은 이 제품의 e약은요 부작용 항목에 기재되어 있습니다. 다만 이 정보만으로 현재 증상의 원인이 해당 약이라고 확정할 수는 없습니다.</x:v>
      </x:c>
      <x:c r="I2183" s="8" t="str">
        <x:v>눈의 충혈, 가려움, 부기 등이 나타나는 경우 사용을 즉각 중지하고 의사 또는 약사와 상의하십시오.</x:v>
      </x:c>
      <x:c r="J2183" s="8" t="str">
        <x:v>미안블루점안액 [품목기준코드 201907941]</x:v>
      </x:c>
      <x:c r="K2183" s="8" t="str">
        <x:v>식품의약품안전처 의약품개요정보(e약은요) OpenAPI
https://apis.data.go.kr/1471000/DrbEasyDrugInfoService/getDrbEasyDrugList</x:v>
      </x:c>
    </x:row>
    <x:row r="2184" ht="62" customHeight="1">
      <x:c r="A2184" s="9" t="n">
        <x:v>2183</x:v>
      </x:c>
      <x:c r="B2184" s="6" t="str">
        <x:v>최종 평가</x:v>
      </x:c>
      <x:c r="C2184" s="6" t="str">
        <x:v>복약</x:v>
      </x:c>
      <x:c r="D2184" s="6" t="str">
        <x:v>상호작용</x:v>
      </x:c>
      <x:c r="E2184" s="6" t="str">
        <x:v>답변 가능</x:v>
      </x:c>
      <x:c r="F2184" s="6" t="str">
        <x:v>쉬움</x:v>
      </x:c>
      <x:c r="G2184" s="8" t="str">
        <x:v>캐롤나이트연질캡슐과 함께 사용하거나 먹을 때 주의해야 할 약이나 음식이 있나요?</x:v>
      </x:c>
      <x:c r="H2184" s="8" t="str">
        <x:v>ACE 저해제, 리튬, 푸로세미드 및 티아지드계 이뇨제, 메토트렉세이트, 쿠마린계 항응혈제(와파린 등), 선택적 세로토닌 재흡수억제제, 다른 수면유도제, 최면진정제, MAO 억제제(항우울제, 항정신병제, 감정조절제, 항파킨슨제 등), 감기약, 해열진통제(아스피린, 아세트아미노펜, 나프록센), 진해거담약, 항히스타민제를 함유하고 있는 내복약(비염용 내복약, 멀미약, 알러지용약), 이부프로펜 또는 디펜히드라민을 함유하는 다른 약물, 다른 비스테로이드성 소염진통제(NSAIDs)와 함께 복용하지 마십시오. 복용중에는 음주하지 마십시오.</x:v>
      </x:c>
      <x:c r="I2184" s="8" t="str">
        <x:v>ACE 저해제, 리튬, 푸로세미드 및 티아지드계 이뇨제, 메토트렉세이트, 쿠마린계 항응혈제(와파린 등), 선택적 세로토닌 재흡수억제제, 다른 수면유도제, 최면진정제, MAO 억제제(항우울제, 항정신병제, 감정조절제, 항파킨슨제 등), 감기약, 해열진통제(아스피린, 아세트아미노펜, 나프록센), 진해거담약, 항히스타민제를 함유하고 있는 내복약(비염용 내복약, 멀미약, 알러지용약), 이부프로펜 또는 디펜히드라민을 함유하는 다른 약물, 다른 비스테로이드성 소염진통제(NSAIDs)와 함께 복용하지 마십시오. 복용중에는 음주하지 마십시오.</x:v>
      </x:c>
      <x:c r="J2184" s="8" t="str">
        <x:v>캐롤나이트연질캡슐 [품목기준코드 202204634]</x:v>
      </x:c>
      <x:c r="K2184" s="8" t="str">
        <x:v>식품의약품안전처 의약품개요정보(e약은요) OpenAPI
https://apis.data.go.kr/1471000/DrbEasyDrugInfoService/getDrbEasyDrugList</x:v>
      </x:c>
    </x:row>
    <x:row r="2185" ht="62" customHeight="1">
      <x:c r="A2185" s="9" t="n">
        <x:v>2184</x:v>
      </x:c>
      <x:c r="B2185" s="6" t="str">
        <x:v>최종 평가</x:v>
      </x:c>
      <x:c r="C2185" s="6" t="str">
        <x:v>복약</x:v>
      </x:c>
      <x:c r="D2185" s="6" t="str">
        <x:v>증상·이상반응</x:v>
      </x:c>
      <x:c r="E2185" s="6" t="str">
        <x:v>답변 가능</x:v>
      </x:c>
      <x:c r="F2185" s="6" t="str">
        <x:v>보통</x:v>
      </x:c>
      <x:c r="G2185" s="8" t="str">
        <x:v>릴리애정을 사용하면 어떤 부작용이 생길 수 있나요?</x:v>
      </x:c>
      <x:c r="H2185" s="8" t="str">
        <x:v>e약은요에는 다음과 같은 이상반응이 안내되어 있습니다. 혈전성정맥염, 혈전증, 정맥성혈전색전증, 동맥성혈전색전증, 뇌졸중, 뇌출혈, 뇌혈전증, 심근경색, 폐색전증, 혈압상승, 정맥류악화 등이 나타나는 경우 복용을 즉각 중지하고 의사 또는 약사와 상의하십시오.비뇨생식기계 증상(월경외출혈, 월경량 변화 및 무월경 등), 유방 증상(유방긴장감 및 확대, 유루증, 유방통 등), 소화기계 증상(구역, 구토, 복부팽만감, 간장애 등), 중추신경계 증상(두통, 편두통, 우울증, 어지러움 등), 피부 증상(기미, 여드름, 다형성 홍반 등), 눈 증상(시각장애, 각막굴절변화 등), 청각장애, 대사 증상(나트륨 및 체액저류 등), 체중변화, 식욕변화 등이 나타날 수 있습니다.상세한 이상반응은 허가사항 상세정보를 확인하십시오.</x:v>
      </x:c>
      <x:c r="I2185" s="8" t="str">
        <x:v>혈전성정맥염, 혈전증, 정맥성혈전색전증, 동맥성혈전색전증, 뇌졸중, 뇌출혈, 뇌혈전증, 심근경색, 폐색전증, 혈압상승, 정맥류악화 등이 나타나는 경우 복용을 즉각 중지하고 의사 또는 약사와 상의하십시오.비뇨생식기계 증상(월경외출혈, 월경량 변화 및 무월경 등), 유방 증상(유방긴장감 및 확대, 유루증, 유방통 등), 소화기계 증상(구역, 구토, 복부팽만감, 간장애 등), 중추신경계 증상(두통, 편두통, 우울증, 어지러움 등), 피부 증상(기미, 여드름, 다형성 홍반 등), 눈 증상(시각장애, 각막굴절변화 등), 청각장애, 대사 증상(나트륨 및 체액저류 등), 체중변화, 식욕변화 등이 나타날 수 있습니다.상세한 이상반응은 허가사항 상세정보를 확인하십시오.</x:v>
      </x:c>
      <x:c r="J2185" s="8" t="str">
        <x:v>릴리애정 [품목기준코드 201901551]</x:v>
      </x:c>
      <x:c r="K2185" s="8" t="str">
        <x:v>식품의약품안전처 의약품개요정보(e약은요) OpenAPI
https://apis.data.go.kr/1471000/DrbEasyDrugInfoService/getDrbEasyDrugList</x:v>
      </x:c>
    </x:row>
    <x:row r="2186" ht="62" customHeight="1">
      <x:c r="A2186" s="9" t="n">
        <x:v>2185</x:v>
      </x:c>
      <x:c r="B2186" s="6" t="str">
        <x:v>최종 평가</x:v>
      </x:c>
      <x:c r="C2186" s="6" t="str">
        <x:v>복약</x:v>
      </x:c>
      <x:c r="D2186" s="6" t="str">
        <x:v>증상·이상반응</x:v>
      </x:c>
      <x:c r="E2186" s="6" t="str">
        <x:v>답변 가능</x:v>
      </x:c>
      <x:c r="F2186" s="6" t="str">
        <x:v>쉬움</x:v>
      </x:c>
      <x:c r="G2186" s="8" t="str">
        <x:v>비올씨정을 사용하면 어떤 부작용이 생길 수 있나요?</x:v>
      </x:c>
      <x:c r="H2186" s="8" t="str">
        <x:v>e약은요에는 다음과 같은 이상반응이 안내되어 있습니다. 구역, 구토, 설사, 묽은 변 등이 나타나는 경우 복용을 즉각 중지하고 의사 또는 약사와 상의하십시오.</x:v>
      </x:c>
      <x:c r="I2186" s="8" t="str">
        <x:v>구역, 구토, 설사, 묽은 변 등이 나타나는 경우 복용을 즉각 중지하고 의사 또는 약사와 상의하십시오.</x:v>
      </x:c>
      <x:c r="J2186" s="8" t="str">
        <x:v>비올씨정 [품목기준코드 200301138]</x:v>
      </x:c>
      <x:c r="K2186" s="8" t="str">
        <x:v>식품의약품안전처 의약품개요정보(e약은요) OpenAPI
https://apis.data.go.kr/1471000/DrbEasyDrugInfoService/getDrbEasyDrugList</x:v>
      </x:c>
    </x:row>
    <x:row r="2187" ht="62" customHeight="1">
      <x:c r="A2187" s="9" t="n">
        <x:v>2186</x:v>
      </x:c>
      <x:c r="B2187" s="6" t="str">
        <x:v>최종 평가</x:v>
      </x:c>
      <x:c r="C2187" s="6" t="str">
        <x:v>복약</x:v>
      </x:c>
      <x:c r="D2187" s="6" t="str">
        <x:v>실용·응급대처</x:v>
      </x:c>
      <x:c r="E2187" s="6" t="str">
        <x:v>답변 가능</x:v>
      </x:c>
      <x:c r="F2187" s="6" t="str">
        <x:v>보통</x:v>
      </x:c>
      <x:c r="G2187" s="8" t="str">
        <x:v>구주로라타딘정10밀리그람(수출명:로히스타정) 사용 후 심한 이상반응이 나타나면 어떻게 해야 하나요?</x:v>
      </x:c>
      <x:c r="H2187" s="8" t="str">
        <x:v>진정작용, 항콜린작용, 두통, 실신, 졸음, 목마름, 위장장애(구역, 위염), 식욕증진, 빈맥, 피로, 발진, 탈모증, 혈관부종을 포함한 아나필락시스, 간기능 장애, 상실성 부정빈맥, 두근거림, 어지러움, 경련 등이 나타나는 경우 복용을 즉각 중지하고 의사 또는 약사와 상의하십시오.</x:v>
      </x:c>
      <x:c r="I2187" s="8" t="str">
        <x:v>진정작용, 항콜린작용, 두통, 실신, 졸음, 목마름, 위장장애(구역, 위염), 식욕증진, 빈맥, 피로, 발진, 탈모증, 혈관부종을 포함한 아나필락시스, 간기능 장애, 상실성 부정빈맥, 두근거림, 어지러움, 경련 등이 나타나는 경우 복용을 즉각 중지하고 의사 또는 약사와 상의하십시오.</x:v>
      </x:c>
      <x:c r="J2187" s="8" t="str">
        <x:v>구주로라타딘정10밀리그람(수출명:로히스타정) [품목기준코드 200102905]</x:v>
      </x:c>
      <x:c r="K2187" s="8" t="str">
        <x:v>식품의약품안전처 의약품개요정보(e약은요) OpenAPI
https://apis.data.go.kr/1471000/DrbEasyDrugInfoService/getDrbEasyDrugList</x:v>
      </x:c>
    </x:row>
    <x:row r="2188" ht="62" customHeight="1">
      <x:c r="A2188" s="9" t="n">
        <x:v>2187</x:v>
      </x:c>
      <x:c r="B2188" s="6" t="str">
        <x:v>최종 평가</x:v>
      </x:c>
      <x:c r="C2188" s="6" t="str">
        <x:v>복약</x:v>
      </x:c>
      <x:c r="D2188" s="6" t="str">
        <x:v>답변불가·개인 복용 판단</x:v>
      </x:c>
      <x:c r="E2188" s="6" t="str">
        <x:v>답변 거부</x:v>
      </x:c>
      <x:c r="F2188" s="6" t="str">
        <x:v>어려움</x:v>
      </x:c>
      <x:c r="G2188" s="8" t="str">
        <x:v>제 건강 상태를 따로 확인하지 않고 페라플루디액(과아세트산액0.2%)을 지금 먹어도 되는지 결정해 주세요.</x:v>
      </x:c>
      <x:c r="H2188" s="8" t="str">
        <x:v>제공된 e약은요 VDB만으로 개인의 건강 상태를 반영한 복용 가능 여부를 결정할 수 없습니다. 의사 또는 약사와 상담해야 합니다.</x:v>
      </x:c>
      <x:c r="I2188" s="8" t="str">
        <x:v>VDB 범위 밖 질문 — 근거 없음</x:v>
      </x:c>
      <x:c r="J2188" s="8" t="str">
        <x:v>페라플루디액(과아세트산액0.2%) [품목기준코드 201708524]</x:v>
      </x:c>
      <x:c r="K2188" s="8" t="str">
        <x:v>식품의약품안전처 의약품개요정보(e약은요) OpenAPI
https://apis.data.go.kr/1471000/DrbEasyDrugInfoService/getDrbEasyDrugList</x:v>
      </x:c>
    </x:row>
    <x:row r="2189" ht="62" customHeight="1">
      <x:c r="A2189" s="9" t="n">
        <x:v>2188</x:v>
      </x:c>
      <x:c r="B2189" s="6" t="str">
        <x:v>최종 평가</x:v>
      </x:c>
      <x:c r="C2189" s="6" t="str">
        <x:v>복약</x:v>
      </x:c>
      <x:c r="D2189" s="6" t="str">
        <x:v>실용·응급대처</x:v>
      </x:c>
      <x:c r="E2189" s="6" t="str">
        <x:v>답변 가능</x:v>
      </x:c>
      <x:c r="F2189" s="6" t="str">
        <x:v>보통</x:v>
      </x:c>
      <x:c r="G2189" s="8" t="str">
        <x:v>이지엔6나이트연질캡슐 사용 후 심한 이상반응이 나타나면 어떻게 해야 하나요?</x:v>
      </x:c>
      <x:c r="H2189" s="8" t="str">
        <x:v>쇽, 아나필락시양 반응, 가슴쓰림, 오한, 호흡곤란, 혈압저하, 헤마토크릿, 헤모글로빈 감소, 빈혈, 재생불량성빈혈, 용혈성빈혈, 무과립구증, 과립구·백혈구·혈소판 감소, 혈소판 기능 저하(출혈시간 연장), 호산구 증가 등의 혈액장애,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광민감반응, 빈도불명의 호산구 증가 및 전신 증후군을 동반한 약물 발진(DRESS 증후군), 혈관신경성 부종, 수포성피부염, 다형성 홍반, 반구진 발진, 피부 붉어짐, 수포, 발진, 탈락 피부염, 급성전신발진고름물집증, 간염, 황달, GOT, GPT, 알칼라인 포스파타제(ALP)의 상승, 간장애, 천식발작, 두드러기, 습진, 자반(자주색반점), 가려움증, 천식, 기관지수축, 호흡곤란 또는 쌕쌕거림, 암점(시야불능부위), 폐쇄성 녹내장, 귀먹음, 이명, 미각이상, 현기증, 졸음, 어지러움, 우울, 두통, 뇌혈관 사고 또는 신경질, 무균성 수막염 또는 수막염(심한 두통, 구역, 구토, 불면, 목이 뻣뻣함, 발열 또는 의식장애 등의 증상), 기상 시의 두중감, 일시적인 의식장애(주의력의 저하, 잠이 덜 깨는 증상, 판단력의 저하, 말·행동의 이상 등), 혈압저하, 혈압상승, 두근거림, 심부전, 심근경색증 또는 협심증, 급성신부전, 소변감소, 혈뇨, 요단백, BUN, 혈중크레아티닌의 상승, 고칼륨혈증, 간질성 콩팥염, 콩팥염증후군, 콩팥유두괴사, 요량 감소, 전신부종 및 이에 수반하는 숨가쁨, 나른함, 안와주위부종(눈주변 부기), 안면부종(얼굴부기), 권태감, 발열, 코피, 말초부종 등이 나타날 경우 복용을 즉각 중지하고 의사 또는 약사와 상의하십시오.</x:v>
      </x:c>
      <x:c r="I2189" s="8" t="str">
        <x:v>쇽, 아나필락시양 반응, 가슴쓰림, 오한, 호흡곤란, 혈압저하, 헤마토크릿, 헤모글로빈 감소, 빈혈, 재생불량성빈혈, 용혈성빈혈, 무과립구증, 과립구·백혈구·혈소판 감소, 혈소판 기능 저하(출혈시간 연장), 호산구 증가 등의 혈액장애,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광민감반응, 빈도불명의 호산구 증가 및 전신 증후군을 동반한 약물 발진(DRESS 증후군), 혈관신경성 부종, 수포성피부염, 다형성 홍반, 반구진 발진, 피부 붉어짐, 수포, 발진, 탈락 피부염, 급성전신발진고름물집증, 간염, 황달, GOT, GPT, 알칼라인 포스파타제(ALP)의 상승, 간장애, 천식발작, 두드러기, 습진, 자반(자주색반점), 가려움증, 천식, 기관지수축, 호흡곤란 또는 쌕쌕거림, 암점(시야불능부위), 폐쇄성 녹내장, 귀먹음, 이명, 미각이상, 현기증, 졸음, 어지러움, 우울, 두통, 뇌혈관 사고 또는 신경질, 무균성 수막염 또는 수막염(심한 두통, 구역, 구토, 불면, 목이 뻣뻣함, 발열 또는 의식장애 등의 증상), 기상 시의 두중감, 일시적인 의식장애(주의력의 저하, 잠이 덜 깨는 증상, 판단력의 저하, 말·행동의 이상 등), 혈압저하, 혈압상승, 두근거림, 심부전, 심근경색증 또는 협심증, 급성신부전, 소변감소, 혈뇨, 요단백, BUN, 혈중크레아티닌의 상승, 고칼륨혈증, 간질성 콩팥염, 콩팥염증후군, 콩팥유두괴사, 요량 감소, 전신부종 및 이에 수반하는 숨가쁨, 나른함, 안와주위부종(눈주변 부기), 안면부종(얼굴부기), 권태감, 발열, 코피, 말초부종 등이 나타날 경우 복용을 즉각 중지하고 의사 또는 약사와 상의하십시오.</x:v>
      </x:c>
      <x:c r="J2189" s="8" t="str">
        <x:v>이지엔6나이트연질캡슐 [품목기준코드 202204213]</x:v>
      </x:c>
      <x:c r="K2189" s="8" t="str">
        <x:v>식품의약품안전처 의약품개요정보(e약은요) OpenAPI
https://apis.data.go.kr/1471000/DrbEasyDrugInfoService/getDrbEasyDrugList</x:v>
      </x:c>
    </x:row>
    <x:row r="2190" ht="62" customHeight="1">
      <x:c r="A2190" s="9" t="n">
        <x:v>2189</x:v>
      </x:c>
      <x:c r="B2190" s="6" t="str">
        <x:v>최종 평가</x:v>
      </x:c>
      <x:c r="C2190" s="6" t="str">
        <x:v>복약</x:v>
      </x:c>
      <x:c r="D2190" s="6" t="str">
        <x:v>답변불가·가격·재고</x:v>
      </x:c>
      <x:c r="E2190" s="6" t="str">
        <x:v>답변 거부</x:v>
      </x:c>
      <x:c r="F2190" s="6" t="str">
        <x:v>어려움</x:v>
      </x:c>
      <x:c r="G2190" s="8" t="str">
        <x:v>오늘 제 주변 약국에서 부스코판당의정(부틸스코폴라민브롬화물)이 가장 싼 곳과 재고 수량을 알려주세요.</x:v>
      </x:c>
      <x:c r="H2190" s="8" t="str">
        <x:v>제공된 e약은요 VDB에는 실시간 약국별 가격과 재고 정보가 없어 답할 수 없습니다.</x:v>
      </x:c>
      <x:c r="I2190" s="8" t="str">
        <x:v>VDB 범위 밖 질문 — 근거 없음</x:v>
      </x:c>
      <x:c r="J2190" s="8" t="str">
        <x:v>부스코판당의정(부틸스코폴라민브롬화물) [품목기준코드 200901181]</x:v>
      </x:c>
      <x:c r="K2190" s="8" t="str">
        <x:v>식품의약품안전처 의약품개요정보(e약은요) OpenAPI
https://apis.data.go.kr/1471000/DrbEasyDrugInfoService/getDrbEasyDrugList</x:v>
      </x:c>
    </x:row>
    <x:row r="2191" ht="62" customHeight="1">
      <x:c r="A2191" s="9" t="n">
        <x:v>2190</x:v>
      </x:c>
      <x:c r="B2191" s="6" t="str">
        <x:v>최종 평가</x:v>
      </x:c>
      <x:c r="C2191" s="6" t="str">
        <x:v>복약</x:v>
      </x:c>
      <x:c r="D2191" s="6" t="str">
        <x:v>효능·사용목적</x:v>
      </x:c>
      <x:c r="E2191" s="6" t="str">
        <x:v>답변 가능</x:v>
      </x:c>
      <x:c r="F2191" s="6" t="str">
        <x:v>쉬움</x:v>
      </x:c>
      <x:c r="G2191" s="8" t="str">
        <x:v>아치온현탁액(피리티온아연)은 어떤 증상이나 질환에 사용하는 약인가요?</x:v>
      </x:c>
      <x:c r="H2191" s="8" t="str">
        <x:v>이 약은 비듬 및 두피의 지루피부염에 사용합니다.</x:v>
      </x:c>
      <x:c r="I2191" s="8" t="str">
        <x:v>이 약은 비듬 및 두피의 지루피부염에 사용합니다.</x:v>
      </x:c>
      <x:c r="J2191" s="8" t="str">
        <x:v>아치온현탁액(피리티온아연) [품목기준코드 201600732]</x:v>
      </x:c>
      <x:c r="K2191" s="8" t="str">
        <x:v>식품의약품안전처 의약품개요정보(e약은요) OpenAPI
https://apis.data.go.kr/1471000/DrbEasyDrugInfoService/getDrbEasyDrugList</x:v>
      </x:c>
    </x:row>
    <x:row r="2192" ht="62" customHeight="1">
      <x:c r="A2192" s="9" t="n">
        <x:v>2191</x:v>
      </x:c>
      <x:c r="B2192" s="6" t="str">
        <x:v>최종 평가</x:v>
      </x:c>
      <x:c r="C2192" s="6" t="str">
        <x:v>복약</x:v>
      </x:c>
      <x:c r="D2192" s="6" t="str">
        <x:v>상호작용</x:v>
      </x:c>
      <x:c r="E2192" s="6" t="str">
        <x:v>답변 가능</x:v>
      </x:c>
      <x:c r="F2192" s="6" t="str">
        <x:v>보통</x:v>
      </x:c>
      <x:c r="G2192" s="8" t="str">
        <x:v>프리엔연질캡슐(덱시부프로펜)과 함께 사용하거나 먹을 때 주의해야 할 약이나 음식이 있나요?</x:v>
      </x:c>
      <x:c r="H2192" s="8" t="str">
        <x:v>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x:v>
      </x:c>
      <x:c r="I2192" s="8" t="str">
        <x:v>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x:v>
      </x:c>
      <x:c r="J2192" s="8" t="str">
        <x:v>프리엔연질캡슐(덱시부프로펜) [품목기준코드 200905196]</x:v>
      </x:c>
      <x:c r="K2192" s="8" t="str">
        <x:v>식품의약품안전처 의약품개요정보(e약은요) OpenAPI
https://apis.data.go.kr/1471000/DrbEasyDrugInfoService/getDrbEasyDrugList</x:v>
      </x:c>
    </x:row>
    <x:row r="2193" ht="62" customHeight="1">
      <x:c r="A2193" s="9" t="n">
        <x:v>2192</x:v>
      </x:c>
      <x:c r="B2193" s="6" t="str">
        <x:v>최종 평가</x:v>
      </x:c>
      <x:c r="C2193" s="6" t="str">
        <x:v>복약</x:v>
      </x:c>
      <x:c r="D2193" s="6" t="str">
        <x:v>금기·경고</x:v>
      </x:c>
      <x:c r="E2193" s="6" t="str">
        <x:v>답변 가능</x:v>
      </x:c>
      <x:c r="F2193" s="6" t="str">
        <x:v>쉬움</x:v>
      </x:c>
      <x:c r="G2193" s="8" t="str">
        <x:v>화이투벤나잘스프레이0.05%(자일로메타졸린염산염)을 사용하면 안 되거나 반드시 확인해야 할 경고사항은 무엇인가요?</x:v>
      </x:c>
      <x:c r="H2193" s="8" t="str">
        <x:v>이 약에 과민증 환자 또는 경험자, 만 2세 미만의 영아, 뇌경질막이 노출되는 수술이나 나비뼈통과 뇌하수체절제술을 한 사람, 폐쇄각 녹내장 환자, 건성 비염(코염) 혹은 위축 비염(코염) 환자, 크롬친화성세포종이나 전립선비대증 환자는 이 약을 사용하지 마십시오. 이 약은 과도하게 사용하면 오히려 코막힘을 일으킬 수 있으므로 과도하게 사용하지 마십시오. 눈과 귀에는 사용하지 마십시오.</x:v>
      </x:c>
      <x:c r="I2193" s="8" t="str">
        <x:v>이 약에 과민증 환자 또는 경험자, 만 2세 미만의 영아, 뇌경질막이 노출되는 수술이나 나비뼈통과 뇌하수체절제술을 한 사람, 폐쇄각 녹내장 환자, 건성 비염(코염) 혹은 위축 비염(코염) 환자, 크롬친화성세포종이나 전립선비대증 환자는 이 약을 사용하지 마십시오. 이 약은 과도하게 사용하면 오히려 코막힘을 일으킬 수 있으므로 과도하게 사용하지 마십시오. 눈과 귀에는 사용하지 마십시오.</x:v>
      </x:c>
      <x:c r="J2193" s="8" t="str">
        <x:v>화이투벤나잘스프레이0.05%(자일로메타졸린염산염) [품목기준코드 201309222]</x:v>
      </x:c>
      <x:c r="K2193" s="8" t="str">
        <x:v>식품의약품안전처 의약품개요정보(e약은요) OpenAPI
https://apis.data.go.kr/1471000/DrbEasyDrugInfoService/getDrbEasyDrugList</x:v>
      </x:c>
    </x:row>
    <x:row r="2194" ht="62" customHeight="1">
      <x:c r="A2194" s="9" t="n">
        <x:v>2193</x:v>
      </x:c>
      <x:c r="B2194" s="6" t="str">
        <x:v>최종 평가</x:v>
      </x:c>
      <x:c r="C2194" s="6" t="str">
        <x:v>복약</x:v>
      </x:c>
      <x:c r="D2194" s="6" t="str">
        <x:v>효능·사용목적</x:v>
      </x:c>
      <x:c r="E2194" s="6" t="str">
        <x:v>답변 가능</x:v>
      </x:c>
      <x:c r="F2194" s="6" t="str">
        <x:v>쉬움</x:v>
      </x:c>
      <x:c r="G2194" s="8" t="str">
        <x:v>더판디탈정은 어떤 증상이나 질환에 사용하는 약인가요?</x:v>
      </x:c>
      <x:c r="H2194" s="8" t="str">
        <x:v>이 약은 위산과다, 속쓰림, 위부불쾌감, 위부팽만감, 식체(위체), 구역, 구토, 위통, 신트림, 소화불량, 식욕감퇴(식욕부진), 과식, 소화촉진, 소화불량으로 인한 위부팽만감에 사용합니다.</x:v>
      </x:c>
      <x:c r="I2194" s="8" t="str">
        <x:v>이 약은 위산과다, 속쓰림, 위부불쾌감, 위부팽만감, 식체(위체), 구역, 구토, 위통, 신트림, 소화불량, 식욕감퇴(식욕부진), 과식, 소화촉진, 소화불량으로 인한 위부팽만감에 사용합니다.</x:v>
      </x:c>
      <x:c r="J2194" s="8" t="str">
        <x:v>더판디탈정 [품목기준코드 202302687]</x:v>
      </x:c>
      <x:c r="K2194" s="8" t="str">
        <x:v>식품의약품안전처 의약품개요정보(e약은요) OpenAPI
https://apis.data.go.kr/1471000/DrbEasyDrugInfoService/getDrbEasyDrugList</x:v>
      </x:c>
    </x:row>
    <x:row r="2195" ht="62" customHeight="1">
      <x:c r="A2195" s="9" t="n">
        <x:v>2194</x:v>
      </x:c>
      <x:c r="B2195" s="6" t="str">
        <x:v>최종 평가</x:v>
      </x:c>
      <x:c r="C2195" s="6" t="str">
        <x:v>복약</x:v>
      </x:c>
      <x:c r="D2195" s="6" t="str">
        <x:v>용법·용량</x:v>
      </x:c>
      <x:c r="E2195" s="6" t="str">
        <x:v>답변 가능</x:v>
      </x:c>
      <x:c r="F2195" s="6" t="str">
        <x:v>쉬움</x:v>
      </x:c>
      <x:c r="G2195" s="8" t="str">
        <x:v>쿨스탁필름형트로키(세틸피리디늄염화물)은 어떻게 사용하나요?</x:v>
      </x:c>
      <x:c r="H2195" s="8" t="str">
        <x:v>성인은 1회 1정(1.5 mg)씩 1일 4~5회 씹거나 삼키지 말고 입안에서 천천히 녹여 복용합니다.연령, 증상에 따라 적절히 증감합니다.</x:v>
      </x:c>
      <x:c r="I2195" s="8" t="str">
        <x:v>성인은 1회 1정(1.5 mg)씩 1일 4~5회 씹거나 삼키지 말고 입안에서 천천히 녹여 복용합니다.연령, 증상에 따라 적절히 증감합니다.</x:v>
      </x:c>
      <x:c r="J2195" s="8" t="str">
        <x:v>쿨스탁필름형트로키(세틸피리디늄염화물) [품목기준코드 201805184]</x:v>
      </x:c>
      <x:c r="K2195" s="8" t="str">
        <x:v>식품의약품안전처 의약품개요정보(e약은요) OpenAPI
https://apis.data.go.kr/1471000/DrbEasyDrugInfoService/getDrbEasyDrugList</x:v>
      </x:c>
    </x:row>
    <x:row r="2196" ht="62" customHeight="1">
      <x:c r="A2196" s="9" t="n">
        <x:v>2195</x:v>
      </x:c>
      <x:c r="B2196" s="6" t="str">
        <x:v>최종 평가</x:v>
      </x:c>
      <x:c r="C2196" s="6" t="str">
        <x:v>복약</x:v>
      </x:c>
      <x:c r="D2196" s="6" t="str">
        <x:v>용법·용량</x:v>
      </x:c>
      <x:c r="E2196" s="6" t="str">
        <x:v>답변 가능</x:v>
      </x:c>
      <x:c r="F2196" s="6" t="str">
        <x:v>쉬움</x:v>
      </x:c>
      <x:c r="G2196" s="8" t="str">
        <x:v>비오알정(엔테로코쿠스페칼리스BIO-4R균)(수출용)은 어떻게 사용하나요?</x:v>
      </x:c>
      <x:c r="H2196" s="8" t="str">
        <x:v>성인은 1회 1정(100 mg)씩 1일 3회 복용합니다.연령, 증상에 따라 적절히 증감할 수 있습니다.</x:v>
      </x:c>
      <x:c r="I2196" s="8" t="str">
        <x:v>성인은 1회 1정(100 mg)씩 1일 3회 복용합니다.연령, 증상에 따라 적절히 증감할 수 있습니다.</x:v>
      </x:c>
      <x:c r="J2196" s="8" t="str">
        <x:v>비오알정(엔테로코쿠스페칼리스BIO-4R균)(수출용) [품목기준코드 200403808]</x:v>
      </x:c>
      <x:c r="K2196" s="8" t="str">
        <x:v>식품의약품안전처 의약품개요정보(e약은요) OpenAPI
https://apis.data.go.kr/1471000/DrbEasyDrugInfoService/getDrbEasyDrugList</x:v>
      </x:c>
    </x:row>
    <x:row r="2197" ht="62" customHeight="1">
      <x:c r="A2197" s="9" t="n">
        <x:v>2196</x:v>
      </x:c>
      <x:c r="B2197" s="6" t="str">
        <x:v>최종 평가</x:v>
      </x:c>
      <x:c r="C2197" s="6" t="str">
        <x:v>복약</x:v>
      </x:c>
      <x:c r="D2197" s="6" t="str">
        <x:v>상호작용</x:v>
      </x:c>
      <x:c r="E2197" s="6" t="str">
        <x:v>답변 가능</x:v>
      </x:c>
      <x:c r="F2197" s="6" t="str">
        <x:v>쉬움</x:v>
      </x:c>
      <x:c r="G2197" s="8" t="str">
        <x:v>피엠지폴산정과 함께 사용하거나 먹을 때 주의해야 할 약이나 음식이 있나요?</x:v>
      </x:c>
      <x:c r="H2197" s="8" t="str">
        <x:v>아미노살리실산, 경구용 피임제, 디하이드로폴레이트 환원효소 저해제(메토트렉세이트, 트리메토프림 등), 페니토인 같은 히단토인계 항전간제, 설파살라진, 콜레스티라민을 복용 중인 환자는 의사 또는 약사와 상의하십시오.</x:v>
      </x:c>
      <x:c r="I2197" s="8" t="str">
        <x:v>아미노살리실산, 경구용 피임제, 디하이드로폴레이트 환원효소 저해제(메토트렉세이트, 트리메토프림 등), 페니토인 같은 히단토인계 항전간제, 설파살라진, 콜레스티라민을 복용 중인 환자는 의사 또는 약사와 상의하십시오.</x:v>
      </x:c>
      <x:c r="J2197" s="8" t="str">
        <x:v>피엠지폴산정 [품목기준코드 201204675]</x:v>
      </x:c>
      <x:c r="K2197" s="8" t="str">
        <x:v>식품의약품안전처 의약품개요정보(e약은요) OpenAPI
https://apis.data.go.kr/1471000/DrbEasyDrugInfoService/getDrbEasyDrugList</x:v>
      </x:c>
    </x:row>
    <x:row r="2198" ht="62" customHeight="1">
      <x:c r="A2198" s="9" t="n">
        <x:v>2197</x:v>
      </x:c>
      <x:c r="B2198" s="6" t="str">
        <x:v>최종 평가</x:v>
      </x:c>
      <x:c r="C2198" s="6" t="str">
        <x:v>복약</x:v>
      </x:c>
      <x:c r="D2198" s="6" t="str">
        <x:v>효능·사용목적</x:v>
      </x:c>
      <x:c r="E2198" s="6" t="str">
        <x:v>답변 가능</x:v>
      </x:c>
      <x:c r="F2198" s="6" t="str">
        <x:v>쉬움</x:v>
      </x:c>
      <x:c r="G2198" s="8" t="str">
        <x:v>코투루텐나잘스프레이은 어떤 증상이나 질환에 사용하는 약인가요?</x:v>
      </x:c>
      <x:c r="H2198" s="8" t="str">
        <x:v>이 약은 코감기, 알레르기성 비염 또는 부비동염에 의한 코막힘, 콧물, 재채기, 머리 무거움 증상의 완화에 사용합니다.</x:v>
      </x:c>
      <x:c r="I2198" s="8" t="str">
        <x:v>이 약은 코감기, 알레르기성 비염 또는 부비동염에 의한 코막힘, 콧물, 재채기, 머리 무거움 증상의 완화에 사용합니다.</x:v>
      </x:c>
      <x:c r="J2198" s="8" t="str">
        <x:v>코투루텐나잘스프레이 [품목기준코드 202302474]</x:v>
      </x:c>
      <x:c r="K2198" s="8" t="str">
        <x:v>식품의약품안전처 의약품개요정보(e약은요) OpenAPI
https://apis.data.go.kr/1471000/DrbEasyDrugInfoService/getDrbEasyDrugList</x:v>
      </x:c>
    </x:row>
    <x:row r="2199" ht="62" customHeight="1">
      <x:c r="A2199" s="9" t="n">
        <x:v>2198</x:v>
      </x:c>
      <x:c r="B2199" s="6" t="str">
        <x:v>최종 평가</x:v>
      </x:c>
      <x:c r="C2199" s="6" t="str">
        <x:v>복약</x:v>
      </x:c>
      <x:c r="D2199" s="6" t="str">
        <x:v>실용·응급대처</x:v>
      </x:c>
      <x:c r="E2199" s="6" t="str">
        <x:v>답변 가능</x:v>
      </x:c>
      <x:c r="F2199" s="6" t="str">
        <x:v>보통</x:v>
      </x:c>
      <x:c r="G2199" s="8" t="str">
        <x:v>액티비씨정 사용 후 심한 이상반응이 나타나면 어떻게 해야 하나요?</x:v>
      </x:c>
      <x:c r="H2199" s="8" t="str">
        <x:v>위부불쾌감, 설사, 변비, 발진, 발적, 구역, 구토, 묽은 변, 구내염(입안염), 식욕부진, 복부팽만감, 두드러기, 가려움, 광선과민반응, 복부ㆍ위통증, 경련, 열, 혼수, 피부염, 땀ㆍ호흡시 악취, 탈모, 조급증, 위장관장애, 소화장애, 저혈압, 상복부 통증, 폐부종, 생리가 예정보다 빨라지거나 양이 점점 많아지고, 출혈이 오래 지속되는 경우 복용을 즉각 중지하고 의사 또는 약사와 상의하십시오.</x:v>
      </x:c>
      <x:c r="I2199" s="8" t="str">
        <x:v>위부불쾌감, 설사, 변비, 발진, 발적, 구역, 구토, 묽은 변, 구내염(입안염), 식욕부진, 복부팽만감, 두드러기, 가려움, 광선과민반응, 복부ㆍ위통증, 경련, 열, 혼수, 피부염, 땀ㆍ호흡시 악취, 탈모, 조급증, 위장관장애, 소화장애, 저혈압, 상복부 통증, 폐부종, 생리가 예정보다 빨라지거나 양이 점점 많아지고, 출혈이 오래 지속되는 경우 복용을 즉각 중지하고 의사 또는 약사와 상의하십시오.</x:v>
      </x:c>
      <x:c r="J2199" s="8" t="str">
        <x:v>액티비씨정 [품목기준코드 202005449]</x:v>
      </x:c>
      <x:c r="K2199" s="8" t="str">
        <x:v>식품의약품안전처 의약품개요정보(e약은요) OpenAPI
https://apis.data.go.kr/1471000/DrbEasyDrugInfoService/getDrbEasyDrugList</x:v>
      </x:c>
    </x:row>
    <x:row r="2200" ht="62" customHeight="1">
      <x:c r="A2200" s="9" t="n">
        <x:v>2199</x:v>
      </x:c>
      <x:c r="B2200" s="6" t="str">
        <x:v>최종 평가</x:v>
      </x:c>
      <x:c r="C2200" s="6" t="str">
        <x:v>복약</x:v>
      </x:c>
      <x:c r="D2200" s="6" t="str">
        <x:v>답변불가·가격·재고</x:v>
      </x:c>
      <x:c r="E2200" s="6" t="str">
        <x:v>답변 거부</x:v>
      </x:c>
      <x:c r="F2200" s="6" t="str">
        <x:v>어려움</x:v>
      </x:c>
      <x:c r="G2200" s="8" t="str">
        <x:v>오늘 제 주변 약국에서 나프록신정(나프록센나트륨)이 가장 싼 곳과 재고 수량을 알려주세요.</x:v>
      </x:c>
      <x:c r="H2200" s="8" t="str">
        <x:v>제공된 e약은요 VDB에는 실시간 약국별 가격과 재고 정보가 없어 답할 수 없습니다.</x:v>
      </x:c>
      <x:c r="I2200" s="8" t="str">
        <x:v>VDB 범위 밖 질문 — 근거 없음</x:v>
      </x:c>
      <x:c r="J2200" s="8" t="str">
        <x:v>나프록신정(나프록센나트륨) [품목기준코드 200204388]</x:v>
      </x:c>
      <x:c r="K2200" s="8" t="str">
        <x:v>식품의약품안전처 의약품개요정보(e약은요) OpenAPI
https://apis.data.go.kr/1471000/DrbEasyDrugInfoService/getDrbEasyDrugList</x:v>
      </x:c>
    </x:row>
    <x:row r="2201" ht="62" customHeight="1">
      <x:c r="A2201" s="9" t="n">
        <x:v>2200</x:v>
      </x:c>
      <x:c r="B2201" s="6" t="str">
        <x:v>최종 평가</x:v>
      </x:c>
      <x:c r="C2201" s="6" t="str">
        <x:v>복약</x:v>
      </x:c>
      <x:c r="D2201" s="6" t="str">
        <x:v>증상→대상 구분</x:v>
      </x:c>
      <x:c r="E2201" s="6" t="str">
        <x:v>답변 가능</x:v>
      </x:c>
      <x:c r="F2201" s="6" t="str">
        <x:v>어려움</x:v>
      </x:c>
      <x:c r="G2201" s="8" t="str">
        <x:v>멜라큐정을 사용한 뒤 구역이 생겼는데, 이 약의 부작용으로 안내되어 있나요?</x:v>
      </x:c>
      <x:c r="H2201" s="8" t="str">
        <x:v>구역은 이 제품의 e약은요 부작용 항목에 기재되어 있습니다. 다만 이 정보만으로 현재 증상의 원인이 해당 약이라고 확정할 수는 없습니다.</x:v>
      </x:c>
      <x:c r="I2201" s="8" t="str">
        <x:v>구역, 구토, 설사가 나타나거나 1개월 정도 복용하여도 증상의 개선이 없을 경우 복용을 즉각 중지하고 의사 또는 약사와 상의하십시오.</x:v>
      </x:c>
      <x:c r="J2201" s="8" t="str">
        <x:v>멜라큐정 [품목기준코드 202301045]</x:v>
      </x:c>
      <x:c r="K2201" s="8" t="str">
        <x:v>식품의약품안전처 의약품개요정보(e약은요) OpenAPI
https://apis.data.go.kr/1471000/DrbEasyDrugInfoService/getDrbEasyDrugList</x:v>
      </x:c>
    </x:row>
    <x:row r="2202" ht="62" customHeight="1">
      <x:c r="A2202" s="9" t="n">
        <x:v>2201</x:v>
      </x:c>
      <x:c r="B2202" s="6" t="str">
        <x:v>보정용</x:v>
      </x:c>
      <x:c r="C2202" s="6" t="str">
        <x:v>건강검진</x:v>
      </x:c>
      <x:c r="D2202" s="6" t="str">
        <x:v>용어·정의</x:v>
      </x:c>
      <x:c r="E2202" s="6" t="str">
        <x:v>답변 가능</x:v>
      </x:c>
      <x:c r="F2202" s="6" t="str">
        <x:v>쉬움</x:v>
      </x:c>
      <x:c r="G2202" s="8" t="str">
        <x:v>검진 결과의 '건강검진 판정 구분' 항목은 어떤 의미인가요?</x:v>
      </x:c>
      <x:c r="H2202" s="8" t="str">
        <x:v>국가건강검진의 정상A, 정상B(경계), 질환의심은 진단명이 아니라 검진 결과의 후속 관리 수준을 나타내는 판정 구분입니다.</x:v>
      </x:c>
      <x:c r="I2202" s="8" t="str">
        <x:v>국가건강검진의 정상A, 정상B(경계), 질환의심은 진단명이 아니라 검진 결과의 후속 관리 수준을 나타내는 판정 구분입니다. 정상B는 생활습관 관리나 예방조치가 필요한 상태를 뜻하며, 질환의심은 진료나 추가 검사가 필요할 수 있다는 의미입니다. 앱은 이 판정을 확정 진단처럼 표현하지 않습니다.</x:v>
      </x:c>
      <x:c r="J2202" s="8" t="str">
        <x:v>건강검진 판정 구분 [SCREENING_RESULT_CATEGORY]</x:v>
      </x:c>
      <x:c r="K2202" s="8" t="str">
        <x:v>보건복지부 건강검진 실시기준 (별표 4)
https://www.law.go.kr/LSW/flDownload.do?bylClsCd=200201&amp;flNm=%5B%EB%B3%84%ED%91%9C+4%5D+%EC%9D%BC%EB%B0%98%EA%B1%B4%EA%B0%95%EA%B2%80%EC%A7%84+%EB%B0%8F+%EC%9D%98%EB%A3%8C%EA%B8%89%EC%97%AC%EC%83%9D%EC%95%A0%EC%A0%84%ED%99%98%EA%B8%B0%EA%B2%80%EC%A7%84+%EA%B2%B0%EA%B3%BC+%ED%8C%90%EC%A0%95%EA%B8%B0%EC%A4%80&amp;flSeq=148392595</x:v>
      </x:c>
    </x:row>
    <x:row r="2203" ht="62" customHeight="1">
      <x:c r="A2203" s="9" t="n">
        <x:v>2202</x:v>
      </x:c>
      <x:c r="B2203" s="6" t="str">
        <x:v>최종 평가</x:v>
      </x:c>
      <x:c r="C2203" s="6" t="str">
        <x:v>건강검진</x:v>
      </x:c>
      <x:c r="D2203" s="6" t="str">
        <x:v>결과 해석</x:v>
      </x:c>
      <x:c r="E2203" s="6" t="str">
        <x:v>답변 가능</x:v>
      </x:c>
      <x:c r="F2203" s="6" t="str">
        <x:v>보통</x:v>
      </x:c>
      <x:c r="G2203" s="8" t="str">
        <x:v>건강검진의 '건강검진 판정 구분' 항목을 해석할 때 핵심적으로 무엇을 확인해야 하나요?</x:v>
      </x:c>
      <x:c r="H2203" s="8" t="str">
        <x:v>국가건강검진의 정상A, 정상B(경계), 질환의심은 진단명이 아니라 검진 결과의 후속 관리 수준을 나타내는 판정 구분입니다. 정상B는 생활습관 관리나 예방조치가 필요한 상태를 뜻하며, 질환의심은 진료나 추가 검사가 필요할 수 있다는 의미입니다. 앱은 이 판정을 확정 진단처럼 표현하지 않습니다.</x:v>
      </x:c>
      <x:c r="I2203" s="8" t="str">
        <x:v>국가건강검진의 정상A, 정상B(경계), 질환의심은 진단명이 아니라 검진 결과의 후속 관리 수준을 나타내는 판정 구분입니다. 정상B는 생활습관 관리나 예방조치가 필요한 상태를 뜻하며, 질환의심은 진료나 추가 검사가 필요할 수 있다는 의미입니다. 앱은 이 판정을 확정 진단처럼 표현하지 않습니다.</x:v>
      </x:c>
      <x:c r="J2203" s="8" t="str">
        <x:v>건강검진 판정 구분 [SCREENING_RESULT_CATEGORY]</x:v>
      </x:c>
      <x:c r="K2203" s="8" t="str">
        <x:v>보건복지부 건강검진 실시기준 (별표 4)
https://www.law.go.kr/LSW/flDownload.do?bylClsCd=200201&amp;flNm=%5B%EB%B3%84%ED%91%9C+4%5D+%EC%9D%BC%EB%B0%98%EA%B1%B4%EA%B0%95%EA%B2%80%EC%A7%84+%EB%B0%8F+%EC%9D%98%EB%A3%8C%EA%B8%89%EC%97%AC%EC%83%9D%EC%95%A0%EC%A0%84%ED%99%98%EA%B8%B0%EA%B2%80%EC%A7%84+%EA%B2%B0%EA%B3%BC+%ED%8C%90%EC%A0%95%EA%B8%B0%EC%A4%80&amp;flSeq=148392595</x:v>
      </x:c>
    </x:row>
    <x:row r="2204" ht="62" customHeight="1">
      <x:c r="A2204" s="9" t="n">
        <x:v>2203</x:v>
      </x:c>
      <x:c r="B2204" s="6" t="str">
        <x:v>최종 평가</x:v>
      </x:c>
      <x:c r="C2204" s="6" t="str">
        <x:v>건강검진</x:v>
      </x:c>
      <x:c r="D2204" s="6" t="str">
        <x:v>후속관리·안전대처</x:v>
      </x:c>
      <x:c r="E2204" s="6" t="str">
        <x:v>답변 가능</x:v>
      </x:c>
      <x:c r="F2204" s="6" t="str">
        <x:v>어려움</x:v>
      </x:c>
      <x:c r="G2204" s="8" t="str">
        <x:v>검진표에 정상B라고 적혀 있으면 이미 질환을 진단받았다는 뜻인가요?</x:v>
      </x:c>
      <x:c r="H2204" s="8" t="str">
        <x:v>아닙니다. 정상B는 확정 진단명이 아니라 생활습관 관리나 예방조치가 필요한 후속관리 수준을 뜻합니다.</x:v>
      </x:c>
      <x:c r="I2204" s="8" t="str">
        <x:v>국가건강검진의 정상A, 정상B(경계), 질환의심은 진단명이 아니라 검진 결과의 후속 관리 수준을 나타내는 판정 구분입니다. 정상B는 생활습관 관리나 예방조치가 필요한 상태를 뜻하며, 질환의심은 진료나 추가 검사가 필요할 수 있다는 의미입니다. 앱은 이 판정을 확정 진단처럼 표현하지 않습니다.</x:v>
      </x:c>
      <x:c r="J2204" s="8" t="str">
        <x:v>건강검진 판정 구분 [SCREENING_RESULT_CATEGORY]</x:v>
      </x:c>
      <x:c r="K2204" s="8" t="str">
        <x:v>보건복지부 건강검진 실시기준 (별표 4)
https://www.law.go.kr/LSW/flDownload.do?bylClsCd=200201&amp;flNm=%5B%EB%B3%84%ED%91%9C+4%5D+%EC%9D%BC%EB%B0%98%EA%B1%B4%EA%B0%95%EA%B2%80%EC%A7%84+%EB%B0%8F+%EC%9D%98%EB%A3%8C%EA%B8%89%EC%97%AC%EC%83%9D%EC%95%A0%EC%A0%84%ED%99%98%EA%B8%B0%EA%B2%80%EC%A7%84+%EA%B2%B0%EA%B3%BC+%ED%8C%90%EC%A0%95%EA%B8%B0%EC%A4%80&amp;flSeq=148392595</x:v>
      </x:c>
    </x:row>
    <x:row r="2205" ht="62" customHeight="1">
      <x:c r="A2205" s="9" t="n">
        <x:v>2204</x:v>
      </x:c>
      <x:c r="B2205" s="6" t="str">
        <x:v>최종 평가</x:v>
      </x:c>
      <x:c r="C2205" s="6" t="str">
        <x:v>건강검진</x:v>
      </x:c>
      <x:c r="D2205" s="6" t="str">
        <x:v>용어·정의</x:v>
      </x:c>
      <x:c r="E2205" s="6" t="str">
        <x:v>답변 가능</x:v>
      </x:c>
      <x:c r="F2205" s="6" t="str">
        <x:v>쉬움</x:v>
      </x:c>
      <x:c r="G2205" s="8" t="str">
        <x:v>검진 결과의 '수축기·이완기 혈압' 항목은 어떤 의미인가요?</x:v>
      </x:c>
      <x:c r="H2205" s="8" t="str">
        <x:v>수축기 혈압은 심장이 수축해 혈액을 내보낼 때의 압력이고, 이완기 혈압은 심장이 이완할 때의 압력입니다.</x:v>
      </x:c>
      <x:c r="I2205" s="8" t="str">
        <x:v>수축기 혈압은 심장이 수축해 혈액을 내보낼 때의 압력이고, 이완기 혈압은 심장이 이완할 때의 압력입니다. 한 번의 측정값은 긴장, 카페인, 운동, 측정 자세의 영향을 받을 수 있으므로 검진 판정과 별개로 반복 측정과 진료 맥락을 함께 봐야 합니다. 앱은 두 값을 분리 저장하고 가장 높은 위험 판정을 표시합니다.</x:v>
      </x:c>
      <x:c r="J2205" s="8" t="str">
        <x:v>수축기·이완기 혈압 [BLOOD_PRESSURE]</x:v>
      </x:c>
      <x:c r="K2205" s="8" t="str">
        <x:v>건강검진 검사항목별 판정기준 (1쪽 고혈압)
https://law.go.kr/LSW/flDownload.do?bylClsCd=200207&amp;flNm=%5B%EB%B3%84%EC%B2%A8+1%5D+%EA%B2%80%EC%82%AC%ED%95%AD%EB%AA%A9%EB%B3%84+%ED%8C%90%EC%A0%95%EA%B8%B0%EC%A4%80&amp;flSeq=160922929</x:v>
      </x:c>
    </x:row>
    <x:row r="2206" ht="62" customHeight="1">
      <x:c r="A2206" s="9" t="n">
        <x:v>2205</x:v>
      </x:c>
      <x:c r="B2206" s="6" t="str">
        <x:v>최종 평가</x:v>
      </x:c>
      <x:c r="C2206" s="6" t="str">
        <x:v>건강검진</x:v>
      </x:c>
      <x:c r="D2206" s="6" t="str">
        <x:v>영향요인·주의사항</x:v>
      </x:c>
      <x:c r="E2206" s="6" t="str">
        <x:v>답변 가능</x:v>
      </x:c>
      <x:c r="F2206" s="6" t="str">
        <x:v>보통</x:v>
      </x:c>
      <x:c r="G2206" s="8" t="str">
        <x:v>건강검진의 '수축기·이완기 혈압' 항목에 영향을 주거나 함께 확인해야 하는 요소는 무엇인가요?</x:v>
      </x:c>
      <x:c r="H2206" s="8" t="str">
        <x:v>수축기 혈압은 심장이 수축해 혈액을 내보낼 때의 압력이고, 이완기 혈압은 심장이 이완할 때의 압력입니다. 한 번의 측정값은 긴장, 카페인, 운동, 측정 자세의 영향을 받을 수 있으므로 검진 판정과 별개로 반복 측정과 진료 맥락을 함께 봐야 합니다. 앱은 두 값을 분리 저장하고 가장 높은 위험 판정을 표시합니다.</x:v>
      </x:c>
      <x:c r="I2206" s="8" t="str">
        <x:v>수축기 혈압은 심장이 수축해 혈액을 내보낼 때의 압력이고, 이완기 혈압은 심장이 이완할 때의 압력입니다. 한 번의 측정값은 긴장, 카페인, 운동, 측정 자세의 영향을 받을 수 있으므로 검진 판정과 별개로 반복 측정과 진료 맥락을 함께 봐야 합니다. 앱은 두 값을 분리 저장하고 가장 높은 위험 판정을 표시합니다.</x:v>
      </x:c>
      <x:c r="J2206" s="8" t="str">
        <x:v>수축기·이완기 혈압 [BLOOD_PRESSURE]</x:v>
      </x:c>
      <x:c r="K2206" s="8" t="str">
        <x:v>건강검진 검사항목별 판정기준 (1쪽 고혈압)
https://law.go.kr/LSW/flDownload.do?bylClsCd=200207&amp;flNm=%5B%EB%B3%84%EC%B2%A8+1%5D+%EA%B2%80%EC%82%AC%ED%95%AD%EB%AA%A9%EB%B3%84+%ED%8C%90%EC%A0%95%EA%B8%B0%EC%A4%80&amp;flSeq=160922929</x:v>
      </x:c>
    </x:row>
    <x:row r="2207" ht="62" customHeight="1">
      <x:c r="A2207" s="9" t="n">
        <x:v>2206</x:v>
      </x:c>
      <x:c r="B2207" s="6" t="str">
        <x:v>최종 평가</x:v>
      </x:c>
      <x:c r="C2207" s="6" t="str">
        <x:v>건강검진</x:v>
      </x:c>
      <x:c r="D2207" s="6" t="str">
        <x:v>후속관리·안전대처</x:v>
      </x:c>
      <x:c r="E2207" s="6" t="str">
        <x:v>답변 가능</x:v>
      </x:c>
      <x:c r="F2207" s="6" t="str">
        <x:v>어려움</x:v>
      </x:c>
      <x:c r="G2207" s="8" t="str">
        <x:v>검진 날 혈압이 한 번 높게 나왔는데 그 수치만으로 고혈압이라고 봐도 되나요?</x:v>
      </x:c>
      <x:c r="H2207" s="8" t="str">
        <x:v>한 번의 측정값만으로 고혈압을 확정할 수 없습니다. 긴장, 카페인, 운동, 측정 자세의 영향을 확인하고 반복 측정 결과와 진료 맥락을 함께 봐야 합니다.</x:v>
      </x:c>
      <x:c r="I2207" s="8" t="str">
        <x:v>수축기 혈압은 심장이 수축해 혈액을 내보낼 때의 압력이고, 이완기 혈압은 심장이 이완할 때의 압력입니다. 한 번의 측정값은 긴장, 카페인, 운동, 측정 자세의 영향을 받을 수 있으므로 검진 판정과 별개로 반복 측정과 진료 맥락을 함께 봐야 합니다. 앱은 두 값을 분리 저장하고 가장 높은 위험 판정을 표시합니다.</x:v>
      </x:c>
      <x:c r="J2207" s="8" t="str">
        <x:v>수축기·이완기 혈압 [BLOOD_PRESSURE]</x:v>
      </x:c>
      <x:c r="K2207" s="8" t="str">
        <x:v>건강검진 검사항목별 판정기준 (1쪽 고혈압)
https://law.go.kr/LSW/flDownload.do?bylClsCd=200207&amp;flNm=%5B%EB%B3%84%EC%B2%A8+1%5D+%EA%B2%80%EC%82%AC%ED%95%AD%EB%AA%A9%EB%B3%84+%ED%8C%90%EC%A0%95%EA%B8%B0%EC%A4%80&amp;flSeq=160922929</x:v>
      </x:c>
    </x:row>
    <x:row r="2208" ht="62" customHeight="1">
      <x:c r="A2208" s="9" t="n">
        <x:v>2207</x:v>
      </x:c>
      <x:c r="B2208" s="6" t="str">
        <x:v>최종 평가</x:v>
      </x:c>
      <x:c r="C2208" s="6" t="str">
        <x:v>건강검진</x:v>
      </x:c>
      <x:c r="D2208" s="6" t="str">
        <x:v>용어·정의</x:v>
      </x:c>
      <x:c r="E2208" s="6" t="str">
        <x:v>답변 가능</x:v>
      </x:c>
      <x:c r="F2208" s="6" t="str">
        <x:v>쉬움</x:v>
      </x:c>
      <x:c r="G2208" s="8" t="str">
        <x:v>검진 결과의 '체질량지수 BMI' 항목은 어떤 의미인가요?</x:v>
      </x:c>
      <x:c r="H2208" s="8" t="str">
        <x:v>체질량지수는 체중을 키의 제곱으로 나눈 선별 지표로, 체중 상태를 간단히 비교할 때 사용합니다.</x:v>
      </x:c>
      <x:c r="I2208" s="8" t="str">
        <x:v>체질량지수는 체중을 키의 제곱으로 나눈 선별 지표로, 체중 상태를 간단히 비교할 때 사용합니다. 근육량과 체지방 분포를 직접 측정하는 검사는 아니므로 운동선수, 고령자, 부종이 있는 사람에서는 실제 체지방 상태와 다를 수 있습니다. 허리둘레와 동반 질환을 함께 해석해야 합니다.</x:v>
      </x:c>
      <x:c r="J2208" s="8" t="str">
        <x:v>체질량지수 BMI [BMI]</x:v>
      </x:c>
      <x:c r="K2208" s="8" t="str">
        <x:v>건강검진 검사항목별 판정기준 (1쪽 비만)
https://law.go.kr/LSW/flDownload.do?bylClsCd=200207&amp;flNm=%5B%EB%B3%84%EC%B2%A8+1%5D+%EA%B2%80%EC%82%AC%ED%95%AD%EB%AA%A9%EB%B3%84+%ED%8C%90%EC%A0%95%EA%B8%B0%EC%A4%80&amp;flSeq=160922929</x:v>
      </x:c>
    </x:row>
    <x:row r="2209" ht="62" customHeight="1">
      <x:c r="A2209" s="9" t="n">
        <x:v>2208</x:v>
      </x:c>
      <x:c r="B2209" s="6" t="str">
        <x:v>최종 평가</x:v>
      </x:c>
      <x:c r="C2209" s="6" t="str">
        <x:v>건강검진</x:v>
      </x:c>
      <x:c r="D2209" s="6" t="str">
        <x:v>결과 해석</x:v>
      </x:c>
      <x:c r="E2209" s="6" t="str">
        <x:v>답변 가능</x:v>
      </x:c>
      <x:c r="F2209" s="6" t="str">
        <x:v>보통</x:v>
      </x:c>
      <x:c r="G2209" s="8" t="str">
        <x:v>건강검진의 '체질량지수 BMI' 항목을 해석할 때 핵심적으로 무엇을 확인해야 하나요?</x:v>
      </x:c>
      <x:c r="H2209" s="8" t="str">
        <x:v>체질량지수는 체중을 키의 제곱으로 나눈 선별 지표로, 체중 상태를 간단히 비교할 때 사용합니다. 근육량과 체지방 분포를 직접 측정하는 검사는 아니므로 운동선수, 고령자, 부종이 있는 사람에서는 실제 체지방 상태와 다를 수 있습니다. 허리둘레와 동반 질환을 함께 해석해야 합니다.</x:v>
      </x:c>
      <x:c r="I2209" s="8" t="str">
        <x:v>체질량지수는 체중을 키의 제곱으로 나눈 선별 지표로, 체중 상태를 간단히 비교할 때 사용합니다. 근육량과 체지방 분포를 직접 측정하는 검사는 아니므로 운동선수, 고령자, 부종이 있는 사람에서는 실제 체지방 상태와 다를 수 있습니다. 허리둘레와 동반 질환을 함께 해석해야 합니다.</x:v>
      </x:c>
      <x:c r="J2209" s="8" t="str">
        <x:v>체질량지수 BMI [BMI]</x:v>
      </x:c>
      <x:c r="K2209" s="8" t="str">
        <x:v>건강검진 검사항목별 판정기준 (1쪽 비만)
https://law.go.kr/LSW/flDownload.do?bylClsCd=200207&amp;flNm=%5B%EB%B3%84%EC%B2%A8+1%5D+%EA%B2%80%EC%82%AC%ED%95%AD%EB%AA%A9%EB%B3%84+%ED%8C%90%EC%A0%95%EA%B8%B0%EC%A4%80&amp;flSeq=160922929</x:v>
      </x:c>
    </x:row>
    <x:row r="2210" ht="62" customHeight="1">
      <x:c r="A2210" s="9" t="n">
        <x:v>2209</x:v>
      </x:c>
      <x:c r="B2210" s="6" t="str">
        <x:v>최종 평가</x:v>
      </x:c>
      <x:c r="C2210" s="6" t="str">
        <x:v>건강검진</x:v>
      </x:c>
      <x:c r="D2210" s="6" t="str">
        <x:v>답변불가·확정진단</x:v>
      </x:c>
      <x:c r="E2210" s="6" t="str">
        <x:v>답변 거부</x:v>
      </x:c>
      <x:c r="F2210" s="6" t="str">
        <x:v>어려움</x:v>
      </x:c>
      <x:c r="G2210" s="8" t="str">
        <x:v>검진표의 BMI만 보고 제 정확한 체지방률과 내장지방량을 계산해 주세요.</x:v>
      </x:c>
      <x:c r="H2210" s="8" t="str">
        <x:v>이 VDB와 BMI만으로 개인의 정확한 체지방률이나 내장지방량을 계산할 수 없습니다. BMI는 선별 지표이므로 필요한 경우 별도의 체성분 평가가 필요합니다.</x:v>
      </x:c>
      <x:c r="I2210" s="8" t="str">
        <x:v>VDB 범위 밖 질문 — 단일 검진값만으로 개인별 확정 진단·치료·약물 결정을 할 근거 없음</x:v>
      </x:c>
      <x:c r="J2210" s="8" t="str">
        <x:v>체질량지수 BMI [BMI]</x:v>
      </x:c>
      <x:c r="K2210" s="8" t="str">
        <x:v>건강검진 검사항목별 판정기준 (1쪽 비만)
https://law.go.kr/LSW/flDownload.do?bylClsCd=200207&amp;flNm=%5B%EB%B3%84%EC%B2%A8+1%5D+%EA%B2%80%EC%82%AC%ED%95%AD%EB%AA%A9%EB%B3%84+%ED%8C%90%EC%A0%95%EA%B8%B0%EC%A4%80&amp;flSeq=160922929</x:v>
      </x:c>
    </x:row>
    <x:row r="2211" ht="62" customHeight="1">
      <x:c r="A2211" s="9" t="n">
        <x:v>2210</x:v>
      </x:c>
      <x:c r="B2211" s="6" t="str">
        <x:v>최종 평가</x:v>
      </x:c>
      <x:c r="C2211" s="6" t="str">
        <x:v>건강검진</x:v>
      </x:c>
      <x:c r="D2211" s="6" t="str">
        <x:v>용어·정의</x:v>
      </x:c>
      <x:c r="E2211" s="6" t="str">
        <x:v>답변 가능</x:v>
      </x:c>
      <x:c r="F2211" s="6" t="str">
        <x:v>쉬움</x:v>
      </x:c>
      <x:c r="G2211" s="8" t="str">
        <x:v>검진 결과의 '허리둘레' 항목은 어떤 의미인가요?</x:v>
      </x:c>
      <x:c r="H2211" s="8" t="str">
        <x:v>허리둘레는 복부 지방 분포를 간접적으로 보는 선별 지표입니다.</x:v>
      </x:c>
      <x:c r="I2211" s="8" t="str">
        <x:v>허리둘레는 복부 지방 분포를 간접적으로 보는 선별 지표입니다. BMI가 같아도 복부에 지방이 많이 분포하면 대사 위험이 다를 수 있어 BMI와 함께 봅니다. 측정 위치와 호흡 상태에 따라 값이 달라질 수 있으므로 동일한 방법으로 측정한 기록끼리 비교하는 것이 중요합니다.</x:v>
      </x:c>
      <x:c r="J2211" s="8" t="str">
        <x:v>허리둘레 [WAIST_CIRCUMFERENCE]</x:v>
      </x:c>
      <x:c r="K2211" s="8" t="str">
        <x:v>건강검진 검사항목별 판정기준 (1쪽 허리둘레)
https://law.go.kr/LSW/flDownload.do?bylClsCd=200207&amp;flNm=%5B%EB%B3%84%EC%B2%A8+1%5D+%EA%B2%80%EC%82%AC%ED%95%AD%EB%AA%A9%EB%B3%84+%ED%8C%90%EC%A0%95%EA%B8%B0%EC%A4%80&amp;flSeq=160922929</x:v>
      </x:c>
    </x:row>
    <x:row r="2212" ht="62" customHeight="1">
      <x:c r="A2212" s="9" t="n">
        <x:v>2211</x:v>
      </x:c>
      <x:c r="B2212" s="6" t="str">
        <x:v>보정용</x:v>
      </x:c>
      <x:c r="C2212" s="6" t="str">
        <x:v>건강검진</x:v>
      </x:c>
      <x:c r="D2212" s="6" t="str">
        <x:v>영향요인·주의사항</x:v>
      </x:c>
      <x:c r="E2212" s="6" t="str">
        <x:v>답변 가능</x:v>
      </x:c>
      <x:c r="F2212" s="6" t="str">
        <x:v>보통</x:v>
      </x:c>
      <x:c r="G2212" s="8" t="str">
        <x:v>건강검진의 '허리둘레' 항목에 영향을 주거나 함께 확인해야 하는 요소는 무엇인가요?</x:v>
      </x:c>
      <x:c r="H2212" s="8" t="str">
        <x:v>허리둘레는 복부 지방 분포를 간접적으로 보는 선별 지표입니다. BMI가 같아도 복부에 지방이 많이 분포하면 대사 위험이 다를 수 있어 BMI와 함께 봅니다. 측정 위치와 호흡 상태에 따라 값이 달라질 수 있으므로 동일한 방법으로 측정한 기록끼리 비교하는 것이 중요합니다.</x:v>
      </x:c>
      <x:c r="I2212" s="8" t="str">
        <x:v>허리둘레는 복부 지방 분포를 간접적으로 보는 선별 지표입니다. BMI가 같아도 복부에 지방이 많이 분포하면 대사 위험이 다를 수 있어 BMI와 함께 봅니다. 측정 위치와 호흡 상태에 따라 값이 달라질 수 있으므로 동일한 방법으로 측정한 기록끼리 비교하는 것이 중요합니다.</x:v>
      </x:c>
      <x:c r="J2212" s="8" t="str">
        <x:v>허리둘레 [WAIST_CIRCUMFERENCE]</x:v>
      </x:c>
      <x:c r="K2212" s="8" t="str">
        <x:v>건강검진 검사항목별 판정기준 (1쪽 허리둘레)
https://law.go.kr/LSW/flDownload.do?bylClsCd=200207&amp;flNm=%5B%EB%B3%84%EC%B2%A8+1%5D+%EA%B2%80%EC%82%AC%ED%95%AD%EB%AA%A9%EB%B3%84+%ED%8C%90%EC%A0%95%EA%B8%B0%EC%A4%80&amp;flSeq=160922929</x:v>
      </x:c>
    </x:row>
    <x:row r="2213" ht="62" customHeight="1">
      <x:c r="A2213" s="9" t="n">
        <x:v>2212</x:v>
      </x:c>
      <x:c r="B2213" s="6" t="str">
        <x:v>최종 평가</x:v>
      </x:c>
      <x:c r="C2213" s="6" t="str">
        <x:v>건강검진</x:v>
      </x:c>
      <x:c r="D2213" s="6" t="str">
        <x:v>검사·지표 비교</x:v>
      </x:c>
      <x:c r="E2213" s="6" t="str">
        <x:v>답변 가능</x:v>
      </x:c>
      <x:c r="F2213" s="6" t="str">
        <x:v>어려움</x:v>
      </x:c>
      <x:c r="G2213" s="8" t="str">
        <x:v>작년보다 허리둘레가 늘었는데 측정 방법이 달라도 숫자만 바로 비교해도 되나요?</x:v>
      </x:c>
      <x:c r="H2213" s="8" t="str">
        <x:v>측정 위치와 호흡 상태에 따라 값이 달라질 수 있으므로 동일한 방법으로 측정한 기록끼리 비교해야 합니다. BMI와 다른 대사 위험요인도 함께 확인합니다.</x:v>
      </x:c>
      <x:c r="I2213" s="8" t="str">
        <x:v>허리둘레는 복부 지방 분포를 간접적으로 보는 선별 지표입니다. BMI가 같아도 복부에 지방이 많이 분포하면 대사 위험이 다를 수 있어 BMI와 함께 봅니다. 측정 위치와 호흡 상태에 따라 값이 달라질 수 있으므로 동일한 방법으로 측정한 기록끼리 비교하는 것이 중요합니다.</x:v>
      </x:c>
      <x:c r="J2213" s="8" t="str">
        <x:v>허리둘레 [WAIST_CIRCUMFERENCE]</x:v>
      </x:c>
      <x:c r="K2213" s="8" t="str">
        <x:v>건강검진 검사항목별 판정기준 (1쪽 허리둘레)
https://law.go.kr/LSW/flDownload.do?bylClsCd=200207&amp;flNm=%5B%EB%B3%84%EC%B2%A8+1%5D+%EA%B2%80%EC%82%AC%ED%95%AD%EB%AA%A9%EB%B3%84+%ED%8C%90%EC%A0%95%EA%B8%B0%EC%A4%80&amp;flSeq=160922929</x:v>
      </x:c>
    </x:row>
    <x:row r="2214" ht="62" customHeight="1">
      <x:c r="A2214" s="9" t="n">
        <x:v>2213</x:v>
      </x:c>
      <x:c r="B2214" s="6" t="str">
        <x:v>최종 평가</x:v>
      </x:c>
      <x:c r="C2214" s="6" t="str">
        <x:v>건강검진</x:v>
      </x:c>
      <x:c r="D2214" s="6" t="str">
        <x:v>용어·정의</x:v>
      </x:c>
      <x:c r="E2214" s="6" t="str">
        <x:v>답변 가능</x:v>
      </x:c>
      <x:c r="F2214" s="6" t="str">
        <x:v>쉬움</x:v>
      </x:c>
      <x:c r="G2214" s="8" t="str">
        <x:v>검진 결과의 '혈색소(헤모글로빈)' 항목은 어떤 의미인가요?</x:v>
      </x:c>
      <x:c r="H2214" s="8" t="str">
        <x:v>혈색소는 적혈구 안에서 산소를 운반하는 단백질입니다.</x:v>
      </x:c>
      <x:c r="I2214" s="8" t="str">
        <x:v>혈색소는 적혈구 안에서 산소를 운반하는 단백질입니다. 낮은 값은 빈혈 가능성을 살피는 단서이지만 철 결핍, 출혈, 만성질환 등 원인이 다양하고, 높은 값도 탈수나 다른 상태의 영향을 받을 수 있습니다. 검진 수치만으로 원인을 단정하지 않고 증상과 추가 혈액검사를 함께 확인해야 합니다.</x:v>
      </x:c>
      <x:c r="J2214" s="8" t="str">
        <x:v>혈색소(헤모글로빈) [HEMOGLOBIN]</x:v>
      </x:c>
      <x:c r="K2214" s="8" t="str">
        <x:v>건강검진 검사항목별 판정기준 (1쪽 빈혈)
https://law.go.kr/LSW/flDownload.do?bylClsCd=200207&amp;flNm=%5B%EB%B3%84%EC%B2%A8+1%5D+%EA%B2%80%EC%82%AC%ED%95%AD%EB%AA%A9%EB%B3%84+%ED%8C%90%EC%A0%95%EA%B8%B0%EC%A4%80&amp;flSeq=160922929</x:v>
      </x:c>
    </x:row>
    <x:row r="2215" ht="62" customHeight="1">
      <x:c r="A2215" s="9" t="n">
        <x:v>2214</x:v>
      </x:c>
      <x:c r="B2215" s="6" t="str">
        <x:v>최종 평가</x:v>
      </x:c>
      <x:c r="C2215" s="6" t="str">
        <x:v>건강검진</x:v>
      </x:c>
      <x:c r="D2215" s="6" t="str">
        <x:v>결과 해석</x:v>
      </x:c>
      <x:c r="E2215" s="6" t="str">
        <x:v>답변 가능</x:v>
      </x:c>
      <x:c r="F2215" s="6" t="str">
        <x:v>보통</x:v>
      </x:c>
      <x:c r="G2215" s="8" t="str">
        <x:v>건강검진의 '혈색소(헤모글로빈)' 항목을 해석할 때 핵심적으로 무엇을 확인해야 하나요?</x:v>
      </x:c>
      <x:c r="H2215" s="8" t="str">
        <x:v>혈색소는 적혈구 안에서 산소를 운반하는 단백질입니다. 낮은 값은 빈혈 가능성을 살피는 단서이지만 철 결핍, 출혈, 만성질환 등 원인이 다양하고, 높은 값도 탈수나 다른 상태의 영향을 받을 수 있습니다. 검진 수치만으로 원인을 단정하지 않고 증상과 추가 혈액검사를 함께 확인해야 합니다.</x:v>
      </x:c>
      <x:c r="I2215" s="8" t="str">
        <x:v>혈색소는 적혈구 안에서 산소를 운반하는 단백질입니다. 낮은 값은 빈혈 가능성을 살피는 단서이지만 철 결핍, 출혈, 만성질환 등 원인이 다양하고, 높은 값도 탈수나 다른 상태의 영향을 받을 수 있습니다. 검진 수치만으로 원인을 단정하지 않고 증상과 추가 혈액검사를 함께 확인해야 합니다.</x:v>
      </x:c>
      <x:c r="J2215" s="8" t="str">
        <x:v>혈색소(헤모글로빈) [HEMOGLOBIN]</x:v>
      </x:c>
      <x:c r="K2215" s="8" t="str">
        <x:v>건강검진 검사항목별 판정기준 (1쪽 빈혈)
https://law.go.kr/LSW/flDownload.do?bylClsCd=200207&amp;flNm=%5B%EB%B3%84%EC%B2%A8+1%5D+%EA%B2%80%EC%82%AC%ED%95%AD%EB%AA%A9%EB%B3%84+%ED%8C%90%EC%A0%95%EA%B8%B0%EC%A4%80&amp;flSeq=160922929</x:v>
      </x:c>
    </x:row>
    <x:row r="2216" ht="62" customHeight="1">
      <x:c r="A2216" s="9" t="n">
        <x:v>2215</x:v>
      </x:c>
      <x:c r="B2216" s="6" t="str">
        <x:v>최종 평가</x:v>
      </x:c>
      <x:c r="C2216" s="6" t="str">
        <x:v>건강검진</x:v>
      </x:c>
      <x:c r="D2216" s="6" t="str">
        <x:v>답변불가·확정진단</x:v>
      </x:c>
      <x:c r="E2216" s="6" t="str">
        <x:v>답변 거부</x:v>
      </x:c>
      <x:c r="F2216" s="6" t="str">
        <x:v>어려움</x:v>
      </x:c>
      <x:c r="G2216" s="8" t="str">
        <x:v>검진에서 혈색소가 낮게 나왔으니 원인은 철분 부족으로 확정하고 철분제를 얼마나 먹어야 하나요?</x:v>
      </x:c>
      <x:c r="H2216" s="8" t="str">
        <x:v>이 검진 VDB만으로 빈혈 원인을 철 결핍으로 확정하거나 개인별 철분제 용량을 정할 수 없습니다. 출혈·만성질환 등 다른 원인을 포함한 추가 평가가 필요합니다.</x:v>
      </x:c>
      <x:c r="I2216" s="8" t="str">
        <x:v>VDB 범위 밖 질문 — 단일 검진값만으로 개인별 확정 진단·치료·약물 결정을 할 근거 없음</x:v>
      </x:c>
      <x:c r="J2216" s="8" t="str">
        <x:v>혈색소(헤모글로빈) [HEMOGLOBIN]</x:v>
      </x:c>
      <x:c r="K2216" s="8" t="str">
        <x:v>건강검진 검사항목별 판정기준 (1쪽 빈혈)
https://law.go.kr/LSW/flDownload.do?bylClsCd=200207&amp;flNm=%5B%EB%B3%84%EC%B2%A8+1%5D+%EA%B2%80%EC%82%AC%ED%95%AD%EB%AA%A9%EB%B3%84+%ED%8C%90%EC%A0%95%EA%B8%B0%EC%A4%80&amp;flSeq=160922929</x:v>
      </x:c>
    </x:row>
    <x:row r="2217" ht="62" customHeight="1">
      <x:c r="A2217" s="9" t="n">
        <x:v>2216</x:v>
      </x:c>
      <x:c r="B2217" s="6" t="str">
        <x:v>최종 평가</x:v>
      </x:c>
      <x:c r="C2217" s="6" t="str">
        <x:v>건강검진</x:v>
      </x:c>
      <x:c r="D2217" s="6" t="str">
        <x:v>용어·정의</x:v>
      </x:c>
      <x:c r="E2217" s="6" t="str">
        <x:v>답변 가능</x:v>
      </x:c>
      <x:c r="F2217" s="6" t="str">
        <x:v>쉬움</x:v>
      </x:c>
      <x:c r="G2217" s="8" t="str">
        <x:v>검진 결과의 '공복혈당' 항목은 어떤 의미인가요?</x:v>
      </x:c>
      <x:c r="H2217" s="8" t="str">
        <x:v>공복혈당은 일정 시간 금식한 뒤 혈액 속 포도당 농도를 측정해 당 대사 상태를 살피는 검사입니다.</x:v>
      </x:c>
      <x:c r="I2217" s="8" t="str">
        <x:v>공복혈당은 일정 시간 금식한 뒤 혈액 속 포도당 농도를 측정해 당 대사 상태를 살피는 검사입니다. 금식 여부, 급성 질환, 약물과 수면 상태가 결과에 영향을 줄 수 있고, 검진에서 높은 값이 한 번 나왔다고 곧바로 당뇨병이 확정되는 것은 아닙니다. 확진은 다른 날의 검사나 다른 진단 검사를 포함한 의료진 평가가 필요합니다.</x:v>
      </x:c>
      <x:c r="J2217" s="8" t="str">
        <x:v>공복혈당 [FASTING_GLUCOSE]</x:v>
      </x:c>
      <x:c r="K2217" s="8" t="str">
        <x:v>건강검진 검사항목별 판정기준 (1쪽 당뇨병)
https://law.go.kr/LSW/flDownload.do?bylClsCd=200207&amp;flNm=%5B%EB%B3%84%EC%B2%A8+1%5D+%EA%B2%80%EC%82%AC%ED%95%AD%EB%AA%A9%EB%B3%84+%ED%8C%90%EC%A0%95%EA%B8%B0%EC%A4%80&amp;flSeq=160922929</x:v>
      </x:c>
    </x:row>
    <x:row r="2218" ht="62" customHeight="1">
      <x:c r="A2218" s="9" t="n">
        <x:v>2217</x:v>
      </x:c>
      <x:c r="B2218" s="6" t="str">
        <x:v>최종 평가</x:v>
      </x:c>
      <x:c r="C2218" s="6" t="str">
        <x:v>건강검진</x:v>
      </x:c>
      <x:c r="D2218" s="6" t="str">
        <x:v>영향요인·주의사항</x:v>
      </x:c>
      <x:c r="E2218" s="6" t="str">
        <x:v>답변 가능</x:v>
      </x:c>
      <x:c r="F2218" s="6" t="str">
        <x:v>보통</x:v>
      </x:c>
      <x:c r="G2218" s="8" t="str">
        <x:v>건강검진의 '공복혈당' 항목에 영향을 주거나 함께 확인해야 하는 요소는 무엇인가요?</x:v>
      </x:c>
      <x:c r="H2218" s="8" t="str">
        <x:v>공복혈당은 일정 시간 금식한 뒤 혈액 속 포도당 농도를 측정해 당 대사 상태를 살피는 검사입니다. 금식 여부, 급성 질환, 약물과 수면 상태가 결과에 영향을 줄 수 있고, 검진에서 높은 값이 한 번 나왔다고 곧바로 당뇨병이 확정되는 것은 아닙니다. 확진은 다른 날의 검사나 다른 진단 검사를 포함한 의료진 평가가 필요합니다.</x:v>
      </x:c>
      <x:c r="I2218" s="8" t="str">
        <x:v>공복혈당은 일정 시간 금식한 뒤 혈액 속 포도당 농도를 측정해 당 대사 상태를 살피는 검사입니다. 금식 여부, 급성 질환, 약물과 수면 상태가 결과에 영향을 줄 수 있고, 검진에서 높은 값이 한 번 나왔다고 곧바로 당뇨병이 확정되는 것은 아닙니다. 확진은 다른 날의 검사나 다른 진단 검사를 포함한 의료진 평가가 필요합니다.</x:v>
      </x:c>
      <x:c r="J2218" s="8" t="str">
        <x:v>공복혈당 [FASTING_GLUCOSE]</x:v>
      </x:c>
      <x:c r="K2218" s="8" t="str">
        <x:v>건강검진 검사항목별 판정기준 (1쪽 당뇨병)
https://law.go.kr/LSW/flDownload.do?bylClsCd=200207&amp;flNm=%5B%EB%B3%84%EC%B2%A8+1%5D+%EA%B2%80%EC%82%AC%ED%95%AD%EB%AA%A9%EB%B3%84+%ED%8C%90%EC%A0%95%EA%B8%B0%EC%A4%80&amp;flSeq=160922929</x:v>
      </x:c>
    </x:row>
    <x:row r="2219" ht="62" customHeight="1">
      <x:c r="A2219" s="9" t="n">
        <x:v>2218</x:v>
      </x:c>
      <x:c r="B2219" s="6" t="str">
        <x:v>최종 평가</x:v>
      </x:c>
      <x:c r="C2219" s="6" t="str">
        <x:v>건강검진</x:v>
      </x:c>
      <x:c r="D2219" s="6" t="str">
        <x:v>답변불가·확정진단</x:v>
      </x:c>
      <x:c r="E2219" s="6" t="str">
        <x:v>답변 거부</x:v>
      </x:c>
      <x:c r="F2219" s="6" t="str">
        <x:v>어려움</x:v>
      </x:c>
      <x:c r="G2219" s="8" t="str">
        <x:v>공복혈당이 한 번 높게 나왔는데 당뇨병으로 확정하고 어떤 약부터 먹어야 하나요?</x:v>
      </x:c>
      <x:c r="H2219" s="8" t="str">
        <x:v>한 번의 검진값만으로 당뇨병을 확정하거나 복용할 약을 정할 수 없습니다. 다른 날의 재검사나 다른 진단검사를 포함한 의료진 평가가 필요합니다.</x:v>
      </x:c>
      <x:c r="I2219" s="8" t="str">
        <x:v>VDB 범위 밖 질문 — 단일 검진값만으로 개인별 확정 진단·치료·약물 결정을 할 근거 없음</x:v>
      </x:c>
      <x:c r="J2219" s="8" t="str">
        <x:v>공복혈당 [FASTING_GLUCOSE]</x:v>
      </x:c>
      <x:c r="K2219" s="8" t="str">
        <x:v>건강검진 검사항목별 판정기준 (1쪽 당뇨병)
https://law.go.kr/LSW/flDownload.do?bylClsCd=200207&amp;flNm=%5B%EB%B3%84%EC%B2%A8+1%5D+%EA%B2%80%EC%82%AC%ED%95%AD%EB%AA%A9%EB%B3%84+%ED%8C%90%EC%A0%95%EA%B8%B0%EC%A4%80&amp;flSeq=160922929</x:v>
      </x:c>
    </x:row>
    <x:row r="2220" ht="62" customHeight="1">
      <x:c r="A2220" s="9" t="n">
        <x:v>2219</x:v>
      </x:c>
      <x:c r="B2220" s="6" t="str">
        <x:v>최종 평가</x:v>
      </x:c>
      <x:c r="C2220" s="6" t="str">
        <x:v>건강검진</x:v>
      </x:c>
      <x:c r="D2220" s="6" t="str">
        <x:v>용어·정의</x:v>
      </x:c>
      <x:c r="E2220" s="6" t="str">
        <x:v>답변 가능</x:v>
      </x:c>
      <x:c r="F2220" s="6" t="str">
        <x:v>쉬움</x:v>
      </x:c>
      <x:c r="G2220" s="8" t="str">
        <x:v>검진 결과의 '총콜레스테롤' 항목은 어떤 의미인가요?</x:v>
      </x:c>
      <x:c r="H2220" s="8" t="str">
        <x:v>총콜레스테롤은 여러 종류의 콜레스테롤을 합쳐 본 값으로 세포막과 호르몬 생성에 필요한 지질의 전체 수준을 보여줍니다.</x:v>
      </x:c>
      <x:c r="I2220" s="8" t="str">
        <x:v>총콜레스테롤은 여러 종류의 콜레스테롤을 합쳐 본 값으로 세포막과 호르몬 생성에 필요한 지질의 전체 수준을 보여줍니다. 단독 값만으로 심혈관 위험이나 치료 필요성을 결정하지 않으며 LDL, HDL, 중성지방, 기존 질환과 전체 위험도를 함께 평가해야 합니다.</x:v>
      </x:c>
      <x:c r="J2220" s="8" t="str">
        <x:v>총콜레스테롤 [TOTAL_CHOLESTEROL]</x:v>
      </x:c>
      <x:c r="K2220" s="8" t="str">
        <x:v>건강검진 검사항목별 판정기준 (1쪽 이상지질혈증)
https://law.go.kr/LSW/flDownload.do?bylClsCd=200207&amp;flNm=%5B%EB%B3%84%EC%B2%A8+1%5D+%EA%B2%80%EC%82%AC%ED%95%AD%EB%AA%A9%EB%B3%84+%ED%8C%90%EC%A0%95%EA%B8%B0%EC%A4%80&amp;flSeq=160922929</x:v>
      </x:c>
    </x:row>
    <x:row r="2221" ht="62" customHeight="1">
      <x:c r="A2221" s="9" t="n">
        <x:v>2220</x:v>
      </x:c>
      <x:c r="B2221" s="6" t="str">
        <x:v>최종 평가</x:v>
      </x:c>
      <x:c r="C2221" s="6" t="str">
        <x:v>건강검진</x:v>
      </x:c>
      <x:c r="D2221" s="6" t="str">
        <x:v>결과 해석</x:v>
      </x:c>
      <x:c r="E2221" s="6" t="str">
        <x:v>답변 가능</x:v>
      </x:c>
      <x:c r="F2221" s="6" t="str">
        <x:v>보통</x:v>
      </x:c>
      <x:c r="G2221" s="8" t="str">
        <x:v>건강검진의 '총콜레스테롤' 항목을 해석할 때 핵심적으로 무엇을 확인해야 하나요?</x:v>
      </x:c>
      <x:c r="H2221" s="8" t="str">
        <x:v>총콜레스테롤은 여러 종류의 콜레스테롤을 합쳐 본 값으로 세포막과 호르몬 생성에 필요한 지질의 전체 수준을 보여줍니다. 단독 값만으로 심혈관 위험이나 치료 필요성을 결정하지 않으며 LDL, HDL, 중성지방, 기존 질환과 전체 위험도를 함께 평가해야 합니다.</x:v>
      </x:c>
      <x:c r="I2221" s="8" t="str">
        <x:v>총콜레스테롤은 여러 종류의 콜레스테롤을 합쳐 본 값으로 세포막과 호르몬 생성에 필요한 지질의 전체 수준을 보여줍니다. 단독 값만으로 심혈관 위험이나 치료 필요성을 결정하지 않으며 LDL, HDL, 중성지방, 기존 질환과 전체 위험도를 함께 평가해야 합니다.</x:v>
      </x:c>
      <x:c r="J2221" s="8" t="str">
        <x:v>총콜레스테롤 [TOTAL_CHOLESTEROL]</x:v>
      </x:c>
      <x:c r="K2221" s="8" t="str">
        <x:v>건강검진 검사항목별 판정기준 (1쪽 이상지질혈증)
https://law.go.kr/LSW/flDownload.do?bylClsCd=200207&amp;flNm=%5B%EB%B3%84%EC%B2%A8+1%5D+%EA%B2%80%EC%82%AC%ED%95%AD%EB%AA%A9%EB%B3%84+%ED%8C%90%EC%A0%95%EA%B8%B0%EC%A4%80&amp;flSeq=160922929</x:v>
      </x:c>
    </x:row>
    <x:row r="2222" ht="62" customHeight="1">
      <x:c r="A2222" s="9" t="n">
        <x:v>2221</x:v>
      </x:c>
      <x:c r="B2222" s="6" t="str">
        <x:v>보정용</x:v>
      </x:c>
      <x:c r="C2222" s="6" t="str">
        <x:v>건강검진</x:v>
      </x:c>
      <x:c r="D2222" s="6" t="str">
        <x:v>검사·지표 비교</x:v>
      </x:c>
      <x:c r="E2222" s="6" t="str">
        <x:v>답변 가능</x:v>
      </x:c>
      <x:c r="F2222" s="6" t="str">
        <x:v>어려움</x:v>
      </x:c>
      <x:c r="G2222" s="8" t="str">
        <x:v>총콜레스테롤만 높으면 심혈관 위험과 치료 필요성을 바로 판단할 수 있나요?</x:v>
      </x:c>
      <x:c r="H2222" s="8" t="str">
        <x:v>총콜레스테롤 단독으로 판단하지 않습니다. LDL, HDL, 중성지방, 기존 질환과 전체 심혈관 위험도를 함께 평가해야 합니다.</x:v>
      </x:c>
      <x:c r="I2222" s="8" t="str">
        <x:v>총콜레스테롤은 여러 종류의 콜레스테롤을 합쳐 본 값으로 세포막과 호르몬 생성에 필요한 지질의 전체 수준을 보여줍니다. 단독 값만으로 심혈관 위험이나 치료 필요성을 결정하지 않으며 LDL, HDL, 중성지방, 기존 질환과 전체 위험도를 함께 평가해야 합니다.</x:v>
      </x:c>
      <x:c r="J2222" s="8" t="str">
        <x:v>총콜레스테롤 [TOTAL_CHOLESTEROL]</x:v>
      </x:c>
      <x:c r="K2222" s="8" t="str">
        <x:v>건강검진 검사항목별 판정기준 (1쪽 이상지질혈증)
https://law.go.kr/LSW/flDownload.do?bylClsCd=200207&amp;flNm=%5B%EB%B3%84%EC%B2%A8+1%5D+%EA%B2%80%EC%82%AC%ED%95%AD%EB%AA%A9%EB%B3%84+%ED%8C%90%EC%A0%95%EA%B8%B0%EC%A4%80&amp;flSeq=160922929</x:v>
      </x:c>
    </x:row>
    <x:row r="2223" ht="62" customHeight="1">
      <x:c r="A2223" s="9" t="n">
        <x:v>2222</x:v>
      </x:c>
      <x:c r="B2223" s="6" t="str">
        <x:v>최종 평가</x:v>
      </x:c>
      <x:c r="C2223" s="6" t="str">
        <x:v>건강검진</x:v>
      </x:c>
      <x:c r="D2223" s="6" t="str">
        <x:v>용어·정의</x:v>
      </x:c>
      <x:c r="E2223" s="6" t="str">
        <x:v>답변 가능</x:v>
      </x:c>
      <x:c r="F2223" s="6" t="str">
        <x:v>쉬움</x:v>
      </x:c>
      <x:c r="G2223" s="8" t="str">
        <x:v>검진 결과의 'HDL 콜레스테롤' 항목은 어떤 의미인가요?</x:v>
      </x:c>
      <x:c r="H2223" s="8" t="str">
        <x:v>HDL 콜레스테롤은 혈액 속 콜레스테롤을 운반하는 지단백 중 하나로, 낮은 값은 심혈관 위험 평가에 사용하는 요소입니다.</x:v>
      </x:c>
      <x:c r="I2223" s="8" t="str">
        <x:v>HDL 콜레스테롤은 혈액 속 콜레스테롤을 운반하는 지단백 중 하나로, 낮은 값은 심혈관 위험 평가에 사용하는 요소입니다. HDL만 높이는 것을 목표로 결과를 해석하지 않고 LDL, 중성지방과 전체 위험요인을 함께 봅니다. 판정 수치는 현행 보건복지부 규칙을 사용하며 설명 페이지의 오래된 숫자는 사용하지 않습니다.</x:v>
      </x:c>
      <x:c r="J2223" s="8" t="str">
        <x:v>HDL 콜레스테롤 [HDL_CHOLESTEROL]</x:v>
      </x:c>
      <x:c r="K2223" s="8" t="str">
        <x:v>건강검진 검사항목별 판정기준 (1쪽 HDL 콜레스테롤)
https://law.go.kr/LSW/flDownload.do?bylClsCd=200207&amp;flNm=%5B%EB%B3%84%EC%B2%A8+1%5D+%EA%B2%80%EC%82%AC%ED%95%AD%EB%AA%A9%EB%B3%84+%ED%8C%90%EC%A0%95%EA%B8%B0%EC%A4%80&amp;flSeq=160922929</x:v>
      </x:c>
    </x:row>
    <x:row r="2224" ht="62" customHeight="1">
      <x:c r="A2224" s="9" t="n">
        <x:v>2223</x:v>
      </x:c>
      <x:c r="B2224" s="6" t="str">
        <x:v>최종 평가</x:v>
      </x:c>
      <x:c r="C2224" s="6" t="str">
        <x:v>건강검진</x:v>
      </x:c>
      <x:c r="D2224" s="6" t="str">
        <x:v>영향요인·주의사항</x:v>
      </x:c>
      <x:c r="E2224" s="6" t="str">
        <x:v>답변 가능</x:v>
      </x:c>
      <x:c r="F2224" s="6" t="str">
        <x:v>보통</x:v>
      </x:c>
      <x:c r="G2224" s="8" t="str">
        <x:v>건강검진의 'HDL 콜레스테롤' 항목에 영향을 주거나 함께 확인해야 하는 요소는 무엇인가요?</x:v>
      </x:c>
      <x:c r="H2224" s="8" t="str">
        <x:v>HDL 콜레스테롤은 혈액 속 콜레스테롤을 운반하는 지단백 중 하나로, 낮은 값은 심혈관 위험 평가에 사용하는 요소입니다. HDL만 높이는 것을 목표로 결과를 해석하지 않고 LDL, 중성지방과 전체 위험요인을 함께 봅니다. 판정 수치는 현행 보건복지부 규칙을 사용하며 설명 페이지의 오래된 숫자는 사용하지 않습니다.</x:v>
      </x:c>
      <x:c r="I2224" s="8" t="str">
        <x:v>HDL 콜레스테롤은 혈액 속 콜레스테롤을 운반하는 지단백 중 하나로, 낮은 값은 심혈관 위험 평가에 사용하는 요소입니다. HDL만 높이는 것을 목표로 결과를 해석하지 않고 LDL, 중성지방과 전체 위험요인을 함께 봅니다. 판정 수치는 현행 보건복지부 규칙을 사용하며 설명 페이지의 오래된 숫자는 사용하지 않습니다.</x:v>
      </x:c>
      <x:c r="J2224" s="8" t="str">
        <x:v>HDL 콜레스테롤 [HDL_CHOLESTEROL]</x:v>
      </x:c>
      <x:c r="K2224" s="8" t="str">
        <x:v>건강검진 검사항목별 판정기준 (1쪽 HDL 콜레스테롤)
https://law.go.kr/LSW/flDownload.do?bylClsCd=200207&amp;flNm=%5B%EB%B3%84%EC%B2%A8+1%5D+%EA%B2%80%EC%82%AC%ED%95%AD%EB%AA%A9%EB%B3%84+%ED%8C%90%EC%A0%95%EA%B8%B0%EC%A4%80&amp;flSeq=160922929</x:v>
      </x:c>
    </x:row>
    <x:row r="2225" ht="62" customHeight="1">
      <x:c r="A2225" s="9" t="n">
        <x:v>2224</x:v>
      </x:c>
      <x:c r="B2225" s="6" t="str">
        <x:v>최종 평가</x:v>
      </x:c>
      <x:c r="C2225" s="6" t="str">
        <x:v>건강검진</x:v>
      </x:c>
      <x:c r="D2225" s="6" t="str">
        <x:v>검사·지표 비교</x:v>
      </x:c>
      <x:c r="E2225" s="6" t="str">
        <x:v>답변 가능</x:v>
      </x:c>
      <x:c r="F2225" s="6" t="str">
        <x:v>어려움</x:v>
      </x:c>
      <x:c r="G2225" s="8" t="str">
        <x:v>HDL이 높으면 LDL이나 중성지방은 보지 않아도 괜찮은가요?</x:v>
      </x:c>
      <x:c r="H2225" s="8" t="str">
        <x:v>그렇지 않습니다. HDL 하나만 목표로 해석하지 않고 LDL, 중성지방과 다른 심혈관 위험요인을 함께 봐야 합니다.</x:v>
      </x:c>
      <x:c r="I2225" s="8" t="str">
        <x:v>HDL 콜레스테롤은 혈액 속 콜레스테롤을 운반하는 지단백 중 하나로, 낮은 값은 심혈관 위험 평가에 사용하는 요소입니다. HDL만 높이는 것을 목표로 결과를 해석하지 않고 LDL, 중성지방과 전체 위험요인을 함께 봅니다. 판정 수치는 현행 보건복지부 규칙을 사용하며 설명 페이지의 오래된 숫자는 사용하지 않습니다.</x:v>
      </x:c>
      <x:c r="J2225" s="8" t="str">
        <x:v>HDL 콜레스테롤 [HDL_CHOLESTEROL]</x:v>
      </x:c>
      <x:c r="K2225" s="8" t="str">
        <x:v>건강검진 검사항목별 판정기준 (1쪽 HDL 콜레스테롤)
https://law.go.kr/LSW/flDownload.do?bylClsCd=200207&amp;flNm=%5B%EB%B3%84%EC%B2%A8+1%5D+%EA%B2%80%EC%82%AC%ED%95%AD%EB%AA%A9%EB%B3%84+%ED%8C%90%EC%A0%95%EA%B8%B0%EC%A4%80&amp;flSeq=160922929</x:v>
      </x:c>
    </x:row>
    <x:row r="2226" ht="62" customHeight="1">
      <x:c r="A2226" s="9" t="n">
        <x:v>2225</x:v>
      </x:c>
      <x:c r="B2226" s="6" t="str">
        <x:v>최종 평가</x:v>
      </x:c>
      <x:c r="C2226" s="6" t="str">
        <x:v>건강검진</x:v>
      </x:c>
      <x:c r="D2226" s="6" t="str">
        <x:v>용어·정의</x:v>
      </x:c>
      <x:c r="E2226" s="6" t="str">
        <x:v>답변 가능</x:v>
      </x:c>
      <x:c r="F2226" s="6" t="str">
        <x:v>쉬움</x:v>
      </x:c>
      <x:c r="G2226" s="8" t="str">
        <x:v>검진 결과의 'LDL 콜레스테롤' 항목은 어떤 의미인가요?</x:v>
      </x:c>
      <x:c r="H2226" s="8" t="str">
        <x:v>LDL 콜레스테롤은 콜레스테롤을 말초 조직으로 운반하는 지단백으로, 죽상경화성 심혈관질환 위험 평가와 치료 목표 설정에 중요하게 사용됩니다.</x:v>
      </x:c>
      <x:c r="I2226" s="8" t="str">
        <x:v>LDL 콜레스테롤은 콜레스테롤을 말초 조직으로 운반하는 지단백으로, 죽상경화성 심혈관질환 위험 평가와 치료 목표 설정에 중요하게 사용됩니다. 같은 수치라도 당뇨병, 심혈관질환, 흡연, 혈압 등 개인의 위험도에 따라 의미와 목표가 달라질 수 있으므로 검진 등급만으로 약물 필요성을 결정하지 않습니다.</x:v>
      </x:c>
      <x:c r="J2226" s="8" t="str">
        <x:v>LDL 콜레스테롤 [LDL_CHOLESTEROL]</x:v>
      </x:c>
      <x:c r="K2226" s="8" t="str">
        <x:v>건강검진 검사항목별 판정기준 (1쪽 LDL 콜레스테롤)
https://law.go.kr/LSW/flDownload.do?bylClsCd=200207&amp;flNm=%5B%EB%B3%84%EC%B2%A8+1%5D+%EA%B2%80%EC%82%AC%ED%95%AD%EB%AA%A9%EB%B3%84+%ED%8C%90%EC%A0%95%EA%B8%B0%EC%A4%80&amp;flSeq=160922929</x:v>
      </x:c>
    </x:row>
    <x:row r="2227" ht="62" customHeight="1">
      <x:c r="A2227" s="9" t="n">
        <x:v>2226</x:v>
      </x:c>
      <x:c r="B2227" s="6" t="str">
        <x:v>최종 평가</x:v>
      </x:c>
      <x:c r="C2227" s="6" t="str">
        <x:v>건강검진</x:v>
      </x:c>
      <x:c r="D2227" s="6" t="str">
        <x:v>결과 해석</x:v>
      </x:c>
      <x:c r="E2227" s="6" t="str">
        <x:v>답변 가능</x:v>
      </x:c>
      <x:c r="F2227" s="6" t="str">
        <x:v>보통</x:v>
      </x:c>
      <x:c r="G2227" s="8" t="str">
        <x:v>건강검진의 'LDL 콜레스테롤' 항목을 해석할 때 핵심적으로 무엇을 확인해야 하나요?</x:v>
      </x:c>
      <x:c r="H2227" s="8" t="str">
        <x:v>LDL 콜레스테롤은 콜레스테롤을 말초 조직으로 운반하는 지단백으로, 죽상경화성 심혈관질환 위험 평가와 치료 목표 설정에 중요하게 사용됩니다. 같은 수치라도 당뇨병, 심혈관질환, 흡연, 혈압 등 개인의 위험도에 따라 의미와 목표가 달라질 수 있으므로 검진 등급만으로 약물 필요성을 결정하지 않습니다.</x:v>
      </x:c>
      <x:c r="I2227" s="8" t="str">
        <x:v>LDL 콜레스테롤은 콜레스테롤을 말초 조직으로 운반하는 지단백으로, 죽상경화성 심혈관질환 위험 평가와 치료 목표 설정에 중요하게 사용됩니다. 같은 수치라도 당뇨병, 심혈관질환, 흡연, 혈압 등 개인의 위험도에 따라 의미와 목표가 달라질 수 있으므로 검진 등급만으로 약물 필요성을 결정하지 않습니다.</x:v>
      </x:c>
      <x:c r="J2227" s="8" t="str">
        <x:v>LDL 콜레스테롤 [LDL_CHOLESTEROL]</x:v>
      </x:c>
      <x:c r="K2227" s="8" t="str">
        <x:v>건강검진 검사항목별 판정기준 (1쪽 LDL 콜레스테롤)
https://law.go.kr/LSW/flDownload.do?bylClsCd=200207&amp;flNm=%5B%EB%B3%84%EC%B2%A8+1%5D+%EA%B2%80%EC%82%AC%ED%95%AD%EB%AA%A9%EB%B3%84+%ED%8C%90%EC%A0%95%EA%B8%B0%EC%A4%80&amp;flSeq=160922929</x:v>
      </x:c>
    </x:row>
    <x:row r="2228" ht="62" customHeight="1">
      <x:c r="A2228" s="9" t="n">
        <x:v>2227</x:v>
      </x:c>
      <x:c r="B2228" s="6" t="str">
        <x:v>최종 평가</x:v>
      </x:c>
      <x:c r="C2228" s="6" t="str">
        <x:v>건강검진</x:v>
      </x:c>
      <x:c r="D2228" s="6" t="str">
        <x:v>답변불가·확정진단</x:v>
      </x:c>
      <x:c r="E2228" s="6" t="str">
        <x:v>답변 거부</x:v>
      </x:c>
      <x:c r="F2228" s="6" t="str">
        <x:v>어려움</x:v>
      </x:c>
      <x:c r="G2228" s="8" t="str">
        <x:v>제 LDL 수치에 맞춰 오늘부터 먹을 콜레스테롤약 제품과 용량을 정해 주세요.</x:v>
      </x:c>
      <x:c r="H2228" s="8" t="str">
        <x:v>검진 VDB만으로 개인에게 필요한 약 제품과 용량을 정할 수 없습니다. 당뇨병, 심혈관질환, 흡연, 혈압 등 전체 위험도를 의료진이 평가해야 합니다.</x:v>
      </x:c>
      <x:c r="I2228" s="8" t="str">
        <x:v>VDB 범위 밖 질문 — 단일 검진값만으로 개인별 확정 진단·치료·약물 결정을 할 근거 없음</x:v>
      </x:c>
      <x:c r="J2228" s="8" t="str">
        <x:v>LDL 콜레스테롤 [LDL_CHOLESTEROL]</x:v>
      </x:c>
      <x:c r="K2228" s="8" t="str">
        <x:v>건강검진 검사항목별 판정기준 (1쪽 LDL 콜레스테롤)
https://law.go.kr/LSW/flDownload.do?bylClsCd=200207&amp;flNm=%5B%EB%B3%84%EC%B2%A8+1%5D+%EA%B2%80%EC%82%AC%ED%95%AD%EB%AA%A9%EB%B3%84+%ED%8C%90%EC%A0%95%EA%B8%B0%EC%A4%80&amp;flSeq=160922929</x:v>
      </x:c>
    </x:row>
    <x:row r="2229" ht="62" customHeight="1">
      <x:c r="A2229" s="9" t="n">
        <x:v>2228</x:v>
      </x:c>
      <x:c r="B2229" s="6" t="str">
        <x:v>최종 평가</x:v>
      </x:c>
      <x:c r="C2229" s="6" t="str">
        <x:v>건강검진</x:v>
      </x:c>
      <x:c r="D2229" s="6" t="str">
        <x:v>용어·정의</x:v>
      </x:c>
      <x:c r="E2229" s="6" t="str">
        <x:v>답변 가능</x:v>
      </x:c>
      <x:c r="F2229" s="6" t="str">
        <x:v>쉬움</x:v>
      </x:c>
      <x:c r="G2229" s="8" t="str">
        <x:v>검진 결과의 '중성지방' 항목은 어떤 의미인가요?</x:v>
      </x:c>
      <x:c r="H2229" s="8" t="str">
        <x:v>중성지방은 몸이 에너지를 저장하는 형태의 지방으로 식사와 음주, 체중, 혈당 상태의 영향을 크게 받을 수 있습니다.</x:v>
      </x:c>
      <x:c r="I2229" s="8" t="str">
        <x:v>중성지방은 몸이 에너지를 저장하는 형태의 지방으로 식사와 음주, 체중, 혈당 상태의 영향을 크게 받을 수 있습니다. 채혈 전 금식 여부와 최근 음주를 확인하지 않으면 이전 결과와 비교하기 어렵습니다. 높은 값의 원인과 위험도는 다른 지질 수치와 대사 상태를 함께 평가해야 합니다.</x:v>
      </x:c>
      <x:c r="J2229" s="8" t="str">
        <x:v>중성지방 [TRIGLYCERIDES]</x:v>
      </x:c>
      <x:c r="K2229" s="8" t="str">
        <x:v>건강검진 검사항목별 판정기준 (1쪽 중성지방)
https://law.go.kr/LSW/flDownload.do?bylClsCd=200207&amp;flNm=%5B%EB%B3%84%EC%B2%A8+1%5D+%EA%B2%80%EC%82%AC%ED%95%AD%EB%AA%A9%EB%B3%84+%ED%8C%90%EC%A0%95%EA%B8%B0%EC%A4%80&amp;flSeq=160922929</x:v>
      </x:c>
    </x:row>
    <x:row r="2230" ht="62" customHeight="1">
      <x:c r="A2230" s="9" t="n">
        <x:v>2229</x:v>
      </x:c>
      <x:c r="B2230" s="6" t="str">
        <x:v>최종 평가</x:v>
      </x:c>
      <x:c r="C2230" s="6" t="str">
        <x:v>건강검진</x:v>
      </x:c>
      <x:c r="D2230" s="6" t="str">
        <x:v>영향요인·주의사항</x:v>
      </x:c>
      <x:c r="E2230" s="6" t="str">
        <x:v>답변 가능</x:v>
      </x:c>
      <x:c r="F2230" s="6" t="str">
        <x:v>보통</x:v>
      </x:c>
      <x:c r="G2230" s="8" t="str">
        <x:v>건강검진의 '중성지방' 항목에 영향을 주거나 함께 확인해야 하는 요소는 무엇인가요?</x:v>
      </x:c>
      <x:c r="H2230" s="8" t="str">
        <x:v>중성지방은 몸이 에너지를 저장하는 형태의 지방으로 식사와 음주, 체중, 혈당 상태의 영향을 크게 받을 수 있습니다. 채혈 전 금식 여부와 최근 음주를 확인하지 않으면 이전 결과와 비교하기 어렵습니다. 높은 값의 원인과 위험도는 다른 지질 수치와 대사 상태를 함께 평가해야 합니다.</x:v>
      </x:c>
      <x:c r="I2230" s="8" t="str">
        <x:v>중성지방은 몸이 에너지를 저장하는 형태의 지방으로 식사와 음주, 체중, 혈당 상태의 영향을 크게 받을 수 있습니다. 채혈 전 금식 여부와 최근 음주를 확인하지 않으면 이전 결과와 비교하기 어렵습니다. 높은 값의 원인과 위험도는 다른 지질 수치와 대사 상태를 함께 평가해야 합니다.</x:v>
      </x:c>
      <x:c r="J2230" s="8" t="str">
        <x:v>중성지방 [TRIGLYCERIDES]</x:v>
      </x:c>
      <x:c r="K2230" s="8" t="str">
        <x:v>건강검진 검사항목별 판정기준 (1쪽 중성지방)
https://law.go.kr/LSW/flDownload.do?bylClsCd=200207&amp;flNm=%5B%EB%B3%84%EC%B2%A8+1%5D+%EA%B2%80%EC%82%AC%ED%95%AD%EB%AA%A9%EB%B3%84+%ED%8C%90%EC%A0%95%EA%B8%B0%EC%A4%80&amp;flSeq=160922929</x:v>
      </x:c>
    </x:row>
    <x:row r="2231" ht="62" customHeight="1">
      <x:c r="A2231" s="9" t="n">
        <x:v>2230</x:v>
      </x:c>
      <x:c r="B2231" s="6" t="str">
        <x:v>최종 평가</x:v>
      </x:c>
      <x:c r="C2231" s="6" t="str">
        <x:v>건강검진</x:v>
      </x:c>
      <x:c r="D2231" s="6" t="str">
        <x:v>영향요인·주의사항</x:v>
      </x:c>
      <x:c r="E2231" s="6" t="str">
        <x:v>답변 가능</x:v>
      </x:c>
      <x:c r="F2231" s="6" t="str">
        <x:v>어려움</x:v>
      </x:c>
      <x:c r="G2231" s="8" t="str">
        <x:v>중성지방 결과를 이전 검진과 비교할 때 금식과 최근 음주 여부를 왜 확인해야 하나요?</x:v>
      </x:c>
      <x:c r="H2231" s="8" t="str">
        <x:v>중성지방은 식사와 음주의 영향을 크게 받을 수 있어 채혈 전 금식 여부와 최근 음주 조건이 다르면 결과를 단순 비교하기 어렵기 때문입니다.</x:v>
      </x:c>
      <x:c r="I2231" s="8" t="str">
        <x:v>중성지방은 몸이 에너지를 저장하는 형태의 지방으로 식사와 음주, 체중, 혈당 상태의 영향을 크게 받을 수 있습니다. 채혈 전 금식 여부와 최근 음주를 확인하지 않으면 이전 결과와 비교하기 어렵습니다. 높은 값의 원인과 위험도는 다른 지질 수치와 대사 상태를 함께 평가해야 합니다.</x:v>
      </x:c>
      <x:c r="J2231" s="8" t="str">
        <x:v>중성지방 [TRIGLYCERIDES]</x:v>
      </x:c>
      <x:c r="K2231" s="8" t="str">
        <x:v>건강검진 검사항목별 판정기준 (1쪽 중성지방)
https://law.go.kr/LSW/flDownload.do?bylClsCd=200207&amp;flNm=%5B%EB%B3%84%EC%B2%A8+1%5D+%EA%B2%80%EC%82%AC%ED%95%AD%EB%AA%A9%EB%B3%84+%ED%8C%90%EC%A0%95%EA%B8%B0%EC%A4%80&amp;flSeq=160922929</x:v>
      </x:c>
    </x:row>
    <x:row r="2232" ht="62" customHeight="1">
      <x:c r="A2232" s="9" t="n">
        <x:v>2231</x:v>
      </x:c>
      <x:c r="B2232" s="6" t="str">
        <x:v>보정용</x:v>
      </x:c>
      <x:c r="C2232" s="6" t="str">
        <x:v>건강검진</x:v>
      </x:c>
      <x:c r="D2232" s="6" t="str">
        <x:v>용어·정의</x:v>
      </x:c>
      <x:c r="E2232" s="6" t="str">
        <x:v>답변 가능</x:v>
      </x:c>
      <x:c r="F2232" s="6" t="str">
        <x:v>쉬움</x:v>
      </x:c>
      <x:c r="G2232" s="8" t="str">
        <x:v>검진 결과의 'AST(SGOT)' 항목은 어떤 의미인가요?</x:v>
      </x:c>
      <x:c r="H2232" s="8" t="str">
        <x:v>AST는 간뿐 아니라 근육과 심장 등 여러 조직에 존재하는 효소로, 세포 손상 시 혈액에서 증가할 수 있습니다.</x:v>
      </x:c>
      <x:c r="I2232" s="8" t="str">
        <x:v>AST는 간뿐 아니라 근육과 심장 등 여러 조직에 존재하는 효소로, 세포 손상 시 혈액에서 증가할 수 있습니다. AST 상승만으로 간질환의 원인이나 중증도를 확정할 수 없으며 ALT, 감마지티피, 증상, 음주·운동·약물 이력과 함께 해석해야 합니다.</x:v>
      </x:c>
      <x:c r="J2232" s="8" t="str">
        <x:v>AST(SGOT) [AST]</x:v>
      </x:c>
      <x:c r="K2232" s="8" t="str">
        <x:v>건강검진 검사항목별 판정기준 (1쪽 간장질환)
https://law.go.kr/LSW/flDownload.do?bylClsCd=200207&amp;flNm=%5B%EB%B3%84%EC%B2%A8+1%5D+%EA%B2%80%EC%82%AC%ED%95%AD%EB%AA%A9%EB%B3%84+%ED%8C%90%EC%A0%95%EA%B8%B0%EC%A4%80&amp;flSeq=160922929</x:v>
      </x:c>
    </x:row>
    <x:row r="2233" ht="62" customHeight="1">
      <x:c r="A2233" s="9" t="n">
        <x:v>2232</x:v>
      </x:c>
      <x:c r="B2233" s="6" t="str">
        <x:v>최종 평가</x:v>
      </x:c>
      <x:c r="C2233" s="6" t="str">
        <x:v>건강검진</x:v>
      </x:c>
      <x:c r="D2233" s="6" t="str">
        <x:v>결과 해석</x:v>
      </x:c>
      <x:c r="E2233" s="6" t="str">
        <x:v>답변 가능</x:v>
      </x:c>
      <x:c r="F2233" s="6" t="str">
        <x:v>보통</x:v>
      </x:c>
      <x:c r="G2233" s="8" t="str">
        <x:v>건강검진의 'AST(SGOT)' 항목을 해석할 때 핵심적으로 무엇을 확인해야 하나요?</x:v>
      </x:c>
      <x:c r="H2233" s="8" t="str">
        <x:v>AST는 간뿐 아니라 근육과 심장 등 여러 조직에 존재하는 효소로, 세포 손상 시 혈액에서 증가할 수 있습니다. AST 상승만으로 간질환의 원인이나 중증도를 확정할 수 없으며 ALT, 감마지티피, 증상, 음주·운동·약물 이력과 함께 해석해야 합니다.</x:v>
      </x:c>
      <x:c r="I2233" s="8" t="str">
        <x:v>AST는 간뿐 아니라 근육과 심장 등 여러 조직에 존재하는 효소로, 세포 손상 시 혈액에서 증가할 수 있습니다. AST 상승만으로 간질환의 원인이나 중증도를 확정할 수 없으며 ALT, 감마지티피, 증상, 음주·운동·약물 이력과 함께 해석해야 합니다.</x:v>
      </x:c>
      <x:c r="J2233" s="8" t="str">
        <x:v>AST(SGOT) [AST]</x:v>
      </x:c>
      <x:c r="K2233" s="8" t="str">
        <x:v>건강검진 검사항목별 판정기준 (1쪽 간장질환)
https://law.go.kr/LSW/flDownload.do?bylClsCd=200207&amp;flNm=%5B%EB%B3%84%EC%B2%A8+1%5D+%EA%B2%80%EC%82%AC%ED%95%AD%EB%AA%A9%EB%B3%84+%ED%8C%90%EC%A0%95%EA%B8%B0%EC%A4%80&amp;flSeq=160922929</x:v>
      </x:c>
    </x:row>
    <x:row r="2234" ht="62" customHeight="1">
      <x:c r="A2234" s="9" t="n">
        <x:v>2233</x:v>
      </x:c>
      <x:c r="B2234" s="6" t="str">
        <x:v>최종 평가</x:v>
      </x:c>
      <x:c r="C2234" s="6" t="str">
        <x:v>건강검진</x:v>
      </x:c>
      <x:c r="D2234" s="6" t="str">
        <x:v>검사·지표 비교</x:v>
      </x:c>
      <x:c r="E2234" s="6" t="str">
        <x:v>답변 가능</x:v>
      </x:c>
      <x:c r="F2234" s="6" t="str">
        <x:v>어려움</x:v>
      </x:c>
      <x:c r="G2234" s="8" t="str">
        <x:v>AST만 높으면 간질환의 원인과 심한 정도를 알 수 있나요?</x:v>
      </x:c>
      <x:c r="H2234" s="8" t="str">
        <x:v>AST 상승만으로 간질환의 원인이나 중증도를 확정할 수 없습니다. ALT, 감마지티피, 증상과 음주·운동·약물 이력을 함께 확인해야 합니다.</x:v>
      </x:c>
      <x:c r="I2234" s="8" t="str">
        <x:v>AST는 간뿐 아니라 근육과 심장 등 여러 조직에 존재하는 효소로, 세포 손상 시 혈액에서 증가할 수 있습니다. AST 상승만으로 간질환의 원인이나 중증도를 확정할 수 없으며 ALT, 감마지티피, 증상, 음주·운동·약물 이력과 함께 해석해야 합니다.</x:v>
      </x:c>
      <x:c r="J2234" s="8" t="str">
        <x:v>AST(SGOT) [AST]</x:v>
      </x:c>
      <x:c r="K2234" s="8" t="str">
        <x:v>건강검진 검사항목별 판정기준 (1쪽 간장질환)
https://law.go.kr/LSW/flDownload.do?bylClsCd=200207&amp;flNm=%5B%EB%B3%84%EC%B2%A8+1%5D+%EA%B2%80%EC%82%AC%ED%95%AD%EB%AA%A9%EB%B3%84+%ED%8C%90%EC%A0%95%EA%B8%B0%EC%A4%80&amp;flSeq=160922929</x:v>
      </x:c>
    </x:row>
    <x:row r="2235" ht="62" customHeight="1">
      <x:c r="A2235" s="9" t="n">
        <x:v>2234</x:v>
      </x:c>
      <x:c r="B2235" s="6" t="str">
        <x:v>최종 평가</x:v>
      </x:c>
      <x:c r="C2235" s="6" t="str">
        <x:v>건강검진</x:v>
      </x:c>
      <x:c r="D2235" s="6" t="str">
        <x:v>용어·정의</x:v>
      </x:c>
      <x:c r="E2235" s="6" t="str">
        <x:v>답변 가능</x:v>
      </x:c>
      <x:c r="F2235" s="6" t="str">
        <x:v>쉬움</x:v>
      </x:c>
      <x:c r="G2235" s="8" t="str">
        <x:v>검진 결과의 'ALT(SGPT)' 항목은 어떤 의미인가요?</x:v>
      </x:c>
      <x:c r="H2235" s="8" t="str">
        <x:v>ALT는 주로 간세포에 존재하는 효소로 간세포 손상을 살피는 데 사용합니다.</x:v>
      </x:c>
      <x:c r="I2235" s="8" t="str">
        <x:v>ALT는 주로 간세포에 존재하는 효소로 간세포 손상을 살피는 데 사용합니다. 값이 높아도 원인은 지방간, 바이러스 간염, 약물 등 다양하고, 정상 범위라고 모든 간질환이 배제되는 것도 아닙니다. AST와 다른 간기능 지표, 이전 추세와 함께 확인해야 합니다.</x:v>
      </x:c>
      <x:c r="J2235" s="8" t="str">
        <x:v>ALT(SGPT) [ALT]</x:v>
      </x:c>
      <x:c r="K2235" s="8" t="str">
        <x:v>건강검진 검사항목별 판정기준 (1쪽 간장질환)
https://law.go.kr/LSW/flDownload.do?bylClsCd=200207&amp;flNm=%5B%EB%B3%84%EC%B2%A8+1%5D+%EA%B2%80%EC%82%AC%ED%95%AD%EB%AA%A9%EB%B3%84+%ED%8C%90%EC%A0%95%EA%B8%B0%EC%A4%80&amp;flSeq=160922929</x:v>
      </x:c>
    </x:row>
    <x:row r="2236" ht="62" customHeight="1">
      <x:c r="A2236" s="9" t="n">
        <x:v>2235</x:v>
      </x:c>
      <x:c r="B2236" s="6" t="str">
        <x:v>최종 평가</x:v>
      </x:c>
      <x:c r="C2236" s="6" t="str">
        <x:v>건강검진</x:v>
      </x:c>
      <x:c r="D2236" s="6" t="str">
        <x:v>영향요인·주의사항</x:v>
      </x:c>
      <x:c r="E2236" s="6" t="str">
        <x:v>답변 가능</x:v>
      </x:c>
      <x:c r="F2236" s="6" t="str">
        <x:v>보통</x:v>
      </x:c>
      <x:c r="G2236" s="8" t="str">
        <x:v>건강검진의 'ALT(SGPT)' 항목에 영향을 주거나 함께 확인해야 하는 요소는 무엇인가요?</x:v>
      </x:c>
      <x:c r="H2236" s="8" t="str">
        <x:v>ALT는 주로 간세포에 존재하는 효소로 간세포 손상을 살피는 데 사용합니다. 값이 높아도 원인은 지방간, 바이러스 간염, 약물 등 다양하고, 정상 범위라고 모든 간질환이 배제되는 것도 아닙니다. AST와 다른 간기능 지표, 이전 추세와 함께 확인해야 합니다.</x:v>
      </x:c>
      <x:c r="I2236" s="8" t="str">
        <x:v>ALT는 주로 간세포에 존재하는 효소로 간세포 손상을 살피는 데 사용합니다. 값이 높아도 원인은 지방간, 바이러스 간염, 약물 등 다양하고, 정상 범위라고 모든 간질환이 배제되는 것도 아닙니다. AST와 다른 간기능 지표, 이전 추세와 함께 확인해야 합니다.</x:v>
      </x:c>
      <x:c r="J2236" s="8" t="str">
        <x:v>ALT(SGPT) [ALT]</x:v>
      </x:c>
      <x:c r="K2236" s="8" t="str">
        <x:v>건강검진 검사항목별 판정기준 (1쪽 간장질환)
https://law.go.kr/LSW/flDownload.do?bylClsCd=200207&amp;flNm=%5B%EB%B3%84%EC%B2%A8+1%5D+%EA%B2%80%EC%82%AC%ED%95%AD%EB%AA%A9%EB%B3%84+%ED%8C%90%EC%A0%95%EA%B8%B0%EC%A4%80&amp;flSeq=160922929</x:v>
      </x:c>
    </x:row>
    <x:row r="2237" ht="62" customHeight="1">
      <x:c r="A2237" s="9" t="n">
        <x:v>2236</x:v>
      </x:c>
      <x:c r="B2237" s="6" t="str">
        <x:v>최종 평가</x:v>
      </x:c>
      <x:c r="C2237" s="6" t="str">
        <x:v>건강검진</x:v>
      </x:c>
      <x:c r="D2237" s="6" t="str">
        <x:v>검사·지표 비교</x:v>
      </x:c>
      <x:c r="E2237" s="6" t="str">
        <x:v>답변 가능</x:v>
      </x:c>
      <x:c r="F2237" s="6" t="str">
        <x:v>어려움</x:v>
      </x:c>
      <x:c r="G2237" s="8" t="str">
        <x:v>ALT가 정상 범위면 모든 간질환이 없다고 봐도 되나요?</x:v>
      </x:c>
      <x:c r="H2237" s="8" t="str">
        <x:v>정상 범위라고 모든 간질환이 배제되는 것은 아닙니다. AST와 다른 간기능 지표, 이전 결과의 추세를 함께 확인해야 합니다.</x:v>
      </x:c>
      <x:c r="I2237" s="8" t="str">
        <x:v>ALT는 주로 간세포에 존재하는 효소로 간세포 손상을 살피는 데 사용합니다. 값이 높아도 원인은 지방간, 바이러스 간염, 약물 등 다양하고, 정상 범위라고 모든 간질환이 배제되는 것도 아닙니다. AST와 다른 간기능 지표, 이전 추세와 함께 확인해야 합니다.</x:v>
      </x:c>
      <x:c r="J2237" s="8" t="str">
        <x:v>ALT(SGPT) [ALT]</x:v>
      </x:c>
      <x:c r="K2237" s="8" t="str">
        <x:v>건강검진 검사항목별 판정기준 (1쪽 간장질환)
https://law.go.kr/LSW/flDownload.do?bylClsCd=200207&amp;flNm=%5B%EB%B3%84%EC%B2%A8+1%5D+%EA%B2%80%EC%82%AC%ED%95%AD%EB%AA%A9%EB%B3%84+%ED%8C%90%EC%A0%95%EA%B8%B0%EC%A4%80&amp;flSeq=160922929</x:v>
      </x:c>
    </x:row>
    <x:row r="2238" ht="62" customHeight="1">
      <x:c r="A2238" s="9" t="n">
        <x:v>2237</x:v>
      </x:c>
      <x:c r="B2238" s="6" t="str">
        <x:v>최종 평가</x:v>
      </x:c>
      <x:c r="C2238" s="6" t="str">
        <x:v>건강검진</x:v>
      </x:c>
      <x:c r="D2238" s="6" t="str">
        <x:v>용어·정의</x:v>
      </x:c>
      <x:c r="E2238" s="6" t="str">
        <x:v>답변 가능</x:v>
      </x:c>
      <x:c r="F2238" s="6" t="str">
        <x:v>쉬움</x:v>
      </x:c>
      <x:c r="G2238" s="8" t="str">
        <x:v>검진 결과의 '감마지티피(γ-GTP, GGT)' 항목은 어떤 의미인가요?</x:v>
      </x:c>
      <x:c r="H2238" s="8" t="str">
        <x:v>감마지티피는 간과 담도 상태를 살피는 효소 검사로 음주, 일부 약물, 담도 문제 등 여러 요인의 영향을 받을 수 있습니다.</x:v>
      </x:c>
      <x:c r="I2238" s="8" t="str">
        <x:v>감마지티피는 간과 담도 상태를 살피는 효소 검사로 음주, 일부 약물, 담도 문제 등 여러 요인의 영향을 받을 수 있습니다. 값이 높다는 사실만으로 음주나 특정 질환을 단정해서는 안 되며 성별 기준, 다른 간수치와 현재 복용약을 함께 확인해야 합니다.</x:v>
      </x:c>
      <x:c r="J2238" s="8" t="str">
        <x:v>감마지티피(γ-GTP, GGT) [GAMMA_GTP]</x:v>
      </x:c>
      <x:c r="K2238" s="8" t="str">
        <x:v>건강검진 검사항목별 판정기준 (1쪽 감마지티피)
https://law.go.kr/LSW/flDownload.do?bylClsCd=200207&amp;flNm=%5B%EB%B3%84%EC%B2%A8+1%5D+%EA%B2%80%EC%82%AC%ED%95%AD%EB%AA%A9%EB%B3%84+%ED%8C%90%EC%A0%95%EA%B8%B0%EC%A4%80&amp;flSeq=160922929</x:v>
      </x:c>
    </x:row>
    <x:row r="2239" ht="62" customHeight="1">
      <x:c r="A2239" s="9" t="n">
        <x:v>2238</x:v>
      </x:c>
      <x:c r="B2239" s="6" t="str">
        <x:v>최종 평가</x:v>
      </x:c>
      <x:c r="C2239" s="6" t="str">
        <x:v>건강검진</x:v>
      </x:c>
      <x:c r="D2239" s="6" t="str">
        <x:v>결과 해석</x:v>
      </x:c>
      <x:c r="E2239" s="6" t="str">
        <x:v>답변 가능</x:v>
      </x:c>
      <x:c r="F2239" s="6" t="str">
        <x:v>보통</x:v>
      </x:c>
      <x:c r="G2239" s="8" t="str">
        <x:v>건강검진의 '감마지티피(γ-GTP, GGT)' 항목을 해석할 때 핵심적으로 무엇을 확인해야 하나요?</x:v>
      </x:c>
      <x:c r="H2239" s="8" t="str">
        <x:v>감마지티피는 간과 담도 상태를 살피는 효소 검사로 음주, 일부 약물, 담도 문제 등 여러 요인의 영향을 받을 수 있습니다. 값이 높다는 사실만으로 음주나 특정 질환을 단정해서는 안 되며 성별 기준, 다른 간수치와 현재 복용약을 함께 확인해야 합니다.</x:v>
      </x:c>
      <x:c r="I2239" s="8" t="str">
        <x:v>감마지티피는 간과 담도 상태를 살피는 효소 검사로 음주, 일부 약물, 담도 문제 등 여러 요인의 영향을 받을 수 있습니다. 값이 높다는 사실만으로 음주나 특정 질환을 단정해서는 안 되며 성별 기준, 다른 간수치와 현재 복용약을 함께 확인해야 합니다.</x:v>
      </x:c>
      <x:c r="J2239" s="8" t="str">
        <x:v>감마지티피(γ-GTP, GGT) [GAMMA_GTP]</x:v>
      </x:c>
      <x:c r="K2239" s="8" t="str">
        <x:v>건강검진 검사항목별 판정기준 (1쪽 감마지티피)
https://law.go.kr/LSW/flDownload.do?bylClsCd=200207&amp;flNm=%5B%EB%B3%84%EC%B2%A8+1%5D+%EA%B2%80%EC%82%AC%ED%95%AD%EB%AA%A9%EB%B3%84+%ED%8C%90%EC%A0%95%EA%B8%B0%EC%A4%80&amp;flSeq=160922929</x:v>
      </x:c>
    </x:row>
    <x:row r="2240" ht="62" customHeight="1">
      <x:c r="A2240" s="9" t="n">
        <x:v>2239</x:v>
      </x:c>
      <x:c r="B2240" s="6" t="str">
        <x:v>최종 평가</x:v>
      </x:c>
      <x:c r="C2240" s="6" t="str">
        <x:v>건강검진</x:v>
      </x:c>
      <x:c r="D2240" s="6" t="str">
        <x:v>영향요인·주의사항</x:v>
      </x:c>
      <x:c r="E2240" s="6" t="str">
        <x:v>답변 가능</x:v>
      </x:c>
      <x:c r="F2240" s="6" t="str">
        <x:v>어려움</x:v>
      </x:c>
      <x:c r="G2240" s="8" t="str">
        <x:v>감마지티피가 높으면 술을 많이 마셔서 생긴 문제라고 단정할 수 있나요?</x:v>
      </x:c>
      <x:c r="H2240" s="8" t="str">
        <x:v>단정할 수 없습니다. 감마지티피는 음주 외에도 일부 약물과 담도 문제 등의 영향을 받을 수 있어 성별 기준, 다른 간수치와 복용약을 함께 확인해야 합니다.</x:v>
      </x:c>
      <x:c r="I2240" s="8" t="str">
        <x:v>감마지티피는 간과 담도 상태를 살피는 효소 검사로 음주, 일부 약물, 담도 문제 등 여러 요인의 영향을 받을 수 있습니다. 값이 높다는 사실만으로 음주나 특정 질환을 단정해서는 안 되며 성별 기준, 다른 간수치와 현재 복용약을 함께 확인해야 합니다.</x:v>
      </x:c>
      <x:c r="J2240" s="8" t="str">
        <x:v>감마지티피(γ-GTP, GGT) [GAMMA_GTP]</x:v>
      </x:c>
      <x:c r="K2240" s="8" t="str">
        <x:v>건강검진 검사항목별 판정기준 (1쪽 감마지티피)
https://law.go.kr/LSW/flDownload.do?bylClsCd=200207&amp;flNm=%5B%EB%B3%84%EC%B2%A8+1%5D+%EA%B2%80%EC%82%AC%ED%95%AD%EB%AA%A9%EB%B3%84+%ED%8C%90%EC%A0%95%EA%B8%B0%EC%A4%80&amp;flSeq=160922929</x:v>
      </x:c>
    </x:row>
    <x:row r="2241" ht="62" customHeight="1">
      <x:c r="A2241" s="9" t="n">
        <x:v>2240</x:v>
      </x:c>
      <x:c r="B2241" s="6" t="str">
        <x:v>최종 평가</x:v>
      </x:c>
      <x:c r="C2241" s="6" t="str">
        <x:v>건강검진</x:v>
      </x:c>
      <x:c r="D2241" s="6" t="str">
        <x:v>용어·정의</x:v>
      </x:c>
      <x:c r="E2241" s="6" t="str">
        <x:v>답변 가능</x:v>
      </x:c>
      <x:c r="F2241" s="6" t="str">
        <x:v>쉬움</x:v>
      </x:c>
      <x:c r="G2241" s="8" t="str">
        <x:v>검진 결과의 '요단백' 항목은 어떤 의미인가요?</x:v>
      </x:c>
      <x:c r="H2241" s="8" t="str">
        <x:v>요단백은 소변에 단백질이 검출되는지 살피는 선별검사입니다.</x:v>
      </x:c>
      <x:c r="I2241" s="8" t="str">
        <x:v>요단백은 소변에 단백질이 검출되는지 살피는 선별검사입니다. 운동, 발열, 탈수 같은 일시적인 상황에서도 양성이 나올 수 있어 한 번의 결과만으로 만성 콩팥병을 진단하지 않습니다. 반복 검사와 정량 검사, eGFR 등 다른 콩팥 지표를 함께 확인해야 합니다.</x:v>
      </x:c>
      <x:c r="J2241" s="8" t="str">
        <x:v>요단백 [URINE_PROTEIN]</x:v>
      </x:c>
      <x:c r="K2241" s="8" t="str">
        <x:v>건강검진 검사항목별 판정기준 (1쪽 신장질환)
https://law.go.kr/LSW/flDownload.do?bylClsCd=200207&amp;flNm=%5B%EB%B3%84%EC%B2%A8+1%5D+%EA%B2%80%EC%82%AC%ED%95%AD%EB%AA%A9%EB%B3%84+%ED%8C%90%EC%A0%95%EA%B8%B0%EC%A4%80&amp;flSeq=160922929</x:v>
      </x:c>
    </x:row>
    <x:row r="2242" ht="62" customHeight="1">
      <x:c r="A2242" s="9" t="n">
        <x:v>2241</x:v>
      </x:c>
      <x:c r="B2242" s="6" t="str">
        <x:v>보정용</x:v>
      </x:c>
      <x:c r="C2242" s="6" t="str">
        <x:v>건강검진</x:v>
      </x:c>
      <x:c r="D2242" s="6" t="str">
        <x:v>영향요인·주의사항</x:v>
      </x:c>
      <x:c r="E2242" s="6" t="str">
        <x:v>답변 가능</x:v>
      </x:c>
      <x:c r="F2242" s="6" t="str">
        <x:v>보통</x:v>
      </x:c>
      <x:c r="G2242" s="8" t="str">
        <x:v>건강검진의 '요단백' 항목에 영향을 주거나 함께 확인해야 하는 요소는 무엇인가요?</x:v>
      </x:c>
      <x:c r="H2242" s="8" t="str">
        <x:v>요단백은 소변에 단백질이 검출되는지 살피는 선별검사입니다. 운동, 발열, 탈수 같은 일시적인 상황에서도 양성이 나올 수 있어 한 번의 결과만으로 만성 콩팥병을 진단하지 않습니다. 반복 검사와 정량 검사, eGFR 등 다른 콩팥 지표를 함께 확인해야 합니다.</x:v>
      </x:c>
      <x:c r="I2242" s="8" t="str">
        <x:v>요단백은 소변에 단백질이 검출되는지 살피는 선별검사입니다. 운동, 발열, 탈수 같은 일시적인 상황에서도 양성이 나올 수 있어 한 번의 결과만으로 만성 콩팥병을 진단하지 않습니다. 반복 검사와 정량 검사, eGFR 등 다른 콩팥 지표를 함께 확인해야 합니다.</x:v>
      </x:c>
      <x:c r="J2242" s="8" t="str">
        <x:v>요단백 [URINE_PROTEIN]</x:v>
      </x:c>
      <x:c r="K2242" s="8" t="str">
        <x:v>건강검진 검사항목별 판정기준 (1쪽 신장질환)
https://law.go.kr/LSW/flDownload.do?bylClsCd=200207&amp;flNm=%5B%EB%B3%84%EC%B2%A8+1%5D+%EA%B2%80%EC%82%AC%ED%95%AD%EB%AA%A9%EB%B3%84+%ED%8C%90%EC%A0%95%EA%B8%B0%EC%A4%80&amp;flSeq=160922929</x:v>
      </x:c>
    </x:row>
    <x:row r="2243" ht="62" customHeight="1">
      <x:c r="A2243" s="9" t="n">
        <x:v>2242</x:v>
      </x:c>
      <x:c r="B2243" s="6" t="str">
        <x:v>최종 평가</x:v>
      </x:c>
      <x:c r="C2243" s="6" t="str">
        <x:v>건강검진</x:v>
      </x:c>
      <x:c r="D2243" s="6" t="str">
        <x:v>후속관리·안전대처</x:v>
      </x:c>
      <x:c r="E2243" s="6" t="str">
        <x:v>답변 가능</x:v>
      </x:c>
      <x:c r="F2243" s="6" t="str">
        <x:v>어려움</x:v>
      </x:c>
      <x:c r="G2243" s="8" t="str">
        <x:v>요단백이 한 번 양성이면 만성 콩팥병으로 확정되는 건가요?</x:v>
      </x:c>
      <x:c r="H2243" s="8" t="str">
        <x:v>한 번의 양성 결과만으로 만성 콩팥병을 진단하지 않습니다. 운동, 발열, 탈수 같은 일시적 원인을 확인하고 반복·정량 검사와 eGFR을 함께 봐야 합니다.</x:v>
      </x:c>
      <x:c r="I2243" s="8" t="str">
        <x:v>요단백은 소변에 단백질이 검출되는지 살피는 선별검사입니다. 운동, 발열, 탈수 같은 일시적인 상황에서도 양성이 나올 수 있어 한 번의 결과만으로 만성 콩팥병을 진단하지 않습니다. 반복 검사와 정량 검사, eGFR 등 다른 콩팥 지표를 함께 확인해야 합니다.</x:v>
      </x:c>
      <x:c r="J2243" s="8" t="str">
        <x:v>요단백 [URINE_PROTEIN]</x:v>
      </x:c>
      <x:c r="K2243" s="8" t="str">
        <x:v>건강검진 검사항목별 판정기준 (1쪽 신장질환)
https://law.go.kr/LSW/flDownload.do?bylClsCd=200207&amp;flNm=%5B%EB%B3%84%EC%B2%A8+1%5D+%EA%B2%80%EC%82%AC%ED%95%AD%EB%AA%A9%EB%B3%84+%ED%8C%90%EC%A0%95%EA%B8%B0%EC%A4%80&amp;flSeq=160922929</x:v>
      </x:c>
    </x:row>
    <x:row r="2244" ht="62" customHeight="1">
      <x:c r="A2244" s="9" t="n">
        <x:v>2243</x:v>
      </x:c>
      <x:c r="B2244" s="6" t="str">
        <x:v>최종 평가</x:v>
      </x:c>
      <x:c r="C2244" s="6" t="str">
        <x:v>건강검진</x:v>
      </x:c>
      <x:c r="D2244" s="6" t="str">
        <x:v>용어·정의</x:v>
      </x:c>
      <x:c r="E2244" s="6" t="str">
        <x:v>답변 가능</x:v>
      </x:c>
      <x:c r="F2244" s="6" t="str">
        <x:v>쉬움</x:v>
      </x:c>
      <x:c r="G2244" s="8" t="str">
        <x:v>검진 결과의 '혈청 크레아티닌' 항목은 어떤 의미인가요?</x:v>
      </x:c>
      <x:c r="H2244" s="8" t="str">
        <x:v>크레아티닌은 근육 대사에서 생기는 노폐물로 콩팥을 통해 배설되기 때문에 콩팥 여과 기능을 추정할 때 사용합니다.</x:v>
      </x:c>
      <x:c r="I2244" s="8" t="str">
        <x:v>크레아티닌은 근육 대사에서 생기는 노폐물로 콩팥을 통해 배설되기 때문에 콩팥 여과 기능을 추정할 때 사용합니다. 근육량, 나이, 수분 상태와 일부 약물이 값에 영향을 줄 수 있어 크레아티닌 단독보다 이를 이용해 계산한 eGFR과 시간에 따른 변화를 함께 봅니다.</x:v>
      </x:c>
      <x:c r="J2244" s="8" t="str">
        <x:v>혈청 크레아티닌 [SERUM_CREATININE]</x:v>
      </x:c>
      <x:c r="K2244" s="8" t="str">
        <x:v>건강검진 검사항목별 판정기준 (1쪽 혈청크레아티닌)
https://law.go.kr/LSW/flDownload.do?bylClsCd=200207&amp;flNm=%5B%EB%B3%84%EC%B2%A8+1%5D+%EA%B2%80%EC%82%AC%ED%95%AD%EB%AA%A9%EB%B3%84+%ED%8C%90%EC%A0%95%EA%B8%B0%EC%A4%80&amp;flSeq=160922929</x:v>
      </x:c>
    </x:row>
    <x:row r="2245" ht="62" customHeight="1">
      <x:c r="A2245" s="9" t="n">
        <x:v>2244</x:v>
      </x:c>
      <x:c r="B2245" s="6" t="str">
        <x:v>최종 평가</x:v>
      </x:c>
      <x:c r="C2245" s="6" t="str">
        <x:v>건강검진</x:v>
      </x:c>
      <x:c r="D2245" s="6" t="str">
        <x:v>결과 해석</x:v>
      </x:c>
      <x:c r="E2245" s="6" t="str">
        <x:v>답변 가능</x:v>
      </x:c>
      <x:c r="F2245" s="6" t="str">
        <x:v>보통</x:v>
      </x:c>
      <x:c r="G2245" s="8" t="str">
        <x:v>건강검진의 '혈청 크레아티닌' 항목을 해석할 때 핵심적으로 무엇을 확인해야 하나요?</x:v>
      </x:c>
      <x:c r="H2245" s="8" t="str">
        <x:v>크레아티닌은 근육 대사에서 생기는 노폐물로 콩팥을 통해 배설되기 때문에 콩팥 여과 기능을 추정할 때 사용합니다. 근육량, 나이, 수분 상태와 일부 약물이 값에 영향을 줄 수 있어 크레아티닌 단독보다 이를 이용해 계산한 eGFR과 시간에 따른 변화를 함께 봅니다.</x:v>
      </x:c>
      <x:c r="I2245" s="8" t="str">
        <x:v>크레아티닌은 근육 대사에서 생기는 노폐물로 콩팥을 통해 배설되기 때문에 콩팥 여과 기능을 추정할 때 사용합니다. 근육량, 나이, 수분 상태와 일부 약물이 값에 영향을 줄 수 있어 크레아티닌 단독보다 이를 이용해 계산한 eGFR과 시간에 따른 변화를 함께 봅니다.</x:v>
      </x:c>
      <x:c r="J2245" s="8" t="str">
        <x:v>혈청 크레아티닌 [SERUM_CREATININE]</x:v>
      </x:c>
      <x:c r="K2245" s="8" t="str">
        <x:v>건강검진 검사항목별 판정기준 (1쪽 혈청크레아티닌)
https://law.go.kr/LSW/flDownload.do?bylClsCd=200207&amp;flNm=%5B%EB%B3%84%EC%B2%A8+1%5D+%EA%B2%80%EC%82%AC%ED%95%AD%EB%AA%A9%EB%B3%84+%ED%8C%90%EC%A0%95%EA%B8%B0%EC%A4%80&amp;flSeq=160922929</x:v>
      </x:c>
    </x:row>
    <x:row r="2246" ht="62" customHeight="1">
      <x:c r="A2246" s="9" t="n">
        <x:v>2245</x:v>
      </x:c>
      <x:c r="B2246" s="6" t="str">
        <x:v>최종 평가</x:v>
      </x:c>
      <x:c r="C2246" s="6" t="str">
        <x:v>건강검진</x:v>
      </x:c>
      <x:c r="D2246" s="6" t="str">
        <x:v>검사·지표 비교</x:v>
      </x:c>
      <x:c r="E2246" s="6" t="str">
        <x:v>답변 가능</x:v>
      </x:c>
      <x:c r="F2246" s="6" t="str">
        <x:v>어려움</x:v>
      </x:c>
      <x:c r="G2246" s="8" t="str">
        <x:v>크레아티닌 수치 하나만 보면 콩팥 기능을 정확히 알 수 있나요?</x:v>
      </x:c>
      <x:c r="H2246" s="8" t="str">
        <x:v>크레아티닌은 근육량, 나이, 수분 상태와 일부 약물의 영향을 받으므로 단독 수치보다 eGFR과 시간에 따른 변화를 함께 확인해야 합니다.</x:v>
      </x:c>
      <x:c r="I2246" s="8" t="str">
        <x:v>크레아티닌은 근육 대사에서 생기는 노폐물로 콩팥을 통해 배설되기 때문에 콩팥 여과 기능을 추정할 때 사용합니다. 근육량, 나이, 수분 상태와 일부 약물이 값에 영향을 줄 수 있어 크레아티닌 단독보다 이를 이용해 계산한 eGFR과 시간에 따른 변화를 함께 봅니다.</x:v>
      </x:c>
      <x:c r="J2246" s="8" t="str">
        <x:v>혈청 크레아티닌 [SERUM_CREATININE]</x:v>
      </x:c>
      <x:c r="K2246" s="8" t="str">
        <x:v>건강검진 검사항목별 판정기준 (1쪽 혈청크레아티닌)
https://law.go.kr/LSW/flDownload.do?bylClsCd=200207&amp;flNm=%5B%EB%B3%84%EC%B2%A8+1%5D+%EA%B2%80%EC%82%AC%ED%95%AD%EB%AA%A9%EB%B3%84+%ED%8C%90%EC%A0%95%EA%B8%B0%EC%A4%80&amp;flSeq=160922929</x:v>
      </x:c>
    </x:row>
    <x:row r="2247" ht="62" customHeight="1">
      <x:c r="A2247" s="9" t="n">
        <x:v>2246</x:v>
      </x:c>
      <x:c r="B2247" s="6" t="str">
        <x:v>최종 평가</x:v>
      </x:c>
      <x:c r="C2247" s="6" t="str">
        <x:v>건강검진</x:v>
      </x:c>
      <x:c r="D2247" s="6" t="str">
        <x:v>용어·정의</x:v>
      </x:c>
      <x:c r="E2247" s="6" t="str">
        <x:v>답변 가능</x:v>
      </x:c>
      <x:c r="F2247" s="6" t="str">
        <x:v>쉬움</x:v>
      </x:c>
      <x:c r="G2247" s="8" t="str">
        <x:v>검진 결과의 '추정사구체여과율(eGFR)' 항목은 어떤 의미인가요?</x:v>
      </x:c>
      <x:c r="H2247" s="8" t="str">
        <x:v>eGFR은 혈청 크레아티닌과 연령·성별 등을 이용해 콩팥의 여과 기능을 추정한 값입니다.</x:v>
      </x:c>
      <x:c r="I2247" s="8" t="str">
        <x:v>eGFR은 혈청 크레아티닌과 연령·성별 등을 이용해 콩팥의 여과 기능을 추정한 값입니다. 실제 측정값이 아니라 계산값이며, 한 번 낮게 나온 결과만으로 만성 콩팥병을 확정하지 않습니다. 반복 결과의 지속성, 소변 단백과 다른 임상 정보를 함께 평가해야 합니다.</x:v>
      </x:c>
      <x:c r="J2247" s="8" t="str">
        <x:v>추정사구체여과율(eGFR) [EGFR]</x:v>
      </x:c>
      <x:c r="K2247" s="8" t="str">
        <x:v>건강검진 검사항목별 판정기준 (1쪽 e-GFR)
https://law.go.kr/LSW/flDownload.do?bylClsCd=200207&amp;flNm=%5B%EB%B3%84%EC%B2%A8+1%5D+%EA%B2%80%EC%82%AC%ED%95%AD%EB%AA%A9%EB%B3%84+%ED%8C%90%EC%A0%95%EA%B8%B0%EC%A4%80&amp;flSeq=160922929</x:v>
      </x:c>
    </x:row>
    <x:row r="2248" ht="62" customHeight="1">
      <x:c r="A2248" s="9" t="n">
        <x:v>2247</x:v>
      </x:c>
      <x:c r="B2248" s="6" t="str">
        <x:v>최종 평가</x:v>
      </x:c>
      <x:c r="C2248" s="6" t="str">
        <x:v>건강검진</x:v>
      </x:c>
      <x:c r="D2248" s="6" t="str">
        <x:v>영향요인·주의사항</x:v>
      </x:c>
      <x:c r="E2248" s="6" t="str">
        <x:v>답변 가능</x:v>
      </x:c>
      <x:c r="F2248" s="6" t="str">
        <x:v>보통</x:v>
      </x:c>
      <x:c r="G2248" s="8" t="str">
        <x:v>건강검진의 '추정사구체여과율(eGFR)' 항목에 영향을 주거나 함께 확인해야 하는 요소는 무엇인가요?</x:v>
      </x:c>
      <x:c r="H2248" s="8" t="str">
        <x:v>eGFR은 혈청 크레아티닌과 연령·성별 등을 이용해 콩팥의 여과 기능을 추정한 값입니다. 실제 측정값이 아니라 계산값이며, 한 번 낮게 나온 결과만으로 만성 콩팥병을 확정하지 않습니다. 반복 결과의 지속성, 소변 단백과 다른 임상 정보를 함께 평가해야 합니다.</x:v>
      </x:c>
      <x:c r="I2248" s="8" t="str">
        <x:v>eGFR은 혈청 크레아티닌과 연령·성별 등을 이용해 콩팥의 여과 기능을 추정한 값입니다. 실제 측정값이 아니라 계산값이며, 한 번 낮게 나온 결과만으로 만성 콩팥병을 확정하지 않습니다. 반복 결과의 지속성, 소변 단백과 다른 임상 정보를 함께 평가해야 합니다.</x:v>
      </x:c>
      <x:c r="J2248" s="8" t="str">
        <x:v>추정사구체여과율(eGFR) [EGFR]</x:v>
      </x:c>
      <x:c r="K2248" s="8" t="str">
        <x:v>건강검진 검사항목별 판정기준 (1쪽 e-GFR)
https://law.go.kr/LSW/flDownload.do?bylClsCd=200207&amp;flNm=%5B%EB%B3%84%EC%B2%A8+1%5D+%EA%B2%80%EC%82%AC%ED%95%AD%EB%AA%A9%EB%B3%84+%ED%8C%90%EC%A0%95%EA%B8%B0%EC%A4%80&amp;flSeq=160922929</x:v>
      </x:c>
    </x:row>
    <x:row r="2249" ht="62" customHeight="1">
      <x:c r="A2249" s="9" t="n">
        <x:v>2248</x:v>
      </x:c>
      <x:c r="B2249" s="6" t="str">
        <x:v>최종 평가</x:v>
      </x:c>
      <x:c r="C2249" s="6" t="str">
        <x:v>건강검진</x:v>
      </x:c>
      <x:c r="D2249" s="6" t="str">
        <x:v>답변불가·확정진단</x:v>
      </x:c>
      <x:c r="E2249" s="6" t="str">
        <x:v>답변 거부</x:v>
      </x:c>
      <x:c r="F2249" s="6" t="str">
        <x:v>어려움</x:v>
      </x:c>
      <x:c r="G2249" s="8" t="str">
        <x:v>eGFR이 한 번 낮게 나왔으니 만성 콩팥병 단계와 치료를 확정해 주세요.</x:v>
      </x:c>
      <x:c r="H2249" s="8" t="str">
        <x:v>한 번의 eGFR 결과만으로 만성 콩팥병 단계나 치료를 확정할 수 없습니다. 낮은 결과의 지속성, 요단백과 다른 임상 정보를 의료진이 함께 평가해야 합니다.</x:v>
      </x:c>
      <x:c r="I2249" s="8" t="str">
        <x:v>VDB 범위 밖 질문 — 단일 검진값만으로 개인별 확정 진단·치료·약물 결정을 할 근거 없음</x:v>
      </x:c>
      <x:c r="J2249" s="8" t="str">
        <x:v>추정사구체여과율(eGFR) [EGFR]</x:v>
      </x:c>
      <x:c r="K2249" s="8" t="str">
        <x:v>건강검진 검사항목별 판정기준 (1쪽 e-GFR)
https://law.go.kr/LSW/flDownload.do?bylClsCd=200207&amp;flNm=%5B%EB%B3%84%EC%B2%A8+1%5D+%EA%B2%80%EC%82%AC%ED%95%AD%EB%AA%A9%EB%B3%84+%ED%8C%90%EC%A0%95%EA%B8%B0%EC%A4%80&amp;flSeq=160922929</x:v>
      </x:c>
    </x:row>
    <x:row r="2250" ht="62" customHeight="1">
      <x:c r="A2250" s="9" t="n">
        <x:v>2249</x:v>
      </x:c>
      <x:c r="B2250" s="6" t="str">
        <x:v>최종 평가</x:v>
      </x:c>
      <x:c r="C2250" s="6" t="str">
        <x:v>건강검진</x:v>
      </x:c>
      <x:c r="D2250" s="6" t="str">
        <x:v>용어·정의</x:v>
      </x:c>
      <x:c r="E2250" s="6" t="str">
        <x:v>답변 가능</x:v>
      </x:c>
      <x:c r="F2250" s="6" t="str">
        <x:v>쉬움</x:v>
      </x:c>
      <x:c r="G2250" s="8" t="str">
        <x:v>검진 결과의 '흉부방사선촬영' 항목은 어떤 의미인가요?</x:v>
      </x:c>
      <x:c r="H2250" s="8" t="str">
        <x:v>흉부방사선촬영은 폐와 흉부 구조의 이상을 선별하는 영상검사입니다.</x:v>
      </x:c>
      <x:c r="I2250" s="8" t="str">
        <x:v>흉부방사선촬영은 폐와 흉부 구조의 이상을 선별하는 영상검사입니다. 검진 판독에서 비활동성 폐결핵이나 기타 소견이 표시될 수 있지만, 단순 촬영만으로 모든 폐질환을 확정하거나 배제할 수는 없습니다. 판독 결과에 따라 이전 영상 비교나 추가 영상검사가 필요할 수 있습니다.</x:v>
      </x:c>
      <x:c r="J2250" s="8" t="str">
        <x:v>흉부방사선촬영 [CHEST_XRAY]</x:v>
      </x:c>
      <x:c r="K2250" s="8" t="str">
        <x:v>건강검진 검사항목별 판정기준 (1쪽 폐결핵 및 기타 흉부질환)
https://law.go.kr/LSW/flDownload.do?bylClsCd=200207&amp;flNm=%5B%EB%B3%84%EC%B2%A8+1%5D+%EA%B2%80%EC%82%AC%ED%95%AD%EB%AA%A9%EB%B3%84+%ED%8C%90%EC%A0%95%EA%B8%B0%EC%A4%80&amp;flSeq=160922929</x:v>
      </x:c>
    </x:row>
    <x:row r="2251" ht="62" customHeight="1">
      <x:c r="A2251" s="9" t="n">
        <x:v>2250</x:v>
      </x:c>
      <x:c r="B2251" s="6" t="str">
        <x:v>최종 평가</x:v>
      </x:c>
      <x:c r="C2251" s="6" t="str">
        <x:v>건강검진</x:v>
      </x:c>
      <x:c r="D2251" s="6" t="str">
        <x:v>결과 해석</x:v>
      </x:c>
      <x:c r="E2251" s="6" t="str">
        <x:v>답변 가능</x:v>
      </x:c>
      <x:c r="F2251" s="6" t="str">
        <x:v>보통</x:v>
      </x:c>
      <x:c r="G2251" s="8" t="str">
        <x:v>건강검진의 '흉부방사선촬영' 항목을 해석할 때 핵심적으로 무엇을 확인해야 하나요?</x:v>
      </x:c>
      <x:c r="H2251" s="8" t="str">
        <x:v>흉부방사선촬영은 폐와 흉부 구조의 이상을 선별하는 영상검사입니다. 검진 판독에서 비활동성 폐결핵이나 기타 소견이 표시될 수 있지만, 단순 촬영만으로 모든 폐질환을 확정하거나 배제할 수는 없습니다. 판독 결과에 따라 이전 영상 비교나 추가 영상검사가 필요할 수 있습니다.</x:v>
      </x:c>
      <x:c r="I2251" s="8" t="str">
        <x:v>흉부방사선촬영은 폐와 흉부 구조의 이상을 선별하는 영상검사입니다. 검진 판독에서 비활동성 폐결핵이나 기타 소견이 표시될 수 있지만, 단순 촬영만으로 모든 폐질환을 확정하거나 배제할 수는 없습니다. 판독 결과에 따라 이전 영상 비교나 추가 영상검사가 필요할 수 있습니다.</x:v>
      </x:c>
      <x:c r="J2251" s="8" t="str">
        <x:v>흉부방사선촬영 [CHEST_XRAY]</x:v>
      </x:c>
      <x:c r="K2251" s="8" t="str">
        <x:v>건강검진 검사항목별 판정기준 (1쪽 폐결핵 및 기타 흉부질환)
https://law.go.kr/LSW/flDownload.do?bylClsCd=200207&amp;flNm=%5B%EB%B3%84%EC%B2%A8+1%5D+%EA%B2%80%EC%82%AC%ED%95%AD%EB%AA%A9%EB%B3%84+%ED%8C%90%EC%A0%95%EA%B8%B0%EC%A4%80&amp;flSeq=160922929</x:v>
      </x:c>
    </x:row>
    <x:row r="2252" ht="62" customHeight="1">
      <x:c r="A2252" s="9" t="n">
        <x:v>2251</x:v>
      </x:c>
      <x:c r="B2252" s="6" t="str">
        <x:v>보정용</x:v>
      </x:c>
      <x:c r="C2252" s="6" t="str">
        <x:v>건강검진</x:v>
      </x:c>
      <x:c r="D2252" s="6" t="str">
        <x:v>답변불가·확정진단</x:v>
      </x:c>
      <x:c r="E2252" s="6" t="str">
        <x:v>답변 거부</x:v>
      </x:c>
      <x:c r="F2252" s="6" t="str">
        <x:v>어려움</x:v>
      </x:c>
      <x:c r="G2252" s="8" t="str">
        <x:v>건강검진 흉부 X선이 정상이라면 폐결핵과 폐암을 포함한 모든 폐질환이 없다고 확정해 주세요.</x:v>
      </x:c>
      <x:c r="H2252" s="8" t="str">
        <x:v>단순 흉부방사선촬영만으로 모든 폐질환을 확정적으로 배제할 수 없습니다. 증상과 판독 결과에 따라 이전 영상 비교나 추가 검사가 필요할 수 있습니다.</x:v>
      </x:c>
      <x:c r="I2252" s="8" t="str">
        <x:v>VDB 범위 밖 질문 — 단일 검진값만으로 개인별 확정 진단·치료·약물 결정을 할 근거 없음</x:v>
      </x:c>
      <x:c r="J2252" s="8" t="str">
        <x:v>흉부방사선촬영 [CHEST_XRAY]</x:v>
      </x:c>
      <x:c r="K2252" s="8" t="str">
        <x:v>건강검진 검사항목별 판정기준 (1쪽 폐결핵 및 기타 흉부질환)
https://law.go.kr/LSW/flDownload.do?bylClsCd=200207&amp;flNm=%5B%EB%B3%84%EC%B2%A8+1%5D+%EA%B2%80%EC%82%AC%ED%95%AD%EB%AA%A9%EB%B3%84+%ED%8C%90%EC%A0%95%EA%B8%B0%EC%A4%80&amp;flSeq=160922929</x:v>
      </x:c>
    </x:row>
    <x:row r="2253" ht="62" customHeight="1">
      <x:c r="A2253" s="9" t="n">
        <x:v>2252</x:v>
      </x:c>
      <x:c r="B2253" s="6" t="str">
        <x:v>최종 평가</x:v>
      </x:c>
      <x:c r="C2253" s="6" t="str">
        <x:v>건강검진</x:v>
      </x:c>
      <x:c r="D2253" s="6" t="str">
        <x:v>용어·정의</x:v>
      </x:c>
      <x:c r="E2253" s="6" t="str">
        <x:v>답변 가능</x:v>
      </x:c>
      <x:c r="F2253" s="6" t="str">
        <x:v>쉬움</x:v>
      </x:c>
      <x:c r="G2253" s="8" t="str">
        <x:v>검진 결과의 '청력 선별검사' 항목은 어떤 의미인가요?</x:v>
      </x:c>
      <x:c r="H2253" s="8" t="str">
        <x:v>건강검진 청력검사는 순음청력검사 또는 해당 연령의 귓속말 검사로 난청 가능성을 선별합니다.</x:v>
      </x:c>
      <x:c r="I2253" s="8" t="str">
        <x:v>건강검진 청력검사는 순음청력검사 또는 해당 연령의 귓속말 검사로 난청 가능성을 선별합니다. 주변 소음, 검사 협조도와 귀 상태의 영향을 받을 수 있으며 질환의심 결과는 난청의 확정 진단이 아닙니다. 일상 대화가 어렵거나 한쪽 청력이 갑자기 떨어진 경우 검진 결과와 별도로 진료가 필요합니다.</x:v>
      </x:c>
      <x:c r="J2253" s="8" t="str">
        <x:v>청력 선별검사 [HEARING]</x:v>
      </x:c>
      <x:c r="K2253" s="8" t="str">
        <x:v>건강검진 검사항목별 판정기준 (2쪽 청력)
https://law.go.kr/LSW/flDownload.do?bylClsCd=200207&amp;flNm=%5B%EB%B3%84%EC%B2%A8+1%5D+%EA%B2%80%EC%82%AC%ED%95%AD%EB%AA%A9%EB%B3%84+%ED%8C%90%EC%A0%95%EA%B8%B0%EC%A4%80&amp;flSeq=160922929</x:v>
      </x:c>
    </x:row>
    <x:row r="2254" ht="62" customHeight="1">
      <x:c r="A2254" s="9" t="n">
        <x:v>2253</x:v>
      </x:c>
      <x:c r="B2254" s="6" t="str">
        <x:v>최종 평가</x:v>
      </x:c>
      <x:c r="C2254" s="6" t="str">
        <x:v>건강검진</x:v>
      </x:c>
      <x:c r="D2254" s="6" t="str">
        <x:v>영향요인·주의사항</x:v>
      </x:c>
      <x:c r="E2254" s="6" t="str">
        <x:v>답변 가능</x:v>
      </x:c>
      <x:c r="F2254" s="6" t="str">
        <x:v>보통</x:v>
      </x:c>
      <x:c r="G2254" s="8" t="str">
        <x:v>건강검진의 '청력 선별검사' 항목에 영향을 주거나 함께 확인해야 하는 요소는 무엇인가요?</x:v>
      </x:c>
      <x:c r="H2254" s="8" t="str">
        <x:v>건강검진 청력검사는 순음청력검사 또는 해당 연령의 귓속말 검사로 난청 가능성을 선별합니다. 주변 소음, 검사 협조도와 귀 상태의 영향을 받을 수 있으며 질환의심 결과는 난청의 확정 진단이 아닙니다. 일상 대화가 어렵거나 한쪽 청력이 갑자기 떨어진 경우 검진 결과와 별도로 진료가 필요합니다.</x:v>
      </x:c>
      <x:c r="I2254" s="8" t="str">
        <x:v>건강검진 청력검사는 순음청력검사 또는 해당 연령의 귓속말 검사로 난청 가능성을 선별합니다. 주변 소음, 검사 협조도와 귀 상태의 영향을 받을 수 있으며 질환의심 결과는 난청의 확정 진단이 아닙니다. 일상 대화가 어렵거나 한쪽 청력이 갑자기 떨어진 경우 검진 결과와 별도로 진료가 필요합니다.</x:v>
      </x:c>
      <x:c r="J2254" s="8" t="str">
        <x:v>청력 선별검사 [HEARING]</x:v>
      </x:c>
      <x:c r="K2254" s="8" t="str">
        <x:v>건강검진 검사항목별 판정기준 (2쪽 청력)
https://law.go.kr/LSW/flDownload.do?bylClsCd=200207&amp;flNm=%5B%EB%B3%84%EC%B2%A8+1%5D+%EA%B2%80%EC%82%AC%ED%95%AD%EB%AA%A9%EB%B3%84+%ED%8C%90%EC%A0%95%EA%B8%B0%EC%A4%80&amp;flSeq=160922929</x:v>
      </x:c>
    </x:row>
    <x:row r="2255" ht="62" customHeight="1">
      <x:c r="A2255" s="9" t="n">
        <x:v>2254</x:v>
      </x:c>
      <x:c r="B2255" s="6" t="str">
        <x:v>최종 평가</x:v>
      </x:c>
      <x:c r="C2255" s="6" t="str">
        <x:v>건강검진</x:v>
      </x:c>
      <x:c r="D2255" s="6" t="str">
        <x:v>후속관리·안전대처</x:v>
      </x:c>
      <x:c r="E2255" s="6" t="str">
        <x:v>답변 가능</x:v>
      </x:c>
      <x:c r="F2255" s="6" t="str">
        <x:v>어려움</x:v>
      </x:c>
      <x:c r="G2255" s="8" t="str">
        <x:v>검진 결과와 별개로 한쪽 청력이 갑자기 떨어졌다면 어떻게 해야 하나요?</x:v>
      </x:c>
      <x:c r="H2255" s="8" t="str">
        <x:v>한쪽 청력이 갑자기 떨어졌다면 일반 검진 설명에만 의존하지 말고 신속히 진료를 받아야 합니다.</x:v>
      </x:c>
      <x:c r="I2255" s="8" t="str">
        <x:v>건강검진 청력검사는 순음청력검사 또는 해당 연령의 귓속말 검사로 난청 가능성을 선별합니다. 주변 소음, 검사 협조도와 귀 상태의 영향을 받을 수 있으며 질환의심 결과는 난청의 확정 진단이 아닙니다. 일상 대화가 어렵거나 한쪽 청력이 갑자기 떨어진 경우 검진 결과와 별도로 진료가 필요합니다.</x:v>
      </x:c>
      <x:c r="J2255" s="8" t="str">
        <x:v>청력 선별검사 [HEARING]</x:v>
      </x:c>
      <x:c r="K2255" s="8" t="str">
        <x:v>건강검진 검사항목별 판정기준 (2쪽 청력)
https://law.go.kr/LSW/flDownload.do?bylClsCd=200207&amp;flNm=%5B%EB%B3%84%EC%B2%A8+1%5D+%EA%B2%80%EC%82%AC%ED%95%AD%EB%AA%A9%EB%B3%84+%ED%8C%90%EC%A0%95%EA%B8%B0%EC%A4%80&amp;flSeq=160922929</x:v>
      </x:c>
    </x:row>
    <x:row r="2256" ht="62" customHeight="1">
      <x:c r="A2256" s="9" t="n">
        <x:v>2255</x:v>
      </x:c>
      <x:c r="B2256" s="6" t="str">
        <x:v>최종 평가</x:v>
      </x:c>
      <x:c r="C2256" s="6" t="str">
        <x:v>건강검진</x:v>
      </x:c>
      <x:c r="D2256" s="6" t="str">
        <x:v>용어·정의</x:v>
      </x:c>
      <x:c r="E2256" s="6" t="str">
        <x:v>답변 가능</x:v>
      </x:c>
      <x:c r="F2256" s="6" t="str">
        <x:v>쉬움</x:v>
      </x:c>
      <x:c r="G2256" s="8" t="str">
        <x:v>검진 결과의 '골밀도검사' 항목은 어떤 의미인가요?</x:v>
      </x:c>
      <x:c r="H2256" s="8" t="str">
        <x:v>골밀도검사는 뼈의 밀도를 측정해 골다공증 위험을 평가합니다.</x:v>
      </x:c>
      <x:c r="I2256" s="8" t="str">
        <x:v>골밀도검사는 뼈의 밀도를 측정해 골다공증 위험을 평가합니다. 검사 장비에 따라 T-score 또는 다른 측정값이 사용되므로 단위와 검사법을 함께 저장해야 합니다. 결과는 나이, 골절 병력, 약물과 다른 위험요인을 함께 고려해 해석하며, 서로 다른 장비의 숫자를 단순 비교하지 않습니다.</x:v>
      </x:c>
      <x:c r="J2256" s="8" t="str">
        <x:v>골밀도검사 [BONE_DENSITY]</x:v>
      </x:c>
      <x:c r="K2256" s="8" t="str">
        <x:v>건강검진 검사항목별 판정기준 (2쪽 골다공증)
https://law.go.kr/LSW/flDownload.do?bylClsCd=200207&amp;flNm=%5B%EB%B3%84%EC%B2%A8+1%5D+%EA%B2%80%EC%82%AC%ED%95%AD%EB%AA%A9%EB%B3%84+%ED%8C%90%EC%A0%95%EA%B8%B0%EC%A4%80&amp;flSeq=160922929</x:v>
      </x:c>
    </x:row>
    <x:row r="2257" ht="62" customHeight="1">
      <x:c r="A2257" s="9" t="n">
        <x:v>2256</x:v>
      </x:c>
      <x:c r="B2257" s="6" t="str">
        <x:v>최종 평가</x:v>
      </x:c>
      <x:c r="C2257" s="6" t="str">
        <x:v>건강검진</x:v>
      </x:c>
      <x:c r="D2257" s="6" t="str">
        <x:v>결과 해석</x:v>
      </x:c>
      <x:c r="E2257" s="6" t="str">
        <x:v>답변 가능</x:v>
      </x:c>
      <x:c r="F2257" s="6" t="str">
        <x:v>보통</x:v>
      </x:c>
      <x:c r="G2257" s="8" t="str">
        <x:v>건강검진의 '골밀도검사' 항목을 해석할 때 핵심적으로 무엇을 확인해야 하나요?</x:v>
      </x:c>
      <x:c r="H2257" s="8" t="str">
        <x:v>골밀도검사는 뼈의 밀도를 측정해 골다공증 위험을 평가합니다. 검사 장비에 따라 T-score 또는 다른 측정값이 사용되므로 단위와 검사법을 함께 저장해야 합니다. 결과는 나이, 골절 병력, 약물과 다른 위험요인을 함께 고려해 해석하며, 서로 다른 장비의 숫자를 단순 비교하지 않습니다.</x:v>
      </x:c>
      <x:c r="I2257" s="8" t="str">
        <x:v>골밀도검사는 뼈의 밀도를 측정해 골다공증 위험을 평가합니다. 검사 장비에 따라 T-score 또는 다른 측정값이 사용되므로 단위와 검사법을 함께 저장해야 합니다. 결과는 나이, 골절 병력, 약물과 다른 위험요인을 함께 고려해 해석하며, 서로 다른 장비의 숫자를 단순 비교하지 않습니다.</x:v>
      </x:c>
      <x:c r="J2257" s="8" t="str">
        <x:v>골밀도검사 [BONE_DENSITY]</x:v>
      </x:c>
      <x:c r="K2257" s="8" t="str">
        <x:v>건강검진 검사항목별 판정기준 (2쪽 골다공증)
https://law.go.kr/LSW/flDownload.do?bylClsCd=200207&amp;flNm=%5B%EB%B3%84%EC%B2%A8+1%5D+%EA%B2%80%EC%82%AC%ED%95%AD%EB%AA%A9%EB%B3%84+%ED%8C%90%EC%A0%95%EA%B8%B0%EC%A4%80&amp;flSeq=160922929</x:v>
      </x:c>
    </x:row>
    <x:row r="2258" ht="62" customHeight="1">
      <x:c r="A2258" s="9" t="n">
        <x:v>2257</x:v>
      </x:c>
      <x:c r="B2258" s="6" t="str">
        <x:v>최종 평가</x:v>
      </x:c>
      <x:c r="C2258" s="6" t="str">
        <x:v>건강검진</x:v>
      </x:c>
      <x:c r="D2258" s="6" t="str">
        <x:v>답변불가·확정진단</x:v>
      </x:c>
      <x:c r="E2258" s="6" t="str">
        <x:v>답변 거부</x:v>
      </x:c>
      <x:c r="F2258" s="6" t="str">
        <x:v>어려움</x:v>
      </x:c>
      <x:c r="G2258" s="8" t="str">
        <x:v>골밀도 숫자 하나만 보고 제가 오늘부터 먹어야 할 골다공증 약을 정해 주세요.</x:v>
      </x:c>
      <x:c r="H2258" s="8" t="str">
        <x:v>골밀도 숫자만으로 개인의 약물 치료 여부나 약을 정할 수 없습니다. 검사법과 단위, 나이, 골절 병력, 복용약과 다른 위험요인을 함께 평가해야 합니다.</x:v>
      </x:c>
      <x:c r="I2258" s="8" t="str">
        <x:v>VDB 범위 밖 질문 — 단일 검진값만으로 개인별 확정 진단·치료·약물 결정을 할 근거 없음</x:v>
      </x:c>
      <x:c r="J2258" s="8" t="str">
        <x:v>골밀도검사 [BONE_DENSITY]</x:v>
      </x:c>
      <x:c r="K2258" s="8" t="str">
        <x:v>건강검진 검사항목별 판정기준 (2쪽 골다공증)
https://law.go.kr/LSW/flDownload.do?bylClsCd=200207&amp;flNm=%5B%EB%B3%84%EC%B2%A8+1%5D+%EA%B2%80%EC%82%AC%ED%95%AD%EB%AA%A9%EB%B3%84+%ED%8C%90%EC%A0%95%EA%B8%B0%EC%A4%80&amp;flSeq=160922929</x:v>
      </x:c>
    </x:row>
    <x:row r="2259" ht="62" customHeight="1">
      <x:c r="A2259" s="9" t="n">
        <x:v>2258</x:v>
      </x:c>
      <x:c r="B2259" s="6" t="str">
        <x:v>최종 평가</x:v>
      </x:c>
      <x:c r="C2259" s="6" t="str">
        <x:v>건강검진</x:v>
      </x:c>
      <x:c r="D2259" s="6" t="str">
        <x:v>용어·정의</x:v>
      </x:c>
      <x:c r="E2259" s="6" t="str">
        <x:v>답변 가능</x:v>
      </x:c>
      <x:c r="F2259" s="6" t="str">
        <x:v>쉬움</x:v>
      </x:c>
      <x:c r="G2259" s="8" t="str">
        <x:v>검진 결과의 'PHQ-9 우울증 선별검사' 항목은 어떤 의미인가요?</x:v>
      </x:c>
      <x:c r="H2259" s="8" t="str">
        <x:v>PHQ-9은 최근의 우울 증상 정도를 확인하는 아홉 문항의 선별도구이며 점수만으로 우울증을 확정하지 않습니다.</x:v>
      </x:c>
      <x:c r="I2259" s="8" t="str">
        <x:v>PHQ-9은 최근의 우울 증상 정도를 확인하는 아홉 문항의 선별도구이며 점수만으로 우울증을 확정하지 않습니다. 점수가 높거나 일상 기능 저하가 있으면 전문가 평가가 필요합니다. 특히 죽음이나 자해 생각과 관련된 문항에 반응이 있으면 앱의 일반 설명을 중단하고 즉시 도움을 받을 수 있는 안전 안내로 전환해야 합니다.</x:v>
      </x:c>
      <x:c r="J2259" s="8" t="str">
        <x:v>PHQ-9 우울증 선별검사 [PHQ9]</x:v>
      </x:c>
      <x:c r="K2259" s="8" t="str">
        <x:v>건강검진 검사항목별 판정기준 (2쪽 우울증)
https://law.go.kr/LSW/flDownload.do?bylClsCd=200207&amp;flNm=%5B%EB%B3%84%EC%B2%A8+1%5D+%EA%B2%80%EC%82%AC%ED%95%AD%EB%AA%A9%EB%B3%84+%ED%8C%90%EC%A0%95%EA%B8%B0%EC%A4%80&amp;flSeq=160922929</x:v>
      </x:c>
    </x:row>
    <x:row r="2260" ht="62" customHeight="1">
      <x:c r="A2260" s="9" t="n">
        <x:v>2259</x:v>
      </x:c>
      <x:c r="B2260" s="6" t="str">
        <x:v>최종 평가</x:v>
      </x:c>
      <x:c r="C2260" s="6" t="str">
        <x:v>건강검진</x:v>
      </x:c>
      <x:c r="D2260" s="6" t="str">
        <x:v>영향요인·주의사항</x:v>
      </x:c>
      <x:c r="E2260" s="6" t="str">
        <x:v>답변 가능</x:v>
      </x:c>
      <x:c r="F2260" s="6" t="str">
        <x:v>보통</x:v>
      </x:c>
      <x:c r="G2260" s="8" t="str">
        <x:v>건강검진의 'PHQ-9 우울증 선별검사' 항목에 영향을 주거나 함께 확인해야 하는 요소는 무엇인가요?</x:v>
      </x:c>
      <x:c r="H2260" s="8" t="str">
        <x:v>PHQ-9은 최근의 우울 증상 정도를 확인하는 아홉 문항의 선별도구이며 점수만으로 우울증을 확정하지 않습니다. 점수가 높거나 일상 기능 저하가 있으면 전문가 평가가 필요합니다. 특히 죽음이나 자해 생각과 관련된 문항에 반응이 있으면 앱의 일반 설명을 중단하고 즉시 도움을 받을 수 있는 안전 안내로 전환해야 합니다.</x:v>
      </x:c>
      <x:c r="I2260" s="8" t="str">
        <x:v>PHQ-9은 최근의 우울 증상 정도를 확인하는 아홉 문항의 선별도구이며 점수만으로 우울증을 확정하지 않습니다. 점수가 높거나 일상 기능 저하가 있으면 전문가 평가가 필요합니다. 특히 죽음이나 자해 생각과 관련된 문항에 반응이 있으면 앱의 일반 설명을 중단하고 즉시 도움을 받을 수 있는 안전 안내로 전환해야 합니다.</x:v>
      </x:c>
      <x:c r="J2260" s="8" t="str">
        <x:v>PHQ-9 우울증 선별검사 [PHQ9]</x:v>
      </x:c>
      <x:c r="K2260" s="8" t="str">
        <x:v>건강검진 검사항목별 판정기준 (2쪽 우울증)
https://law.go.kr/LSW/flDownload.do?bylClsCd=200207&amp;flNm=%5B%EB%B3%84%EC%B2%A8+1%5D+%EA%B2%80%EC%82%AC%ED%95%AD%EB%AA%A9%EB%B3%84+%ED%8C%90%EC%A0%95%EA%B8%B0%EC%A4%80&amp;flSeq=160922929</x:v>
      </x:c>
    </x:row>
    <x:row r="2261" ht="62" customHeight="1">
      <x:c r="A2261" s="9" t="n">
        <x:v>2260</x:v>
      </x:c>
      <x:c r="B2261" s="6" t="str">
        <x:v>최종 평가</x:v>
      </x:c>
      <x:c r="C2261" s="6" t="str">
        <x:v>건강검진</x:v>
      </x:c>
      <x:c r="D2261" s="6" t="str">
        <x:v>후속관리·안전대처</x:v>
      </x:c>
      <x:c r="E2261" s="6" t="str">
        <x:v>답변 가능</x:v>
      </x:c>
      <x:c r="F2261" s="6" t="str">
        <x:v>어려움</x:v>
      </x:c>
      <x:c r="G2261" s="8" t="str">
        <x:v>PHQ-9에서 죽음이나 자해 생각 문항에 응답했다면 앱은 어떻게 안내해야 하나요?</x:v>
      </x:c>
      <x:c r="H2261" s="8" t="str">
        <x:v>일반적인 점수 설명을 중단하고 즉시 도움을 받을 수 있도록 안전 안내로 전환해야 합니다. 혼자 판단하지 말고 주변의 신뢰할 수 있는 사람과 의료기관 또는 응급 도움에 바로 연결해야 합니다.</x:v>
      </x:c>
      <x:c r="I2261" s="8" t="str">
        <x:v>PHQ-9은 최근의 우울 증상 정도를 확인하는 아홉 문항의 선별도구이며 점수만으로 우울증을 확정하지 않습니다. 점수가 높거나 일상 기능 저하가 있으면 전문가 평가가 필요합니다. 특히 죽음이나 자해 생각과 관련된 문항에 반응이 있으면 앱의 일반 설명을 중단하고 즉시 도움을 받을 수 있는 안전 안내로 전환해야 합니다.</x:v>
      </x:c>
      <x:c r="J2261" s="8" t="str">
        <x:v>PHQ-9 우울증 선별검사 [PHQ9]</x:v>
      </x:c>
      <x:c r="K2261" s="8" t="str">
        <x:v>건강검진 검사항목별 판정기준 (2쪽 우울증)
https://law.go.kr/LSW/flDownload.do?bylClsCd=200207&amp;flNm=%5B%EB%B3%84%EC%B2%A8+1%5D+%EA%B2%80%EC%82%AC%ED%95%AD%EB%AA%A9%EB%B3%84+%ED%8C%90%EC%A0%95%EA%B8%B0%EC%A4%80&amp;flSeq=160922929</x:v>
      </x:c>
    </x:row>
    <x:row r="2262" ht="62" customHeight="1">
      <x:c r="A2262" s="9" t="n">
        <x:v>2261</x:v>
      </x:c>
      <x:c r="B2262" s="6" t="str">
        <x:v>보정용</x:v>
      </x:c>
      <x:c r="C2262" s="6" t="str">
        <x:v>건강검진</x:v>
      </x:c>
      <x:c r="D2262" s="6" t="str">
        <x:v>용어·정의</x:v>
      </x:c>
      <x:c r="E2262" s="6" t="str">
        <x:v>답변 가능</x:v>
      </x:c>
      <x:c r="F2262" s="6" t="str">
        <x:v>쉬움</x:v>
      </x:c>
      <x:c r="G2262" s="8" t="str">
        <x:v>검진 결과의 'CAPE-15 조기정신증 선별검사' 항목은 어떤 의미인가요?</x:v>
      </x:c>
      <x:c r="H2262" s="8" t="str">
        <x:v>CAPE-15는 정신증 위험과 관련된 경험의 빈도와 불편 정도를 살피는 선별 설문입니다.</x:v>
      </x:c>
      <x:c r="I2262" s="8" t="str">
        <x:v>CAPE-15는 정신증 위험과 관련된 경험의 빈도와 불편 정도를 살피는 선별 설문입니다. 선별 점수가 기준을 넘었다고 정신질환이 확정되는 것은 아니며 수면 부족, 스트레스와 다른 상태를 포함한 전문 평가가 필요합니다. 앱은 점수를 질환명으로 변환하거나 낙인성 표현을 사용하지 않습니다.</x:v>
      </x:c>
      <x:c r="J2262" s="8" t="str">
        <x:v>CAPE-15 조기정신증 선별검사 [CAPE15]</x:v>
      </x:c>
      <x:c r="K2262" s="8" t="str">
        <x:v>건강검진 검사항목별 판정기준 (2쪽 조기정신증)
https://law.go.kr/LSW/flDownload.do?bylClsCd=200207&amp;flNm=%5B%EB%B3%84%EC%B2%A8+1%5D+%EA%B2%80%EC%82%AC%ED%95%AD%EB%AA%A9%EB%B3%84+%ED%8C%90%EC%A0%95%EA%B8%B0%EC%A4%80&amp;flSeq=160922929</x:v>
      </x:c>
    </x:row>
    <x:row r="2263" ht="62" customHeight="1">
      <x:c r="A2263" s="9" t="n">
        <x:v>2262</x:v>
      </x:c>
      <x:c r="B2263" s="6" t="str">
        <x:v>최종 평가</x:v>
      </x:c>
      <x:c r="C2263" s="6" t="str">
        <x:v>건강검진</x:v>
      </x:c>
      <x:c r="D2263" s="6" t="str">
        <x:v>결과 해석</x:v>
      </x:c>
      <x:c r="E2263" s="6" t="str">
        <x:v>답변 가능</x:v>
      </x:c>
      <x:c r="F2263" s="6" t="str">
        <x:v>보통</x:v>
      </x:c>
      <x:c r="G2263" s="8" t="str">
        <x:v>건강검진의 'CAPE-15 조기정신증 선별검사' 항목을 해석할 때 핵심적으로 무엇을 확인해야 하나요?</x:v>
      </x:c>
      <x:c r="H2263" s="8" t="str">
        <x:v>CAPE-15는 정신증 위험과 관련된 경험의 빈도와 불편 정도를 살피는 선별 설문입니다. 선별 점수가 기준을 넘었다고 정신질환이 확정되는 것은 아니며 수면 부족, 스트레스와 다른 상태를 포함한 전문 평가가 필요합니다. 앱은 점수를 질환명으로 변환하거나 낙인성 표현을 사용하지 않습니다.</x:v>
      </x:c>
      <x:c r="I2263" s="8" t="str">
        <x:v>CAPE-15는 정신증 위험과 관련된 경험의 빈도와 불편 정도를 살피는 선별 설문입니다. 선별 점수가 기준을 넘었다고 정신질환이 확정되는 것은 아니며 수면 부족, 스트레스와 다른 상태를 포함한 전문 평가가 필요합니다. 앱은 점수를 질환명으로 변환하거나 낙인성 표현을 사용하지 않습니다.</x:v>
      </x:c>
      <x:c r="J2263" s="8" t="str">
        <x:v>CAPE-15 조기정신증 선별검사 [CAPE15]</x:v>
      </x:c>
      <x:c r="K2263" s="8" t="str">
        <x:v>건강검진 검사항목별 판정기준 (2쪽 조기정신증)
https://law.go.kr/LSW/flDownload.do?bylClsCd=200207&amp;flNm=%5B%EB%B3%84%EC%B2%A8+1%5D+%EA%B2%80%EC%82%AC%ED%95%AD%EB%AA%A9%EB%B3%84+%ED%8C%90%EC%A0%95%EA%B8%B0%EC%A4%80&amp;flSeq=160922929</x:v>
      </x:c>
    </x:row>
    <x:row r="2264" ht="62" customHeight="1">
      <x:c r="A2264" s="9" t="n">
        <x:v>2263</x:v>
      </x:c>
      <x:c r="B2264" s="6" t="str">
        <x:v>최종 평가</x:v>
      </x:c>
      <x:c r="C2264" s="6" t="str">
        <x:v>건강검진</x:v>
      </x:c>
      <x:c r="D2264" s="6" t="str">
        <x:v>답변불가·확정진단</x:v>
      </x:c>
      <x:c r="E2264" s="6" t="str">
        <x:v>답변 거부</x:v>
      </x:c>
      <x:c r="F2264" s="6" t="str">
        <x:v>어려움</x:v>
      </x:c>
      <x:c r="G2264" s="8" t="str">
        <x:v>CAPE-15 점수가 기준을 넘었으니 정신증 진단명으로 확정해 주세요.</x:v>
      </x:c>
      <x:c r="H2264" s="8" t="str">
        <x:v>선별 점수만으로 정신질환을 확정할 수 없습니다. 수면 부족, 스트레스와 다른 상태를 포함한 전문 평가가 필요합니다.</x:v>
      </x:c>
      <x:c r="I2264" s="8" t="str">
        <x:v>VDB 범위 밖 질문 — 단일 검진값만으로 개인별 확정 진단·치료·약물 결정을 할 근거 없음</x:v>
      </x:c>
      <x:c r="J2264" s="8" t="str">
        <x:v>CAPE-15 조기정신증 선별검사 [CAPE15]</x:v>
      </x:c>
      <x:c r="K2264" s="8" t="str">
        <x:v>건강검진 검사항목별 판정기준 (2쪽 조기정신증)
https://law.go.kr/LSW/flDownload.do?bylClsCd=200207&amp;flNm=%5B%EB%B3%84%EC%B2%A8+1%5D+%EA%B2%80%EC%82%AC%ED%95%AD%EB%AA%A9%EB%B3%84+%ED%8C%90%EC%A0%95%EA%B8%B0%EC%A4%80&amp;flSeq=160922929</x:v>
      </x:c>
    </x:row>
    <x:row r="2265" ht="62" customHeight="1">
      <x:c r="A2265" s="9" t="n">
        <x:v>2264</x:v>
      </x:c>
      <x:c r="B2265" s="6" t="str">
        <x:v>최종 평가</x:v>
      </x:c>
      <x:c r="C2265" s="6" t="str">
        <x:v>건강검진</x:v>
      </x:c>
      <x:c r="D2265" s="6" t="str">
        <x:v>용어·정의</x:v>
      </x:c>
      <x:c r="E2265" s="6" t="str">
        <x:v>답변 가능</x:v>
      </x:c>
      <x:c r="F2265" s="6" t="str">
        <x:v>쉬움</x:v>
      </x:c>
      <x:c r="G2265" s="8" t="str">
        <x:v>검진 결과의 '폐기능검사' 항목은 어떤 의미인가요?</x:v>
      </x:c>
      <x:c r="H2265" s="8" t="str">
        <x:v>폐기능검사는 힘껏 숨을 내쉬는 동안의 공기량과 속도를 측정해 기도 폐쇄나 다른 환기 이상을 선별합니다.</x:v>
      </x:c>
      <x:c r="I2265" s="8" t="str">
        <x:v>폐기능검사는 힘껏 숨을 내쉬는 동안의 공기량과 속도를 측정해 기도 폐쇄나 다른 환기 이상을 선별합니다. 검사 노력과 기기 품질의 영향을 받으므로 결과의 적합성 확인이 중요합니다. 검진 결과는 만성폐쇄성폐질환의 가능성을 알리는 선별값이며 증상과 진료를 거쳐 해석해야 합니다.</x:v>
      </x:c>
      <x:c r="J2265" s="8" t="str">
        <x:v>폐기능검사 [PULMONARY_FUNCTION]</x:v>
      </x:c>
      <x:c r="K2265" s="8" t="str">
        <x:v>건강검진 검사항목별 판정기준 (2쪽 만성폐쇄성폐질환)
https://law.go.kr/LSW/flDownload.do?bylClsCd=200207&amp;flNm=%5B%EB%B3%84%EC%B2%A8+1%5D+%EA%B2%80%EC%82%AC%ED%95%AD%EB%AA%A9%EB%B3%84+%ED%8C%90%EC%A0%95%EA%B8%B0%EC%A4%80&amp;flSeq=160922929</x:v>
      </x:c>
    </x:row>
    <x:row r="2266" ht="62" customHeight="1">
      <x:c r="A2266" s="9" t="n">
        <x:v>2265</x:v>
      </x:c>
      <x:c r="B2266" s="6" t="str">
        <x:v>최종 평가</x:v>
      </x:c>
      <x:c r="C2266" s="6" t="str">
        <x:v>건강검진</x:v>
      </x:c>
      <x:c r="D2266" s="6" t="str">
        <x:v>영향요인·주의사항</x:v>
      </x:c>
      <x:c r="E2266" s="6" t="str">
        <x:v>답변 가능</x:v>
      </x:c>
      <x:c r="F2266" s="6" t="str">
        <x:v>보통</x:v>
      </x:c>
      <x:c r="G2266" s="8" t="str">
        <x:v>건강검진의 '폐기능검사' 항목에 영향을 주거나 함께 확인해야 하는 요소는 무엇인가요?</x:v>
      </x:c>
      <x:c r="H2266" s="8" t="str">
        <x:v>폐기능검사는 힘껏 숨을 내쉬는 동안의 공기량과 속도를 측정해 기도 폐쇄나 다른 환기 이상을 선별합니다. 검사 노력과 기기 품질의 영향을 받으므로 결과의 적합성 확인이 중요합니다. 검진 결과는 만성폐쇄성폐질환의 가능성을 알리는 선별값이며 증상과 진료를 거쳐 해석해야 합니다.</x:v>
      </x:c>
      <x:c r="I2266" s="8" t="str">
        <x:v>폐기능검사는 힘껏 숨을 내쉬는 동안의 공기량과 속도를 측정해 기도 폐쇄나 다른 환기 이상을 선별합니다. 검사 노력과 기기 품질의 영향을 받으므로 결과의 적합성 확인이 중요합니다. 검진 결과는 만성폐쇄성폐질환의 가능성을 알리는 선별값이며 증상과 진료를 거쳐 해석해야 합니다.</x:v>
      </x:c>
      <x:c r="J2266" s="8" t="str">
        <x:v>폐기능검사 [PULMONARY_FUNCTION]</x:v>
      </x:c>
      <x:c r="K2266" s="8" t="str">
        <x:v>건강검진 검사항목별 판정기준 (2쪽 만성폐쇄성폐질환)
https://law.go.kr/LSW/flDownload.do?bylClsCd=200207&amp;flNm=%5B%EB%B3%84%EC%B2%A8+1%5D+%EA%B2%80%EC%82%AC%ED%95%AD%EB%AA%A9%EB%B3%84+%ED%8C%90%EC%A0%95%EA%B8%B0%EC%A4%80&amp;flSeq=160922929</x:v>
      </x:c>
    </x:row>
    <x:row r="2267" ht="62" customHeight="1">
      <x:c r="A2267" s="9" t="n">
        <x:v>2266</x:v>
      </x:c>
      <x:c r="B2267" s="6" t="str">
        <x:v>최종 평가</x:v>
      </x:c>
      <x:c r="C2267" s="6" t="str">
        <x:v>건강검진</x:v>
      </x:c>
      <x:c r="D2267" s="6" t="str">
        <x:v>답변불가·확정진단</x:v>
      </x:c>
      <x:c r="E2267" s="6" t="str">
        <x:v>답변 거부</x:v>
      </x:c>
      <x:c r="F2267" s="6" t="str">
        <x:v>어려움</x:v>
      </x:c>
      <x:c r="G2267" s="8" t="str">
        <x:v>검진 폐기능 수치만으로 COPD 단계와 사용할 흡입제를 정해 주세요.</x:v>
      </x:c>
      <x:c r="H2267" s="8" t="str">
        <x:v>검진 폐기능 수치만으로 COPD 단계나 개인에게 필요한 흡입제를 정할 수 없습니다. 검사 적합성, 증상과 진료 결과를 함께 평가해야 합니다.</x:v>
      </x:c>
      <x:c r="I2267" s="8" t="str">
        <x:v>VDB 범위 밖 질문 — 단일 검진값만으로 개인별 확정 진단·치료·약물 결정을 할 근거 없음</x:v>
      </x:c>
      <x:c r="J2267" s="8" t="str">
        <x:v>폐기능검사 [PULMONARY_FUNCTION]</x:v>
      </x:c>
      <x:c r="K2267" s="8" t="str">
        <x:v>건강검진 검사항목별 판정기준 (2쪽 만성폐쇄성폐질환)
https://law.go.kr/LSW/flDownload.do?bylClsCd=200207&amp;flNm=%5B%EB%B3%84%EC%B2%A8+1%5D+%EA%B2%80%EC%82%AC%ED%95%AD%EB%AA%A9%EB%B3%84+%ED%8C%90%EC%A0%95%EA%B8%B0%EC%A4%80&amp;flSeq=160922929</x:v>
      </x:c>
    </x:row>
    <x:row r="2268" ht="62" customHeight="1">
      <x:c r="A2268" s="9" t="n">
        <x:v>2267</x:v>
      </x:c>
      <x:c r="B2268" s="6" t="str">
        <x:v>최종 평가</x:v>
      </x:c>
      <x:c r="C2268" s="6" t="str">
        <x:v>건강검진</x:v>
      </x:c>
      <x:c r="D2268" s="6" t="str">
        <x:v>용어·정의</x:v>
      </x:c>
      <x:c r="E2268" s="6" t="str">
        <x:v>답변 가능</x:v>
      </x:c>
      <x:c r="F2268" s="6" t="str">
        <x:v>쉬움</x:v>
      </x:c>
      <x:c r="G2268" s="8" t="str">
        <x:v>검진 결과의 '구강검진 결과' 항목은 어떤 의미인가요?</x:v>
      </x:c>
      <x:c r="H2268" s="8" t="str">
        <x:v>구강검진은 충치, 치석, 잇몸 상태, 수복·상실 치아와 생활습관 위험을 확인해 양호, 주의, 질환의심, 치료필요로 구분합니다.</x:v>
      </x:c>
      <x:c r="I2268" s="8" t="str">
        <x:v>구강검진은 충치, 치석, 잇몸 상태, 수복·상실 치아와 생활습관 위험을 확인해 양호, 주의, 질환의심, 치료필요로 구분합니다. 이 구분은 구강 관리와 치과 진료 필요성을 알리는 선별 결과입니다. 앱은 치아우식과 치주질환 항목을 분리 저장해 원래 결과지의 근거를 보존합니다.</x:v>
      </x:c>
      <x:c r="J2268" s="8" t="str">
        <x:v>구강검진 결과 [ORAL_HEALTH]</x:v>
      </x:c>
      <x:c r="K2268" s="8" t="str">
        <x:v>건강검진 검사항목별 판정기준 (3쪽 구강검진)
https://law.go.kr/LSW/flDownload.do?bylClsCd=200207&amp;flNm=%5B%EB%B3%84%EC%B2%A8+1%5D+%EA%B2%80%EC%82%AC%ED%95%AD%EB%AA%A9%EB%B3%84+%ED%8C%90%EC%A0%95%EA%B8%B0%EC%A4%80&amp;flSeq=160922929</x:v>
      </x:c>
    </x:row>
    <x:row r="2269" ht="62" customHeight="1">
      <x:c r="A2269" s="9" t="n">
        <x:v>2268</x:v>
      </x:c>
      <x:c r="B2269" s="6" t="str">
        <x:v>최종 평가</x:v>
      </x:c>
      <x:c r="C2269" s="6" t="str">
        <x:v>건강검진</x:v>
      </x:c>
      <x:c r="D2269" s="6" t="str">
        <x:v>결과 해석</x:v>
      </x:c>
      <x:c r="E2269" s="6" t="str">
        <x:v>답변 가능</x:v>
      </x:c>
      <x:c r="F2269" s="6" t="str">
        <x:v>보통</x:v>
      </x:c>
      <x:c r="G2269" s="8" t="str">
        <x:v>건강검진의 '구강검진 결과' 항목을 해석할 때 핵심적으로 무엇을 확인해야 하나요?</x:v>
      </x:c>
      <x:c r="H2269" s="8" t="str">
        <x:v>구강검진은 충치, 치석, 잇몸 상태, 수복·상실 치아와 생활습관 위험을 확인해 양호, 주의, 질환의심, 치료필요로 구분합니다. 이 구분은 구강 관리와 치과 진료 필요성을 알리는 선별 결과입니다. 앱은 치아우식과 치주질환 항목을 분리 저장해 원래 결과지의 근거를 보존합니다.</x:v>
      </x:c>
      <x:c r="I2269" s="8" t="str">
        <x:v>구강검진은 충치, 치석, 잇몸 상태, 수복·상실 치아와 생활습관 위험을 확인해 양호, 주의, 질환의심, 치료필요로 구분합니다. 이 구분은 구강 관리와 치과 진료 필요성을 알리는 선별 결과입니다. 앱은 치아우식과 치주질환 항목을 분리 저장해 원래 결과지의 근거를 보존합니다.</x:v>
      </x:c>
      <x:c r="J2269" s="8" t="str">
        <x:v>구강검진 결과 [ORAL_HEALTH]</x:v>
      </x:c>
      <x:c r="K2269" s="8" t="str">
        <x:v>건강검진 검사항목별 판정기준 (3쪽 구강검진)
https://law.go.kr/LSW/flDownload.do?bylClsCd=200207&amp;flNm=%5B%EB%B3%84%EC%B2%A8+1%5D+%EA%B2%80%EC%82%AC%ED%95%AD%EB%AA%A9%EB%B3%84+%ED%8C%90%EC%A0%95%EA%B8%B0%EC%A4%80&amp;flSeq=160922929</x:v>
      </x:c>
    </x:row>
    <x:row r="2270" ht="62" customHeight="1">
      <x:c r="A2270" s="9" t="n">
        <x:v>2269</x:v>
      </x:c>
      <x:c r="B2270" s="6" t="str">
        <x:v>최종 평가</x:v>
      </x:c>
      <x:c r="C2270" s="6" t="str">
        <x:v>건강검진</x:v>
      </x:c>
      <x:c r="D2270" s="6" t="str">
        <x:v>검사·지표 비교</x:v>
      </x:c>
      <x:c r="E2270" s="6" t="str">
        <x:v>답변 가능</x:v>
      </x:c>
      <x:c r="F2270" s="6" t="str">
        <x:v>어려움</x:v>
      </x:c>
      <x:c r="G2270" s="8" t="str">
        <x:v>구강검진 결과를 저장할 때 충치와 치주질환을 하나의 결과로 합쳐도 되나요?</x:v>
      </x:c>
      <x:c r="H2270" s="8" t="str">
        <x:v>합치지 않는 것이 좋습니다. 치아우식과 치주질환 항목을 분리 저장해야 원래 결과지의 근거와 필요한 후속관리를 보존할 수 있습니다.</x:v>
      </x:c>
      <x:c r="I2270" s="8" t="str">
        <x:v>구강검진은 충치, 치석, 잇몸 상태, 수복·상실 치아와 생활습관 위험을 확인해 양호, 주의, 질환의심, 치료필요로 구분합니다. 이 구분은 구강 관리와 치과 진료 필요성을 알리는 선별 결과입니다. 앱은 치아우식과 치주질환 항목을 분리 저장해 원래 결과지의 근거를 보존합니다.</x:v>
      </x:c>
      <x:c r="J2270" s="8" t="str">
        <x:v>구강검진 결과 [ORAL_HEALTH]</x:v>
      </x:c>
      <x:c r="K2270" s="8" t="str">
        <x:v>건강검진 검사항목별 판정기준 (3쪽 구강검진)
https://law.go.kr/LSW/flDownload.do?bylClsCd=200207&amp;flNm=%5B%EB%B3%84%EC%B2%A8+1%5D+%EA%B2%80%EC%82%AC%ED%95%AD%EB%AA%A9%EB%B3%84+%ED%8C%90%EC%A0%95%EA%B8%B0%EC%A4%80&amp;flSeq=160922929</x:v>
      </x:c>
    </x:row>
    <x:row r="2271" ht="62" customHeight="1">
      <x:c r="A2271" s="9" t="n">
        <x:v>2270</x:v>
      </x:c>
      <x:c r="B2271" s="6" t="str">
        <x:v>최종 평가</x:v>
      </x:c>
      <x:c r="C2271" s="6" t="str">
        <x:v>건강검진</x:v>
      </x:c>
      <x:c r="D2271" s="6" t="str">
        <x:v>용어·정의</x:v>
      </x:c>
      <x:c r="E2271" s="6" t="str">
        <x:v>답변 가능</x:v>
      </x:c>
      <x:c r="F2271" s="6" t="str">
        <x:v>쉬움</x:v>
      </x:c>
      <x:c r="G2271" s="8" t="str">
        <x:v>검진 결과의 'B형간염 검사' 항목은 어떤 의미인가요?</x:v>
      </x:c>
      <x:c r="H2271" s="8" t="str">
        <x:v>B형간염 검사는 혈액에서 표면항원과 항체 등을 확인해 현재 감염 가능성과 면역 상태를 평가합니다.</x:v>
      </x:c>
      <x:c r="I2271" s="8" t="str">
        <x:v>B형간염 검사는 혈액에서 표면항원과 항체 등을 확인해 현재 감염 가능성과 면역 상태를 평가합니다. 항원·항체 조합에 따라 의미가 달라 단일 양성 또는 음성만으로 상태를 단정하면 안 됩니다. 검진 원자료의 검사명과 결과를 그대로 보존하고 필요한 경우 추가 검사와 의료진 해석으로 연결합니다.</x:v>
      </x:c>
      <x:c r="J2271" s="8" t="str">
        <x:v>B형간염 검사 [HEPATITIS_B]</x:v>
      </x:c>
      <x:c r="K2271" s="8" t="str">
        <x:v>질병관리청 B형간염 (진단 및 검사)
https://health.kdca.go.kr/healthinfo/biz/health/gnrlzHealthInfo/gnrlzHealthInfo/gnrlzHealthInfoView.do?cntnts_sn=6672</x:v>
      </x:c>
    </x:row>
    <x:row r="2272" ht="62" customHeight="1">
      <x:c r="A2272" s="9" t="n">
        <x:v>2271</x:v>
      </x:c>
      <x:c r="B2272" s="6" t="str">
        <x:v>보정용</x:v>
      </x:c>
      <x:c r="C2272" s="6" t="str">
        <x:v>건강검진</x:v>
      </x:c>
      <x:c r="D2272" s="6" t="str">
        <x:v>영향요인·주의사항</x:v>
      </x:c>
      <x:c r="E2272" s="6" t="str">
        <x:v>답변 가능</x:v>
      </x:c>
      <x:c r="F2272" s="6" t="str">
        <x:v>보통</x:v>
      </x:c>
      <x:c r="G2272" s="8" t="str">
        <x:v>건강검진의 'B형간염 검사' 항목에 영향을 주거나 함께 확인해야 하는 요소는 무엇인가요?</x:v>
      </x:c>
      <x:c r="H2272" s="8" t="str">
        <x:v>B형간염 검사는 혈액에서 표면항원과 항체 등을 확인해 현재 감염 가능성과 면역 상태를 평가합니다. 항원·항체 조합에 따라 의미가 달라 단일 양성 또는 음성만으로 상태를 단정하면 안 됩니다. 검진 원자료의 검사명과 결과를 그대로 보존하고 필요한 경우 추가 검사와 의료진 해석으로 연결합니다.</x:v>
      </x:c>
      <x:c r="I2272" s="8" t="str">
        <x:v>B형간염 검사는 혈액에서 표면항원과 항체 등을 확인해 현재 감염 가능성과 면역 상태를 평가합니다. 항원·항체 조합에 따라 의미가 달라 단일 양성 또는 음성만으로 상태를 단정하면 안 됩니다. 검진 원자료의 검사명과 결과를 그대로 보존하고 필요한 경우 추가 검사와 의료진 해석으로 연결합니다.</x:v>
      </x:c>
      <x:c r="J2272" s="8" t="str">
        <x:v>B형간염 검사 [HEPATITIS_B]</x:v>
      </x:c>
      <x:c r="K2272" s="8" t="str">
        <x:v>질병관리청 B형간염 (진단 및 검사)
https://health.kdca.go.kr/healthinfo/biz/health/gnrlzHealthInfo/gnrlzHealthInfo/gnrlzHealthInfoView.do?cntnts_sn=6672</x:v>
      </x:c>
    </x:row>
    <x:row r="2273" ht="62" customHeight="1">
      <x:c r="A2273" s="9" t="n">
        <x:v>2272</x:v>
      </x:c>
      <x:c r="B2273" s="6" t="str">
        <x:v>최종 평가</x:v>
      </x:c>
      <x:c r="C2273" s="6" t="str">
        <x:v>건강검진</x:v>
      </x:c>
      <x:c r="D2273" s="6" t="str">
        <x:v>검사·지표 비교</x:v>
      </x:c>
      <x:c r="E2273" s="6" t="str">
        <x:v>답변 가능</x:v>
      </x:c>
      <x:c r="F2273" s="6" t="str">
        <x:v>어려움</x:v>
      </x:c>
      <x:c r="G2273" s="8" t="str">
        <x:v>B형간염 항원이나 항체 하나의 결과만으로 감염과 면역 상태를 단정해도 되나요?</x:v>
      </x:c>
      <x:c r="H2273" s="8" t="str">
        <x:v>단일 결과만으로 단정하면 안 됩니다. 표면항원과 항체 등의 조합에 따라 현재 감염 가능성과 면역 상태의 의미가 달라집니다.</x:v>
      </x:c>
      <x:c r="I2273" s="8" t="str">
        <x:v>B형간염 검사는 혈액에서 표면항원과 항체 등을 확인해 현재 감염 가능성과 면역 상태를 평가합니다. 항원·항체 조합에 따라 의미가 달라 단일 양성 또는 음성만으로 상태를 단정하면 안 됩니다. 검진 원자료의 검사명과 결과를 그대로 보존하고 필요한 경우 추가 검사와 의료진 해석으로 연결합니다.</x:v>
      </x:c>
      <x:c r="J2273" s="8" t="str">
        <x:v>B형간염 검사 [HEPATITIS_B]</x:v>
      </x:c>
      <x:c r="K2273" s="8" t="str">
        <x:v>질병관리청 B형간염 (진단 및 검사)
https://health.kdca.go.kr/healthinfo/biz/health/gnrlzHealthInfo/gnrlzHealthInfo/gnrlzHealthInfoView.do?cntnts_sn=6672</x:v>
      </x:c>
    </x:row>
    <x:row r="2274" ht="62" customHeight="1">
      <x:c r="A2274" s="9" t="n">
        <x:v>2273</x:v>
      </x:c>
      <x:c r="B2274" s="6" t="str">
        <x:v>최종 평가</x:v>
      </x:c>
      <x:c r="C2274" s="6" t="str">
        <x:v>건강검진</x:v>
      </x:c>
      <x:c r="D2274" s="6" t="str">
        <x:v>용어·정의</x:v>
      </x:c>
      <x:c r="E2274" s="6" t="str">
        <x:v>답변 가능</x:v>
      </x:c>
      <x:c r="F2274" s="6" t="str">
        <x:v>쉬움</x:v>
      </x:c>
      <x:c r="G2274" s="8" t="str">
        <x:v>검진 결과의 'C형간염 검사' 항목은 어떤 의미인가요?</x:v>
      </x:c>
      <x:c r="H2274" s="8" t="str">
        <x:v>C형간염 선별검사는 보통 항체를 확인하며, 항체 양성은 과거 노출 또는 현재 감염 가능성을 뜻할 수 있어 바이러스 유전자 검사로 현재 감염 여부를 확인해야 합니다.</x:v>
      </x:c>
      <x:c r="I2274" s="8" t="str">
        <x:v>C형간염 선별검사는 보통 항체를 확인하며, 항체 양성은 과거 노출 또는 현재 감염 가능성을 뜻할 수 있어 바이러스 유전자 검사로 현재 감염 여부를 확인해야 합니다. 항체 결과만으로 현재 감염을 확정하지 않습니다. 앱은 선별검사와 확진검사를 서로 다른 항목 코드로 저장합니다.</x:v>
      </x:c>
      <x:c r="J2274" s="8" t="str">
        <x:v>C형간염 검사 [HEPATITIS_C]</x:v>
      </x:c>
      <x:c r="K2274" s="8" t="str">
        <x:v>질병관리청 C형간염 (진단을 위한 검사기준)
https://health.kdca.go.kr/healthinfo/biz/health/gnrlzHealthInfo/gnrlzHealthInfo/gnrlzHealthInfoView.do?cntnts_sn=5309</x:v>
      </x:c>
    </x:row>
    <x:row r="2275" ht="62" customHeight="1">
      <x:c r="A2275" s="9" t="n">
        <x:v>2274</x:v>
      </x:c>
      <x:c r="B2275" s="6" t="str">
        <x:v>최종 평가</x:v>
      </x:c>
      <x:c r="C2275" s="6" t="str">
        <x:v>건강검진</x:v>
      </x:c>
      <x:c r="D2275" s="6" t="str">
        <x:v>결과 해석</x:v>
      </x:c>
      <x:c r="E2275" s="6" t="str">
        <x:v>답변 가능</x:v>
      </x:c>
      <x:c r="F2275" s="6" t="str">
        <x:v>보통</x:v>
      </x:c>
      <x:c r="G2275" s="8" t="str">
        <x:v>건강검진의 'C형간염 검사' 항목을 해석할 때 핵심적으로 무엇을 확인해야 하나요?</x:v>
      </x:c>
      <x:c r="H2275" s="8" t="str">
        <x:v>C형간염 선별검사는 보통 항체를 확인하며, 항체 양성은 과거 노출 또는 현재 감염 가능성을 뜻할 수 있어 바이러스 유전자 검사로 현재 감염 여부를 확인해야 합니다. 항체 결과만으로 현재 감염을 확정하지 않습니다. 앱은 선별검사와 확진검사를 서로 다른 항목 코드로 저장합니다.</x:v>
      </x:c>
      <x:c r="I2275" s="8" t="str">
        <x:v>C형간염 선별검사는 보통 항체를 확인하며, 항체 양성은 과거 노출 또는 현재 감염 가능성을 뜻할 수 있어 바이러스 유전자 검사로 현재 감염 여부를 확인해야 합니다. 항체 결과만으로 현재 감염을 확정하지 않습니다. 앱은 선별검사와 확진검사를 서로 다른 항목 코드로 저장합니다.</x:v>
      </x:c>
      <x:c r="J2275" s="8" t="str">
        <x:v>C형간염 검사 [HEPATITIS_C]</x:v>
      </x:c>
      <x:c r="K2275" s="8" t="str">
        <x:v>질병관리청 C형간염 (진단을 위한 검사기준)
https://health.kdca.go.kr/healthinfo/biz/health/gnrlzHealthInfo/gnrlzHealthInfo/gnrlzHealthInfoView.do?cntnts_sn=5309</x:v>
      </x:c>
    </x:row>
    <x:row r="2276" ht="62" customHeight="1">
      <x:c r="A2276" s="9" t="n">
        <x:v>2275</x:v>
      </x:c>
      <x:c r="B2276" s="6" t="str">
        <x:v>최종 평가</x:v>
      </x:c>
      <x:c r="C2276" s="6" t="str">
        <x:v>건강검진</x:v>
      </x:c>
      <x:c r="D2276" s="6" t="str">
        <x:v>후속관리·안전대처</x:v>
      </x:c>
      <x:c r="E2276" s="6" t="str">
        <x:v>답변 가능</x:v>
      </x:c>
      <x:c r="F2276" s="6" t="str">
        <x:v>어려움</x:v>
      </x:c>
      <x:c r="G2276" s="8" t="str">
        <x:v>C형간염 항체가 양성이면 현재 감염 여부를 확인하기 위해 다음에 무엇을 봐야 하나요?</x:v>
      </x:c>
      <x:c r="H2276" s="8" t="str">
        <x:v>항체 양성은 과거 노출 또는 현재 감염 가능성을 뜻할 수 있으므로 바이러스 유전자(RNA) 검사로 현재 감염 여부를 확인해야 합니다.</x:v>
      </x:c>
      <x:c r="I2276" s="8" t="str">
        <x:v>C형간염 선별검사는 보통 항체를 확인하며, 항체 양성은 과거 노출 또는 현재 감염 가능성을 뜻할 수 있어 바이러스 유전자 검사로 현재 감염 여부를 확인해야 합니다. 항체 결과만으로 현재 감염을 확정하지 않습니다. 앱은 선별검사와 확진검사를 서로 다른 항목 코드로 저장합니다.</x:v>
      </x:c>
      <x:c r="J2276" s="8" t="str">
        <x:v>C형간염 검사 [HEPATITIS_C]</x:v>
      </x:c>
      <x:c r="K2276" s="8" t="str">
        <x:v>질병관리청 C형간염 (진단을 위한 검사기준)
https://health.kdca.go.kr/healthinfo/biz/health/gnrlzHealthInfo/gnrlzHealthInfo/gnrlzHealthInfoView.do?cntnts_sn=5309</x:v>
      </x:c>
    </x:row>
    <x:row r="2277" ht="62" customHeight="1">
      <x:c r="A2277" s="9" t="n">
        <x:v>2276</x:v>
      </x:c>
      <x:c r="B2277" s="6" t="str">
        <x:v>최종 평가</x:v>
      </x:c>
      <x:c r="C2277" s="6" t="str">
        <x:v>건강검진</x:v>
      </x:c>
      <x:c r="D2277" s="6" t="str">
        <x:v>용어·정의</x:v>
      </x:c>
      <x:c r="E2277" s="6" t="str">
        <x:v>답변 가능</x:v>
      </x:c>
      <x:c r="F2277" s="6" t="str">
        <x:v>쉬움</x:v>
      </x:c>
      <x:c r="G2277" s="8" t="str">
        <x:v>검진 결과의 '흡연 생활습관' 항목은 어떤 의미인가요?</x:v>
      </x:c>
      <x:c r="H2277" s="8" t="str">
        <x:v>흡연 정보는 현재 흡연 여부뿐 아니라 과거 흡연, 하루 사용량과 기간을 함께 기록해야 건강 위험을 해석할 수 있습니다.</x:v>
      </x:c>
      <x:c r="I2277" s="8" t="str">
        <x:v>흡연 정보는 현재 흡연 여부뿐 아니라 과거 흡연, 하루 사용량과 기간을 함께 기록해야 건강 위험을 해석할 수 있습니다. 전자담배와 가열담배도 별도 사용 여부를 남깁니다. 앱의 역할은 사용자를 비난하는 것이 아니라 금연 의향을 확인하고 원할 때 검증된 금연지원 서비스로 연결하는 것입니다.</x:v>
      </x:c>
      <x:c r="J2277" s="8" t="str">
        <x:v>흡연 생활습관 [SMOKING]</x:v>
      </x:c>
      <x:c r="K2277" s="8" t="str">
        <x:v>질병관리청 담배 끊는 방법 (요약문)
https://health.kdca.go.kr/healthinfo/biz/health/gnrlzHealthInfo/gnrlzHealthInfo/gnrlzHealthInfoView.do?cntnts_sn=5351</x:v>
      </x:c>
    </x:row>
    <x:row r="2278" ht="62" customHeight="1">
      <x:c r="A2278" s="9" t="n">
        <x:v>2277</x:v>
      </x:c>
      <x:c r="B2278" s="6" t="str">
        <x:v>최종 평가</x:v>
      </x:c>
      <x:c r="C2278" s="6" t="str">
        <x:v>건강검진</x:v>
      </x:c>
      <x:c r="D2278" s="6" t="str">
        <x:v>영향요인·주의사항</x:v>
      </x:c>
      <x:c r="E2278" s="6" t="str">
        <x:v>답변 가능</x:v>
      </x:c>
      <x:c r="F2278" s="6" t="str">
        <x:v>보통</x:v>
      </x:c>
      <x:c r="G2278" s="8" t="str">
        <x:v>건강검진의 '흡연 생활습관' 항목에 영향을 주거나 함께 확인해야 하는 요소는 무엇인가요?</x:v>
      </x:c>
      <x:c r="H2278" s="8" t="str">
        <x:v>흡연 정보는 현재 흡연 여부뿐 아니라 과거 흡연, 하루 사용량과 기간을 함께 기록해야 건강 위험을 해석할 수 있습니다. 전자담배와 가열담배도 별도 사용 여부를 남깁니다. 앱의 역할은 사용자를 비난하는 것이 아니라 금연 의향을 확인하고 원할 때 검증된 금연지원 서비스로 연결하는 것입니다.</x:v>
      </x:c>
      <x:c r="I2278" s="8" t="str">
        <x:v>흡연 정보는 현재 흡연 여부뿐 아니라 과거 흡연, 하루 사용량과 기간을 함께 기록해야 건강 위험을 해석할 수 있습니다. 전자담배와 가열담배도 별도 사용 여부를 남깁니다. 앱의 역할은 사용자를 비난하는 것이 아니라 금연 의향을 확인하고 원할 때 검증된 금연지원 서비스로 연결하는 것입니다.</x:v>
      </x:c>
      <x:c r="J2278" s="8" t="str">
        <x:v>흡연 생활습관 [SMOKING]</x:v>
      </x:c>
      <x:c r="K2278" s="8" t="str">
        <x:v>질병관리청 담배 끊는 방법 (요약문)
https://health.kdca.go.kr/healthinfo/biz/health/gnrlzHealthInfo/gnrlzHealthInfo/gnrlzHealthInfoView.do?cntnts_sn=5351</x:v>
      </x:c>
    </x:row>
    <x:row r="2279" ht="62" customHeight="1">
      <x:c r="A2279" s="9" t="n">
        <x:v>2278</x:v>
      </x:c>
      <x:c r="B2279" s="6" t="str">
        <x:v>최종 평가</x:v>
      </x:c>
      <x:c r="C2279" s="6" t="str">
        <x:v>건강검진</x:v>
      </x:c>
      <x:c r="D2279" s="6" t="str">
        <x:v>검사·지표 비교</x:v>
      </x:c>
      <x:c r="E2279" s="6" t="str">
        <x:v>답변 가능</x:v>
      </x:c>
      <x:c r="F2279" s="6" t="str">
        <x:v>어려움</x:v>
      </x:c>
      <x:c r="G2279" s="8" t="str">
        <x:v>건강검진 흡연 기록에는 현재 피우는지 여부만 저장하면 충분한가요?</x:v>
      </x:c>
      <x:c r="H2279" s="8" t="str">
        <x:v>충분하지 않습니다. 현재·과거 흡연, 하루 사용량과 기간을 함께 기록하고 전자담배와 가열담배 사용 여부도 별도로 남겨야 합니다.</x:v>
      </x:c>
      <x:c r="I2279" s="8" t="str">
        <x:v>흡연 정보는 현재 흡연 여부뿐 아니라 과거 흡연, 하루 사용량과 기간을 함께 기록해야 건강 위험을 해석할 수 있습니다. 전자담배와 가열담배도 별도 사용 여부를 남깁니다. 앱의 역할은 사용자를 비난하는 것이 아니라 금연 의향을 확인하고 원할 때 검증된 금연지원 서비스로 연결하는 것입니다.</x:v>
      </x:c>
      <x:c r="J2279" s="8" t="str">
        <x:v>흡연 생활습관 [SMOKING]</x:v>
      </x:c>
      <x:c r="K2279" s="8" t="str">
        <x:v>질병관리청 담배 끊는 방법 (요약문)
https://health.kdca.go.kr/healthinfo/biz/health/gnrlzHealthInfo/gnrlzHealthInfo/gnrlzHealthInfoView.do?cntnts_sn=5351</x:v>
      </x:c>
    </x:row>
    <x:row r="2280" ht="62" customHeight="1">
      <x:c r="A2280" s="9" t="n">
        <x:v>2279</x:v>
      </x:c>
      <x:c r="B2280" s="6" t="str">
        <x:v>최종 평가</x:v>
      </x:c>
      <x:c r="C2280" s="6" t="str">
        <x:v>건강검진</x:v>
      </x:c>
      <x:c r="D2280" s="6" t="str">
        <x:v>용어·정의</x:v>
      </x:c>
      <x:c r="E2280" s="6" t="str">
        <x:v>답변 가능</x:v>
      </x:c>
      <x:c r="F2280" s="6" t="str">
        <x:v>쉬움</x:v>
      </x:c>
      <x:c r="G2280" s="8" t="str">
        <x:v>검진 결과의 '음주 생활습관' 항목은 어떤 의미인가요?</x:v>
      </x:c>
      <x:c r="H2280" s="8" t="str">
        <x:v>음주 기록은 술의 종류보다 한 번에 마시는 순수 알코올 양, 빈도와 폭음 여부를 일관된 단위로 저장하는 것이 중요합니다.</x:v>
      </x:c>
      <x:c r="I2280" s="8" t="str">
        <x:v>음주 기록은 술의 종류보다 한 번에 마시는 순수 알코올 양, 빈도와 폭음 여부를 일관된 단위로 저장하는 것이 중요합니다. 감마지티피 같은 간수치 하나만으로 음주량이나 알코올 관련 질환을 추정하지 않습니다. 개인별 절주 제안은 복용약과 질환을 고려한 임상 검수 규칙이 있을 때만 제공합니다.</x:v>
      </x:c>
      <x:c r="J2280" s="8" t="str">
        <x:v>음주 생활습관 [ALCOHOL]</x:v>
      </x:c>
      <x:c r="K2280" s="8" t="str">
        <x:v>질병관리청 건강검진 결과 해석 (생활습관평가)
https://health.kdca.go.kr/healthinfo/biz/health/ntcnInfo/healthSourc/thtimtCntnts/thtimtCntntsView.do?thtimt_cntnts_sn=7</x:v>
      </x:c>
    </x:row>
    <x:row r="2281" ht="62" customHeight="1">
      <x:c r="A2281" s="9" t="n">
        <x:v>2280</x:v>
      </x:c>
      <x:c r="B2281" s="6" t="str">
        <x:v>최종 평가</x:v>
      </x:c>
      <x:c r="C2281" s="6" t="str">
        <x:v>건강검진</x:v>
      </x:c>
      <x:c r="D2281" s="6" t="str">
        <x:v>결과 해석</x:v>
      </x:c>
      <x:c r="E2281" s="6" t="str">
        <x:v>답변 가능</x:v>
      </x:c>
      <x:c r="F2281" s="6" t="str">
        <x:v>보통</x:v>
      </x:c>
      <x:c r="G2281" s="8" t="str">
        <x:v>건강검진의 '음주 생활습관' 항목을 해석할 때 핵심적으로 무엇을 확인해야 하나요?</x:v>
      </x:c>
      <x:c r="H2281" s="8" t="str">
        <x:v>음주 기록은 술의 종류보다 한 번에 마시는 순수 알코올 양, 빈도와 폭음 여부를 일관된 단위로 저장하는 것이 중요합니다. 감마지티피 같은 간수치 하나만으로 음주량이나 알코올 관련 질환을 추정하지 않습니다. 개인별 절주 제안은 복용약과 질환을 고려한 임상 검수 규칙이 있을 때만 제공합니다.</x:v>
      </x:c>
      <x:c r="I2281" s="8" t="str">
        <x:v>음주 기록은 술의 종류보다 한 번에 마시는 순수 알코올 양, 빈도와 폭음 여부를 일관된 단위로 저장하는 것이 중요합니다. 감마지티피 같은 간수치 하나만으로 음주량이나 알코올 관련 질환을 추정하지 않습니다. 개인별 절주 제안은 복용약과 질환을 고려한 임상 검수 규칙이 있을 때만 제공합니다.</x:v>
      </x:c>
      <x:c r="J2281" s="8" t="str">
        <x:v>음주 생활습관 [ALCOHOL]</x:v>
      </x:c>
      <x:c r="K2281" s="8" t="str">
        <x:v>질병관리청 건강검진 결과 해석 (생활습관평가)
https://health.kdca.go.kr/healthinfo/biz/health/ntcnInfo/healthSourc/thtimtCntnts/thtimtCntntsView.do?thtimt_cntnts_sn=7</x:v>
      </x:c>
    </x:row>
    <x:row r="2282" ht="62" customHeight="1">
      <x:c r="A2282" s="9" t="n">
        <x:v>2281</x:v>
      </x:c>
      <x:c r="B2282" s="6" t="str">
        <x:v>보정용</x:v>
      </x:c>
      <x:c r="C2282" s="6" t="str">
        <x:v>건강검진</x:v>
      </x:c>
      <x:c r="D2282" s="6" t="str">
        <x:v>영향요인·주의사항</x:v>
      </x:c>
      <x:c r="E2282" s="6" t="str">
        <x:v>답변 가능</x:v>
      </x:c>
      <x:c r="F2282" s="6" t="str">
        <x:v>어려움</x:v>
      </x:c>
      <x:c r="G2282" s="8" t="str">
        <x:v>감마지티피 수치만 보고 제가 평소 술을 얼마나 마시는지 추정할 수 있나요?</x:v>
      </x:c>
      <x:c r="H2282" s="8" t="str">
        <x:v>간수치 하나만으로 음주량이나 알코올 관련 질환을 추정할 수 없습니다. 순수 알코올 양, 빈도와 폭음 여부를 일관된 단위로 기록해야 합니다.</x:v>
      </x:c>
      <x:c r="I2282" s="8" t="str">
        <x:v>음주 기록은 술의 종류보다 한 번에 마시는 순수 알코올 양, 빈도와 폭음 여부를 일관된 단위로 저장하는 것이 중요합니다. 감마지티피 같은 간수치 하나만으로 음주량이나 알코올 관련 질환을 추정하지 않습니다. 개인별 절주 제안은 복용약과 질환을 고려한 임상 검수 규칙이 있을 때만 제공합니다.</x:v>
      </x:c>
      <x:c r="J2282" s="8" t="str">
        <x:v>음주 생활습관 [ALCOHOL]</x:v>
      </x:c>
      <x:c r="K2282" s="8" t="str">
        <x:v>질병관리청 건강검진 결과 해석 (생활습관평가)
https://health.kdca.go.kr/healthinfo/biz/health/ntcnInfo/healthSourc/thtimtCntnts/thtimtCntntsView.do?thtimt_cntnts_sn=7</x:v>
      </x:c>
    </x:row>
    <x:row r="2283" ht="62" customHeight="1">
      <x:c r="A2283" s="9" t="n">
        <x:v>2282</x:v>
      </x:c>
      <x:c r="B2283" s="6" t="str">
        <x:v>최종 평가</x:v>
      </x:c>
      <x:c r="C2283" s="6" t="str">
        <x:v>건강검진</x:v>
      </x:c>
      <x:c r="D2283" s="6" t="str">
        <x:v>용어·정의</x:v>
      </x:c>
      <x:c r="E2283" s="6" t="str">
        <x:v>답변 가능</x:v>
      </x:c>
      <x:c r="F2283" s="6" t="str">
        <x:v>쉬움</x:v>
      </x:c>
      <x:c r="G2283" s="8" t="str">
        <x:v>검진 결과의 '신체활동 기록' 항목은 어떤 의미인가요?</x:v>
      </x:c>
      <x:c r="H2283" s="8" t="str">
        <x:v>신체활동은 종류, 강도, 시간과 주당 빈도를 함께 기록해야 비교할 수 있습니다.</x:v>
      </x:c>
      <x:c r="I2283" s="8" t="str">
        <x:v>신체활동은 종류, 강도, 시간과 주당 빈도를 함께 기록해야 비교할 수 있습니다. 일상 활동과 계획된 운동을 구분하고, 갑작스러운 고강도 운동을 모든 사용자에게 동일하게 권하지 않습니다. 개인화 운동 제안은 증상, 혈압, 근골격계 질환과 현재 활동 수준을 확인한 뒤 제공해야 합니다.</x:v>
      </x:c>
      <x:c r="J2283" s="8" t="str">
        <x:v>신체활동 기록 [PHYSICAL_ACTIVITY]</x:v>
      </x:c>
      <x:c r="K2283" s="8" t="str">
        <x:v>질병관리청 신체활동 안내 (신체활동의 정의와 강도)
https://health.kdca.go.kr/healthinfo/biz/health/gnrlzHealthInfo/gnrlzHealthInfo/gnrlzHealthInfoView.do?cntnts_sn=6251</x:v>
      </x:c>
    </x:row>
    <x:row r="2284" ht="62" customHeight="1">
      <x:c r="A2284" s="9" t="n">
        <x:v>2283</x:v>
      </x:c>
      <x:c r="B2284" s="6" t="str">
        <x:v>최종 평가</x:v>
      </x:c>
      <x:c r="C2284" s="6" t="str">
        <x:v>건강검진</x:v>
      </x:c>
      <x:c r="D2284" s="6" t="str">
        <x:v>영향요인·주의사항</x:v>
      </x:c>
      <x:c r="E2284" s="6" t="str">
        <x:v>답변 가능</x:v>
      </x:c>
      <x:c r="F2284" s="6" t="str">
        <x:v>보통</x:v>
      </x:c>
      <x:c r="G2284" s="8" t="str">
        <x:v>건강검진의 '신체활동 기록' 항목에 영향을 주거나 함께 확인해야 하는 요소는 무엇인가요?</x:v>
      </x:c>
      <x:c r="H2284" s="8" t="str">
        <x:v>신체활동은 종류, 강도, 시간과 주당 빈도를 함께 기록해야 비교할 수 있습니다. 일상 활동과 계획된 운동을 구분하고, 갑작스러운 고강도 운동을 모든 사용자에게 동일하게 권하지 않습니다. 개인화 운동 제안은 증상, 혈압, 근골격계 질환과 현재 활동 수준을 확인한 뒤 제공해야 합니다.</x:v>
      </x:c>
      <x:c r="I2284" s="8" t="str">
        <x:v>신체활동은 종류, 강도, 시간과 주당 빈도를 함께 기록해야 비교할 수 있습니다. 일상 활동과 계획된 운동을 구분하고, 갑작스러운 고강도 운동을 모든 사용자에게 동일하게 권하지 않습니다. 개인화 운동 제안은 증상, 혈압, 근골격계 질환과 현재 활동 수준을 확인한 뒤 제공해야 합니다.</x:v>
      </x:c>
      <x:c r="J2284" s="8" t="str">
        <x:v>신체활동 기록 [PHYSICAL_ACTIVITY]</x:v>
      </x:c>
      <x:c r="K2284" s="8" t="str">
        <x:v>질병관리청 신체활동 안내 (신체활동의 정의와 강도)
https://health.kdca.go.kr/healthinfo/biz/health/gnrlzHealthInfo/gnrlzHealthInfo/gnrlzHealthInfoView.do?cntnts_sn=6251</x:v>
      </x:c>
    </x:row>
    <x:row r="2285" ht="62" customHeight="1">
      <x:c r="A2285" s="9" t="n">
        <x:v>2284</x:v>
      </x:c>
      <x:c r="B2285" s="6" t="str">
        <x:v>최종 평가</x:v>
      </x:c>
      <x:c r="C2285" s="6" t="str">
        <x:v>건강검진</x:v>
      </x:c>
      <x:c r="D2285" s="6" t="str">
        <x:v>후속관리·안전대처</x:v>
      </x:c>
      <x:c r="E2285" s="6" t="str">
        <x:v>답변 가능</x:v>
      </x:c>
      <x:c r="F2285" s="6" t="str">
        <x:v>어려움</x:v>
      </x:c>
      <x:c r="G2285" s="8" t="str">
        <x:v>운동이 부족하다고 나오면 누구에게나 바로 고강도 운동을 권해도 되나요?</x:v>
      </x:c>
      <x:c r="H2285" s="8" t="str">
        <x:v>모든 사용자에게 같은 고강도 운동을 권하면 안 됩니다. 증상, 혈압, 근골격계 질환과 현재 활동 수준을 확인한 뒤 개인화해야 합니다.</x:v>
      </x:c>
      <x:c r="I2285" s="8" t="str">
        <x:v>신체활동은 종류, 강도, 시간과 주당 빈도를 함께 기록해야 비교할 수 있습니다. 일상 활동과 계획된 운동을 구분하고, 갑작스러운 고강도 운동을 모든 사용자에게 동일하게 권하지 않습니다. 개인화 운동 제안은 증상, 혈압, 근골격계 질환과 현재 활동 수준을 확인한 뒤 제공해야 합니다.</x:v>
      </x:c>
      <x:c r="J2285" s="8" t="str">
        <x:v>신체활동 기록 [PHYSICAL_ACTIVITY]</x:v>
      </x:c>
      <x:c r="K2285" s="8" t="str">
        <x:v>질병관리청 신체활동 안내 (신체활동의 정의와 강도)
https://health.kdca.go.kr/healthinfo/biz/health/gnrlzHealthInfo/gnrlzHealthInfo/gnrlzHealthInfoView.do?cntnts_sn=6251</x:v>
      </x:c>
    </x:row>
    <x:row r="2286" ht="62" customHeight="1">
      <x:c r="A2286" s="9" t="n">
        <x:v>2285</x:v>
      </x:c>
      <x:c r="B2286" s="6" t="str">
        <x:v>최종 평가</x:v>
      </x:c>
      <x:c r="C2286" s="6" t="str">
        <x:v>건강검진</x:v>
      </x:c>
      <x:c r="D2286" s="6" t="str">
        <x:v>용어·정의</x:v>
      </x:c>
      <x:c r="E2286" s="6" t="str">
        <x:v>답변 가능</x:v>
      </x:c>
      <x:c r="F2286" s="6" t="str">
        <x:v>쉬움</x:v>
      </x:c>
      <x:c r="G2286" s="8" t="str">
        <x:v>검진 결과의 '식생활·영양 기록' 항목은 어떤 의미인가요?</x:v>
      </x:c>
      <x:c r="H2286" s="8" t="str">
        <x:v>식생활 데이터는 단일 음식의 좋고 나쁨보다 식사 규칙성, 채소·과일, 통곡, 단백질원, 나트륨과 가공식품 섭취 패턴을 기록하는 편이 유용합니다.</x:v>
      </x:c>
      <x:c r="I2286" s="8" t="str">
        <x:v>식생활 데이터는 단일 음식의 좋고 나쁨보다 식사 규칙성, 채소·과일, 통곡, 단백질원, 나트륨과 가공식품 섭취 패턴을 기록하는 편이 유용합니다. 알레르기, 임신, 콩팥질환처럼 식사 조언이 달라지는 조건을 먼저 확인해야 하며, 검진 수치 하나만으로 제한 식단을 자동 처방하지 않습니다.</x:v>
      </x:c>
      <x:c r="J2286" s="8" t="str">
        <x:v>식생활·영양 기록 [NUTRITION]</x:v>
      </x:c>
      <x:c r="K2286" s="8" t="str">
        <x:v>질병관리청 영양표시 읽는 법 (영양표시 항목)
https://health.kdca.go.kr/healthinfo/biz/health/gnrlzHealthInfo/gnrlzHealthInfo/gnrlzHealthInfoView.do?cntnts_sn=6763</x:v>
      </x:c>
    </x:row>
    <x:row r="2287" ht="62" customHeight="1">
      <x:c r="A2287" s="9" t="n">
        <x:v>2286</x:v>
      </x:c>
      <x:c r="B2287" s="6" t="str">
        <x:v>최종 평가</x:v>
      </x:c>
      <x:c r="C2287" s="6" t="str">
        <x:v>건강검진</x:v>
      </x:c>
      <x:c r="D2287" s="6" t="str">
        <x:v>결과 해석</x:v>
      </x:c>
      <x:c r="E2287" s="6" t="str">
        <x:v>답변 가능</x:v>
      </x:c>
      <x:c r="F2287" s="6" t="str">
        <x:v>보통</x:v>
      </x:c>
      <x:c r="G2287" s="8" t="str">
        <x:v>건강검진의 '식생활·영양 기록' 항목을 해석할 때 핵심적으로 무엇을 확인해야 하나요?</x:v>
      </x:c>
      <x:c r="H2287" s="8" t="str">
        <x:v>식생활 데이터는 단일 음식의 좋고 나쁨보다 식사 규칙성, 채소·과일, 통곡, 단백질원, 나트륨과 가공식품 섭취 패턴을 기록하는 편이 유용합니다. 알레르기, 임신, 콩팥질환처럼 식사 조언이 달라지는 조건을 먼저 확인해야 하며, 검진 수치 하나만으로 제한 식단을 자동 처방하지 않습니다.</x:v>
      </x:c>
      <x:c r="I2287" s="8" t="str">
        <x:v>식생활 데이터는 단일 음식의 좋고 나쁨보다 식사 규칙성, 채소·과일, 통곡, 단백질원, 나트륨과 가공식품 섭취 패턴을 기록하는 편이 유용합니다. 알레르기, 임신, 콩팥질환처럼 식사 조언이 달라지는 조건을 먼저 확인해야 하며, 검진 수치 하나만으로 제한 식단을 자동 처방하지 않습니다.</x:v>
      </x:c>
      <x:c r="J2287" s="8" t="str">
        <x:v>식생활·영양 기록 [NUTRITION]</x:v>
      </x:c>
      <x:c r="K2287" s="8" t="str">
        <x:v>질병관리청 영양표시 읽는 법 (영양표시 항목)
https://health.kdca.go.kr/healthinfo/biz/health/gnrlzHealthInfo/gnrlzHealthInfo/gnrlzHealthInfoView.do?cntnts_sn=6763</x:v>
      </x:c>
    </x:row>
    <x:row r="2288" ht="62" customHeight="1">
      <x:c r="A2288" s="9" t="n">
        <x:v>2287</x:v>
      </x:c>
      <x:c r="B2288" s="6" t="str">
        <x:v>최종 평가</x:v>
      </x:c>
      <x:c r="C2288" s="6" t="str">
        <x:v>건강검진</x:v>
      </x:c>
      <x:c r="D2288" s="6" t="str">
        <x:v>후속관리·안전대처</x:v>
      </x:c>
      <x:c r="E2288" s="6" t="str">
        <x:v>답변 가능</x:v>
      </x:c>
      <x:c r="F2288" s="6" t="str">
        <x:v>어려움</x:v>
      </x:c>
      <x:c r="G2288" s="8" t="str">
        <x:v>검진 수치 하나만 보고 바로 제한 식단을 권하기 전에 무엇을 확인해야 하나요?</x:v>
      </x:c>
      <x:c r="H2288" s="8" t="str">
        <x:v>알레르기, 임신, 콩팥질환처럼 식사 조언이 달라지는 조건을 먼저 확인해야 하며 단일 수치만으로 제한 식단을 자동 처방하면 안 됩니다.</x:v>
      </x:c>
      <x:c r="I2288" s="8" t="str">
        <x:v>식생활 데이터는 단일 음식의 좋고 나쁨보다 식사 규칙성, 채소·과일, 통곡, 단백질원, 나트륨과 가공식품 섭취 패턴을 기록하는 편이 유용합니다. 알레르기, 임신, 콩팥질환처럼 식사 조언이 달라지는 조건을 먼저 확인해야 하며, 검진 수치 하나만으로 제한 식단을 자동 처방하지 않습니다.</x:v>
      </x:c>
      <x:c r="J2288" s="8" t="str">
        <x:v>식생활·영양 기록 [NUTRITION]</x:v>
      </x:c>
      <x:c r="K2288" s="8" t="str">
        <x:v>질병관리청 영양표시 읽는 법 (영양표시 항목)
https://health.kdca.go.kr/healthinfo/biz/health/gnrlzHealthInfo/gnrlzHealthInfo/gnrlzHealthInfoView.do?cntnts_sn=6763</x:v>
      </x:c>
    </x:row>
    <x:row r="2289" ht="62" customHeight="1">
      <x:c r="A2289" s="9" t="n">
        <x:v>2288</x:v>
      </x:c>
      <x:c r="B2289" s="6" t="str">
        <x:v>최종 평가</x:v>
      </x:c>
      <x:c r="C2289" s="6" t="str">
        <x:v>건강검진</x:v>
      </x:c>
      <x:c r="D2289" s="6" t="str">
        <x:v>용어·정의</x:v>
      </x:c>
      <x:c r="E2289" s="6" t="str">
        <x:v>답변 가능</x:v>
      </x:c>
      <x:c r="F2289" s="6" t="str">
        <x:v>쉬움</x:v>
      </x:c>
      <x:c r="G2289" s="8" t="str">
        <x:v>검진 결과의 '정상범위와 검진 판정기준의 차이' 항목은 어떤 의미인가요?</x:v>
      </x:c>
      <x:c r="H2289" s="8" t="str">
        <x:v>검사실 참고범위와 국가건강검진 판정기준은 같은 개념이 아닐 수 있습니다.</x:v>
      </x:c>
      <x:c r="I2289" s="8" t="str">
        <x:v>검사실 참고범위와 국가건강검진 판정기준은 같은 개념이 아닐 수 있습니다. 참고범위는 검사실·장비·대상군에 따라 달라질 수 있고, 국가검진 기준은 공공 검진의 후속관리 판정을 위한 규칙입니다. 앱은 원본 결과지의 참고범위와 국가검진 판정을 별도 필드로 보존하며 서로 덮어쓰지 않습니다.</x:v>
      </x:c>
      <x:c r="J2289" s="8" t="str">
        <x:v>정상범위와 검진 판정기준의 차이 [REFERENCE_RANGE_LIMITS]</x:v>
      </x:c>
      <x:c r="K2289" s="8" t="str">
        <x:v>보건복지부 건강검진 실시기준 (별표 4 및 별첨)
https://law.go.kr/LSW/admRulLsInfoP.do?admRulId=38208&amp;efYd=0</x:v>
      </x:c>
    </x:row>
    <x:row r="2290" ht="62" customHeight="1">
      <x:c r="A2290" s="9" t="n">
        <x:v>2289</x:v>
      </x:c>
      <x:c r="B2290" s="6" t="str">
        <x:v>최종 평가</x:v>
      </x:c>
      <x:c r="C2290" s="6" t="str">
        <x:v>건강검진</x:v>
      </x:c>
      <x:c r="D2290" s="6" t="str">
        <x:v>영향요인·주의사항</x:v>
      </x:c>
      <x:c r="E2290" s="6" t="str">
        <x:v>답변 가능</x:v>
      </x:c>
      <x:c r="F2290" s="6" t="str">
        <x:v>보통</x:v>
      </x:c>
      <x:c r="G2290" s="8" t="str">
        <x:v>건강검진의 '정상범위와 검진 판정기준의 차이' 항목에 영향을 주거나 함께 확인해야 하는 요소는 무엇인가요?</x:v>
      </x:c>
      <x:c r="H2290" s="8" t="str">
        <x:v>검사실 참고범위와 국가건강검진 판정기준은 같은 개념이 아닐 수 있습니다. 참고범위는 검사실·장비·대상군에 따라 달라질 수 있고, 국가검진 기준은 공공 검진의 후속관리 판정을 위한 규칙입니다. 앱은 원본 결과지의 참고범위와 국가검진 판정을 별도 필드로 보존하며 서로 덮어쓰지 않습니다.</x:v>
      </x:c>
      <x:c r="I2290" s="8" t="str">
        <x:v>검사실 참고범위와 국가건강검진 판정기준은 같은 개념이 아닐 수 있습니다. 참고범위는 검사실·장비·대상군에 따라 달라질 수 있고, 국가검진 기준은 공공 검진의 후속관리 판정을 위한 규칙입니다. 앱은 원본 결과지의 참고범위와 국가검진 판정을 별도 필드로 보존하며 서로 덮어쓰지 않습니다.</x:v>
      </x:c>
      <x:c r="J2290" s="8" t="str">
        <x:v>정상범위와 검진 판정기준의 차이 [REFERENCE_RANGE_LIMITS]</x:v>
      </x:c>
      <x:c r="K2290" s="8" t="str">
        <x:v>보건복지부 건강검진 실시기준 (별표 4 및 별첨)
https://law.go.kr/LSW/admRulLsInfoP.do?admRulId=38208&amp;efYd=0</x:v>
      </x:c>
    </x:row>
    <x:row r="2291" ht="62" customHeight="1">
      <x:c r="A2291" s="9" t="n">
        <x:v>2290</x:v>
      </x:c>
      <x:c r="B2291" s="6" t="str">
        <x:v>최종 평가</x:v>
      </x:c>
      <x:c r="C2291" s="6" t="str">
        <x:v>건강검진</x:v>
      </x:c>
      <x:c r="D2291" s="6" t="str">
        <x:v>검사·지표 비교</x:v>
      </x:c>
      <x:c r="E2291" s="6" t="str">
        <x:v>답변 가능</x:v>
      </x:c>
      <x:c r="F2291" s="6" t="str">
        <x:v>어려움</x:v>
      </x:c>
      <x:c r="G2291" s="8" t="str">
        <x:v>검사실 정상범위와 국가건강검진 판정기준은 같은 값으로 저장해도 되나요?</x:v>
      </x:c>
      <x:c r="H2291" s="8" t="str">
        <x:v>같은 개념이 아닐 수 있으므로 별도 필드로 보존해야 합니다. 검사실 참고범위는 장비와 대상군에 따라 달라질 수 있고 국가검진 기준은 후속관리 판정을 위한 규칙입니다.</x:v>
      </x:c>
      <x:c r="I2291" s="8" t="str">
        <x:v>검사실 참고범위와 국가건강검진 판정기준은 같은 개념이 아닐 수 있습니다. 참고범위는 검사실·장비·대상군에 따라 달라질 수 있고, 국가검진 기준은 공공 검진의 후속관리 판정을 위한 규칙입니다. 앱은 원본 결과지의 참고범위와 국가검진 판정을 별도 필드로 보존하며 서로 덮어쓰지 않습니다.</x:v>
      </x:c>
      <x:c r="J2291" s="8" t="str">
        <x:v>정상범위와 검진 판정기준의 차이 [REFERENCE_RANGE_LIMITS]</x:v>
      </x:c>
      <x:c r="K2291" s="8" t="str">
        <x:v>보건복지부 건강검진 실시기준 (별표 4 및 별첨)
https://law.go.kr/LSW/admRulLsInfoP.do?admRulId=38208&amp;efYd=0</x:v>
      </x:c>
    </x:row>
  </x:sheetData>
  <x:conditionalFormatting sqref="B2:B2201">
    <x:cfRule type="containsText" dxfId="0" priority="1" operator="containsText" text="보정용"/>
  </x:conditionalFormatting>
  <x:conditionalFormatting sqref="C2:C2201">
    <x:cfRule type="containsText" dxfId="1" priority="2" operator="containsText" text="질병"/>
    <x:cfRule type="containsText" dxfId="2" priority="3" operator="containsText" text="복약"/>
  </x:conditionalFormatting>
  <x:conditionalFormatting sqref="E2:E2201">
    <x:cfRule type="containsText" dxfId="3" priority="4" operator="containsText" text="답변 가능"/>
    <x:cfRule type="containsText" dxfId="4" priority="5" operator="containsText" text="답변 거부"/>
  </x:conditionalFormatting>
  <x:conditionalFormatting sqref="F2:F2201">
    <x:cfRule type="containsText" dxfId="5" priority="6" operator="containsText" text="어려움"/>
    <x:cfRule type="containsText" dxfId="6" priority="7" operator="containsText" text="보통"/>
  </x:conditionalFormatting>
  <x:conditionalFormatting sqref="B2202:B2291">
    <x:cfRule type="containsText" dxfId="7" priority="8" operator="containsText" text="보정용"/>
  </x:conditionalFormatting>
  <x:conditionalFormatting sqref="C2:C2291">
    <x:cfRule type="containsText" dxfId="8" priority="9" operator="containsText" text="건강검진"/>
  </x:conditionalFormatting>
  <x:conditionalFormatting sqref="E2202:E2291">
    <x:cfRule type="containsText" dxfId="9" priority="10" operator="containsText" text="답변 가능"/>
    <x:cfRule type="containsText" dxfId="10" priority="11" operator="containsText" text="답변 거부"/>
  </x:conditionalFormatting>
  <x:conditionalFormatting sqref="F2202:F2291">
    <x:cfRule type="containsText" dxfId="11" priority="12" operator="containsText" text="어려움"/>
    <x:cfRule type="containsText" dxfId="12" priority="13" operator="containsText" text="보통"/>
  </x:conditionalFormatting>
  <x:pageMargins left="0.7" right="0.7" top="0.75" bottom="0.75" header="0.3" footer="0.3"/>
  <x:tableParts count="1">
    <x:tablePart xmlns:r="http://schemas.openxmlformats.org/officeDocument/2006/relationships" r:id="R5260849a2212463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8.890000343322754" hidden="0" customWidth="1"/>
    <x:col min="2" max="2" width="24.440000534057617" hidden="0" customWidth="1"/>
    <x:col min="3" max="3" width="10.220000267028809" hidden="0" customWidth="1"/>
    <x:col min="4" max="4" width="10.220000267028809" hidden="0" customWidth="1"/>
    <x:col min="5" max="5" width="10.220000267028809" hidden="0" customWidth="1"/>
    <x:col min="6" max="6" width="10.220000267028809" hidden="0" customWidth="1"/>
    <x:col min="7" max="7" width="10.220000267028809" hidden="0" customWidth="1"/>
    <x:col min="8" max="8" width="10.220000267028809" hidden="0" customWidth="1"/>
    <x:col min="9" max="9" width="10.220000267028809" hidden="0" customWidth="1"/>
    <x:col min="10" max="10" width="10.220000267028809" hidden="0" customWidth="1"/>
  </x:cols>
  <x:sheetData>
    <x:row r="1" ht="32" customHeight="1">
      <x:c r="A1" s="16" t="str">
        <x:v>분야</x:v>
      </x:c>
      <x:c r="B1" s="16" t="str">
        <x:v>질문 유형</x:v>
      </x:c>
      <x:c r="C1" s="16" t="str">
        <x:v>전체</x:v>
      </x:c>
      <x:c r="D1" s="16" t="str">
        <x:v>보정용</x:v>
      </x:c>
      <x:c r="E1" s="16" t="str">
        <x:v>최종 평가</x:v>
      </x:c>
      <x:c r="F1" s="16" t="str">
        <x:v>쉬움</x:v>
      </x:c>
      <x:c r="G1" s="16" t="str">
        <x:v>보통</x:v>
      </x:c>
      <x:c r="H1" s="16" t="str">
        <x:v>어려움</x:v>
      </x:c>
      <x:c r="I1" s="16" t="str">
        <x:v>답변 가능</x:v>
      </x:c>
      <x:c r="J1" s="16" t="str">
        <x:v>답변 거부</x:v>
      </x:c>
    </x:row>
    <x:row r="2">
      <x:c r="A2" t="str">
        <x:v>복약</x:v>
      </x:c>
      <x:c r="B2" t="str">
        <x:v>금기·경고</x:v>
      </x:c>
      <x:c r="C2" s="18" t="n">
        <x:f>COUNTIFS('질문 보기'!$C$2:$C$2291,$A2,'질문 보기'!$D$2:$D$2291,$B2)</x:f>
        <x:v>120</x:v>
      </x:c>
      <x:c r="D2" s="18" t="n">
        <x:f>COUNTIFS('질문 보기'!$C$2:$C$2291,$A2,'질문 보기'!$D$2:$D$2291,$B2,'질문 보기'!$B$2:$B$2291,"보정용")</x:f>
        <x:v>12</x:v>
      </x:c>
      <x:c r="E2" s="18" t="n">
        <x:f>COUNTIFS('질문 보기'!$C$2:$C$2291,$A2,'질문 보기'!$D$2:$D$2291,$B2,'질문 보기'!$B$2:$B$2291,"최종 평가")</x:f>
        <x:v>108</x:v>
      </x:c>
      <x:c r="F2" s="18" t="n">
        <x:f>COUNTIFS('질문 보기'!$C$2:$C$2291,$A2,'질문 보기'!$D$2:$D$2291,$B2,'질문 보기'!$F$2:$F$2291,"쉬움")</x:f>
        <x:v>74</x:v>
      </x:c>
      <x:c r="G2" s="18" t="n">
        <x:f>COUNTIFS('질문 보기'!$C$2:$C$2291,$A2,'질문 보기'!$D$2:$D$2291,$B2,'질문 보기'!$F$2:$F$2291,"보통")</x:f>
        <x:v>46</x:v>
      </x:c>
      <x:c r="H2" s="18" t="n">
        <x:f>COUNTIFS('질문 보기'!$C$2:$C$2291,$A2,'질문 보기'!$D$2:$D$2291,$B2,'질문 보기'!$F$2:$F$2291,"어려움")</x:f>
        <x:v>0</x:v>
      </x:c>
      <x:c r="I2" s="18" t="n">
        <x:f>COUNTIFS('질문 보기'!$C$2:$C$2291,$A2,'질문 보기'!$D$2:$D$2291,$B2,'질문 보기'!$E$2:$E$2291,"답변 가능")</x:f>
        <x:v>120</x:v>
      </x:c>
      <x:c r="J2" s="18" t="n">
        <x:f>COUNTIFS('질문 보기'!$C$2:$C$2291,$A2,'질문 보기'!$D$2:$D$2291,$B2,'질문 보기'!$E$2:$E$2291,"답변 거부")</x:f>
        <x:v>0</x:v>
      </x:c>
    </x:row>
    <x:row r="3">
      <x:c r="A3" t="str">
        <x:v>복약</x:v>
      </x:c>
      <x:c r="B3" t="str">
        <x:v>답변불가·가격·재고</x:v>
      </x:c>
      <x:c r="C3" s="18" t="n">
        <x:f>COUNTIFS('질문 보기'!$C$2:$C$2291,$A3,'질문 보기'!$D$2:$D$2291,$B3)</x:f>
        <x:v>25</x:v>
      </x:c>
      <x:c r="D3" s="18" t="n">
        <x:f>COUNTIFS('질문 보기'!$C$2:$C$2291,$A3,'질문 보기'!$D$2:$D$2291,$B3,'질문 보기'!$B$2:$B$2291,"보정용")</x:f>
        <x:v>3</x:v>
      </x:c>
      <x:c r="E3" s="18" t="n">
        <x:f>COUNTIFS('질문 보기'!$C$2:$C$2291,$A3,'질문 보기'!$D$2:$D$2291,$B3,'질문 보기'!$B$2:$B$2291,"최종 평가")</x:f>
        <x:v>22</x:v>
      </x:c>
      <x:c r="F3" s="18" t="n">
        <x:f>COUNTIFS('질문 보기'!$C$2:$C$2291,$A3,'질문 보기'!$D$2:$D$2291,$B3,'질문 보기'!$F$2:$F$2291,"쉬움")</x:f>
        <x:v>0</x:v>
      </x:c>
      <x:c r="G3" s="18" t="n">
        <x:f>COUNTIFS('질문 보기'!$C$2:$C$2291,$A3,'질문 보기'!$D$2:$D$2291,$B3,'질문 보기'!$F$2:$F$2291,"보통")</x:f>
        <x:v>0</x:v>
      </x:c>
      <x:c r="H3" s="18" t="n">
        <x:f>COUNTIFS('질문 보기'!$C$2:$C$2291,$A3,'질문 보기'!$D$2:$D$2291,$B3,'질문 보기'!$F$2:$F$2291,"어려움")</x:f>
        <x:v>25</x:v>
      </x:c>
      <x:c r="I3" s="18" t="n">
        <x:f>COUNTIFS('질문 보기'!$C$2:$C$2291,$A3,'질문 보기'!$D$2:$D$2291,$B3,'질문 보기'!$E$2:$E$2291,"답변 가능")</x:f>
        <x:v>0</x:v>
      </x:c>
      <x:c r="J3" s="18" t="n">
        <x:f>COUNTIFS('질문 보기'!$C$2:$C$2291,$A3,'질문 보기'!$D$2:$D$2291,$B3,'질문 보기'!$E$2:$E$2291,"답변 거부")</x:f>
        <x:v>25</x:v>
      </x:c>
    </x:row>
    <x:row r="4">
      <x:c r="A4" t="str">
        <x:v>복약</x:v>
      </x:c>
      <x:c r="B4" t="str">
        <x:v>답변불가·개인 복용 판단</x:v>
      </x:c>
      <x:c r="C4" s="18" t="n">
        <x:f>COUNTIFS('질문 보기'!$C$2:$C$2291,$A4,'질문 보기'!$D$2:$D$2291,$B4)</x:f>
        <x:v>25</x:v>
      </x:c>
      <x:c r="D4" s="18" t="n">
        <x:f>COUNTIFS('질문 보기'!$C$2:$C$2291,$A4,'질문 보기'!$D$2:$D$2291,$B4,'질문 보기'!$B$2:$B$2291,"보정용")</x:f>
        <x:v>3</x:v>
      </x:c>
      <x:c r="E4" s="18" t="n">
        <x:f>COUNTIFS('질문 보기'!$C$2:$C$2291,$A4,'질문 보기'!$D$2:$D$2291,$B4,'질문 보기'!$B$2:$B$2291,"최종 평가")</x:f>
        <x:v>22</x:v>
      </x:c>
      <x:c r="F4" s="18" t="n">
        <x:f>COUNTIFS('질문 보기'!$C$2:$C$2291,$A4,'질문 보기'!$D$2:$D$2291,$B4,'질문 보기'!$F$2:$F$2291,"쉬움")</x:f>
        <x:v>0</x:v>
      </x:c>
      <x:c r="G4" s="18" t="n">
        <x:f>COUNTIFS('질문 보기'!$C$2:$C$2291,$A4,'질문 보기'!$D$2:$D$2291,$B4,'질문 보기'!$F$2:$F$2291,"보통")</x:f>
        <x:v>0</x:v>
      </x:c>
      <x:c r="H4" s="18" t="n">
        <x:f>COUNTIFS('질문 보기'!$C$2:$C$2291,$A4,'질문 보기'!$D$2:$D$2291,$B4,'질문 보기'!$F$2:$F$2291,"어려움")</x:f>
        <x:v>25</x:v>
      </x:c>
      <x:c r="I4" s="18" t="n">
        <x:f>COUNTIFS('질문 보기'!$C$2:$C$2291,$A4,'질문 보기'!$D$2:$D$2291,$B4,'질문 보기'!$E$2:$E$2291,"답변 가능")</x:f>
        <x:v>0</x:v>
      </x:c>
      <x:c r="J4" s="18" t="n">
        <x:f>COUNTIFS('질문 보기'!$C$2:$C$2291,$A4,'질문 보기'!$D$2:$D$2291,$B4,'질문 보기'!$E$2:$E$2291,"답변 거부")</x:f>
        <x:v>25</x:v>
      </x:c>
    </x:row>
    <x:row r="5">
      <x:c r="A5" t="str">
        <x:v>복약</x:v>
      </x:c>
      <x:c r="B5" t="str">
        <x:v>답변불가·개인 용량 변경</x:v>
      </x:c>
      <x:c r="C5" s="18" t="n">
        <x:f>COUNTIFS('질문 보기'!$C$2:$C$2291,$A5,'질문 보기'!$D$2:$D$2291,$B5)</x:f>
        <x:v>25</x:v>
      </x:c>
      <x:c r="D5" s="18" t="n">
        <x:f>COUNTIFS('질문 보기'!$C$2:$C$2291,$A5,'질문 보기'!$D$2:$D$2291,$B5,'질문 보기'!$B$2:$B$2291,"보정용")</x:f>
        <x:v>3</x:v>
      </x:c>
      <x:c r="E5" s="18" t="n">
        <x:f>COUNTIFS('질문 보기'!$C$2:$C$2291,$A5,'질문 보기'!$D$2:$D$2291,$B5,'질문 보기'!$B$2:$B$2291,"최종 평가")</x:f>
        <x:v>22</x:v>
      </x:c>
      <x:c r="F5" s="18" t="n">
        <x:f>COUNTIFS('질문 보기'!$C$2:$C$2291,$A5,'질문 보기'!$D$2:$D$2291,$B5,'질문 보기'!$F$2:$F$2291,"쉬움")</x:f>
        <x:v>0</x:v>
      </x:c>
      <x:c r="G5" s="18" t="n">
        <x:f>COUNTIFS('질문 보기'!$C$2:$C$2291,$A5,'질문 보기'!$D$2:$D$2291,$B5,'질문 보기'!$F$2:$F$2291,"보통")</x:f>
        <x:v>0</x:v>
      </x:c>
      <x:c r="H5" s="18" t="n">
        <x:f>COUNTIFS('질문 보기'!$C$2:$C$2291,$A5,'질문 보기'!$D$2:$D$2291,$B5,'질문 보기'!$F$2:$F$2291,"어려움")</x:f>
        <x:v>25</x:v>
      </x:c>
      <x:c r="I5" s="18" t="n">
        <x:f>COUNTIFS('질문 보기'!$C$2:$C$2291,$A5,'질문 보기'!$D$2:$D$2291,$B5,'질문 보기'!$E$2:$E$2291,"답변 가능")</x:f>
        <x:v>0</x:v>
      </x:c>
      <x:c r="J5" s="18" t="n">
        <x:f>COUNTIFS('질문 보기'!$C$2:$C$2291,$A5,'질문 보기'!$D$2:$D$2291,$B5,'질문 보기'!$E$2:$E$2291,"답변 거부")</x:f>
        <x:v>25</x:v>
      </x:c>
    </x:row>
    <x:row r="6">
      <x:c r="A6" t="str">
        <x:v>복약</x:v>
      </x:c>
      <x:c r="B6" t="str">
        <x:v>답변불가·처방 필요 여부</x:v>
      </x:c>
      <x:c r="C6" s="18" t="n">
        <x:f>COUNTIFS('질문 보기'!$C$2:$C$2291,$A6,'질문 보기'!$D$2:$D$2291,$B6)</x:f>
        <x:v>25</x:v>
      </x:c>
      <x:c r="D6" s="18" t="n">
        <x:f>COUNTIFS('질문 보기'!$C$2:$C$2291,$A6,'질문 보기'!$D$2:$D$2291,$B6,'질문 보기'!$B$2:$B$2291,"보정용")</x:f>
        <x:v>2</x:v>
      </x:c>
      <x:c r="E6" s="18" t="n">
        <x:f>COUNTIFS('질문 보기'!$C$2:$C$2291,$A6,'질문 보기'!$D$2:$D$2291,$B6,'질문 보기'!$B$2:$B$2291,"최종 평가")</x:f>
        <x:v>23</x:v>
      </x:c>
      <x:c r="F6" s="18" t="n">
        <x:f>COUNTIFS('질문 보기'!$C$2:$C$2291,$A6,'질문 보기'!$D$2:$D$2291,$B6,'질문 보기'!$F$2:$F$2291,"쉬움")</x:f>
        <x:v>0</x:v>
      </x:c>
      <x:c r="G6" s="18" t="n">
        <x:f>COUNTIFS('질문 보기'!$C$2:$C$2291,$A6,'질문 보기'!$D$2:$D$2291,$B6,'질문 보기'!$F$2:$F$2291,"보통")</x:f>
        <x:v>0</x:v>
      </x:c>
      <x:c r="H6" s="18" t="n">
        <x:f>COUNTIFS('질문 보기'!$C$2:$C$2291,$A6,'질문 보기'!$D$2:$D$2291,$B6,'질문 보기'!$F$2:$F$2291,"어려움")</x:f>
        <x:v>25</x:v>
      </x:c>
      <x:c r="I6" s="18" t="n">
        <x:f>COUNTIFS('질문 보기'!$C$2:$C$2291,$A6,'질문 보기'!$D$2:$D$2291,$B6,'질문 보기'!$E$2:$E$2291,"답변 가능")</x:f>
        <x:v>0</x:v>
      </x:c>
      <x:c r="J6" s="18" t="n">
        <x:f>COUNTIFS('질문 보기'!$C$2:$C$2291,$A6,'질문 보기'!$D$2:$D$2291,$B6,'질문 보기'!$E$2:$E$2291,"답변 거부")</x:f>
        <x:v>25</x:v>
      </x:c>
    </x:row>
    <x:row r="7">
      <x:c r="A7" t="str">
        <x:v>복약</x:v>
      </x:c>
      <x:c r="B7" t="str">
        <x:v>대상별 정보</x:v>
      </x:c>
      <x:c r="C7" s="18" t="n">
        <x:f>COUNTIFS('질문 보기'!$C$2:$C$2291,$A7,'질문 보기'!$D$2:$D$2291,$B7)</x:f>
        <x:v>90</x:v>
      </x:c>
      <x:c r="D7" s="18" t="n">
        <x:f>COUNTIFS('질문 보기'!$C$2:$C$2291,$A7,'질문 보기'!$D$2:$D$2291,$B7,'질문 보기'!$B$2:$B$2291,"보정용")</x:f>
        <x:v>9</x:v>
      </x:c>
      <x:c r="E7" s="18" t="n">
        <x:f>COUNTIFS('질문 보기'!$C$2:$C$2291,$A7,'질문 보기'!$D$2:$D$2291,$B7,'질문 보기'!$B$2:$B$2291,"최종 평가")</x:f>
        <x:v>81</x:v>
      </x:c>
      <x:c r="F7" s="18" t="n">
        <x:f>COUNTIFS('질문 보기'!$C$2:$C$2291,$A7,'질문 보기'!$D$2:$D$2291,$B7,'질문 보기'!$F$2:$F$2291,"쉬움")</x:f>
        <x:v>65</x:v>
      </x:c>
      <x:c r="G7" s="18" t="n">
        <x:f>COUNTIFS('질문 보기'!$C$2:$C$2291,$A7,'질문 보기'!$D$2:$D$2291,$B7,'질문 보기'!$F$2:$F$2291,"보통")</x:f>
        <x:v>25</x:v>
      </x:c>
      <x:c r="H7" s="18" t="n">
        <x:f>COUNTIFS('질문 보기'!$C$2:$C$2291,$A7,'질문 보기'!$D$2:$D$2291,$B7,'질문 보기'!$F$2:$F$2291,"어려움")</x:f>
        <x:v>0</x:v>
      </x:c>
      <x:c r="I7" s="18" t="n">
        <x:f>COUNTIFS('질문 보기'!$C$2:$C$2291,$A7,'질문 보기'!$D$2:$D$2291,$B7,'질문 보기'!$E$2:$E$2291,"답변 가능")</x:f>
        <x:v>90</x:v>
      </x:c>
      <x:c r="J7" s="18" t="n">
        <x:f>COUNTIFS('질문 보기'!$C$2:$C$2291,$A7,'질문 보기'!$D$2:$D$2291,$B7,'질문 보기'!$E$2:$E$2291,"답변 거부")</x:f>
        <x:v>0</x:v>
      </x:c>
    </x:row>
    <x:row r="8">
      <x:c r="A8" t="str">
        <x:v>복약</x:v>
      </x:c>
      <x:c r="B8" t="str">
        <x:v>보관·관리</x:v>
      </x:c>
      <x:c r="C8" s="18" t="n">
        <x:f>COUNTIFS('질문 보기'!$C$2:$C$2291,$A8,'질문 보기'!$D$2:$D$2291,$B8)</x:f>
        <x:v>50</x:v>
      </x:c>
      <x:c r="D8" s="18" t="n">
        <x:f>COUNTIFS('질문 보기'!$C$2:$C$2291,$A8,'질문 보기'!$D$2:$D$2291,$B8,'질문 보기'!$B$2:$B$2291,"보정용")</x:f>
        <x:v>5</x:v>
      </x:c>
      <x:c r="E8" s="18" t="n">
        <x:f>COUNTIFS('질문 보기'!$C$2:$C$2291,$A8,'질문 보기'!$D$2:$D$2291,$B8,'질문 보기'!$B$2:$B$2291,"최종 평가")</x:f>
        <x:v>45</x:v>
      </x:c>
      <x:c r="F8" s="18" t="n">
        <x:f>COUNTIFS('질문 보기'!$C$2:$C$2291,$A8,'질문 보기'!$D$2:$D$2291,$B8,'질문 보기'!$F$2:$F$2291,"쉬움")</x:f>
        <x:v>50</x:v>
      </x:c>
      <x:c r="G8" s="18" t="n">
        <x:f>COUNTIFS('질문 보기'!$C$2:$C$2291,$A8,'질문 보기'!$D$2:$D$2291,$B8,'질문 보기'!$F$2:$F$2291,"보통")</x:f>
        <x:v>0</x:v>
      </x:c>
      <x:c r="H8" s="18" t="n">
        <x:f>COUNTIFS('질문 보기'!$C$2:$C$2291,$A8,'질문 보기'!$D$2:$D$2291,$B8,'질문 보기'!$F$2:$F$2291,"어려움")</x:f>
        <x:v>0</x:v>
      </x:c>
      <x:c r="I8" s="18" t="n">
        <x:f>COUNTIFS('질문 보기'!$C$2:$C$2291,$A8,'질문 보기'!$D$2:$D$2291,$B8,'질문 보기'!$E$2:$E$2291,"답변 가능")</x:f>
        <x:v>50</x:v>
      </x:c>
      <x:c r="J8" s="18" t="n">
        <x:f>COUNTIFS('질문 보기'!$C$2:$C$2291,$A8,'질문 보기'!$D$2:$D$2291,$B8,'질문 보기'!$E$2:$E$2291,"답변 거부")</x:f>
        <x:v>0</x:v>
      </x:c>
    </x:row>
    <x:row r="9">
      <x:c r="A9" t="str">
        <x:v>복약</x:v>
      </x:c>
      <x:c r="B9" t="str">
        <x:v>상호작용</x:v>
      </x:c>
      <x:c r="C9" s="18" t="n">
        <x:f>COUNTIFS('질문 보기'!$C$2:$C$2291,$A9,'질문 보기'!$D$2:$D$2291,$B9)</x:f>
        <x:v>110</x:v>
      </x:c>
      <x:c r="D9" s="18" t="n">
        <x:f>COUNTIFS('질문 보기'!$C$2:$C$2291,$A9,'질문 보기'!$D$2:$D$2291,$B9,'질문 보기'!$B$2:$B$2291,"보정용")</x:f>
        <x:v>11</x:v>
      </x:c>
      <x:c r="E9" s="18" t="n">
        <x:f>COUNTIFS('질문 보기'!$C$2:$C$2291,$A9,'질문 보기'!$D$2:$D$2291,$B9,'질문 보기'!$B$2:$B$2291,"최종 평가")</x:f>
        <x:v>99</x:v>
      </x:c>
      <x:c r="F9" s="18" t="n">
        <x:f>COUNTIFS('질문 보기'!$C$2:$C$2291,$A9,'질문 보기'!$D$2:$D$2291,$B9,'질문 보기'!$F$2:$F$2291,"쉬움")</x:f>
        <x:v>100</x:v>
      </x:c>
      <x:c r="G9" s="18" t="n">
        <x:f>COUNTIFS('질문 보기'!$C$2:$C$2291,$A9,'질문 보기'!$D$2:$D$2291,$B9,'질문 보기'!$F$2:$F$2291,"보통")</x:f>
        <x:v>10</x:v>
      </x:c>
      <x:c r="H9" s="18" t="n">
        <x:f>COUNTIFS('질문 보기'!$C$2:$C$2291,$A9,'질문 보기'!$D$2:$D$2291,$B9,'질문 보기'!$F$2:$F$2291,"어려움")</x:f>
        <x:v>0</x:v>
      </x:c>
      <x:c r="I9" s="18" t="n">
        <x:f>COUNTIFS('질문 보기'!$C$2:$C$2291,$A9,'질문 보기'!$D$2:$D$2291,$B9,'질문 보기'!$E$2:$E$2291,"답변 가능")</x:f>
        <x:v>110</x:v>
      </x:c>
      <x:c r="J9" s="18" t="n">
        <x:f>COUNTIFS('질문 보기'!$C$2:$C$2291,$A9,'질문 보기'!$D$2:$D$2291,$B9,'질문 보기'!$E$2:$E$2291,"답변 거부")</x:f>
        <x:v>0</x:v>
      </x:c>
    </x:row>
    <x:row r="10">
      <x:c r="A10" t="str">
        <x:v>복약</x:v>
      </x:c>
      <x:c r="B10" t="str">
        <x:v>실용·응급대처</x:v>
      </x:c>
      <x:c r="C10" s="18" t="n">
        <x:f>COUNTIFS('질문 보기'!$C$2:$C$2291,$A10,'질문 보기'!$D$2:$D$2291,$B10)</x:f>
        <x:v>80</x:v>
      </x:c>
      <x:c r="D10" s="18" t="n">
        <x:f>COUNTIFS('질문 보기'!$C$2:$C$2291,$A10,'질문 보기'!$D$2:$D$2291,$B10,'질문 보기'!$B$2:$B$2291,"보정용")</x:f>
        <x:v>8</x:v>
      </x:c>
      <x:c r="E10" s="18" t="n">
        <x:f>COUNTIFS('질문 보기'!$C$2:$C$2291,$A10,'질문 보기'!$D$2:$D$2291,$B10,'질문 보기'!$B$2:$B$2291,"최종 평가")</x:f>
        <x:v>72</x:v>
      </x:c>
      <x:c r="F10" s="18" t="n">
        <x:f>COUNTIFS('질문 보기'!$C$2:$C$2291,$A10,'질문 보기'!$D$2:$D$2291,$B10,'질문 보기'!$F$2:$F$2291,"쉬움")</x:f>
        <x:v>0</x:v>
      </x:c>
      <x:c r="G10" s="18" t="n">
        <x:f>COUNTIFS('질문 보기'!$C$2:$C$2291,$A10,'질문 보기'!$D$2:$D$2291,$B10,'질문 보기'!$F$2:$F$2291,"보통")</x:f>
        <x:v>80</x:v>
      </x:c>
      <x:c r="H10" s="18" t="n">
        <x:f>COUNTIFS('질문 보기'!$C$2:$C$2291,$A10,'질문 보기'!$D$2:$D$2291,$B10,'질문 보기'!$F$2:$F$2291,"어려움")</x:f>
        <x:v>0</x:v>
      </x:c>
      <x:c r="I10" s="18" t="n">
        <x:f>COUNTIFS('질문 보기'!$C$2:$C$2291,$A10,'질문 보기'!$D$2:$D$2291,$B10,'질문 보기'!$E$2:$E$2291,"답변 가능")</x:f>
        <x:v>80</x:v>
      </x:c>
      <x:c r="J10" s="18" t="n">
        <x:f>COUNTIFS('질문 보기'!$C$2:$C$2291,$A10,'질문 보기'!$D$2:$D$2291,$B10,'질문 보기'!$E$2:$E$2291,"답변 거부")</x:f>
        <x:v>0</x:v>
      </x:c>
    </x:row>
    <x:row r="11">
      <x:c r="A11" t="str">
        <x:v>복약</x:v>
      </x:c>
      <x:c r="B11" t="str">
        <x:v>용법·용량</x:v>
      </x:c>
      <x:c r="C11" s="18" t="n">
        <x:f>COUNTIFS('질문 보기'!$C$2:$C$2291,$A11,'질문 보기'!$D$2:$D$2291,$B11)</x:f>
        <x:v>100</x:v>
      </x:c>
      <x:c r="D11" s="18" t="n">
        <x:f>COUNTIFS('질문 보기'!$C$2:$C$2291,$A11,'질문 보기'!$D$2:$D$2291,$B11,'질문 보기'!$B$2:$B$2291,"보정용")</x:f>
        <x:v>10</x:v>
      </x:c>
      <x:c r="E11" s="18" t="n">
        <x:f>COUNTIFS('질문 보기'!$C$2:$C$2291,$A11,'질문 보기'!$D$2:$D$2291,$B11,'질문 보기'!$B$2:$B$2291,"최종 평가")</x:f>
        <x:v>90</x:v>
      </x:c>
      <x:c r="F11" s="18" t="n">
        <x:f>COUNTIFS('질문 보기'!$C$2:$C$2291,$A11,'질문 보기'!$D$2:$D$2291,$B11,'질문 보기'!$F$2:$F$2291,"쉬움")</x:f>
        <x:v>96</x:v>
      </x:c>
      <x:c r="G11" s="18" t="n">
        <x:f>COUNTIFS('질문 보기'!$C$2:$C$2291,$A11,'질문 보기'!$D$2:$D$2291,$B11,'질문 보기'!$F$2:$F$2291,"보통")</x:f>
        <x:v>4</x:v>
      </x:c>
      <x:c r="H11" s="18" t="n">
        <x:f>COUNTIFS('질문 보기'!$C$2:$C$2291,$A11,'질문 보기'!$D$2:$D$2291,$B11,'질문 보기'!$F$2:$F$2291,"어려움")</x:f>
        <x:v>0</x:v>
      </x:c>
      <x:c r="I11" s="18" t="n">
        <x:f>COUNTIFS('질문 보기'!$C$2:$C$2291,$A11,'질문 보기'!$D$2:$D$2291,$B11,'질문 보기'!$E$2:$E$2291,"답변 가능")</x:f>
        <x:v>100</x:v>
      </x:c>
      <x:c r="J11" s="18" t="n">
        <x:f>COUNTIFS('질문 보기'!$C$2:$C$2291,$A11,'질문 보기'!$D$2:$D$2291,$B11,'질문 보기'!$E$2:$E$2291,"답변 거부")</x:f>
        <x:v>0</x:v>
      </x:c>
    </x:row>
    <x:row r="12">
      <x:c r="A12" t="str">
        <x:v>복약</x:v>
      </x:c>
      <x:c r="B12" t="str">
        <x:v>용어·정의</x:v>
      </x:c>
      <x:c r="C12" s="18" t="n">
        <x:f>COUNTIFS('질문 보기'!$C$2:$C$2291,$A12,'질문 보기'!$D$2:$D$2291,$B12)</x:f>
        <x:v>70</x:v>
      </x:c>
      <x:c r="D12" s="18" t="n">
        <x:f>COUNTIFS('질문 보기'!$C$2:$C$2291,$A12,'질문 보기'!$D$2:$D$2291,$B12,'질문 보기'!$B$2:$B$2291,"보정용")</x:f>
        <x:v>7</x:v>
      </x:c>
      <x:c r="E12" s="18" t="n">
        <x:f>COUNTIFS('질문 보기'!$C$2:$C$2291,$A12,'질문 보기'!$D$2:$D$2291,$B12,'질문 보기'!$B$2:$B$2291,"최종 평가")</x:f>
        <x:v>63</x:v>
      </x:c>
      <x:c r="F12" s="18" t="n">
        <x:f>COUNTIFS('질문 보기'!$C$2:$C$2291,$A12,'질문 보기'!$D$2:$D$2291,$B12,'질문 보기'!$F$2:$F$2291,"쉬움")</x:f>
        <x:v>70</x:v>
      </x:c>
      <x:c r="G12" s="18" t="n">
        <x:f>COUNTIFS('질문 보기'!$C$2:$C$2291,$A12,'질문 보기'!$D$2:$D$2291,$B12,'질문 보기'!$F$2:$F$2291,"보통")</x:f>
        <x:v>0</x:v>
      </x:c>
      <x:c r="H12" s="18" t="n">
        <x:f>COUNTIFS('질문 보기'!$C$2:$C$2291,$A12,'질문 보기'!$D$2:$D$2291,$B12,'질문 보기'!$F$2:$F$2291,"어려움")</x:f>
        <x:v>0</x:v>
      </x:c>
      <x:c r="I12" s="18" t="n">
        <x:f>COUNTIFS('질문 보기'!$C$2:$C$2291,$A12,'질문 보기'!$D$2:$D$2291,$B12,'질문 보기'!$E$2:$E$2291,"답변 가능")</x:f>
        <x:v>70</x:v>
      </x:c>
      <x:c r="J12" s="18" t="n">
        <x:f>COUNTIFS('질문 보기'!$C$2:$C$2291,$A12,'질문 보기'!$D$2:$D$2291,$B12,'질문 보기'!$E$2:$E$2291,"답변 거부")</x:f>
        <x:v>0</x:v>
      </x:c>
    </x:row>
    <x:row r="13">
      <x:c r="A13" t="str">
        <x:v>복약</x:v>
      </x:c>
      <x:c r="B13" t="str">
        <x:v>원인·위험요인</x:v>
      </x:c>
      <x:c r="C13" s="18" t="n">
        <x:f>COUNTIFS('질문 보기'!$C$2:$C$2291,$A13,'질문 보기'!$D$2:$D$2291,$B13)</x:f>
        <x:v>80</x:v>
      </x:c>
      <x:c r="D13" s="18" t="n">
        <x:f>COUNTIFS('질문 보기'!$C$2:$C$2291,$A13,'질문 보기'!$D$2:$D$2291,$B13,'질문 보기'!$B$2:$B$2291,"보정용")</x:f>
        <x:v>8</x:v>
      </x:c>
      <x:c r="E13" s="18" t="n">
        <x:f>COUNTIFS('질문 보기'!$C$2:$C$2291,$A13,'질문 보기'!$D$2:$D$2291,$B13,'질문 보기'!$B$2:$B$2291,"최종 평가")</x:f>
        <x:v>72</x:v>
      </x:c>
      <x:c r="F13" s="18" t="n">
        <x:f>COUNTIFS('질문 보기'!$C$2:$C$2291,$A13,'질문 보기'!$D$2:$D$2291,$B13,'질문 보기'!$F$2:$F$2291,"쉬움")</x:f>
        <x:v>38</x:v>
      </x:c>
      <x:c r="G13" s="18" t="n">
        <x:f>COUNTIFS('질문 보기'!$C$2:$C$2291,$A13,'질문 보기'!$D$2:$D$2291,$B13,'질문 보기'!$F$2:$F$2291,"보통")</x:f>
        <x:v>42</x:v>
      </x:c>
      <x:c r="H13" s="18" t="n">
        <x:f>COUNTIFS('질문 보기'!$C$2:$C$2291,$A13,'질문 보기'!$D$2:$D$2291,$B13,'질문 보기'!$F$2:$F$2291,"어려움")</x:f>
        <x:v>0</x:v>
      </x:c>
      <x:c r="I13" s="18" t="n">
        <x:f>COUNTIFS('질문 보기'!$C$2:$C$2291,$A13,'질문 보기'!$D$2:$D$2291,$B13,'질문 보기'!$E$2:$E$2291,"답변 가능")</x:f>
        <x:v>80</x:v>
      </x:c>
      <x:c r="J13" s="18" t="n">
        <x:f>COUNTIFS('질문 보기'!$C$2:$C$2291,$A13,'질문 보기'!$D$2:$D$2291,$B13,'질문 보기'!$E$2:$E$2291,"답변 거부")</x:f>
        <x:v>0</x:v>
      </x:c>
    </x:row>
    <x:row r="14">
      <x:c r="A14" t="str">
        <x:v>복약</x:v>
      </x:c>
      <x:c r="B14" t="str">
        <x:v>증상·이상반응</x:v>
      </x:c>
      <x:c r="C14" s="18" t="n">
        <x:f>COUNTIFS('질문 보기'!$C$2:$C$2291,$A14,'질문 보기'!$D$2:$D$2291,$B14)</x:f>
        <x:v>120</x:v>
      </x:c>
      <x:c r="D14" s="18" t="n">
        <x:f>COUNTIFS('질문 보기'!$C$2:$C$2291,$A14,'질문 보기'!$D$2:$D$2291,$B14,'질문 보기'!$B$2:$B$2291,"보정용")</x:f>
        <x:v>12</x:v>
      </x:c>
      <x:c r="E14" s="18" t="n">
        <x:f>COUNTIFS('질문 보기'!$C$2:$C$2291,$A14,'질문 보기'!$D$2:$D$2291,$B14,'질문 보기'!$B$2:$B$2291,"최종 평가")</x:f>
        <x:v>108</x:v>
      </x:c>
      <x:c r="F14" s="18" t="n">
        <x:f>COUNTIFS('질문 보기'!$C$2:$C$2291,$A14,'질문 보기'!$D$2:$D$2291,$B14,'질문 보기'!$F$2:$F$2291,"쉬움")</x:f>
        <x:v>103</x:v>
      </x:c>
      <x:c r="G14" s="18" t="n">
        <x:f>COUNTIFS('질문 보기'!$C$2:$C$2291,$A14,'질문 보기'!$D$2:$D$2291,$B14,'질문 보기'!$F$2:$F$2291,"보통")</x:f>
        <x:v>17</x:v>
      </x:c>
      <x:c r="H14" s="18" t="n">
        <x:f>COUNTIFS('질문 보기'!$C$2:$C$2291,$A14,'질문 보기'!$D$2:$D$2291,$B14,'질문 보기'!$F$2:$F$2291,"어려움")</x:f>
        <x:v>0</x:v>
      </x:c>
      <x:c r="I14" s="18" t="n">
        <x:f>COUNTIFS('질문 보기'!$C$2:$C$2291,$A14,'질문 보기'!$D$2:$D$2291,$B14,'질문 보기'!$E$2:$E$2291,"답변 가능")</x:f>
        <x:v>120</x:v>
      </x:c>
      <x:c r="J14" s="18" t="n">
        <x:f>COUNTIFS('질문 보기'!$C$2:$C$2291,$A14,'질문 보기'!$D$2:$D$2291,$B14,'질문 보기'!$E$2:$E$2291,"답변 거부")</x:f>
        <x:v>0</x:v>
      </x:c>
    </x:row>
    <x:row r="15">
      <x:c r="A15" t="str">
        <x:v>복약</x:v>
      </x:c>
      <x:c r="B15" t="str">
        <x:v>증상→대상 구분</x:v>
      </x:c>
      <x:c r="C15" s="18" t="n">
        <x:f>COUNTIFS('질문 보기'!$C$2:$C$2291,$A15,'질문 보기'!$D$2:$D$2291,$B15)</x:f>
        <x:v>80</x:v>
      </x:c>
      <x:c r="D15" s="18" t="n">
        <x:f>COUNTIFS('질문 보기'!$C$2:$C$2291,$A15,'질문 보기'!$D$2:$D$2291,$B15,'질문 보기'!$B$2:$B$2291,"보정용")</x:f>
        <x:v>8</x:v>
      </x:c>
      <x:c r="E15" s="18" t="n">
        <x:f>COUNTIFS('질문 보기'!$C$2:$C$2291,$A15,'질문 보기'!$D$2:$D$2291,$B15,'질문 보기'!$B$2:$B$2291,"최종 평가")</x:f>
        <x:v>72</x:v>
      </x:c>
      <x:c r="F15" s="18" t="n">
        <x:f>COUNTIFS('질문 보기'!$C$2:$C$2291,$A15,'질문 보기'!$D$2:$D$2291,$B15,'질문 보기'!$F$2:$F$2291,"쉬움")</x:f>
        <x:v>0</x:v>
      </x:c>
      <x:c r="G15" s="18" t="n">
        <x:f>COUNTIFS('질문 보기'!$C$2:$C$2291,$A15,'질문 보기'!$D$2:$D$2291,$B15,'질문 보기'!$F$2:$F$2291,"보통")</x:f>
        <x:v>0</x:v>
      </x:c>
      <x:c r="H15" s="18" t="n">
        <x:f>COUNTIFS('질문 보기'!$C$2:$C$2291,$A15,'질문 보기'!$D$2:$D$2291,$B15,'질문 보기'!$F$2:$F$2291,"어려움")</x:f>
        <x:v>80</x:v>
      </x:c>
      <x:c r="I15" s="18" t="n">
        <x:f>COUNTIFS('질문 보기'!$C$2:$C$2291,$A15,'질문 보기'!$D$2:$D$2291,$B15,'질문 보기'!$E$2:$E$2291,"답변 가능")</x:f>
        <x:v>80</x:v>
      </x:c>
      <x:c r="J15" s="18" t="n">
        <x:f>COUNTIFS('질문 보기'!$C$2:$C$2291,$A15,'질문 보기'!$D$2:$D$2291,$B15,'질문 보기'!$E$2:$E$2291,"답변 거부")</x:f>
        <x:v>0</x:v>
      </x:c>
    </x:row>
    <x:row r="16">
      <x:c r="A16" t="str">
        <x:v>복약</x:v>
      </x:c>
      <x:c r="B16" t="str">
        <x:v>효능·사용목적</x:v>
      </x:c>
      <x:c r="C16" s="18" t="n">
        <x:f>COUNTIFS('질문 보기'!$C$2:$C$2291,$A16,'질문 보기'!$D$2:$D$2291,$B16)</x:f>
        <x:v>100</x:v>
      </x:c>
      <x:c r="D16" s="18" t="n">
        <x:f>COUNTIFS('질문 보기'!$C$2:$C$2291,$A16,'질문 보기'!$D$2:$D$2291,$B16,'질문 보기'!$B$2:$B$2291,"보정용")</x:f>
        <x:v>10</x:v>
      </x:c>
      <x:c r="E16" s="18" t="n">
        <x:f>COUNTIFS('질문 보기'!$C$2:$C$2291,$A16,'질문 보기'!$D$2:$D$2291,$B16,'질문 보기'!$B$2:$B$2291,"최종 평가")</x:f>
        <x:v>90</x:v>
      </x:c>
      <x:c r="F16" s="18" t="n">
        <x:f>COUNTIFS('질문 보기'!$C$2:$C$2291,$A16,'질문 보기'!$D$2:$D$2291,$B16,'질문 보기'!$F$2:$F$2291,"쉬움")</x:f>
        <x:v>100</x:v>
      </x:c>
      <x:c r="G16" s="18" t="n">
        <x:f>COUNTIFS('질문 보기'!$C$2:$C$2291,$A16,'질문 보기'!$D$2:$D$2291,$B16,'질문 보기'!$F$2:$F$2291,"보통")</x:f>
        <x:v>0</x:v>
      </x:c>
      <x:c r="H16" s="18" t="n">
        <x:f>COUNTIFS('질문 보기'!$C$2:$C$2291,$A16,'질문 보기'!$D$2:$D$2291,$B16,'질문 보기'!$F$2:$F$2291,"어려움")</x:f>
        <x:v>0</x:v>
      </x:c>
      <x:c r="I16" s="18" t="n">
        <x:f>COUNTIFS('질문 보기'!$C$2:$C$2291,$A16,'질문 보기'!$D$2:$D$2291,$B16,'질문 보기'!$E$2:$E$2291,"답변 가능")</x:f>
        <x:v>100</x:v>
      </x:c>
      <x:c r="J16" s="18" t="n">
        <x:f>COUNTIFS('질문 보기'!$C$2:$C$2291,$A16,'질문 보기'!$D$2:$D$2291,$B16,'질문 보기'!$E$2:$E$2291,"답변 거부")</x:f>
        <x:v>0</x:v>
      </x:c>
    </x:row>
    <x:row r="17">
      <x:c r="A17" t="str">
        <x:v>질병</x:v>
      </x:c>
      <x:c r="B17" t="str">
        <x:v>개요·기타</x:v>
      </x:c>
      <x:c r="C17" s="18" t="n">
        <x:f>COUNTIFS('질문 보기'!$C$2:$C$2291,$A17,'질문 보기'!$D$2:$D$2291,$B17)</x:f>
        <x:v>64</x:v>
      </x:c>
      <x:c r="D17" s="18" t="n">
        <x:f>COUNTIFS('질문 보기'!$C$2:$C$2291,$A17,'질문 보기'!$D$2:$D$2291,$B17,'질문 보기'!$B$2:$B$2291,"보정용")</x:f>
        <x:v>6</x:v>
      </x:c>
      <x:c r="E17" s="18" t="n">
        <x:f>COUNTIFS('질문 보기'!$C$2:$C$2291,$A17,'질문 보기'!$D$2:$D$2291,$B17,'질문 보기'!$B$2:$B$2291,"최종 평가")</x:f>
        <x:v>58</x:v>
      </x:c>
      <x:c r="F17" s="18" t="n">
        <x:f>COUNTIFS('질문 보기'!$C$2:$C$2291,$A17,'질문 보기'!$D$2:$D$2291,$B17,'질문 보기'!$F$2:$F$2291,"쉬움")</x:f>
        <x:v>64</x:v>
      </x:c>
      <x:c r="G17" s="18" t="n">
        <x:f>COUNTIFS('질문 보기'!$C$2:$C$2291,$A17,'질문 보기'!$D$2:$D$2291,$B17,'질문 보기'!$F$2:$F$2291,"보통")</x:f>
        <x:v>0</x:v>
      </x:c>
      <x:c r="H17" s="18" t="n">
        <x:f>COUNTIFS('질문 보기'!$C$2:$C$2291,$A17,'질문 보기'!$D$2:$D$2291,$B17,'질문 보기'!$F$2:$F$2291,"어려움")</x:f>
        <x:v>0</x:v>
      </x:c>
      <x:c r="I17" s="18" t="n">
        <x:f>COUNTIFS('질문 보기'!$C$2:$C$2291,$A17,'질문 보기'!$D$2:$D$2291,$B17,'질문 보기'!$E$2:$E$2291,"답변 가능")</x:f>
        <x:v>64</x:v>
      </x:c>
      <x:c r="J17" s="18" t="n">
        <x:f>COUNTIFS('질문 보기'!$C$2:$C$2291,$A17,'질문 보기'!$D$2:$D$2291,$B17,'질문 보기'!$E$2:$E$2291,"답변 거부")</x:f>
        <x:v>0</x:v>
      </x:c>
    </x:row>
    <x:row r="18">
      <x:c r="A18" t="str">
        <x:v>질병</x:v>
      </x:c>
      <x:c r="B18" t="str">
        <x:v>경과·예후</x:v>
      </x:c>
      <x:c r="C18" s="18" t="n">
        <x:f>COUNTIFS('질문 보기'!$C$2:$C$2291,$A18,'질문 보기'!$D$2:$D$2291,$B18)</x:f>
        <x:v>40</x:v>
      </x:c>
      <x:c r="D18" s="18" t="n">
        <x:f>COUNTIFS('질문 보기'!$C$2:$C$2291,$A18,'질문 보기'!$D$2:$D$2291,$B18,'질문 보기'!$B$2:$B$2291,"보정용")</x:f>
        <x:v>4</x:v>
      </x:c>
      <x:c r="E18" s="18" t="n">
        <x:f>COUNTIFS('질문 보기'!$C$2:$C$2291,$A18,'질문 보기'!$D$2:$D$2291,$B18,'질문 보기'!$B$2:$B$2291,"최종 평가")</x:f>
        <x:v>36</x:v>
      </x:c>
      <x:c r="F18" s="18" t="n">
        <x:f>COUNTIFS('질문 보기'!$C$2:$C$2291,$A18,'질문 보기'!$D$2:$D$2291,$B18,'질문 보기'!$F$2:$F$2291,"쉬움")</x:f>
        <x:v>40</x:v>
      </x:c>
      <x:c r="G18" s="18" t="n">
        <x:f>COUNTIFS('질문 보기'!$C$2:$C$2291,$A18,'질문 보기'!$D$2:$D$2291,$B18,'질문 보기'!$F$2:$F$2291,"보통")</x:f>
        <x:v>0</x:v>
      </x:c>
      <x:c r="H18" s="18" t="n">
        <x:f>COUNTIFS('질문 보기'!$C$2:$C$2291,$A18,'질문 보기'!$D$2:$D$2291,$B18,'질문 보기'!$F$2:$F$2291,"어려움")</x:f>
        <x:v>0</x:v>
      </x:c>
      <x:c r="I18" s="18" t="n">
        <x:f>COUNTIFS('질문 보기'!$C$2:$C$2291,$A18,'질문 보기'!$D$2:$D$2291,$B18,'질문 보기'!$E$2:$E$2291,"답변 가능")</x:f>
        <x:v>40</x:v>
      </x:c>
      <x:c r="J18" s="18" t="n">
        <x:f>COUNTIFS('질문 보기'!$C$2:$C$2291,$A18,'질문 보기'!$D$2:$D$2291,$B18,'질문 보기'!$E$2:$E$2291,"답변 거부")</x:f>
        <x:v>0</x:v>
      </x:c>
    </x:row>
    <x:row r="19">
      <x:c r="A19" t="str">
        <x:v>질병</x:v>
      </x:c>
      <x:c r="B19" t="str">
        <x:v>기준·수치</x:v>
      </x:c>
      <x:c r="C19" s="18" t="n">
        <x:f>COUNTIFS('질문 보기'!$C$2:$C$2291,$A19,'질문 보기'!$D$2:$D$2291,$B19)</x:f>
        <x:v>80</x:v>
      </x:c>
      <x:c r="D19" s="18" t="n">
        <x:f>COUNTIFS('질문 보기'!$C$2:$C$2291,$A19,'질문 보기'!$D$2:$D$2291,$B19,'질문 보기'!$B$2:$B$2291,"보정용")</x:f>
        <x:v>8</x:v>
      </x:c>
      <x:c r="E19" s="18" t="n">
        <x:f>COUNTIFS('질문 보기'!$C$2:$C$2291,$A19,'질문 보기'!$D$2:$D$2291,$B19,'질문 보기'!$B$2:$B$2291,"최종 평가")</x:f>
        <x:v>72</x:v>
      </x:c>
      <x:c r="F19" s="18" t="n">
        <x:f>COUNTIFS('질문 보기'!$C$2:$C$2291,$A19,'질문 보기'!$D$2:$D$2291,$B19,'질문 보기'!$F$2:$F$2291,"쉬움")</x:f>
        <x:v>80</x:v>
      </x:c>
      <x:c r="G19" s="18" t="n">
        <x:f>COUNTIFS('질문 보기'!$C$2:$C$2291,$A19,'질문 보기'!$D$2:$D$2291,$B19,'질문 보기'!$F$2:$F$2291,"보통")</x:f>
        <x:v>0</x:v>
      </x:c>
      <x:c r="H19" s="18" t="n">
        <x:f>COUNTIFS('질문 보기'!$C$2:$C$2291,$A19,'질문 보기'!$D$2:$D$2291,$B19,'질문 보기'!$F$2:$F$2291,"어려움")</x:f>
        <x:v>0</x:v>
      </x:c>
      <x:c r="I19" s="18" t="n">
        <x:f>COUNTIFS('질문 보기'!$C$2:$C$2291,$A19,'질문 보기'!$D$2:$D$2291,$B19,'질문 보기'!$E$2:$E$2291,"답변 가능")</x:f>
        <x:v>80</x:v>
      </x:c>
      <x:c r="J19" s="18" t="n">
        <x:f>COUNTIFS('질문 보기'!$C$2:$C$2291,$A19,'질문 보기'!$D$2:$D$2291,$B19,'질문 보기'!$E$2:$E$2291,"답변 거부")</x:f>
        <x:v>0</x:v>
      </x:c>
    </x:row>
    <x:row r="20">
      <x:c r="A20" t="str">
        <x:v>질병</x:v>
      </x:c>
      <x:c r="B20" t="str">
        <x:v>답변불가·개인 예후 단정</x:v>
      </x:c>
      <x:c r="C20" s="18" t="n">
        <x:f>COUNTIFS('질문 보기'!$C$2:$C$2291,$A20,'질문 보기'!$D$2:$D$2291,$B20)</x:f>
        <x:v>25</x:v>
      </x:c>
      <x:c r="D20" s="18" t="n">
        <x:f>COUNTIFS('질문 보기'!$C$2:$C$2291,$A20,'질문 보기'!$D$2:$D$2291,$B20,'질문 보기'!$B$2:$B$2291,"보정용")</x:f>
        <x:v>3</x:v>
      </x:c>
      <x:c r="E20" s="18" t="n">
        <x:f>COUNTIFS('질문 보기'!$C$2:$C$2291,$A20,'질문 보기'!$D$2:$D$2291,$B20,'질문 보기'!$B$2:$B$2291,"최종 평가")</x:f>
        <x:v>22</x:v>
      </x:c>
      <x:c r="F20" s="18" t="n">
        <x:f>COUNTIFS('질문 보기'!$C$2:$C$2291,$A20,'질문 보기'!$D$2:$D$2291,$B20,'질문 보기'!$F$2:$F$2291,"쉬움")</x:f>
        <x:v>0</x:v>
      </x:c>
      <x:c r="G20" s="18" t="n">
        <x:f>COUNTIFS('질문 보기'!$C$2:$C$2291,$A20,'질문 보기'!$D$2:$D$2291,$B20,'질문 보기'!$F$2:$F$2291,"보통")</x:f>
        <x:v>0</x:v>
      </x:c>
      <x:c r="H20" s="18" t="n">
        <x:f>COUNTIFS('질문 보기'!$C$2:$C$2291,$A20,'질문 보기'!$D$2:$D$2291,$B20,'질문 보기'!$F$2:$F$2291,"어려움")</x:f>
        <x:v>25</x:v>
      </x:c>
      <x:c r="I20" s="18" t="n">
        <x:f>COUNTIFS('질문 보기'!$C$2:$C$2291,$A20,'질문 보기'!$D$2:$D$2291,$B20,'질문 보기'!$E$2:$E$2291,"답변 가능")</x:f>
        <x:v>0</x:v>
      </x:c>
      <x:c r="J20" s="18" t="n">
        <x:f>COUNTIFS('질문 보기'!$C$2:$C$2291,$A20,'질문 보기'!$D$2:$D$2291,$B20,'질문 보기'!$E$2:$E$2291,"답변 거부")</x:f>
        <x:v>25</x:v>
      </x:c>
    </x:row>
    <x:row r="21">
      <x:c r="A21" t="str">
        <x:v>질병</x:v>
      </x:c>
      <x:c r="B21" t="str">
        <x:v>답변불가·개인 진단 요청</x:v>
      </x:c>
      <x:c r="C21" s="18" t="n">
        <x:f>COUNTIFS('질문 보기'!$C$2:$C$2291,$A21,'질문 보기'!$D$2:$D$2291,$B21)</x:f>
        <x:v>25</x:v>
      </x:c>
      <x:c r="D21" s="18" t="n">
        <x:f>COUNTIFS('질문 보기'!$C$2:$C$2291,$A21,'질문 보기'!$D$2:$D$2291,$B21,'질문 보기'!$B$2:$B$2291,"보정용")</x:f>
        <x:v>2</x:v>
      </x:c>
      <x:c r="E21" s="18" t="n">
        <x:f>COUNTIFS('질문 보기'!$C$2:$C$2291,$A21,'질문 보기'!$D$2:$D$2291,$B21,'질문 보기'!$B$2:$B$2291,"최종 평가")</x:f>
        <x:v>23</x:v>
      </x:c>
      <x:c r="F21" s="18" t="n">
        <x:f>COUNTIFS('질문 보기'!$C$2:$C$2291,$A21,'질문 보기'!$D$2:$D$2291,$B21,'질문 보기'!$F$2:$F$2291,"쉬움")</x:f>
        <x:v>0</x:v>
      </x:c>
      <x:c r="G21" s="18" t="n">
        <x:f>COUNTIFS('질문 보기'!$C$2:$C$2291,$A21,'질문 보기'!$D$2:$D$2291,$B21,'질문 보기'!$F$2:$F$2291,"보통")</x:f>
        <x:v>0</x:v>
      </x:c>
      <x:c r="H21" s="18" t="n">
        <x:f>COUNTIFS('질문 보기'!$C$2:$C$2291,$A21,'질문 보기'!$D$2:$D$2291,$B21,'질문 보기'!$F$2:$F$2291,"어려움")</x:f>
        <x:v>25</x:v>
      </x:c>
      <x:c r="I21" s="18" t="n">
        <x:f>COUNTIFS('질문 보기'!$C$2:$C$2291,$A21,'질문 보기'!$D$2:$D$2291,$B21,'질문 보기'!$E$2:$E$2291,"답변 가능")</x:f>
        <x:v>0</x:v>
      </x:c>
      <x:c r="J21" s="18" t="n">
        <x:f>COUNTIFS('질문 보기'!$C$2:$C$2291,$A21,'질문 보기'!$D$2:$D$2291,$B21,'질문 보기'!$E$2:$E$2291,"답변 거부")</x:f>
        <x:v>25</x:v>
      </x:c>
    </x:row>
    <x:row r="22">
      <x:c r="A22" t="str">
        <x:v>질병</x:v>
      </x:c>
      <x:c r="B22" t="str">
        <x:v>답변불가·실시간 의료기관</x:v>
      </x:c>
      <x:c r="C22" s="18" t="n">
        <x:f>COUNTIFS('질문 보기'!$C$2:$C$2291,$A22,'질문 보기'!$D$2:$D$2291,$B22)</x:f>
        <x:v>25</x:v>
      </x:c>
      <x:c r="D22" s="18" t="n">
        <x:f>COUNTIFS('질문 보기'!$C$2:$C$2291,$A22,'질문 보기'!$D$2:$D$2291,$B22,'질문 보기'!$B$2:$B$2291,"보정용")</x:f>
        <x:v>3</x:v>
      </x:c>
      <x:c r="E22" s="18" t="n">
        <x:f>COUNTIFS('질문 보기'!$C$2:$C$2291,$A22,'질문 보기'!$D$2:$D$2291,$B22,'질문 보기'!$B$2:$B$2291,"최종 평가")</x:f>
        <x:v>22</x:v>
      </x:c>
      <x:c r="F22" s="18" t="n">
        <x:f>COUNTIFS('질문 보기'!$C$2:$C$2291,$A22,'질문 보기'!$D$2:$D$2291,$B22,'질문 보기'!$F$2:$F$2291,"쉬움")</x:f>
        <x:v>0</x:v>
      </x:c>
      <x:c r="G22" s="18" t="n">
        <x:f>COUNTIFS('질문 보기'!$C$2:$C$2291,$A22,'질문 보기'!$D$2:$D$2291,$B22,'질문 보기'!$F$2:$F$2291,"보통")</x:f>
        <x:v>0</x:v>
      </x:c>
      <x:c r="H22" s="18" t="n">
        <x:f>COUNTIFS('질문 보기'!$C$2:$C$2291,$A22,'질문 보기'!$D$2:$D$2291,$B22,'질문 보기'!$F$2:$F$2291,"어려움")</x:f>
        <x:v>25</x:v>
      </x:c>
      <x:c r="I22" s="18" t="n">
        <x:f>COUNTIFS('질문 보기'!$C$2:$C$2291,$A22,'질문 보기'!$D$2:$D$2291,$B22,'질문 보기'!$E$2:$E$2291,"답변 가능")</x:f>
        <x:v>0</x:v>
      </x:c>
      <x:c r="J22" s="18" t="n">
        <x:f>COUNTIFS('질문 보기'!$C$2:$C$2291,$A22,'질문 보기'!$D$2:$D$2291,$B22,'질문 보기'!$E$2:$E$2291,"답변 거부")</x:f>
        <x:v>25</x:v>
      </x:c>
    </x:row>
    <x:row r="23">
      <x:c r="A23" t="str">
        <x:v>질병</x:v>
      </x:c>
      <x:c r="B23" t="str">
        <x:v>답변불가·치료비·보험</x:v>
      </x:c>
      <x:c r="C23" s="18" t="n">
        <x:f>COUNTIFS('질문 보기'!$C$2:$C$2291,$A23,'질문 보기'!$D$2:$D$2291,$B23)</x:f>
        <x:v>25</x:v>
      </x:c>
      <x:c r="D23" s="18" t="n">
        <x:f>COUNTIFS('질문 보기'!$C$2:$C$2291,$A23,'질문 보기'!$D$2:$D$2291,$B23,'질문 보기'!$B$2:$B$2291,"보정용")</x:f>
        <x:v>2</x:v>
      </x:c>
      <x:c r="E23" s="18" t="n">
        <x:f>COUNTIFS('질문 보기'!$C$2:$C$2291,$A23,'질문 보기'!$D$2:$D$2291,$B23,'질문 보기'!$B$2:$B$2291,"최종 평가")</x:f>
        <x:v>23</x:v>
      </x:c>
      <x:c r="F23" s="18" t="n">
        <x:f>COUNTIFS('질문 보기'!$C$2:$C$2291,$A23,'질문 보기'!$D$2:$D$2291,$B23,'질문 보기'!$F$2:$F$2291,"쉬움")</x:f>
        <x:v>0</x:v>
      </x:c>
      <x:c r="G23" s="18" t="n">
        <x:f>COUNTIFS('질문 보기'!$C$2:$C$2291,$A23,'질문 보기'!$D$2:$D$2291,$B23,'질문 보기'!$F$2:$F$2291,"보통")</x:f>
        <x:v>0</x:v>
      </x:c>
      <x:c r="H23" s="18" t="n">
        <x:f>COUNTIFS('질문 보기'!$C$2:$C$2291,$A23,'질문 보기'!$D$2:$D$2291,$B23,'질문 보기'!$F$2:$F$2291,"어려움")</x:f>
        <x:v>25</x:v>
      </x:c>
      <x:c r="I23" s="18" t="n">
        <x:f>COUNTIFS('질문 보기'!$C$2:$C$2291,$A23,'질문 보기'!$D$2:$D$2291,$B23,'질문 보기'!$E$2:$E$2291,"답변 가능")</x:f>
        <x:v>0</x:v>
      </x:c>
      <x:c r="J23" s="18" t="n">
        <x:f>COUNTIFS('질문 보기'!$C$2:$C$2291,$A23,'질문 보기'!$D$2:$D$2291,$B23,'질문 보기'!$E$2:$E$2291,"답변 거부")</x:f>
        <x:v>25</x:v>
      </x:c>
    </x:row>
    <x:row r="24">
      <x:c r="A24" t="str">
        <x:v>질병</x:v>
      </x:c>
      <x:c r="B24" t="str">
        <x:v>대상별 정보</x:v>
      </x:c>
      <x:c r="C24" s="18" t="n">
        <x:f>COUNTIFS('질문 보기'!$C$2:$C$2291,$A24,'질문 보기'!$D$2:$D$2291,$B24)</x:f>
        <x:v>14</x:v>
      </x:c>
      <x:c r="D24" s="18" t="n">
        <x:f>COUNTIFS('질문 보기'!$C$2:$C$2291,$A24,'질문 보기'!$D$2:$D$2291,$B24,'질문 보기'!$B$2:$B$2291,"보정용")</x:f>
        <x:v>1</x:v>
      </x:c>
      <x:c r="E24" s="18" t="n">
        <x:f>COUNTIFS('질문 보기'!$C$2:$C$2291,$A24,'질문 보기'!$D$2:$D$2291,$B24,'질문 보기'!$B$2:$B$2291,"최종 평가")</x:f>
        <x:v>13</x:v>
      </x:c>
      <x:c r="F24" s="18" t="n">
        <x:f>COUNTIFS('질문 보기'!$C$2:$C$2291,$A24,'질문 보기'!$D$2:$D$2291,$B24,'질문 보기'!$F$2:$F$2291,"쉬움")</x:f>
        <x:v>14</x:v>
      </x:c>
      <x:c r="G24" s="18" t="n">
        <x:f>COUNTIFS('질문 보기'!$C$2:$C$2291,$A24,'질문 보기'!$D$2:$D$2291,$B24,'질문 보기'!$F$2:$F$2291,"보통")</x:f>
        <x:v>0</x:v>
      </x:c>
      <x:c r="H24" s="18" t="n">
        <x:f>COUNTIFS('질문 보기'!$C$2:$C$2291,$A24,'질문 보기'!$D$2:$D$2291,$B24,'질문 보기'!$F$2:$F$2291,"어려움")</x:f>
        <x:v>0</x:v>
      </x:c>
      <x:c r="I24" s="18" t="n">
        <x:f>COUNTIFS('질문 보기'!$C$2:$C$2291,$A24,'질문 보기'!$D$2:$D$2291,$B24,'질문 보기'!$E$2:$E$2291,"답변 가능")</x:f>
        <x:v>14</x:v>
      </x:c>
      <x:c r="J24" s="18" t="n">
        <x:f>COUNTIFS('질문 보기'!$C$2:$C$2291,$A24,'질문 보기'!$D$2:$D$2291,$B24,'질문 보기'!$E$2:$E$2291,"답변 거부")</x:f>
        <x:v>0</x:v>
      </x:c>
    </x:row>
    <x:row r="25">
      <x:c r="A25" t="str">
        <x:v>질병</x:v>
      </x:c>
      <x:c r="B25" t="str">
        <x:v>실용·응급대처</x:v>
      </x:c>
      <x:c r="C25" s="18" t="n">
        <x:f>COUNTIFS('질문 보기'!$C$2:$C$2291,$A25,'질문 보기'!$D$2:$D$2291,$B25)</x:f>
        <x:v>2</x:v>
      </x:c>
      <x:c r="D25" s="18" t="n">
        <x:f>COUNTIFS('질문 보기'!$C$2:$C$2291,$A25,'질문 보기'!$D$2:$D$2291,$B25,'질문 보기'!$B$2:$B$2291,"보정용")</x:f>
        <x:v>0</x:v>
      </x:c>
      <x:c r="E25" s="18" t="n">
        <x:f>COUNTIFS('질문 보기'!$C$2:$C$2291,$A25,'질문 보기'!$D$2:$D$2291,$B25,'질문 보기'!$B$2:$B$2291,"최종 평가")</x:f>
        <x:v>2</x:v>
      </x:c>
      <x:c r="F25" s="18" t="n">
        <x:f>COUNTIFS('질문 보기'!$C$2:$C$2291,$A25,'질문 보기'!$D$2:$D$2291,$B25,'질문 보기'!$F$2:$F$2291,"쉬움")</x:f>
        <x:v>2</x:v>
      </x:c>
      <x:c r="G25" s="18" t="n">
        <x:f>COUNTIFS('질문 보기'!$C$2:$C$2291,$A25,'질문 보기'!$D$2:$D$2291,$B25,'질문 보기'!$F$2:$F$2291,"보통")</x:f>
        <x:v>0</x:v>
      </x:c>
      <x:c r="H25" s="18" t="n">
        <x:f>COUNTIFS('질문 보기'!$C$2:$C$2291,$A25,'질문 보기'!$D$2:$D$2291,$B25,'질문 보기'!$F$2:$F$2291,"어려움")</x:f>
        <x:v>0</x:v>
      </x:c>
      <x:c r="I25" s="18" t="n">
        <x:f>COUNTIFS('질문 보기'!$C$2:$C$2291,$A25,'질문 보기'!$D$2:$D$2291,$B25,'질문 보기'!$E$2:$E$2291,"답변 가능")</x:f>
        <x:v>2</x:v>
      </x:c>
      <x:c r="J25" s="18" t="n">
        <x:f>COUNTIFS('질문 보기'!$C$2:$C$2291,$A25,'질문 보기'!$D$2:$D$2291,$B25,'질문 보기'!$E$2:$E$2291,"답변 거부")</x:f>
        <x:v>0</x:v>
      </x:c>
    </x:row>
    <x:row r="26">
      <x:c r="A26" t="str">
        <x:v>질병</x:v>
      </x:c>
      <x:c r="B26" t="str">
        <x:v>예방·생활수칙</x:v>
      </x:c>
      <x:c r="C26" s="18" t="n">
        <x:f>COUNTIFS('질문 보기'!$C$2:$C$2291,$A26,'질문 보기'!$D$2:$D$2291,$B26)</x:f>
        <x:v>85</x:v>
      </x:c>
      <x:c r="D26" s="18" t="n">
        <x:f>COUNTIFS('질문 보기'!$C$2:$C$2291,$A26,'질문 보기'!$D$2:$D$2291,$B26,'질문 보기'!$B$2:$B$2291,"보정용")</x:f>
        <x:v>8</x:v>
      </x:c>
      <x:c r="E26" s="18" t="n">
        <x:f>COUNTIFS('질문 보기'!$C$2:$C$2291,$A26,'질문 보기'!$D$2:$D$2291,$B26,'질문 보기'!$B$2:$B$2291,"최종 평가")</x:f>
        <x:v>77</x:v>
      </x:c>
      <x:c r="F26" s="18" t="n">
        <x:f>COUNTIFS('질문 보기'!$C$2:$C$2291,$A26,'질문 보기'!$D$2:$D$2291,$B26,'질문 보기'!$F$2:$F$2291,"쉬움")</x:f>
        <x:v>85</x:v>
      </x:c>
      <x:c r="G26" s="18" t="n">
        <x:f>COUNTIFS('질문 보기'!$C$2:$C$2291,$A26,'질문 보기'!$D$2:$D$2291,$B26,'질문 보기'!$F$2:$F$2291,"보통")</x:f>
        <x:v>0</x:v>
      </x:c>
      <x:c r="H26" s="18" t="n">
        <x:f>COUNTIFS('질문 보기'!$C$2:$C$2291,$A26,'질문 보기'!$D$2:$D$2291,$B26,'질문 보기'!$F$2:$F$2291,"어려움")</x:f>
        <x:v>0</x:v>
      </x:c>
      <x:c r="I26" s="18" t="n">
        <x:f>COUNTIFS('질문 보기'!$C$2:$C$2291,$A26,'질문 보기'!$D$2:$D$2291,$B26,'질문 보기'!$E$2:$E$2291,"답변 가능")</x:f>
        <x:v>85</x:v>
      </x:c>
      <x:c r="J26" s="18" t="n">
        <x:f>COUNTIFS('질문 보기'!$C$2:$C$2291,$A26,'질문 보기'!$D$2:$D$2291,$B26,'질문 보기'!$E$2:$E$2291,"답변 거부")</x:f>
        <x:v>0</x:v>
      </x:c>
    </x:row>
    <x:row r="27">
      <x:c r="A27" t="str">
        <x:v>질병</x:v>
      </x:c>
      <x:c r="B27" t="str">
        <x:v>용어·정의</x:v>
      </x:c>
      <x:c r="C27" s="18" t="n">
        <x:f>COUNTIFS('질문 보기'!$C$2:$C$2291,$A27,'질문 보기'!$D$2:$D$2291,$B27)</x:f>
        <x:v>105</x:v>
      </x:c>
      <x:c r="D27" s="18" t="n">
        <x:f>COUNTIFS('질문 보기'!$C$2:$C$2291,$A27,'질문 보기'!$D$2:$D$2291,$B27,'질문 보기'!$B$2:$B$2291,"보정용")</x:f>
        <x:v>10</x:v>
      </x:c>
      <x:c r="E27" s="18" t="n">
        <x:f>COUNTIFS('질문 보기'!$C$2:$C$2291,$A27,'질문 보기'!$D$2:$D$2291,$B27,'질문 보기'!$B$2:$B$2291,"최종 평가")</x:f>
        <x:v>95</x:v>
      </x:c>
      <x:c r="F27" s="18" t="n">
        <x:f>COUNTIFS('질문 보기'!$C$2:$C$2291,$A27,'질문 보기'!$D$2:$D$2291,$B27,'질문 보기'!$F$2:$F$2291,"쉬움")</x:f>
        <x:v>105</x:v>
      </x:c>
      <x:c r="G27" s="18" t="n">
        <x:f>COUNTIFS('질문 보기'!$C$2:$C$2291,$A27,'질문 보기'!$D$2:$D$2291,$B27,'질문 보기'!$F$2:$F$2291,"보통")</x:f>
        <x:v>0</x:v>
      </x:c>
      <x:c r="H27" s="18" t="n">
        <x:f>COUNTIFS('질문 보기'!$C$2:$C$2291,$A27,'질문 보기'!$D$2:$D$2291,$B27,'질문 보기'!$F$2:$F$2291,"어려움")</x:f>
        <x:v>0</x:v>
      </x:c>
      <x:c r="I27" s="18" t="n">
        <x:f>COUNTIFS('질문 보기'!$C$2:$C$2291,$A27,'질문 보기'!$D$2:$D$2291,$B27,'질문 보기'!$E$2:$E$2291,"답변 가능")</x:f>
        <x:v>105</x:v>
      </x:c>
      <x:c r="J27" s="18" t="n">
        <x:f>COUNTIFS('질문 보기'!$C$2:$C$2291,$A27,'질문 보기'!$D$2:$D$2291,$B27,'질문 보기'!$E$2:$E$2291,"답변 거부")</x:f>
        <x:v>0</x:v>
      </x:c>
    </x:row>
    <x:row r="28">
      <x:c r="A28" t="str">
        <x:v>질병</x:v>
      </x:c>
      <x:c r="B28" t="str">
        <x:v>원인·위험요인</x:v>
      </x:c>
      <x:c r="C28" s="18" t="n">
        <x:f>COUNTIFS('질문 보기'!$C$2:$C$2291,$A28,'질문 보기'!$D$2:$D$2291,$B28)</x:f>
        <x:v>95</x:v>
      </x:c>
      <x:c r="D28" s="18" t="n">
        <x:f>COUNTIFS('질문 보기'!$C$2:$C$2291,$A28,'질문 보기'!$D$2:$D$2291,$B28,'질문 보기'!$B$2:$B$2291,"보정용")</x:f>
        <x:v>10</x:v>
      </x:c>
      <x:c r="E28" s="18" t="n">
        <x:f>COUNTIFS('질문 보기'!$C$2:$C$2291,$A28,'질문 보기'!$D$2:$D$2291,$B28,'질문 보기'!$B$2:$B$2291,"최종 평가")</x:f>
        <x:v>85</x:v>
      </x:c>
      <x:c r="F28" s="18" t="n">
        <x:f>COUNTIFS('질문 보기'!$C$2:$C$2291,$A28,'질문 보기'!$D$2:$D$2291,$B28,'질문 보기'!$F$2:$F$2291,"쉬움")</x:f>
        <x:v>95</x:v>
      </x:c>
      <x:c r="G28" s="18" t="n">
        <x:f>COUNTIFS('질문 보기'!$C$2:$C$2291,$A28,'질문 보기'!$D$2:$D$2291,$B28,'질문 보기'!$F$2:$F$2291,"보통")</x:f>
        <x:v>0</x:v>
      </x:c>
      <x:c r="H28" s="18" t="n">
        <x:f>COUNTIFS('질문 보기'!$C$2:$C$2291,$A28,'질문 보기'!$D$2:$D$2291,$B28,'질문 보기'!$F$2:$F$2291,"어려움")</x:f>
        <x:v>0</x:v>
      </x:c>
      <x:c r="I28" s="18" t="n">
        <x:f>COUNTIFS('질문 보기'!$C$2:$C$2291,$A28,'질문 보기'!$D$2:$D$2291,$B28,'질문 보기'!$E$2:$E$2291,"답변 가능")</x:f>
        <x:v>95</x:v>
      </x:c>
      <x:c r="J28" s="18" t="n">
        <x:f>COUNTIFS('질문 보기'!$C$2:$C$2291,$A28,'질문 보기'!$D$2:$D$2291,$B28,'질문 보기'!$E$2:$E$2291,"답변 거부")</x:f>
        <x:v>0</x:v>
      </x:c>
    </x:row>
    <x:row r="29">
      <x:c r="A29" t="str">
        <x:v>질병</x:v>
      </x:c>
      <x:c r="B29" t="str">
        <x:v>증상·양상</x:v>
      </x:c>
      <x:c r="C29" s="18" t="n">
        <x:f>COUNTIFS('질문 보기'!$C$2:$C$2291,$A29,'질문 보기'!$D$2:$D$2291,$B29)</x:f>
        <x:v>135</x:v>
      </x:c>
      <x:c r="D29" s="18" t="n">
        <x:f>COUNTIFS('질문 보기'!$C$2:$C$2291,$A29,'질문 보기'!$D$2:$D$2291,$B29,'질문 보기'!$B$2:$B$2291,"보정용")</x:f>
        <x:v>14</x:v>
      </x:c>
      <x:c r="E29" s="18" t="n">
        <x:f>COUNTIFS('질문 보기'!$C$2:$C$2291,$A29,'질문 보기'!$D$2:$D$2291,$B29,'질문 보기'!$B$2:$B$2291,"최종 평가")</x:f>
        <x:v>121</x:v>
      </x:c>
      <x:c r="F29" s="18" t="n">
        <x:f>COUNTIFS('질문 보기'!$C$2:$C$2291,$A29,'질문 보기'!$D$2:$D$2291,$B29,'질문 보기'!$F$2:$F$2291,"쉬움")</x:f>
        <x:v>135</x:v>
      </x:c>
      <x:c r="G29" s="18" t="n">
        <x:f>COUNTIFS('질문 보기'!$C$2:$C$2291,$A29,'질문 보기'!$D$2:$D$2291,$B29,'질문 보기'!$F$2:$F$2291,"보통")</x:f>
        <x:v>0</x:v>
      </x:c>
      <x:c r="H29" s="18" t="n">
        <x:f>COUNTIFS('질문 보기'!$C$2:$C$2291,$A29,'질문 보기'!$D$2:$D$2291,$B29,'질문 보기'!$F$2:$F$2291,"어려움")</x:f>
        <x:v>0</x:v>
      </x:c>
      <x:c r="I29" s="18" t="n">
        <x:f>COUNTIFS('질문 보기'!$C$2:$C$2291,$A29,'질문 보기'!$D$2:$D$2291,$B29,'질문 보기'!$E$2:$E$2291,"답변 가능")</x:f>
        <x:v>135</x:v>
      </x:c>
      <x:c r="J29" s="18" t="n">
        <x:f>COUNTIFS('질문 보기'!$C$2:$C$2291,$A29,'질문 보기'!$D$2:$D$2291,$B29,'질문 보기'!$E$2:$E$2291,"답변 거부")</x:f>
        <x:v>0</x:v>
      </x:c>
    </x:row>
    <x:row r="30">
      <x:c r="A30" t="str">
        <x:v>질병</x:v>
      </x:c>
      <x:c r="B30" t="str">
        <x:v>증상→질환 구분</x:v>
      </x:c>
      <x:c r="C30" s="18" t="n">
        <x:f>COUNTIFS('질문 보기'!$C$2:$C$2291,$A30,'질문 보기'!$D$2:$D$2291,$B30)</x:f>
        <x:v>130</x:v>
      </x:c>
      <x:c r="D30" s="18" t="n">
        <x:f>COUNTIFS('질문 보기'!$C$2:$C$2291,$A30,'질문 보기'!$D$2:$D$2291,$B30,'질문 보기'!$B$2:$B$2291,"보정용")</x:f>
        <x:v>13</x:v>
      </x:c>
      <x:c r="E30" s="18" t="n">
        <x:f>COUNTIFS('질문 보기'!$C$2:$C$2291,$A30,'질문 보기'!$D$2:$D$2291,$B30,'질문 보기'!$B$2:$B$2291,"최종 평가")</x:f>
        <x:v>117</x:v>
      </x:c>
      <x:c r="F30" s="18" t="n">
        <x:f>COUNTIFS('질문 보기'!$C$2:$C$2291,$A30,'질문 보기'!$D$2:$D$2291,$B30,'질문 보기'!$F$2:$F$2291,"쉬움")</x:f>
        <x:v>0</x:v>
      </x:c>
      <x:c r="G30" s="18" t="n">
        <x:f>COUNTIFS('질문 보기'!$C$2:$C$2291,$A30,'질문 보기'!$D$2:$D$2291,$B30,'질문 보기'!$F$2:$F$2291,"보통")</x:f>
        <x:v>0</x:v>
      </x:c>
      <x:c r="H30" s="18" t="n">
        <x:f>COUNTIFS('질문 보기'!$C$2:$C$2291,$A30,'질문 보기'!$D$2:$D$2291,$B30,'질문 보기'!$F$2:$F$2291,"어려움")</x:f>
        <x:v>130</x:v>
      </x:c>
      <x:c r="I30" s="18" t="n">
        <x:f>COUNTIFS('질문 보기'!$C$2:$C$2291,$A30,'질문 보기'!$D$2:$D$2291,$B30,'질문 보기'!$E$2:$E$2291,"답변 가능")</x:f>
        <x:v>130</x:v>
      </x:c>
      <x:c r="J30" s="18" t="n">
        <x:f>COUNTIFS('질문 보기'!$C$2:$C$2291,$A30,'질문 보기'!$D$2:$D$2291,$B30,'질문 보기'!$E$2:$E$2291,"답변 거부")</x:f>
        <x:v>0</x:v>
      </x:c>
    </x:row>
    <x:row r="31">
      <x:c r="A31" t="str">
        <x:v>질병</x:v>
      </x:c>
      <x:c r="B31" t="str">
        <x:v>진단·검사</x:v>
      </x:c>
      <x:c r="C31" s="18" t="n">
        <x:f>COUNTIFS('질문 보기'!$C$2:$C$2291,$A31,'질문 보기'!$D$2:$D$2291,$B31)</x:f>
        <x:v>125</x:v>
      </x:c>
      <x:c r="D31" s="18" t="n">
        <x:f>COUNTIFS('질문 보기'!$C$2:$C$2291,$A31,'질문 보기'!$D$2:$D$2291,$B31,'질문 보기'!$B$2:$B$2291,"보정용")</x:f>
        <x:v>13</x:v>
      </x:c>
      <x:c r="E31" s="18" t="n">
        <x:f>COUNTIFS('질문 보기'!$C$2:$C$2291,$A31,'질문 보기'!$D$2:$D$2291,$B31,'질문 보기'!$B$2:$B$2291,"최종 평가")</x:f>
        <x:v>112</x:v>
      </x:c>
      <x:c r="F31" s="18" t="n">
        <x:f>COUNTIFS('질문 보기'!$C$2:$C$2291,$A31,'질문 보기'!$D$2:$D$2291,$B31,'질문 보기'!$F$2:$F$2291,"쉬움")</x:f>
        <x:v>125</x:v>
      </x:c>
      <x:c r="G31" s="18" t="n">
        <x:f>COUNTIFS('질문 보기'!$C$2:$C$2291,$A31,'질문 보기'!$D$2:$D$2291,$B31,'질문 보기'!$F$2:$F$2291,"보통")</x:f>
        <x:v>0</x:v>
      </x:c>
      <x:c r="H31" s="18" t="n">
        <x:f>COUNTIFS('질문 보기'!$C$2:$C$2291,$A31,'질문 보기'!$D$2:$D$2291,$B31,'질문 보기'!$F$2:$F$2291,"어려움")</x:f>
        <x:v>0</x:v>
      </x:c>
      <x:c r="I31" s="18" t="n">
        <x:f>COUNTIFS('질문 보기'!$C$2:$C$2291,$A31,'질문 보기'!$D$2:$D$2291,$B31,'질문 보기'!$E$2:$E$2291,"답변 가능")</x:f>
        <x:v>125</x:v>
      </x:c>
      <x:c r="J31" s="18" t="n">
        <x:f>COUNTIFS('질문 보기'!$C$2:$C$2291,$A31,'질문 보기'!$D$2:$D$2291,$B31,'질문 보기'!$E$2:$E$2291,"답변 거부")</x:f>
        <x:v>0</x:v>
      </x:c>
    </x:row>
    <x:row r="32">
      <x:c r="A32" t="str">
        <x:v>질병</x:v>
      </x:c>
      <x:c r="B32" t="str">
        <x:v>치료·관리</x:v>
      </x:c>
      <x:c r="C32" s="18" t="n">
        <x:f>COUNTIFS('질문 보기'!$C$2:$C$2291,$A32,'질문 보기'!$D$2:$D$2291,$B32)</x:f>
        <x:v>125</x:v>
      </x:c>
      <x:c r="D32" s="18" t="n">
        <x:f>COUNTIFS('질문 보기'!$C$2:$C$2291,$A32,'질문 보기'!$D$2:$D$2291,$B32,'질문 보기'!$B$2:$B$2291,"보정용")</x:f>
        <x:v>12</x:v>
      </x:c>
      <x:c r="E32" s="18" t="n">
        <x:f>COUNTIFS('질문 보기'!$C$2:$C$2291,$A32,'질문 보기'!$D$2:$D$2291,$B32,'질문 보기'!$B$2:$B$2291,"최종 평가")</x:f>
        <x:v>113</x:v>
      </x:c>
      <x:c r="F32" s="18" t="n">
        <x:f>COUNTIFS('질문 보기'!$C$2:$C$2291,$A32,'질문 보기'!$D$2:$D$2291,$B32,'질문 보기'!$F$2:$F$2291,"쉬움")</x:f>
        <x:v>125</x:v>
      </x:c>
      <x:c r="G32" s="18" t="n">
        <x:f>COUNTIFS('질문 보기'!$C$2:$C$2291,$A32,'질문 보기'!$D$2:$D$2291,$B32,'질문 보기'!$F$2:$F$2291,"보통")</x:f>
        <x:v>0</x:v>
      </x:c>
      <x:c r="H32" s="18" t="n">
        <x:f>COUNTIFS('질문 보기'!$C$2:$C$2291,$A32,'질문 보기'!$D$2:$D$2291,$B32,'질문 보기'!$F$2:$F$2291,"어려움")</x:f>
        <x:v>0</x:v>
      </x:c>
      <x:c r="I32" s="18" t="n">
        <x:f>COUNTIFS('질문 보기'!$C$2:$C$2291,$A32,'질문 보기'!$D$2:$D$2291,$B32,'질문 보기'!$E$2:$E$2291,"답변 가능")</x:f>
        <x:v>125</x:v>
      </x:c>
      <x:c r="J32" s="18" t="n">
        <x:f>COUNTIFS('질문 보기'!$C$2:$C$2291,$A32,'질문 보기'!$D$2:$D$2291,$B32,'질문 보기'!$E$2:$E$2291,"답변 거부")</x:f>
        <x:v>0</x:v>
      </x:c>
    </x:row>
    <x:row r="33">
      <x:c r="A33" t="str">
        <x:v>건강검진</x:v>
      </x:c>
      <x:c r="B33" t="str">
        <x:v>검사·지표 비교</x:v>
      </x:c>
      <x:c r="C33" s="18" t="n">
        <x:f>COUNTIFS('질문 보기'!$C$2:$C$2291,$A33,'질문 보기'!$D$2:$D$2291,$B33)</x:f>
        <x:v>10</x:v>
      </x:c>
      <x:c r="D33" s="18" t="n">
        <x:f>COUNTIFS('질문 보기'!$C$2:$C$2291,$A33,'질문 보기'!$D$2:$D$2291,$B33,'질문 보기'!$B$2:$B$2291,"보정용")</x:f>
        <x:v>1</x:v>
      </x:c>
      <x:c r="E33" s="18" t="n">
        <x:f>COUNTIFS('질문 보기'!$C$2:$C$2291,$A33,'질문 보기'!$D$2:$D$2291,$B33,'질문 보기'!$B$2:$B$2291,"최종 평가")</x:f>
        <x:v>9</x:v>
      </x:c>
      <x:c r="F33" s="18" t="n">
        <x:f>COUNTIFS('질문 보기'!$C$2:$C$2291,$A33,'질문 보기'!$D$2:$D$2291,$B33,'질문 보기'!$F$2:$F$2291,"쉬움")</x:f>
        <x:v>0</x:v>
      </x:c>
      <x:c r="G33" s="18" t="n">
        <x:f>COUNTIFS('질문 보기'!$C$2:$C$2291,$A33,'질문 보기'!$D$2:$D$2291,$B33,'질문 보기'!$F$2:$F$2291,"보통")</x:f>
        <x:v>0</x:v>
      </x:c>
      <x:c r="H33" s="18" t="n">
        <x:f>COUNTIFS('질문 보기'!$C$2:$C$2291,$A33,'질문 보기'!$D$2:$D$2291,$B33,'질문 보기'!$F$2:$F$2291,"어려움")</x:f>
        <x:v>10</x:v>
      </x:c>
      <x:c r="I33" s="18" t="n">
        <x:f>COUNTIFS('질문 보기'!$C$2:$C$2291,$A33,'질문 보기'!$D$2:$D$2291,$B33,'질문 보기'!$E$2:$E$2291,"답변 가능")</x:f>
        <x:v>10</x:v>
      </x:c>
      <x:c r="J33" s="18" t="n">
        <x:f>COUNTIFS('질문 보기'!$C$2:$C$2291,$A33,'질문 보기'!$D$2:$D$2291,$B33,'질문 보기'!$E$2:$E$2291,"답변 거부")</x:f>
        <x:v>0</x:v>
      </x:c>
    </x:row>
    <x:row r="34">
      <x:c r="A34" t="str">
        <x:v>건강검진</x:v>
      </x:c>
      <x:c r="B34" t="str">
        <x:v>결과 해석</x:v>
      </x:c>
      <x:c r="C34" s="18" t="n">
        <x:f>COUNTIFS('질문 보기'!$C$2:$C$2291,$A34,'질문 보기'!$D$2:$D$2291,$B34)</x:f>
        <x:v>15</x:v>
      </x:c>
      <x:c r="D34" s="18" t="n">
        <x:f>COUNTIFS('질문 보기'!$C$2:$C$2291,$A34,'질문 보기'!$D$2:$D$2291,$B34,'질문 보기'!$B$2:$B$2291,"보정용")</x:f>
        <x:v>0</x:v>
      </x:c>
      <x:c r="E34" s="18" t="n">
        <x:f>COUNTIFS('질문 보기'!$C$2:$C$2291,$A34,'질문 보기'!$D$2:$D$2291,$B34,'질문 보기'!$B$2:$B$2291,"최종 평가")</x:f>
        <x:v>15</x:v>
      </x:c>
      <x:c r="F34" s="18" t="n">
        <x:f>COUNTIFS('질문 보기'!$C$2:$C$2291,$A34,'질문 보기'!$D$2:$D$2291,$B34,'질문 보기'!$F$2:$F$2291,"쉬움")</x:f>
        <x:v>0</x:v>
      </x:c>
      <x:c r="G34" s="18" t="n">
        <x:f>COUNTIFS('질문 보기'!$C$2:$C$2291,$A34,'질문 보기'!$D$2:$D$2291,$B34,'질문 보기'!$F$2:$F$2291,"보통")</x:f>
        <x:v>15</x:v>
      </x:c>
      <x:c r="H34" s="18" t="n">
        <x:f>COUNTIFS('질문 보기'!$C$2:$C$2291,$A34,'질문 보기'!$D$2:$D$2291,$B34,'질문 보기'!$F$2:$F$2291,"어려움")</x:f>
        <x:v>0</x:v>
      </x:c>
      <x:c r="I34" s="18" t="n">
        <x:f>COUNTIFS('질문 보기'!$C$2:$C$2291,$A34,'질문 보기'!$D$2:$D$2291,$B34,'질문 보기'!$E$2:$E$2291,"답변 가능")</x:f>
        <x:v>15</x:v>
      </x:c>
      <x:c r="J34" s="18" t="n">
        <x:f>COUNTIFS('질문 보기'!$C$2:$C$2291,$A34,'질문 보기'!$D$2:$D$2291,$B34,'질문 보기'!$E$2:$E$2291,"답변 거부")</x:f>
        <x:v>0</x:v>
      </x:c>
    </x:row>
    <x:row r="35">
      <x:c r="A35" t="str">
        <x:v>건강검진</x:v>
      </x:c>
      <x:c r="B35" t="str">
        <x:v>답변불가·확정진단</x:v>
      </x:c>
      <x:c r="C35" s="18" t="n">
        <x:f>COUNTIFS('질문 보기'!$C$2:$C$2291,$A35,'질문 보기'!$D$2:$D$2291,$B35)</x:f>
        <x:v>9</x:v>
      </x:c>
      <x:c r="D35" s="18" t="n">
        <x:f>COUNTIFS('질문 보기'!$C$2:$C$2291,$A35,'질문 보기'!$D$2:$D$2291,$B35,'질문 보기'!$B$2:$B$2291,"보정용")</x:f>
        <x:v>1</x:v>
      </x:c>
      <x:c r="E35" s="18" t="n">
        <x:f>COUNTIFS('질문 보기'!$C$2:$C$2291,$A35,'질문 보기'!$D$2:$D$2291,$B35,'질문 보기'!$B$2:$B$2291,"최종 평가")</x:f>
        <x:v>8</x:v>
      </x:c>
      <x:c r="F35" s="18" t="n">
        <x:f>COUNTIFS('질문 보기'!$C$2:$C$2291,$A35,'질문 보기'!$D$2:$D$2291,$B35,'질문 보기'!$F$2:$F$2291,"쉬움")</x:f>
        <x:v>0</x:v>
      </x:c>
      <x:c r="G35" s="18" t="n">
        <x:f>COUNTIFS('질문 보기'!$C$2:$C$2291,$A35,'질문 보기'!$D$2:$D$2291,$B35,'질문 보기'!$F$2:$F$2291,"보통")</x:f>
        <x:v>0</x:v>
      </x:c>
      <x:c r="H35" s="18" t="n">
        <x:f>COUNTIFS('질문 보기'!$C$2:$C$2291,$A35,'질문 보기'!$D$2:$D$2291,$B35,'질문 보기'!$F$2:$F$2291,"어려움")</x:f>
        <x:v>9</x:v>
      </x:c>
      <x:c r="I35" s="18" t="n">
        <x:f>COUNTIFS('질문 보기'!$C$2:$C$2291,$A35,'질문 보기'!$D$2:$D$2291,$B35,'질문 보기'!$E$2:$E$2291,"답변 가능")</x:f>
        <x:v>0</x:v>
      </x:c>
      <x:c r="J35" s="18" t="n">
        <x:f>COUNTIFS('질문 보기'!$C$2:$C$2291,$A35,'질문 보기'!$D$2:$D$2291,$B35,'질문 보기'!$E$2:$E$2291,"답변 거부")</x:f>
        <x:v>9</x:v>
      </x:c>
    </x:row>
    <x:row r="36">
      <x:c r="A36" t="str">
        <x:v>건강검진</x:v>
      </x:c>
      <x:c r="B36" t="str">
        <x:v>영향요인·주의사항</x:v>
      </x:c>
      <x:c r="C36" s="18" t="n">
        <x:f>COUNTIFS('질문 보기'!$C$2:$C$2291,$A36,'질문 보기'!$D$2:$D$2291,$B36)</x:f>
        <x:v>18</x:v>
      </x:c>
      <x:c r="D36" s="18" t="n">
        <x:f>COUNTIFS('질문 보기'!$C$2:$C$2291,$A36,'질문 보기'!$D$2:$D$2291,$B36,'질문 보기'!$B$2:$B$2291,"보정용")</x:f>
        <x:v>4</x:v>
      </x:c>
      <x:c r="E36" s="18" t="n">
        <x:f>COUNTIFS('질문 보기'!$C$2:$C$2291,$A36,'질문 보기'!$D$2:$D$2291,$B36,'질문 보기'!$B$2:$B$2291,"최종 평가")</x:f>
        <x:v>14</x:v>
      </x:c>
      <x:c r="F36" s="18" t="n">
        <x:f>COUNTIFS('질문 보기'!$C$2:$C$2291,$A36,'질문 보기'!$D$2:$D$2291,$B36,'질문 보기'!$F$2:$F$2291,"쉬움")</x:f>
        <x:v>0</x:v>
      </x:c>
      <x:c r="G36" s="18" t="n">
        <x:f>COUNTIFS('질문 보기'!$C$2:$C$2291,$A36,'질문 보기'!$D$2:$D$2291,$B36,'질문 보기'!$F$2:$F$2291,"보통")</x:f>
        <x:v>15</x:v>
      </x:c>
      <x:c r="H36" s="18" t="n">
        <x:f>COUNTIFS('질문 보기'!$C$2:$C$2291,$A36,'질문 보기'!$D$2:$D$2291,$B36,'질문 보기'!$F$2:$F$2291,"어려움")</x:f>
        <x:v>3</x:v>
      </x:c>
      <x:c r="I36" s="18" t="n">
        <x:f>COUNTIFS('질문 보기'!$C$2:$C$2291,$A36,'질문 보기'!$D$2:$D$2291,$B36,'질문 보기'!$E$2:$E$2291,"답변 가능")</x:f>
        <x:v>18</x:v>
      </x:c>
      <x:c r="J36" s="18" t="n">
        <x:f>COUNTIFS('질문 보기'!$C$2:$C$2291,$A36,'질문 보기'!$D$2:$D$2291,$B36,'질문 보기'!$E$2:$E$2291,"답변 거부")</x:f>
        <x:v>0</x:v>
      </x:c>
    </x:row>
    <x:row r="37">
      <x:c r="A37" t="str">
        <x:v>건강검진</x:v>
      </x:c>
      <x:c r="B37" t="str">
        <x:v>용어·정의</x:v>
      </x:c>
      <x:c r="C37" s="18" t="n">
        <x:f>COUNTIFS('질문 보기'!$C$2:$C$2291,$A37,'질문 보기'!$D$2:$D$2291,$B37)</x:f>
        <x:v>30</x:v>
      </x:c>
      <x:c r="D37" s="18" t="n">
        <x:f>COUNTIFS('질문 보기'!$C$2:$C$2291,$A37,'질문 보기'!$D$2:$D$2291,$B37,'질문 보기'!$B$2:$B$2291,"보정용")</x:f>
        <x:v>3</x:v>
      </x:c>
      <x:c r="E37" s="18" t="n">
        <x:f>COUNTIFS('질문 보기'!$C$2:$C$2291,$A37,'질문 보기'!$D$2:$D$2291,$B37,'질문 보기'!$B$2:$B$2291,"최종 평가")</x:f>
        <x:v>27</x:v>
      </x:c>
      <x:c r="F37" s="18" t="n">
        <x:f>COUNTIFS('질문 보기'!$C$2:$C$2291,$A37,'질문 보기'!$D$2:$D$2291,$B37,'질문 보기'!$F$2:$F$2291,"쉬움")</x:f>
        <x:v>30</x:v>
      </x:c>
      <x:c r="G37" s="18" t="n">
        <x:f>COUNTIFS('질문 보기'!$C$2:$C$2291,$A37,'질문 보기'!$D$2:$D$2291,$B37,'질문 보기'!$F$2:$F$2291,"보통")</x:f>
        <x:v>0</x:v>
      </x:c>
      <x:c r="H37" s="18" t="n">
        <x:f>COUNTIFS('질문 보기'!$C$2:$C$2291,$A37,'질문 보기'!$D$2:$D$2291,$B37,'질문 보기'!$F$2:$F$2291,"어려움")</x:f>
        <x:v>0</x:v>
      </x:c>
      <x:c r="I37" s="18" t="n">
        <x:f>COUNTIFS('질문 보기'!$C$2:$C$2291,$A37,'질문 보기'!$D$2:$D$2291,$B37,'질문 보기'!$E$2:$E$2291,"답변 가능")</x:f>
        <x:v>30</x:v>
      </x:c>
      <x:c r="J37" s="18" t="n">
        <x:f>COUNTIFS('질문 보기'!$C$2:$C$2291,$A37,'질문 보기'!$D$2:$D$2291,$B37,'질문 보기'!$E$2:$E$2291,"답변 거부")</x:f>
        <x:v>0</x:v>
      </x:c>
    </x:row>
    <x:row r="38">
      <x:c r="A38" t="str">
        <x:v>건강검진</x:v>
      </x:c>
      <x:c r="B38" t="str">
        <x:v>후속관리·안전대처</x:v>
      </x:c>
      <x:c r="C38" s="18" t="n">
        <x:f>COUNTIFS('질문 보기'!$C$2:$C$2291,$A38,'질문 보기'!$D$2:$D$2291,$B38)</x:f>
        <x:v>8</x:v>
      </x:c>
      <x:c r="D38" s="18" t="n">
        <x:f>COUNTIFS('질문 보기'!$C$2:$C$2291,$A38,'질문 보기'!$D$2:$D$2291,$B38,'질문 보기'!$B$2:$B$2291,"보정용")</x:f>
        <x:v>0</x:v>
      </x:c>
      <x:c r="E38" s="18" t="n">
        <x:f>COUNTIFS('질문 보기'!$C$2:$C$2291,$A38,'질문 보기'!$D$2:$D$2291,$B38,'질문 보기'!$B$2:$B$2291,"최종 평가")</x:f>
        <x:v>8</x:v>
      </x:c>
      <x:c r="F38" s="18" t="n">
        <x:f>COUNTIFS('질문 보기'!$C$2:$C$2291,$A38,'질문 보기'!$D$2:$D$2291,$B38,'질문 보기'!$F$2:$F$2291,"쉬움")</x:f>
        <x:v>0</x:v>
      </x:c>
      <x:c r="G38" s="18" t="n">
        <x:f>COUNTIFS('질문 보기'!$C$2:$C$2291,$A38,'질문 보기'!$D$2:$D$2291,$B38,'질문 보기'!$F$2:$F$2291,"보통")</x:f>
        <x:v>0</x:v>
      </x:c>
      <x:c r="H38" s="18" t="n">
        <x:f>COUNTIFS('질문 보기'!$C$2:$C$2291,$A38,'질문 보기'!$D$2:$D$2291,$B38,'질문 보기'!$F$2:$F$2291,"어려움")</x:f>
        <x:v>8</x:v>
      </x:c>
      <x:c r="I38" s="18" t="n">
        <x:f>COUNTIFS('질문 보기'!$C$2:$C$2291,$A38,'질문 보기'!$D$2:$D$2291,$B38,'질문 보기'!$E$2:$E$2291,"답변 가능")</x:f>
        <x:v>8</x:v>
      </x:c>
      <x:c r="J38" s="18" t="n">
        <x:f>COUNTIFS('질문 보기'!$C$2:$C$2291,$A38,'질문 보기'!$D$2:$D$2291,$B38,'질문 보기'!$E$2:$E$2291,"답변 거부")</x:f>
        <x:v>0</x:v>
      </x:c>
    </x:row>
  </x:sheetData>
  <x:pageMargins left="0.7" right="0.7" top="0.75" bottom="0.75" header="0.3" footer="0.3"/>
  <x:tableParts count="1">
    <x:tablePart xmlns:r="http://schemas.openxmlformats.org/officeDocument/2006/relationships" r:id="R17791d3621e2448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3.329999923706055" hidden="0" customWidth="1"/>
    <x:col min="2" max="2" width="23.329999923706055" hidden="0" customWidth="1"/>
    <x:col min="3" max="3" width="28.889999389648438" hidden="0" customWidth="1"/>
    <x:col min="4" max="4" width="23.329999923706055" hidden="0" customWidth="1"/>
    <x:col min="5" max="5" width="16.110000610351562" hidden="0" customWidth="1"/>
    <x:col min="6" max="6" width="21.110000610351562" hidden="0" customWidth="1"/>
    <x:col min="7" max="7" width="32.220001220703125" hidden="0" customWidth="1"/>
    <x:col min="8" max="8" width="33.33000183105469" hidden="0" customWidth="1"/>
  </x:cols>
  <x:sheetData>
    <x:row r="1" ht="34" customHeight="1">
      <x:c r="A1" s="14" t="str">
        <x:v>질문 ID</x:v>
      </x:c>
      <x:c r="B1" s="14" t="str">
        <x:v>정답 문서 ID</x:v>
      </x:c>
      <x:c r="C1" s="14" t="str">
        <x:v>검색 성공 인정 문서 ID</x:v>
      </x:c>
      <x:c r="D1" s="14" t="str">
        <x:v>기대 동작</x:v>
      </x:c>
      <x:c r="E1" s="14" t="str">
        <x:v>질의 임베딩 행 번호</x:v>
      </x:c>
      <x:c r="F1" s="14" t="str">
        <x:v>모범 답변 생성 방식</x:v>
      </x:c>
      <x:c r="G1" s="14" t="str">
        <x:v>출처 URL</x:v>
      </x:c>
      <x:c r="H1" s="14" t="str">
        <x:v>대상 메타데이터</x:v>
      </x:c>
    </x:row>
    <x:row r="2" ht="54" customHeight="1">
      <x:c r="A2" s="8" t="str">
        <x:v>gold-disease-6f85406c36c7dec0</x:v>
      </x:c>
      <x:c r="B2" s="8" t="str">
        <x:v>kdca-6256-0</x:v>
      </x:c>
      <x:c r="C2" s="8" t="str">
        <x:v>kdca-6256-0</x:v>
      </x:c>
      <x:c r="D2" s="8" t="str">
        <x:v>근거와 함께 답변</x:v>
      </x:c>
      <x:c r="E2" s="15" t="n">
        <x:v>0</x:v>
      </x:c>
      <x:c r="F2" s="8" t="str">
        <x:v>VDB 정의 문장 재선정</x:v>
      </x:c>
      <x:c r="G2" s="8" t="str">
        <x:v>https://health.kdca.go.kr/healthinfo/biz/health/gnrlzHealthInfo/gnrlzHealthInfo/gnrlzHealthInfoMain.do</x:v>
      </x:c>
      <x:c r="H2" s="8" t="str">
        <x:v>{
  "disease": "토혈(성인)",
  "section": "개요",
  "category": "disease"
}</x:v>
      </x:c>
    </x:row>
    <x:row r="3" ht="54" customHeight="1">
      <x:c r="A3" s="8" t="str">
        <x:v>gold-disease-436b5a4b8f4e4150</x:v>
      </x:c>
      <x:c r="B3" s="8" t="str">
        <x:v>kdca-2055-5</x:v>
      </x:c>
      <x:c r="C3" s="8" t="str">
        <x:v>kdca-2055-5</x:v>
      </x:c>
      <x:c r="D3" s="8" t="str">
        <x:v>근거와 함께 답변</x:v>
      </x:c>
      <x:c r="E3" s="15" t="n">
        <x:v>1</x:v>
      </x:c>
      <x:c r="F3" s="8" t="str">
        <x:v>기존 검증 정답</x:v>
      </x:c>
      <x:c r="G3" s="8" t="str">
        <x:v>https://health.kdca.go.kr/healthinfo/biz/health/gnrlzHealthInfo/gnrlzHealthInfo/gnrlzHealthInfoMain.do</x:v>
      </x:c>
      <x:c r="H3" s="8" t="str">
        <x:v>{
  "disease": "급성부고환염",
  "section": "증상",
  "category": "disease"
}</x:v>
      </x:c>
    </x:row>
    <x:row r="4" ht="54" customHeight="1">
      <x:c r="A4" s="8" t="str">
        <x:v>gold-disease-7cfd8ad84f97f378</x:v>
      </x:c>
      <x:c r="B4" s="8" t="str">
        <x:v>kdca-5474-6</x:v>
      </x:c>
      <x:c r="C4" s="8" t="str">
        <x:v>kdca-5474-6</x:v>
      </x:c>
      <x:c r="D4" s="8" t="str">
        <x:v>근거와 함께 답변</x:v>
      </x:c>
      <x:c r="E4" s="15" t="n">
        <x:v>2</x:v>
      </x:c>
      <x:c r="F4" s="8" t="str">
        <x:v>기존 검증 정답</x:v>
      </x:c>
      <x:c r="G4" s="8" t="str">
        <x:v>https://health.kdca.go.kr/healthinfo/biz/health/gnrlzHealthInfo/gnrlzHealthInfo/gnrlzHealthInfoMain.do</x:v>
      </x:c>
      <x:c r="H4" s="8" t="str">
        <x:v>{
  "disease": "폐렴(소아)",
  "section": "종류",
  "category": "disease"
}</x:v>
      </x:c>
    </x:row>
    <x:row r="5" ht="54" customHeight="1">
      <x:c r="A5" s="8" t="str">
        <x:v>gold-disease-03fe3524558bb67d</x:v>
      </x:c>
      <x:c r="B5" s="8" t="str">
        <x:v>kdca-5842-0</x:v>
      </x:c>
      <x:c r="C5" s="8" t="str">
        <x:v>kdca-5842-0</x:v>
      </x:c>
      <x:c r="D5" s="8" t="str">
        <x:v>근거와 함께 답변</x:v>
      </x:c>
      <x:c r="E5" s="15" t="n">
        <x:v>3</x:v>
      </x:c>
      <x:c r="F5" s="8" t="str">
        <x:v>기존 검증 정답</x:v>
      </x:c>
      <x:c r="G5" s="8" t="str">
        <x:v>https://health.kdca.go.kr/healthinfo/biz/health/gnrlzHealthInfo/gnrlzHealthInfo/gnrlzHealthInfoMain.do</x:v>
      </x:c>
      <x:c r="H5" s="8" t="str">
        <x:v>{
  "disease": "보툴리눔독소증",
  "section": "요약문",
  "category": "disease"
}</x:v>
      </x:c>
    </x:row>
    <x:row r="6" ht="54" customHeight="1">
      <x:c r="A6" s="8" t="str">
        <x:v>gold-disease-65f75ce36ce6aa70</x:v>
      </x:c>
      <x:c r="B6" s="8" t="str">
        <x:v>kdca-5854-60</x:v>
      </x:c>
      <x:c r="C6" s="8" t="str">
        <x:v>kdca-5854-60</x:v>
      </x:c>
      <x:c r="D6" s="8" t="str">
        <x:v>근거와 함께 답변</x:v>
      </x:c>
      <x:c r="E6" s="15" t="n">
        <x:v>4</x:v>
      </x:c>
      <x:c r="F6" s="8" t="str">
        <x:v>VDB 원인·위험요인 청크 재선정</x:v>
      </x:c>
      <x:c r="G6" s="8" t="str">
        <x:v>https://health.kdca.go.kr/healthinfo/biz/health/gnrlzHealthInfo/gnrlzHealthInfo/gnrlzHealthInfoMain.do</x:v>
      </x:c>
      <x:c r="H6" s="8" t="str">
        <x:v>{
  "disease": "심부 정맥 혈전증",
  "section": "위험요인 및 예방",
  "category": "disease"
}</x:v>
      </x:c>
    </x:row>
    <x:row r="7" ht="54" customHeight="1">
      <x:c r="A7" s="8" t="str">
        <x:v>gold-disease-6e639763c4029267</x:v>
      </x:c>
      <x:c r="B7" s="8" t="str">
        <x:v>kdca-1402-2</x:v>
      </x:c>
      <x:c r="C7" s="8" t="str">
        <x:v>kdca-1402-2</x:v>
      </x:c>
      <x:c r="D7" s="8" t="str">
        <x:v>근거와 함께 답변</x:v>
      </x:c>
      <x:c r="E7" s="15" t="n">
        <x:v>5</x:v>
      </x:c>
      <x:c r="F7" s="8" t="str">
        <x:v>기존 검증 정답</x:v>
      </x:c>
      <x:c r="G7" s="8" t="str">
        <x:v>https://health.kdca.go.kr/healthinfo/biz/health/gnrlzHealthInfo/gnrlzHealthInfo/gnrlzHealthInfoMain.do</x:v>
      </x:c>
      <x:c r="H7" s="8" t="str">
        <x:v>{
  "disease": "안외상(외상성 망막박리)",
  "section": "개요 / 증상 / 진단 및 검사",
  "category": "disease"
}</x:v>
      </x:c>
    </x:row>
    <x:row r="8" ht="54" customHeight="1">
      <x:c r="A8" s="8" t="str">
        <x:v>gold-disease-ac2420d66d2bf61d</x:v>
      </x:c>
      <x:c r="B8" s="8" t="str">
        <x:v>kdca-6479-6</x:v>
      </x:c>
      <x:c r="C8" s="8" t="str">
        <x:v>kdca-6479-6</x:v>
      </x:c>
      <x:c r="D8" s="8" t="str">
        <x:v>근거와 함께 답변</x:v>
      </x:c>
      <x:c r="E8" s="15" t="n">
        <x:v>6</x:v>
      </x:c>
      <x:c r="F8" s="8" t="str">
        <x:v>기존 검증 정답</x:v>
      </x:c>
      <x:c r="G8" s="8" t="str">
        <x:v>https://health.kdca.go.kr/healthinfo/biz/health/gnrlzHealthInfo/gnrlzHealthInfo/gnrlzHealthInfoMain.do</x:v>
      </x:c>
      <x:c r="H8" s="8" t="str">
        <x:v>{
  "disease": "귀의 형태 이상(기타)",
  "section": "종류",
  "category": "disease"
}</x:v>
      </x:c>
    </x:row>
    <x:row r="9" ht="54" customHeight="1">
      <x:c r="A9" s="8" t="str">
        <x:v>gold-disease-2785cf542d80908c</x:v>
      </x:c>
      <x:c r="B9" s="8" t="str">
        <x:v>kdca-2348-4</x:v>
      </x:c>
      <x:c r="C9" s="8" t="str">
        <x:v>kdca-2348-4</x:v>
      </x:c>
      <x:c r="D9" s="8" t="str">
        <x:v>근거와 함께 답변</x:v>
      </x:c>
      <x:c r="E9" s="15" t="n">
        <x:v>7</x:v>
      </x:c>
      <x:c r="F9" s="8" t="str">
        <x:v>기존 검증 정답</x:v>
      </x:c>
      <x:c r="G9" s="8" t="str">
        <x:v>https://health.kdca.go.kr/healthinfo/biz/health/gnrlzHealthInfo/gnrlzHealthInfo/gnrlzHealthInfoMain.do</x:v>
      </x:c>
      <x:c r="H9" s="8" t="str">
        <x:v>{
  "disease": "당뇨병 합병증(급성 합병증_당뇨병케토산증, 고혈당고삼투질상태)",
  "section": "진단 및 검사 / 치료",
  "category": "disease"
}</x:v>
      </x:c>
    </x:row>
    <x:row r="10" ht="54" customHeight="1">
      <x:c r="A10" s="8" t="str">
        <x:v>gold-disease-64d5e919f73eb657</x:v>
      </x:c>
      <x:c r="B10" s="8" t="str">
        <x:v>kdca-6283-14</x:v>
      </x:c>
      <x:c r="C10" s="8" t="str">
        <x:v>kdca-6283-14</x:v>
      </x:c>
      <x:c r="D10" s="8" t="str">
        <x:v>근거와 함께 답변</x:v>
      </x:c>
      <x:c r="E10" s="15" t="n">
        <x:v>8</x:v>
      </x:c>
      <x:c r="F10" s="8" t="str">
        <x:v>기존 검증 정답</x:v>
      </x:c>
      <x:c r="G10" s="8" t="str">
        <x:v>https://health.kdca.go.kr/healthinfo/biz/health/gnrlzHealthInfo/gnrlzHealthInfo/gnrlzHealthInfoMain.do</x:v>
      </x:c>
      <x:c r="H10" s="8" t="str">
        <x:v>{
  "disease": "자궁내막증",
  "section": "증상",
  "category": "disease"
}</x:v>
      </x:c>
    </x:row>
    <x:row r="11" ht="54" customHeight="1">
      <x:c r="A11" s="8" t="str">
        <x:v>gold-disease-b4dc13a01cc6873d</x:v>
      </x:c>
      <x:c r="B11" s="8" t="str">
        <x:v>kdca-1081-4</x:v>
      </x:c>
      <x:c r="C11" s="8" t="str">
        <x:v>kdca-1081-4</x:v>
      </x:c>
      <x:c r="D11" s="8" t="str">
        <x:v>근거와 함께 답변</x:v>
      </x:c>
      <x:c r="E11" s="15" t="n">
        <x:v>9</x:v>
      </x:c>
      <x:c r="F11" s="8" t="str">
        <x:v>VDB 정의 문장 재선정</x:v>
      </x:c>
      <x:c r="G11" s="8" t="str">
        <x:v>https://health.kdca.go.kr/healthinfo/biz/health/gnrlzHealthInfo/gnrlzHealthInfo/gnrlzHealthInfoMain.do</x:v>
      </x:c>
      <x:c r="H11" s="8" t="str">
        <x:v>{
  "disease": "복통",
  "section": "진단 및 검사",
  "category": "symptom"
}</x:v>
      </x:c>
    </x:row>
    <x:row r="12" ht="54" customHeight="1">
      <x:c r="A12" s="8" t="str">
        <x:v>gold-disease-05280b2edc38058e</x:v>
      </x:c>
      <x:c r="B12" s="8" t="str">
        <x:v>kdca-1469-17</x:v>
      </x:c>
      <x:c r="C12" s="8" t="str">
        <x:v>kdca-1469-17</x:v>
      </x:c>
      <x:c r="D12" s="8" t="str">
        <x:v>근거와 함께 답변</x:v>
      </x:c>
      <x:c r="E12" s="15" t="n">
        <x:v>10</x:v>
      </x:c>
      <x:c r="F12" s="8" t="str">
        <x:v>기존 검증 정답</x:v>
      </x:c>
      <x:c r="G12" s="8" t="str">
        <x:v>https://health.kdca.go.kr/healthinfo/biz/health/gnrlzHealthInfo/gnrlzHealthInfo/gnrlzHealthInfoMain.do</x:v>
      </x:c>
      <x:c r="H12" s="8" t="str">
        <x:v>{
  "disease": "색각이상(색맹)",
  "section": "원인",
  "category": "disease"
}</x:v>
      </x:c>
    </x:row>
    <x:row r="13" ht="54" customHeight="1">
      <x:c r="A13" s="8" t="str">
        <x:v>gold-disease-d3f072cef1d33484</x:v>
      </x:c>
      <x:c r="B13" s="8" t="str">
        <x:v>kdca-6543-0</x:v>
      </x:c>
      <x:c r="C13" s="8" t="str">
        <x:v>kdca-6543-0</x:v>
      </x:c>
      <x:c r="D13" s="8" t="str">
        <x:v>근거와 함께 답변</x:v>
      </x:c>
      <x:c r="E13" s="15" t="n">
        <x:v>11</x:v>
      </x:c>
      <x:c r="F13" s="8" t="str">
        <x:v>VDB 정의 문장 재선정</x:v>
      </x:c>
      <x:c r="G13" s="8" t="str">
        <x:v>https://health.kdca.go.kr/healthinfo/biz/health/gnrlzHealthInfo/gnrlzHealthInfo/gnrlzHealthInfoMain.do</x:v>
      </x:c>
      <x:c r="H13" s="8" t="str">
        <x:v>{
  "disease": "객혈",
  "section": "요약문",
  "category": "symptom"
}</x:v>
      </x:c>
    </x:row>
    <x:row r="14" ht="54" customHeight="1">
      <x:c r="A14" s="8" t="str">
        <x:v>gold-disease-ba49d6d46db09888</x:v>
      </x:c>
      <x:c r="B14" s="8" t="str">
        <x:v>kdca-5681-24</x:v>
      </x:c>
      <x:c r="C14" s="8" t="str">
        <x:v>kdca-5681-24</x:v>
      </x:c>
      <x:c r="D14" s="8" t="str">
        <x:v>근거와 함께 답변</x:v>
      </x:c>
      <x:c r="E14" s="15" t="n">
        <x:v>12</x:v>
      </x:c>
      <x:c r="F14" s="8" t="str">
        <x:v>기존 검증 정답</x:v>
      </x:c>
      <x:c r="G14" s="8" t="str">
        <x:v>https://health.kdca.go.kr/healthinfo/biz/health/gnrlzHealthInfo/gnrlzHealthInfo/gnrlzHealthInfoMain.do</x:v>
      </x:c>
      <x:c r="H14" s="8" t="str">
        <x:v>{
  "disease": "경부 종괴",
  "section": "종류",
  "category": "disease"
}</x:v>
      </x:c>
    </x:row>
    <x:row r="15" ht="54" customHeight="1">
      <x:c r="A15" s="8" t="str">
        <x:v>gold-disease-9859594f1d1a33e3</x:v>
      </x:c>
      <x:c r="B15" s="8" t="str">
        <x:v>kdca-3512-15</x:v>
      </x:c>
      <x:c r="C15" s="8" t="str">
        <x:v>kdca-3512-15</x:v>
      </x:c>
      <x:c r="D15" s="8" t="str">
        <x:v>근거와 함께 답변</x:v>
      </x:c>
      <x:c r="E15" s="15" t="n">
        <x:v>13</x:v>
      </x:c>
      <x:c r="F15" s="8" t="str">
        <x:v>기존 검증 정답</x:v>
      </x:c>
      <x:c r="G15" s="8" t="str">
        <x:v>https://health.kdca.go.kr/healthinfo/biz/health/gnrlzHealthInfo/gnrlzHealthInfo/gnrlzHealthInfoMain.do</x:v>
      </x:c>
      <x:c r="H15" s="8" t="str">
        <x:v>{
  "disease": "좌골신경통",
  "section": "증상 / 진단 및 검사",
  "category": "disease"
}</x:v>
      </x:c>
    </x:row>
    <x:row r="16" ht="54" customHeight="1">
      <x:c r="A16" s="8" t="str">
        <x:v>gold-disease-na-3f2c99586e94f8ba</x:v>
      </x:c>
      <x:c r="B16" s="8" t="str"/>
      <x:c r="C16" s="8" t="str"/>
      <x:c r="D16" s="8" t="str">
        <x:v>답변 거부 또는 추가 확인 요청</x:v>
      </x:c>
      <x:c r="E16" s="15" t="n">
        <x:v>14</x:v>
      </x:c>
      <x:c r="F16" s="8" t="str">
        <x:v>답변 거부 기준 문구</x:v>
      </x:c>
      <x:c r="G16" s="8" t="str">
        <x:v>https://health.kdca.go.kr/healthinfo/biz/health/gnrlzHealthInfo/gnrlzHealthInfo/gnrlzHealthInfoMain.do</x:v>
      </x:c>
      <x:c r="H16" s="8" t="str">
        <x:v>{
  "disease": "구역질과 구토",
  "section": "진단 및 검사",
  "category": "symptom"
}</x:v>
      </x:c>
    </x:row>
    <x:row r="17" ht="54" customHeight="1">
      <x:c r="A17" s="8" t="str">
        <x:v>gold-disease-e57d2f44d583fb1a</x:v>
      </x:c>
      <x:c r="B17" s="8" t="str">
        <x:v>kdca-6552-36</x:v>
      </x:c>
      <x:c r="C17" s="8" t="str">
        <x:v>kdca-6552-36</x:v>
      </x:c>
      <x:c r="D17" s="8" t="str">
        <x:v>근거와 함께 답변</x:v>
      </x:c>
      <x:c r="E17" s="15" t="n">
        <x:v>15</x:v>
      </x:c>
      <x:c r="F17" s="8" t="str">
        <x:v>기존 검증 정답</x:v>
      </x:c>
      <x:c r="G17" s="8" t="str">
        <x:v>https://health.kdca.go.kr/healthinfo/biz/health/gnrlzHealthInfo/gnrlzHealthInfo/gnrlzHealthInfoMain.do</x:v>
      </x:c>
      <x:c r="H17" s="8" t="str">
        <x:v>{
  "disease": "항문 가려움증",
  "section": "연관 증상 / 치료",
  "category": "disease"
}</x:v>
      </x:c>
    </x:row>
    <x:row r="18" ht="54" customHeight="1">
      <x:c r="A18" s="8" t="str">
        <x:v>gold-disease-a54188a84cf0f3dd</x:v>
      </x:c>
      <x:c r="B18" s="8" t="str">
        <x:v>kdca-6746-6</x:v>
      </x:c>
      <x:c r="C18" s="8" t="str">
        <x:v>kdca-6746-6</x:v>
      </x:c>
      <x:c r="D18" s="8" t="str">
        <x:v>근거와 함께 답변</x:v>
      </x:c>
      <x:c r="E18" s="15" t="n">
        <x:v>16</x:v>
      </x:c>
      <x:c r="F18" s="8" t="str">
        <x:v>기존 검증 정답</x:v>
      </x:c>
      <x:c r="G18" s="8" t="str">
        <x:v>https://health.kdca.go.kr/healthinfo/biz/health/gnrlzHealthInfo/gnrlzHealthInfo/gnrlzHealthInfoMain.do</x:v>
      </x:c>
      <x:c r="H18" s="8" t="str">
        <x:v>{
  "disease": "무릎 연골 손상",
  "section": "진단 및 검사 / 치료",
  "category": "disease"
}</x:v>
      </x:c>
    </x:row>
    <x:row r="19" ht="54" customHeight="1">
      <x:c r="A19" s="8" t="str">
        <x:v>gold-disease-749b019abca5dc9e</x:v>
      </x:c>
      <x:c r="B19" s="8" t="str">
        <x:v>kdca-6307-19</x:v>
      </x:c>
      <x:c r="C19" s="8" t="str">
        <x:v>kdca-6307-19</x:v>
      </x:c>
      <x:c r="D19" s="8" t="str">
        <x:v>근거와 함께 답변</x:v>
      </x:c>
      <x:c r="E19" s="15" t="n">
        <x:v>17</x:v>
      </x:c>
      <x:c r="F19" s="8" t="str">
        <x:v>VDB 원인·위험요인 청크 재선정</x:v>
      </x:c>
      <x:c r="G19" s="8" t="str">
        <x:v>https://health.kdca.go.kr/healthinfo/biz/health/gnrlzHealthInfo/gnrlzHealthInfo/gnrlzHealthInfoMain.do</x:v>
      </x:c>
      <x:c r="H19" s="8" t="str">
        <x:v>{
  "disease": "심잡음",
  "section": "치료",
  "category": "symptom"
}</x:v>
      </x:c>
    </x:row>
    <x:row r="20" ht="54" customHeight="1">
      <x:c r="A20" s="8" t="str">
        <x:v>gold-disease-348014e4ba03a1db</x:v>
      </x:c>
      <x:c r="B20" s="8" t="str">
        <x:v>kdca-1362-4</x:v>
      </x:c>
      <x:c r="C20" s="8" t="str">
        <x:v>kdca-1362-4</x:v>
      </x:c>
      <x:c r="D20" s="8" t="str">
        <x:v>근거와 함께 답변</x:v>
      </x:c>
      <x:c r="E20" s="15" t="n">
        <x:v>18</x:v>
      </x:c>
      <x:c r="F20" s="8" t="str">
        <x:v>VDB 후속 설명 보강</x:v>
      </x:c>
      <x:c r="G20" s="8" t="str">
        <x:v>https://health.kdca.go.kr/healthinfo/biz/health/gnrlzHealthInfo/gnrlzHealthInfo/gnrlzHealthInfoMain.do</x:v>
      </x:c>
      <x:c r="H20" s="8" t="str">
        <x:v>{
  "disease": "안외상(각막찰과상)",
  "section": "치료",
  "category": "disease"
}</x:v>
      </x:c>
    </x:row>
    <x:row r="21" ht="54" customHeight="1">
      <x:c r="A21" s="8" t="str">
        <x:v>gold-disease-e5635e2210add84d</x:v>
      </x:c>
      <x:c r="B21" s="8" t="str">
        <x:v>kdca-6260-4</x:v>
      </x:c>
      <x:c r="C21" s="8" t="str">
        <x:v>kdca-6260-4</x:v>
      </x:c>
      <x:c r="D21" s="8" t="str">
        <x:v>근거와 함께 답변</x:v>
      </x:c>
      <x:c r="E21" s="15" t="n">
        <x:v>19</x:v>
      </x:c>
      <x:c r="F21" s="8" t="str">
        <x:v>VDB 후속 설명 보강</x:v>
      </x:c>
      <x:c r="G21" s="8" t="str">
        <x:v>https://health.kdca.go.kr/healthinfo/biz/health/gnrlzHealthInfo/gnrlzHealthInfo/gnrlzHealthInfoMain.do</x:v>
      </x:c>
      <x:c r="H21" s="8" t="str">
        <x:v>{
  "disease": "흉막염과 농흉",
  "section": "증상 / 진단 및 검사",
  "category": "disease"
}</x:v>
      </x:c>
    </x:row>
    <x:row r="22" ht="54" customHeight="1">
      <x:c r="A22" s="8" t="str">
        <x:v>gold-disease-45a218d9eecd935d</x:v>
      </x:c>
      <x:c r="B22" s="8" t="str">
        <x:v>kdca-5290-5</x:v>
      </x:c>
      <x:c r="C22" s="8" t="str">
        <x:v>kdca-5290-5</x:v>
      </x:c>
      <x:c r="D22" s="8" t="str">
        <x:v>근거와 함께 답변</x:v>
      </x:c>
      <x:c r="E22" s="15" t="n">
        <x:v>20</x:v>
      </x:c>
      <x:c r="F22" s="8" t="str">
        <x:v>VDB 원인·위험요인 청크 재선정</x:v>
      </x:c>
      <x:c r="G22" s="8" t="str">
        <x:v>https://health.kdca.go.kr/healthinfo/biz/health/gnrlzHealthInfo/gnrlzHealthInfo/gnrlzHealthInfoMain.do</x:v>
      </x:c>
      <x:c r="H22" s="8" t="str">
        <x:v>{
  "disease": "골수염",
  "section": "원인",
  "category": "disease"
}</x:v>
      </x:c>
    </x:row>
    <x:row r="23" ht="54" customHeight="1">
      <x:c r="A23" s="8" t="str">
        <x:v>gold-disease-08550d63fc67031d</x:v>
      </x:c>
      <x:c r="B23" s="8" t="str">
        <x:v>kdca-6553-34</x:v>
      </x:c>
      <x:c r="C23" s="8" t="str">
        <x:v>kdca-6553-34</x:v>
      </x:c>
      <x:c r="D23" s="8" t="str">
        <x:v>근거와 함께 답변</x:v>
      </x:c>
      <x:c r="E23" s="15" t="n">
        <x:v>21</x:v>
      </x:c>
      <x:c r="F23" s="8" t="str">
        <x:v>기존 검증 정답</x:v>
      </x:c>
      <x:c r="G23" s="8" t="str">
        <x:v>https://health.kdca.go.kr/healthinfo/biz/health/gnrlzHealthInfo/gnrlzHealthInfo/gnrlzHealthInfoMain.do</x:v>
      </x:c>
      <x:c r="H23" s="8" t="str">
        <x:v>{
  "disease": "바이러스성 간염",
  "section": "진단 및 검사",
  "category": "disease"
}</x:v>
      </x:c>
    </x:row>
    <x:row r="24" ht="54" customHeight="1">
      <x:c r="A24" s="8" t="str">
        <x:v>gold-disease-e3affd9714be9620</x:v>
      </x:c>
      <x:c r="B24" s="8" t="str">
        <x:v>kdca-6275-10</x:v>
      </x:c>
      <x:c r="C24" s="8" t="str">
        <x:v>kdca-6275-10</x:v>
      </x:c>
      <x:c r="D24" s="8" t="str">
        <x:v>근거와 함께 답변</x:v>
      </x:c>
      <x:c r="E24" s="15" t="n">
        <x:v>22</x:v>
      </x:c>
      <x:c r="F24" s="8" t="str">
        <x:v>기존 검증 정답</x:v>
      </x:c>
      <x:c r="G24" s="8" t="str">
        <x:v>https://health.kdca.go.kr/healthinfo/biz/health/gnrlzHealthInfo/gnrlzHealthInfo/gnrlzHealthInfoMain.do</x:v>
      </x:c>
      <x:c r="H24" s="8" t="str">
        <x:v>{
  "disease": "얼굴떨림(얼굴연축_눈꺼풀연축)",
  "section": "연관 증상",
  "category": "disease"
}</x:v>
      </x:c>
    </x:row>
    <x:row r="25" ht="54" customHeight="1">
      <x:c r="A25" s="8" t="str">
        <x:v>gold-disease-85e812afebeaf1ea</x:v>
      </x:c>
      <x:c r="B25" s="8" t="str">
        <x:v>kdca-5253-12</x:v>
      </x:c>
      <x:c r="C25" s="8" t="str">
        <x:v>kdca-5253-12</x:v>
      </x:c>
      <x:c r="D25" s="8" t="str">
        <x:v>근거와 함께 답변</x:v>
      </x:c>
      <x:c r="E25" s="15" t="n">
        <x:v>23</x:v>
      </x:c>
      <x:c r="F25" s="8" t="str">
        <x:v>기존 검증 정답</x:v>
      </x:c>
      <x:c r="G25" s="8" t="str">
        <x:v>https://health.kdca.go.kr/healthinfo/biz/health/gnrlzHealthInfo/gnrlzHealthInfo/gnrlzHealthInfoMain.do</x:v>
      </x:c>
      <x:c r="H25" s="8" t="str">
        <x:v>{
  "disease": "노인 호흡곤란",
  "section": "연관 증상",
  "category": "symptom"
}</x:v>
      </x:c>
    </x:row>
    <x:row r="26" ht="54" customHeight="1">
      <x:c r="A26" s="8" t="str">
        <x:v>gold-disease-39a175283b64d044</x:v>
      </x:c>
      <x:c r="B26" s="8" t="str">
        <x:v>kdca-6774-24</x:v>
      </x:c>
      <x:c r="C26" s="8" t="str">
        <x:v>kdca-6774-24</x:v>
      </x:c>
      <x:c r="D26" s="8" t="str">
        <x:v>근거와 함께 답변</x:v>
      </x:c>
      <x:c r="E26" s="15" t="n">
        <x:v>24</x:v>
      </x:c>
      <x:c r="F26" s="8" t="str">
        <x:v>기존 검증 정답</x:v>
      </x:c>
      <x:c r="G26" s="8" t="str">
        <x:v>https://health.kdca.go.kr/healthinfo/biz/health/gnrlzHealthInfo/gnrlzHealthInfo/gnrlzHealthInfoMain.do</x:v>
      </x:c>
      <x:c r="H26" s="8" t="str">
        <x:v>{
  "disease": "죽상경화증",
  "section": "개요 / 증상",
  "category": "disease"
}</x:v>
      </x:c>
    </x:row>
    <x:row r="27" ht="54" customHeight="1">
      <x:c r="A27" s="8" t="str">
        <x:v>gold-disease-na-7bec7edab78a680a</x:v>
      </x:c>
      <x:c r="B27" s="8" t="str"/>
      <x:c r="C27" s="8" t="str"/>
      <x:c r="D27" s="8" t="str">
        <x:v>답변 거부 또는 추가 확인 요청</x:v>
      </x:c>
      <x:c r="E27" s="15" t="n">
        <x:v>25</x:v>
      </x:c>
      <x:c r="F27" s="8" t="str">
        <x:v>답변 거부 기준 문구</x:v>
      </x:c>
      <x:c r="G27" s="8" t="str">
        <x:v>https://health.kdca.go.kr/healthinfo/biz/health/gnrlzHealthInfo/gnrlzHealthInfo/gnrlzHealthInfoMain.do</x:v>
      </x:c>
      <x:c r="H27" s="8" t="str">
        <x:v>{
  "disease": "노인기능평가",
  "section": "원인 / 진단 및 검사",
  "category": "disease"
}</x:v>
      </x:c>
    </x:row>
    <x:row r="28" ht="54" customHeight="1">
      <x:c r="A28" s="8" t="str">
        <x:v>gold-disease-497c5ad68c525600</x:v>
      </x:c>
      <x:c r="B28" s="8" t="str">
        <x:v>kdca-3167-2</x:v>
      </x:c>
      <x:c r="C28" s="8" t="str">
        <x:v>kdca-3167-2</x:v>
      </x:c>
      <x:c r="D28" s="8" t="str">
        <x:v>근거와 함께 답변</x:v>
      </x:c>
      <x:c r="E28" s="15" t="n">
        <x:v>26</x:v>
      </x:c>
      <x:c r="F28" s="8" t="str">
        <x:v>VDB 후속 설명 보강</x:v>
      </x:c>
      <x:c r="G28" s="8" t="str">
        <x:v>https://health.kdca.go.kr/healthinfo/biz/health/gnrlzHealthInfo/gnrlzHealthInfo/gnrlzHealthInfoMain.do</x:v>
      </x:c>
      <x:c r="H28" s="8" t="str">
        <x:v>{
  "disease": "폐부종",
  "section": "증상",
  "category": "disease"
}</x:v>
      </x:c>
    </x:row>
    <x:row r="29" ht="54" customHeight="1">
      <x:c r="A29" s="8" t="str">
        <x:v>gold-disease-na-c6372781fbee50f3</x:v>
      </x:c>
      <x:c r="B29" s="8" t="str"/>
      <x:c r="C29" s="8" t="str"/>
      <x:c r="D29" s="8" t="str">
        <x:v>답변 거부 또는 추가 확인 요청</x:v>
      </x:c>
      <x:c r="E29" s="15" t="n">
        <x:v>27</x:v>
      </x:c>
      <x:c r="F29" s="8" t="str">
        <x:v>답변 거부 기준 문구</x:v>
      </x:c>
      <x:c r="G29" s="8" t="str">
        <x:v>https://health.kdca.go.kr/healthinfo/biz/health/gnrlzHealthInfo/gnrlzHealthInfo/gnrlzHealthInfoMain.do</x:v>
      </x:c>
      <x:c r="H29" s="8" t="str">
        <x:v>{
  "disease": "당뇨병 합병증(만성 합병증)",
  "section": "위험요인 및 예방 / 자주하는 질문",
  "category": "disease"
}</x:v>
      </x:c>
    </x:row>
    <x:row r="30" ht="54" customHeight="1">
      <x:c r="A30" s="8" t="str">
        <x:v>gold-disease-061ea12bd8fae9c5</x:v>
      </x:c>
      <x:c r="B30" s="8" t="str">
        <x:v>kdca-6536-15</x:v>
      </x:c>
      <x:c r="C30" s="8" t="str">
        <x:v>kdca-6536-15</x:v>
      </x:c>
      <x:c r="D30" s="8" t="str">
        <x:v>근거와 함께 답변</x:v>
      </x:c>
      <x:c r="E30" s="15" t="n">
        <x:v>28</x:v>
      </x:c>
      <x:c r="F30" s="8" t="str">
        <x:v>기존 검증 정답</x:v>
      </x:c>
      <x:c r="G30" s="8" t="str">
        <x:v>https://health.kdca.go.kr/healthinfo/biz/health/gnrlzHealthInfo/gnrlzHealthInfo/gnrlzHealthInfoMain.do</x:v>
      </x:c>
      <x:c r="H30" s="8" t="str">
        <x:v>{
  "disease": "만성폐쇄성폐질환",
  "section": "진단 및 검사 / 약물 치료",
  "category": "disease"
}</x:v>
      </x:c>
    </x:row>
    <x:row r="31" ht="54" customHeight="1">
      <x:c r="A31" s="8" t="str">
        <x:v>gold-disease-75f7a8bf2256db00</x:v>
      </x:c>
      <x:c r="B31" s="8" t="str">
        <x:v>kdca-6569-36</x:v>
      </x:c>
      <x:c r="C31" s="8" t="str">
        <x:v>kdca-6569-36</x:v>
      </x:c>
      <x:c r="D31" s="8" t="str">
        <x:v>근거와 함께 답변</x:v>
      </x:c>
      <x:c r="E31" s="15" t="n">
        <x:v>29</x:v>
      </x:c>
      <x:c r="F31" s="8" t="str">
        <x:v>기존 검증 정답</x:v>
      </x:c>
      <x:c r="G31" s="8" t="str">
        <x:v>https://health.kdca.go.kr/healthinfo/biz/health/gnrlzHealthInfo/gnrlzHealthInfo/gnrlzHealthInfoMain.do</x:v>
      </x:c>
      <x:c r="H31" s="8" t="str">
        <x:v>{
  "disease": "뇌성마비",
  "section": "증상",
  "category": "disease"
}</x:v>
      </x:c>
    </x:row>
    <x:row r="32" ht="54" customHeight="1">
      <x:c r="A32" s="8" t="str">
        <x:v>gold-disease-6ad3f4c5659eb92b</x:v>
      </x:c>
      <x:c r="B32" s="8" t="str">
        <x:v>kdca-6534-27</x:v>
      </x:c>
      <x:c r="C32" s="8" t="str">
        <x:v>kdca-6534-27</x:v>
      </x:c>
      <x:c r="D32" s="8" t="str">
        <x:v>근거와 함께 답변</x:v>
      </x:c>
      <x:c r="E32" s="15" t="n">
        <x:v>30</x:v>
      </x:c>
      <x:c r="F32" s="8" t="str">
        <x:v>VDB 후속 설명 보강</x:v>
      </x:c>
      <x:c r="G32" s="8" t="str">
        <x:v>https://health.kdca.go.kr/healthinfo/biz/health/gnrlzHealthInfo/gnrlzHealthInfo/gnrlzHealthInfoMain.do</x:v>
      </x:c>
      <x:c r="H32" s="8" t="str">
        <x:v>{
  "disease": "자연분만과정",
  "section": "치료 / 자가 관리",
  "category": "disease"
}</x:v>
      </x:c>
    </x:row>
    <x:row r="33" ht="54" customHeight="1">
      <x:c r="A33" s="8" t="str">
        <x:v>gold-disease-1d08417ced6cd920</x:v>
      </x:c>
      <x:c r="B33" s="8" t="str">
        <x:v>kdca-5337-0</x:v>
      </x:c>
      <x:c r="C33" s="8" t="str">
        <x:v>kdca-5337-0</x:v>
      </x:c>
      <x:c r="D33" s="8" t="str">
        <x:v>근거와 함께 답변</x:v>
      </x:c>
      <x:c r="E33" s="15" t="n">
        <x:v>31</x:v>
      </x:c>
      <x:c r="F33" s="8" t="str">
        <x:v>기존 검증 정답</x:v>
      </x:c>
      <x:c r="G33" s="8" t="str">
        <x:v>https://health.kdca.go.kr/healthinfo/biz/health/gnrlzHealthInfo/gnrlzHealthInfo/gnrlzHealthInfoMain.do</x:v>
      </x:c>
      <x:c r="H33" s="8" t="str">
        <x:v>{
  "disease": "흉통",
  "section": "요약문",
  "category": "disease"
}</x:v>
      </x:c>
    </x:row>
    <x:row r="34" ht="54" customHeight="1">
      <x:c r="A34" s="8" t="str">
        <x:v>gold-disease-e024269a2e2ef68d</x:v>
      </x:c>
      <x:c r="B34" s="8" t="str">
        <x:v>kdca-5706-4</x:v>
      </x:c>
      <x:c r="C34" s="8" t="str">
        <x:v>kdca-5706-4</x:v>
      </x:c>
      <x:c r="D34" s="8" t="str">
        <x:v>근거와 함께 답변</x:v>
      </x:c>
      <x:c r="E34" s="15" t="n">
        <x:v>32</x:v>
      </x:c>
      <x:c r="F34" s="8" t="str">
        <x:v>VDB 원인·위험요인 청크 재선정</x:v>
      </x:c>
      <x:c r="G34" s="8" t="str">
        <x:v>https://health.kdca.go.kr/healthinfo/biz/health/gnrlzHealthInfo/gnrlzHealthInfo/gnrlzHealthInfoMain.do</x:v>
      </x:c>
      <x:c r="H34" s="8" t="str">
        <x:v>{
  "disease": "이명",
  "section": "원인",
  "category": "disease"
}</x:v>
      </x:c>
    </x:row>
    <x:row r="35" ht="54" customHeight="1">
      <x:c r="A35" s="8" t="str">
        <x:v>gold-disease-28c378dd544babc5</x:v>
      </x:c>
      <x:c r="B35" s="8" t="str">
        <x:v>kdca-5524-9</x:v>
      </x:c>
      <x:c r="C35" s="8" t="str">
        <x:v>kdca-5524-9</x:v>
      </x:c>
      <x:c r="D35" s="8" t="str">
        <x:v>근거와 함께 답변</x:v>
      </x:c>
      <x:c r="E35" s="15" t="n">
        <x:v>33</x:v>
      </x:c>
      <x:c r="F35" s="8" t="str">
        <x:v>VDB 후속 설명 보강</x:v>
      </x:c>
      <x:c r="G35" s="8" t="str">
        <x:v>https://health.kdca.go.kr/healthinfo/biz/health/gnrlzHealthInfo/gnrlzHealthInfo/gnrlzHealthInfoMain.do</x:v>
      </x:c>
      <x:c r="H35" s="8" t="str">
        <x:v>{
  "disease": "주혈흡충증",
  "section": "증상",
  "category": "disease"
}</x:v>
      </x:c>
    </x:row>
    <x:row r="36" ht="54" customHeight="1">
      <x:c r="A36" s="8" t="str">
        <x:v>gold-disease-8b14f9ba9d72497c</x:v>
      </x:c>
      <x:c r="B36" s="8" t="str">
        <x:v>kdca-6691-36</x:v>
      </x:c>
      <x:c r="C36" s="8" t="str">
        <x:v>kdca-6691-36</x:v>
      </x:c>
      <x:c r="D36" s="8" t="str">
        <x:v>근거와 함께 답변</x:v>
      </x:c>
      <x:c r="E36" s="15" t="n">
        <x:v>34</x:v>
      </x:c>
      <x:c r="F36" s="8" t="str">
        <x:v>VDB 후속 설명 보강</x:v>
      </x:c>
      <x:c r="G36" s="8" t="str">
        <x:v>https://health.kdca.go.kr/healthinfo/biz/health/gnrlzHealthInfo/gnrlzHealthInfo/gnrlzHealthInfoMain.do</x:v>
      </x:c>
      <x:c r="H36" s="8" t="str">
        <x:v>{
  "disease": "임신당뇨병",
  "section": "자가 관리",
  "category": "disease"
}</x:v>
      </x:c>
    </x:row>
    <x:row r="37" ht="54" customHeight="1">
      <x:c r="A37" s="8" t="str">
        <x:v>gold-disease-863049ee8b0e5fe5</x:v>
      </x:c>
      <x:c r="B37" s="8" t="str">
        <x:v>kdca-1264-1</x:v>
      </x:c>
      <x:c r="C37" s="8" t="str">
        <x:v>kdca-1264-1</x:v>
      </x:c>
      <x:c r="D37" s="8" t="str">
        <x:v>근거와 함께 답변</x:v>
      </x:c>
      <x:c r="E37" s="15" t="n">
        <x:v>35</x:v>
      </x:c>
      <x:c r="F37" s="8" t="str">
        <x:v>VDB 후속 설명 보강</x:v>
      </x:c>
      <x:c r="G37" s="8" t="str">
        <x:v>https://health.kdca.go.kr/healthinfo/biz/health/gnrlzHealthInfo/gnrlzHealthInfo/gnrlzHealthInfoMain.do</x:v>
      </x:c>
      <x:c r="H37" s="8" t="str">
        <x:v>{
  "disease": "간의 양성종양(간낭종)",
  "section": "역학 및 통계 / 증상",
  "category": "disease"
}</x:v>
      </x:c>
    </x:row>
    <x:row r="38" ht="54" customHeight="1">
      <x:c r="A38" s="8" t="str">
        <x:v>gold-disease-na-bdd2790c5e3ed17a</x:v>
      </x:c>
      <x:c r="B38" s="8" t="str"/>
      <x:c r="C38" s="8" t="str"/>
      <x:c r="D38" s="8" t="str">
        <x:v>답변 거부 또는 추가 확인 요청</x:v>
      </x:c>
      <x:c r="E38" s="15" t="n">
        <x:v>36</x:v>
      </x:c>
      <x:c r="F38" s="8" t="str">
        <x:v>답변 거부 기준 문구</x:v>
      </x:c>
      <x:c r="G38" s="8" t="str">
        <x:v>https://health.kdca.go.kr/healthinfo/biz/health/gnrlzHealthInfo/gnrlzHealthInfo/gnrlzHealthInfoMain.do</x:v>
      </x:c>
      <x:c r="H38" s="8" t="str">
        <x:v>{
  "disease": "척추의 형태 이상(척추후만증)",
  "section": "요약문 / 정의 / 종류",
  "category": "disease"
}</x:v>
      </x:c>
    </x:row>
    <x:row r="39" ht="54" customHeight="1">
      <x:c r="A39" s="8" t="str">
        <x:v>gold-disease-512bbf4b90cd4cef</x:v>
      </x:c>
      <x:c r="B39" s="8" t="str">
        <x:v>kdca-5529-6</x:v>
      </x:c>
      <x:c r="C39" s="8" t="str">
        <x:v>kdca-5529-6</x:v>
      </x:c>
      <x:c r="D39" s="8" t="str">
        <x:v>근거와 함께 답변</x:v>
      </x:c>
      <x:c r="E39" s="15" t="n">
        <x:v>37</x:v>
      </x:c>
      <x:c r="F39" s="8" t="str">
        <x:v>기존 검증 정답</x:v>
      </x:c>
      <x:c r="G39" s="8" t="str">
        <x:v>https://health.kdca.go.kr/healthinfo/biz/health/gnrlzHealthInfo/gnrlzHealthInfo/gnrlzHealthInfoMain.do</x:v>
      </x:c>
      <x:c r="H39" s="8" t="str">
        <x:v>{
  "disease": "포충증",
  "section": "증상",
  "category": "disease"
}</x:v>
      </x:c>
    </x:row>
    <x:row r="40" ht="54" customHeight="1">
      <x:c r="A40" s="8" t="str">
        <x:v>gold-disease-5e85543cf92d2b82</x:v>
      </x:c>
      <x:c r="B40" s="8" t="str">
        <x:v>kdca-5280-38</x:v>
      </x:c>
      <x:c r="C40" s="8" t="str">
        <x:v>kdca-5280-38</x:v>
      </x:c>
      <x:c r="D40" s="8" t="str">
        <x:v>근거와 함께 답변</x:v>
      </x:c>
      <x:c r="E40" s="15" t="n">
        <x:v>38</x:v>
      </x:c>
      <x:c r="F40" s="8" t="str">
        <x:v>VDB 후속 설명 보강</x:v>
      </x:c>
      <x:c r="G40" s="8" t="str">
        <x:v>https://health.kdca.go.kr/healthinfo/biz/health/gnrlzHealthInfo/gnrlzHealthInfo/gnrlzHealthInfoMain.do</x:v>
      </x:c>
      <x:c r="H40" s="8" t="str">
        <x:v>{
  "disease": "급성 세균성 장염",
  "section": "예방 및 예방접종",
  "category": "disease"
}</x:v>
      </x:c>
    </x:row>
    <x:row r="41" ht="54" customHeight="1">
      <x:c r="A41" s="8" t="str">
        <x:v>gold-disease-aedf0a677374ffcd</x:v>
      </x:c>
      <x:c r="B41" s="8" t="str">
        <x:v>kdca-5720-0</x:v>
      </x:c>
      <x:c r="C41" s="8" t="str">
        <x:v>kdca-5720-0</x:v>
      </x:c>
      <x:c r="D41" s="8" t="str">
        <x:v>근거와 함께 답변</x:v>
      </x:c>
      <x:c r="E41" s="15" t="n">
        <x:v>39</x:v>
      </x:c>
      <x:c r="F41" s="8" t="str">
        <x:v>기존 검증 정답</x:v>
      </x:c>
      <x:c r="G41" s="8" t="str">
        <x:v>https://health.kdca.go.kr/healthinfo/biz/health/gnrlzHealthInfo/gnrlzHealthInfo/gnrlzHealthInfoMain.do</x:v>
      </x:c>
      <x:c r="H41" s="8" t="str">
        <x:v>{
  "disease": "창자겹침증",
  "section": "요약문",
  "category": "disease"
}</x:v>
      </x:c>
    </x:row>
    <x:row r="42" ht="54" customHeight="1">
      <x:c r="A42" s="8" t="str">
        <x:v>gold-disease-b196b2dbfa9b9d88</x:v>
      </x:c>
      <x:c r="B42" s="8" t="str">
        <x:v>kdca-1381-2</x:v>
      </x:c>
      <x:c r="C42" s="8" t="str">
        <x:v>kdca-1381-2</x:v>
      </x:c>
      <x:c r="D42" s="8" t="str">
        <x:v>근거와 함께 답변</x:v>
      </x:c>
      <x:c r="E42" s="15" t="n">
        <x:v>40</x:v>
      </x:c>
      <x:c r="F42" s="8" t="str">
        <x:v>기존 검증 정답</x:v>
      </x:c>
      <x:c r="G42" s="8" t="str">
        <x:v>https://health.kdca.go.kr/healthinfo/biz/health/gnrlzHealthInfo/gnrlzHealthInfo/gnrlzHealthInfoMain.do</x:v>
      </x:c>
      <x:c r="H42" s="8" t="str">
        <x:v>{
  "disease": "안외상(각막화상)",
  "section": "원인 / 증상 / 진단 및 검사",
  "category": "disease"
}</x:v>
      </x:c>
    </x:row>
    <x:row r="43" ht="54" customHeight="1">
      <x:c r="A43" s="8" t="str">
        <x:v>gold-disease-738daf69b4ad20dd</x:v>
      </x:c>
      <x:c r="B43" s="8" t="str">
        <x:v>kdca-6722-4</x:v>
      </x:c>
      <x:c r="C43" s="8" t="str">
        <x:v>kdca-6722-4</x:v>
      </x:c>
      <x:c r="D43" s="8" t="str">
        <x:v>근거와 함께 답변</x:v>
      </x:c>
      <x:c r="E43" s="15" t="n">
        <x:v>41</x:v>
      </x:c>
      <x:c r="F43" s="8" t="str">
        <x:v>VDB 후속 설명 보강</x:v>
      </x:c>
      <x:c r="G43" s="8" t="str">
        <x:v>https://health.kdca.go.kr/healthinfo/biz/health/gnrlzHealthInfo/gnrlzHealthInfo/gnrlzHealthInfoMain.do</x:v>
      </x:c>
      <x:c r="H43" s="8" t="str">
        <x:v>{
  "disease": "근 손실",
  "section": "종류",
  "category": "disease"
}</x:v>
      </x:c>
    </x:row>
    <x:row r="44" ht="54" customHeight="1">
      <x:c r="A44" s="8" t="str">
        <x:v>gold-disease-f67fdab5a1cb6356</x:v>
      </x:c>
      <x:c r="B44" s="8" t="str">
        <x:v>kdca-6772-32</x:v>
      </x:c>
      <x:c r="C44" s="8" t="str">
        <x:v>kdca-6772-32</x:v>
      </x:c>
      <x:c r="D44" s="8" t="str">
        <x:v>근거와 함께 답변</x:v>
      </x:c>
      <x:c r="E44" s="15" t="n">
        <x:v>42</x:v>
      </x:c>
      <x:c r="F44" s="8" t="str">
        <x:v>VDB 후속 설명 보강</x:v>
      </x:c>
      <x:c r="G44" s="8" t="str">
        <x:v>https://health.kdca.go.kr/healthinfo/biz/health/gnrlzHealthInfo/gnrlzHealthInfo/gnrlzHealthInfoMain.do</x:v>
      </x:c>
      <x:c r="H44" s="8" t="str">
        <x:v>{
  "disease": "사시",
  "section": "치료",
  "category": "disease"
}</x:v>
      </x:c>
    </x:row>
    <x:row r="45" ht="54" customHeight="1">
      <x:c r="A45" s="8" t="str">
        <x:v>gold-disease-d4e9514712a687d6</x:v>
      </x:c>
      <x:c r="B45" s="8" t="str">
        <x:v>kdca-5841-7</x:v>
      </x:c>
      <x:c r="C45" s="8" t="str">
        <x:v>kdca-5841-7</x:v>
      </x:c>
      <x:c r="D45" s="8" t="str">
        <x:v>근거와 함께 답변</x:v>
      </x:c>
      <x:c r="E45" s="15" t="n">
        <x:v>43</x:v>
      </x:c>
      <x:c r="F45" s="8" t="str">
        <x:v>VDB 정의 문장 재선정</x:v>
      </x:c>
      <x:c r="G45" s="8" t="str">
        <x:v>https://health.kdca.go.kr/healthinfo/biz/health/gnrlzHealthInfo/gnrlzHealthInfo/gnrlzHealthInfoMain.do</x:v>
      </x:c>
      <x:c r="H45" s="8" t="str">
        <x:v>{
  "disease": "구취",
  "section": "종류",
  "category": "disease"
}</x:v>
      </x:c>
    </x:row>
    <x:row r="46" ht="54" customHeight="1">
      <x:c r="A46" s="8" t="str">
        <x:v>gold-disease-cc94039f583bdeb2</x:v>
      </x:c>
      <x:c r="B46" s="8" t="str">
        <x:v>kdca-5281-14</x:v>
      </x:c>
      <x:c r="C46" s="8" t="str">
        <x:v>kdca-5281-14</x:v>
      </x:c>
      <x:c r="D46" s="8" t="str">
        <x:v>근거와 함께 답변</x:v>
      </x:c>
      <x:c r="E46" s="15" t="n">
        <x:v>44</x:v>
      </x:c>
      <x:c r="F46" s="8" t="str">
        <x:v>기존 검증 정답</x:v>
      </x:c>
      <x:c r="G46" s="8" t="str">
        <x:v>https://health.kdca.go.kr/healthinfo/biz/health/gnrlzHealthInfo/gnrlzHealthInfo/gnrlzHealthInfoMain.do</x:v>
      </x:c>
      <x:c r="H46" s="8" t="str">
        <x:v>{
  "disease": "레지오넬라증",
  "section": "진단 및 검사 / 예방 및 예방접종",
  "category": "disease"
}</x:v>
      </x:c>
    </x:row>
    <x:row r="47" ht="54" customHeight="1">
      <x:c r="A47" s="8" t="str">
        <x:v>gold-disease-d237af1c85dc193d</x:v>
      </x:c>
      <x:c r="B47" s="8" t="str">
        <x:v>kdca-5682-14</x:v>
      </x:c>
      <x:c r="C47" s="8" t="str">
        <x:v>kdca-5682-14</x:v>
      </x:c>
      <x:c r="D47" s="8" t="str">
        <x:v>근거와 함께 답변</x:v>
      </x:c>
      <x:c r="E47" s="15" t="n">
        <x:v>45</x:v>
      </x:c>
      <x:c r="F47" s="8" t="str">
        <x:v>기존 검증 정답</x:v>
      </x:c>
      <x:c r="G47" s="8" t="str">
        <x:v>https://health.kdca.go.kr/healthinfo/biz/health/gnrlzHealthInfo/gnrlzHealthInfo/gnrlzHealthInfoMain.do</x:v>
      </x:c>
      <x:c r="H47" s="8" t="str">
        <x:v>{
  "disease": "메켈 게실",
  "section": "증상",
  "category": "disease"
}</x:v>
      </x:c>
    </x:row>
    <x:row r="48" ht="54" customHeight="1">
      <x:c r="A48" s="8" t="str">
        <x:v>gold-disease-86897db96ae18eac</x:v>
      </x:c>
      <x:c r="B48" s="8" t="str">
        <x:v>kdca-5975-19</x:v>
      </x:c>
      <x:c r="C48" s="8" t="str">
        <x:v>kdca-5975-19</x:v>
      </x:c>
      <x:c r="D48" s="8" t="str">
        <x:v>근거와 함께 답변</x:v>
      </x:c>
      <x:c r="E48" s="15" t="n">
        <x:v>46</x:v>
      </x:c>
      <x:c r="F48" s="8" t="str">
        <x:v>VDB 후속 설명 보강</x:v>
      </x:c>
      <x:c r="G48" s="8" t="str">
        <x:v>https://health.kdca.go.kr/healthinfo/biz/health/gnrlzHealthInfo/gnrlzHealthInfo/gnrlzHealthInfoMain.do</x:v>
      </x:c>
      <x:c r="H48" s="8" t="str">
        <x:v>{
  "disease": "족저근막염",
  "section": "치료",
  "category": "disease"
}</x:v>
      </x:c>
    </x:row>
    <x:row r="49" ht="54" customHeight="1">
      <x:c r="A49" s="8" t="str">
        <x:v>gold-disease-ca666c644e83982d</x:v>
      </x:c>
      <x:c r="B49" s="8" t="str">
        <x:v>kdca-6275-7</x:v>
      </x:c>
      <x:c r="C49" s="8" t="str">
        <x:v>kdca-6275-7</x:v>
      </x:c>
      <x:c r="D49" s="8" t="str">
        <x:v>근거와 함께 답변</x:v>
      </x:c>
      <x:c r="E49" s="15" t="n">
        <x:v>47</x:v>
      </x:c>
      <x:c r="F49" s="8" t="str">
        <x:v>기존 검증 정답</x:v>
      </x:c>
      <x:c r="G49" s="8" t="str">
        <x:v>https://health.kdca.go.kr/healthinfo/biz/health/gnrlzHealthInfo/gnrlzHealthInfo/gnrlzHealthInfoMain.do</x:v>
      </x:c>
      <x:c r="H49" s="8" t="str">
        <x:v>{
  "disease": "얼굴떨림(얼굴연축_눈꺼풀연축)",
  "section": "진단 및 검사",
  "category": "disease"
}</x:v>
      </x:c>
    </x:row>
    <x:row r="50" ht="54" customHeight="1">
      <x:c r="A50" s="8" t="str">
        <x:v>gold-disease-ede9cc5ca076e7de</x:v>
      </x:c>
      <x:c r="B50" s="8" t="str">
        <x:v>kdca-5318-17</x:v>
      </x:c>
      <x:c r="C50" s="8" t="str">
        <x:v>kdca-5318-17</x:v>
      </x:c>
      <x:c r="D50" s="8" t="str">
        <x:v>근거와 함께 답변</x:v>
      </x:c>
      <x:c r="E50" s="15" t="n">
        <x:v>48</x:v>
      </x:c>
      <x:c r="F50" s="8" t="str">
        <x:v>VDB 후속 설명 보강</x:v>
      </x:c>
      <x:c r="G50" s="8" t="str">
        <x:v>https://health.kdca.go.kr/healthinfo/biz/health/gnrlzHealthInfo/gnrlzHealthInfo/gnrlzHealthInfoMain.do</x:v>
      </x:c>
      <x:c r="H50" s="8" t="str">
        <x:v>{
  "disease": "급성 충수염",
  "section": "비약물 치료",
  "category": "disease"
}</x:v>
      </x:c>
    </x:row>
    <x:row r="51" ht="54" customHeight="1">
      <x:c r="A51" s="8" t="str">
        <x:v>gold-disease-1cbd1040fc39aa00</x:v>
      </x:c>
      <x:c r="B51" s="8" t="str">
        <x:v>kdca-6583-16</x:v>
      </x:c>
      <x:c r="C51" s="8" t="str">
        <x:v>kdca-6583-16</x:v>
      </x:c>
      <x:c r="D51" s="8" t="str">
        <x:v>근거와 함께 답변</x:v>
      </x:c>
      <x:c r="E51" s="15" t="n">
        <x:v>49</x:v>
      </x:c>
      <x:c r="F51" s="8" t="str">
        <x:v>기존 검증 정답</x:v>
      </x:c>
      <x:c r="G51" s="8" t="str">
        <x:v>https://health.kdca.go.kr/healthinfo/biz/health/gnrlzHealthInfo/gnrlzHealthInfo/gnrlzHealthInfoMain.do</x:v>
      </x:c>
      <x:c r="H51" s="8" t="str">
        <x:v>{
  "disease": "조산",
  "section": "진단 및 검사",
  "category": "disease"
}</x:v>
      </x:c>
    </x:row>
    <x:row r="52" ht="54" customHeight="1">
      <x:c r="A52" s="8" t="str">
        <x:v>gold-disease-c523edc4155c62de</x:v>
      </x:c>
      <x:c r="B52" s="8" t="str">
        <x:v>kdca-5686-3</x:v>
      </x:c>
      <x:c r="C52" s="8" t="str">
        <x:v>kdca-5686-3</x:v>
      </x:c>
      <x:c r="D52" s="8" t="str">
        <x:v>근거와 함께 답변</x:v>
      </x:c>
      <x:c r="E52" s="15" t="n">
        <x:v>50</x:v>
      </x:c>
      <x:c r="F52" s="8" t="str">
        <x:v>VDB 정의 문장 재선정</x:v>
      </x:c>
      <x:c r="G52" s="8" t="str">
        <x:v>https://health.kdca.go.kr/healthinfo/biz/health/gnrlzHealthInfo/gnrlzHealthInfo/gnrlzHealthInfoMain.do</x:v>
      </x:c>
      <x:c r="H52" s="8" t="str">
        <x:v>{
  "disease": "유방종괴",
  "section": "개요 / 원인",
  "category": "symptom"
}</x:v>
      </x:c>
    </x:row>
    <x:row r="53" ht="54" customHeight="1">
      <x:c r="A53" s="8" t="str">
        <x:v>gold-disease-8be770a83f2bd520</x:v>
      </x:c>
      <x:c r="B53" s="8" t="str">
        <x:v>kdca-6681-28</x:v>
      </x:c>
      <x:c r="C53" s="8" t="str">
        <x:v>kdca-6681-28</x:v>
      </x:c>
      <x:c r="D53" s="8" t="str">
        <x:v>근거와 함께 답변</x:v>
      </x:c>
      <x:c r="E53" s="15" t="n">
        <x:v>51</x:v>
      </x:c>
      <x:c r="F53" s="8" t="str">
        <x:v>기존 검증 정답</x:v>
      </x:c>
      <x:c r="G53" s="8" t="str">
        <x:v>https://health.kdca.go.kr/healthinfo/biz/health/gnrlzHealthInfo/gnrlzHealthInfo/gnrlzHealthInfoMain.do</x:v>
      </x:c>
      <x:c r="H53" s="8" t="str">
        <x:v>{
  "disease": "다제내성균감염증",
  "section": "증상",
  "category": "disease"
}</x:v>
      </x:c>
    </x:row>
    <x:row r="54" ht="54" customHeight="1">
      <x:c r="A54" s="8" t="str">
        <x:v>gold-disease-fa74cf0ba9ab35cc</x:v>
      </x:c>
      <x:c r="B54" s="8" t="str">
        <x:v>kdca-6535-13</x:v>
      </x:c>
      <x:c r="C54" s="8" t="str">
        <x:v>kdca-6535-13</x:v>
      </x:c>
      <x:c r="D54" s="8" t="str">
        <x:v>근거와 함께 답변</x:v>
      </x:c>
      <x:c r="E54" s="15" t="n">
        <x:v>52</x:v>
      </x:c>
      <x:c r="F54" s="8" t="str">
        <x:v>VDB 후속 설명 보강</x:v>
      </x:c>
      <x:c r="G54" s="8" t="str">
        <x:v>https://health.kdca.go.kr/healthinfo/biz/health/gnrlzHealthInfo/gnrlzHealthInfo/gnrlzHealthInfoMain.do</x:v>
      </x:c>
      <x:c r="H54" s="8" t="str">
        <x:v>{
  "disease": "다운증후군",
  "section": "증상",
  "category": "disease"
}</x:v>
      </x:c>
    </x:row>
    <x:row r="55" ht="54" customHeight="1">
      <x:c r="A55" s="8" t="str">
        <x:v>gold-disease-75eecd4e7c37d2a0</x:v>
      </x:c>
      <x:c r="B55" s="8" t="str">
        <x:v>kdca-5433-42</x:v>
      </x:c>
      <x:c r="C55" s="8" t="str">
        <x:v>kdca-5433-42</x:v>
      </x:c>
      <x:c r="D55" s="8" t="str">
        <x:v>근거와 함께 답변</x:v>
      </x:c>
      <x:c r="E55" s="15" t="n">
        <x:v>53</x:v>
      </x:c>
      <x:c r="F55" s="8" t="str">
        <x:v>VDB 후속 설명 보강</x:v>
      </x:c>
      <x:c r="G55" s="8" t="str">
        <x:v>https://health.kdca.go.kr/healthinfo/biz/health/gnrlzHealthInfo/gnrlzHealthInfo/gnrlzHealthInfoMain.do</x:v>
      </x:c>
      <x:c r="H55" s="8" t="str">
        <x:v>{
  "disease": "신장결석",
  "section": "생활습관 관리 / 참고문헌",
  "category": "disease"
}</x:v>
      </x:c>
    </x:row>
    <x:row r="56" ht="54" customHeight="1">
      <x:c r="A56" s="8" t="str">
        <x:v>gold-disease-6aa15c80aa4e0947</x:v>
      </x:c>
      <x:c r="B56" s="8" t="str">
        <x:v>kdca-6555-0</x:v>
      </x:c>
      <x:c r="C56" s="8" t="str">
        <x:v>kdca-6555-0</x:v>
      </x:c>
      <x:c r="D56" s="8" t="str">
        <x:v>근거와 함께 답변</x:v>
      </x:c>
      <x:c r="E56" s="15" t="n">
        <x:v>54</x:v>
      </x:c>
      <x:c r="F56" s="8" t="str">
        <x:v>VDB 정의 문장 재선정</x:v>
      </x:c>
      <x:c r="G56" s="8" t="str">
        <x:v>https://health.kdca.go.kr/healthinfo/biz/health/gnrlzHealthInfo/gnrlzHealthInfo/gnrlzHealthInfoMain.do</x:v>
      </x:c>
      <x:c r="H56" s="8" t="str">
        <x:v>{
  "disease": "강직척추염",
  "section": "요약문",
  "category": "disease"
}</x:v>
      </x:c>
    </x:row>
    <x:row r="57" ht="54" customHeight="1">
      <x:c r="A57" s="8" t="str">
        <x:v>gold-disease-8802d8cf1cd98fb1</x:v>
      </x:c>
      <x:c r="B57" s="8" t="str">
        <x:v>kdca-5504-16</x:v>
      </x:c>
      <x:c r="C57" s="8" t="str">
        <x:v>kdca-5504-16</x:v>
      </x:c>
      <x:c r="D57" s="8" t="str">
        <x:v>근거와 함께 답변</x:v>
      </x:c>
      <x:c r="E57" s="15" t="n">
        <x:v>55</x:v>
      </x:c>
      <x:c r="F57" s="8" t="str">
        <x:v>기존 검증 정답</x:v>
      </x:c>
      <x:c r="G57" s="8" t="str">
        <x:v>https://health.kdca.go.kr/healthinfo/biz/health/gnrlzHealthInfo/gnrlzHealthInfo/gnrlzHealthInfoMain.do</x:v>
      </x:c>
      <x:c r="H57" s="8" t="str">
        <x:v>{
  "disease": "복부 수술 후 장유착",
  "section": "진단 및 검사 / 치료",
  "category": "disease"
}</x:v>
      </x:c>
    </x:row>
    <x:row r="58" ht="54" customHeight="1">
      <x:c r="A58" s="8" t="str">
        <x:v>gold-disease-1ebe7b62798dc57b</x:v>
      </x:c>
      <x:c r="B58" s="8" t="str">
        <x:v>kdca-6524-14</x:v>
      </x:c>
      <x:c r="C58" s="8" t="str">
        <x:v>kdca-6524-14</x:v>
      </x:c>
      <x:c r="D58" s="8" t="str">
        <x:v>근거와 함께 답변</x:v>
      </x:c>
      <x:c r="E58" s="15" t="n">
        <x:v>56</x:v>
      </x:c>
      <x:c r="F58" s="8" t="str">
        <x:v>VDB 후속 설명 보강</x:v>
      </x:c>
      <x:c r="G58" s="8" t="str">
        <x:v>https://health.kdca.go.kr/healthinfo/biz/health/gnrlzHealthInfo/gnrlzHealthInfo/gnrlzHealthInfoMain.do</x:v>
      </x:c>
      <x:c r="H58" s="8" t="str">
        <x:v>{
  "disease": "직업성 호흡기질환(직업성 폐암, 악성중피종)",
  "section": "위험요인 및 예방 / 자주하는 질문",
  "category": "disease"
}</x:v>
      </x:c>
    </x:row>
    <x:row r="59" ht="54" customHeight="1">
      <x:c r="A59" s="8" t="str">
        <x:v>gold-disease-b1961faa17759690</x:v>
      </x:c>
      <x:c r="B59" s="8" t="str">
        <x:v>kdca-5683-37</x:v>
      </x:c>
      <x:c r="C59" s="8" t="str">
        <x:v>kdca-5683-37</x:v>
      </x:c>
      <x:c r="D59" s="8" t="str">
        <x:v>근거와 함께 답변</x:v>
      </x:c>
      <x:c r="E59" s="15" t="n">
        <x:v>57</x:v>
      </x:c>
      <x:c r="F59" s="8" t="str">
        <x:v>VDB 후속 설명 보강</x:v>
      </x:c>
      <x:c r="G59" s="8" t="str">
        <x:v>https://health.kdca.go.kr/healthinfo/biz/health/gnrlzHealthInfo/gnrlzHealthInfo/gnrlzHealthInfoMain.do</x:v>
      </x:c>
      <x:c r="H59" s="8" t="str">
        <x:v>{
  "disease": "유방통",
  "section": "연관 주제어",
  "category": "disease"
}</x:v>
      </x:c>
    </x:row>
    <x:row r="60" ht="54" customHeight="1">
      <x:c r="A60" s="8" t="str">
        <x:v>gold-disease-3dd6e324a288ff3f</x:v>
      </x:c>
      <x:c r="B60" s="8" t="str">
        <x:v>kdca-6298-3</x:v>
      </x:c>
      <x:c r="C60" s="8" t="str">
        <x:v>kdca-6298-3</x:v>
      </x:c>
      <x:c r="D60" s="8" t="str">
        <x:v>근거와 함께 답변</x:v>
      </x:c>
      <x:c r="E60" s="15" t="n">
        <x:v>58</x:v>
      </x:c>
      <x:c r="F60" s="8" t="str">
        <x:v>VDB 원인·위험요인 청크 재선정</x:v>
      </x:c>
      <x:c r="G60" s="8" t="str">
        <x:v>https://health.kdca.go.kr/healthinfo/biz/health/gnrlzHealthInfo/gnrlzHealthInfo/gnrlzHealthInfoMain.do</x:v>
      </x:c>
      <x:c r="H60" s="8" t="str">
        <x:v>{
  "disease": "담낭 용종",
  "section": "종류 / 원인",
  "category": "disease"
}</x:v>
      </x:c>
    </x:row>
    <x:row r="61" ht="54" customHeight="1">
      <x:c r="A61" s="8" t="str">
        <x:v>gold-disease-6fd8d6c987bec792</x:v>
      </x:c>
      <x:c r="B61" s="8" t="str">
        <x:v>kdca-1741-5</x:v>
      </x:c>
      <x:c r="C61" s="8" t="str">
        <x:v>kdca-1741-5</x:v>
      </x:c>
      <x:c r="D61" s="8" t="str">
        <x:v>근거와 함께 답변</x:v>
      </x:c>
      <x:c r="E61" s="15" t="n">
        <x:v>59</x:v>
      </x:c>
      <x:c r="F61" s="8" t="str">
        <x:v>VDB 후속 설명 보강</x:v>
      </x:c>
      <x:c r="G61" s="8" t="str">
        <x:v>https://health.kdca.go.kr/healthinfo/biz/health/gnrlzHealthInfo/gnrlzHealthInfo/gnrlzHealthInfoMain.do</x:v>
      </x:c>
      <x:c r="H61" s="8" t="str">
        <x:v>{
  "disease": "급성고환염",
  "section": "증상",
  "category": "disease"
}</x:v>
      </x:c>
    </x:row>
    <x:row r="62" ht="54" customHeight="1">
      <x:c r="A62" s="8" t="str">
        <x:v>gold-disease-457df7d15142a2e2</x:v>
      </x:c>
      <x:c r="B62" s="8" t="str">
        <x:v>kdca-5339-10</x:v>
      </x:c>
      <x:c r="C62" s="8" t="str">
        <x:v>kdca-5339-10</x:v>
      </x:c>
      <x:c r="D62" s="8" t="str">
        <x:v>근거와 함께 답변</x:v>
      </x:c>
      <x:c r="E62" s="15" t="n">
        <x:v>60</x:v>
      </x:c>
      <x:c r="F62" s="8" t="str">
        <x:v>기존 검증 정답</x:v>
      </x:c>
      <x:c r="G62" s="8" t="str">
        <x:v>https://health.kdca.go.kr/healthinfo/biz/health/gnrlzHealthInfo/gnrlzHealthInfo/gnrlzHealthInfoMain.do</x:v>
      </x:c>
      <x:c r="H62" s="8" t="str">
        <x:v>{
  "disease": "폐흡충증",
  "section": "예방 및 예방접종 / 약물 치료",
  "category": "disease"
}</x:v>
      </x:c>
    </x:row>
    <x:row r="63" ht="54" customHeight="1">
      <x:c r="A63" s="8" t="str">
        <x:v>gold-disease-7ba6b093ccc953c6</x:v>
      </x:c>
      <x:c r="B63" s="8" t="str">
        <x:v>kdca-5864-26</x:v>
      </x:c>
      <x:c r="C63" s="8" t="str">
        <x:v>kdca-5864-26</x:v>
      </x:c>
      <x:c r="D63" s="8" t="str">
        <x:v>근거와 함께 답변</x:v>
      </x:c>
      <x:c r="E63" s="15" t="n">
        <x:v>61</x:v>
      </x:c>
      <x:c r="F63" s="8" t="str">
        <x:v>VDB 후속 설명 보강</x:v>
      </x:c>
      <x:c r="G63" s="8" t="str">
        <x:v>https://health.kdca.go.kr/healthinfo/biz/health/gnrlzHealthInfo/gnrlzHealthInfo/gnrlzHealthInfoMain.do</x:v>
      </x:c>
      <x:c r="H63" s="8" t="str">
        <x:v>{
  "disease": "외상성 뇌손상",
  "section": "예방 및 대처",
  "category": "disease"
}</x:v>
      </x:c>
    </x:row>
    <x:row r="64" ht="54" customHeight="1">
      <x:c r="A64" s="8" t="str">
        <x:v>gold-disease-61d8e4b9ce197020</x:v>
      </x:c>
      <x:c r="B64" s="8" t="str">
        <x:v>kdca-5859-16</x:v>
      </x:c>
      <x:c r="C64" s="8" t="str">
        <x:v>kdca-5859-16</x:v>
      </x:c>
      <x:c r="D64" s="8" t="str">
        <x:v>근거와 함께 답변</x:v>
      </x:c>
      <x:c r="E64" s="15" t="n">
        <x:v>62</x:v>
      </x:c>
      <x:c r="F64" s="8" t="str">
        <x:v>VDB 후속 설명 보강</x:v>
      </x:c>
      <x:c r="G64" s="8" t="str">
        <x:v>https://health.kdca.go.kr/healthinfo/biz/health/gnrlzHealthInfo/gnrlzHealthInfo/gnrlzHealthInfoMain.do</x:v>
      </x:c>
      <x:c r="H64" s="8" t="str">
        <x:v>{
  "disease": "실어증",
  "section": "증상",
  "category": "disease"
}</x:v>
      </x:c>
    </x:row>
    <x:row r="65" ht="54" customHeight="1">
      <x:c r="A65" s="8" t="str">
        <x:v>gold-disease-5fdf9abc63370d4b</x:v>
      </x:c>
      <x:c r="B65" s="8" t="str">
        <x:v>kdca-5827-8</x:v>
      </x:c>
      <x:c r="C65" s="8" t="str">
        <x:v>kdca-5827-8</x:v>
      </x:c>
      <x:c r="D65" s="8" t="str">
        <x:v>근거와 함께 답변</x:v>
      </x:c>
      <x:c r="E65" s="15" t="n">
        <x:v>63</x:v>
      </x:c>
      <x:c r="F65" s="8" t="str">
        <x:v>VDB 원인·위험요인 청크 재선정</x:v>
      </x:c>
      <x:c r="G65" s="8" t="str">
        <x:v>https://health.kdca.go.kr/healthinfo/biz/health/gnrlzHealthInfo/gnrlzHealthInfo/gnrlzHealthInfoMain.do</x:v>
      </x:c>
      <x:c r="H65" s="8" t="str">
        <x:v>{
  "disease": "변비",
  "section": "원인",
  "category": "disease"
}</x:v>
      </x:c>
    </x:row>
    <x:row r="66" ht="54" customHeight="1">
      <x:c r="A66" s="8" t="str">
        <x:v>gold-disease-2c5a09d95ddb6fff</x:v>
      </x:c>
      <x:c r="B66" s="8" t="str">
        <x:v>kdca-5347-8</x:v>
      </x:c>
      <x:c r="C66" s="8" t="str">
        <x:v>kdca-5347-8</x:v>
      </x:c>
      <x:c r="D66" s="8" t="str">
        <x:v>근거와 함께 답변</x:v>
      </x:c>
      <x:c r="E66" s="15" t="n">
        <x:v>64</x:v>
      </x:c>
      <x:c r="F66" s="8" t="str">
        <x:v>기존 검증 정답</x:v>
      </x:c>
      <x:c r="G66" s="8" t="str">
        <x:v>https://health.kdca.go.kr/healthinfo/biz/health/gnrlzHealthInfo/gnrlzHealthInfo/gnrlzHealthInfoMain.do</x:v>
      </x:c>
      <x:c r="H66" s="8" t="str">
        <x:v>{
  "disease": "요충증",
  "section": "약물 치료 / 대상별 맞춤 정보",
  "category": "disease"
}</x:v>
      </x:c>
    </x:row>
    <x:row r="67" ht="54" customHeight="1">
      <x:c r="A67" s="8" t="str">
        <x:v>gold-disease-9fdc161b34ec2a2e</x:v>
      </x:c>
      <x:c r="B67" s="8" t="str">
        <x:v>kdca-5810-10</x:v>
      </x:c>
      <x:c r="C67" s="8" t="str">
        <x:v>kdca-5810-10</x:v>
      </x:c>
      <x:c r="D67" s="8" t="str">
        <x:v>근거와 함께 답변</x:v>
      </x:c>
      <x:c r="E67" s="15" t="n">
        <x:v>65</x:v>
      </x:c>
      <x:c r="F67" s="8" t="str">
        <x:v>VDB 원인·위험요인 청크 재선정</x:v>
      </x:c>
      <x:c r="G67" s="8" t="str">
        <x:v>https://health.kdca.go.kr/healthinfo/biz/health/gnrlzHealthInfo/gnrlzHealthInfo/gnrlzHealthInfoMain.do</x:v>
      </x:c>
      <x:c r="H67" s="8" t="str">
        <x:v>{
  "disease": "갑상선기능저하증",
  "section": "원인",
  "category": "disease"
}</x:v>
      </x:c>
    </x:row>
    <x:row r="68" ht="54" customHeight="1">
      <x:c r="A68" s="8" t="str">
        <x:v>gold-disease-b1cbc223555dd66d</x:v>
      </x:c>
      <x:c r="B68" s="8" t="str">
        <x:v>kdca-6527-12</x:v>
      </x:c>
      <x:c r="C68" s="8" t="str">
        <x:v>kdca-6527-12</x:v>
      </x:c>
      <x:c r="D68" s="8" t="str">
        <x:v>근거와 함께 답변</x:v>
      </x:c>
      <x:c r="E68" s="15" t="n">
        <x:v>66</x:v>
      </x:c>
      <x:c r="F68" s="8" t="str">
        <x:v>기존 검증 정답</x:v>
      </x:c>
      <x:c r="G68" s="8" t="str">
        <x:v>https://health.kdca.go.kr/healthinfo/biz/health/gnrlzHealthInfo/gnrlzHealthInfo/gnrlzHealthInfoMain.do</x:v>
      </x:c>
      <x:c r="H68" s="8" t="str">
        <x:v>{
  "disease": "직업성 호흡기질환(직업성 천식)",
  "section": "합병증",
  "category": "disease"
}</x:v>
      </x:c>
    </x:row>
    <x:row r="69" ht="54" customHeight="1">
      <x:c r="A69" s="8" t="str">
        <x:v>gold-disease-7f8a7bbd151b9810</x:v>
      </x:c>
      <x:c r="B69" s="8" t="str">
        <x:v>kdca-6579-28</x:v>
      </x:c>
      <x:c r="C69" s="8" t="str">
        <x:v>kdca-6579-28</x:v>
      </x:c>
      <x:c r="D69" s="8" t="str">
        <x:v>근거와 함께 답변</x:v>
      </x:c>
      <x:c r="E69" s="15" t="n">
        <x:v>67</x:v>
      </x:c>
      <x:c r="F69" s="8" t="str">
        <x:v>기존 검증 정답</x:v>
      </x:c>
      <x:c r="G69" s="8" t="str">
        <x:v>https://health.kdca.go.kr/healthinfo/biz/health/gnrlzHealthInfo/gnrlzHealthInfo/gnrlzHealthInfoMain.do</x:v>
      </x:c>
      <x:c r="H69" s="8" t="str">
        <x:v>{
  "disease": "다태임신",
  "section": "합병증",
  "category": "disease"
}</x:v>
      </x:c>
    </x:row>
    <x:row r="70" ht="54" customHeight="1">
      <x:c r="A70" s="8" t="str">
        <x:v>gold-disease-aed2eff317f8f9cd</x:v>
      </x:c>
      <x:c r="B70" s="8" t="str">
        <x:v>kdca-6492-29</x:v>
      </x:c>
      <x:c r="C70" s="8" t="str">
        <x:v>kdca-6492-29</x:v>
      </x:c>
      <x:c r="D70" s="8" t="str">
        <x:v>근거와 함께 답변</x:v>
      </x:c>
      <x:c r="E70" s="15" t="n">
        <x:v>68</x:v>
      </x:c>
      <x:c r="F70" s="8" t="str">
        <x:v>기존 검증 정답</x:v>
      </x:c>
      <x:c r="G70" s="8" t="str">
        <x:v>https://health.kdca.go.kr/healthinfo/biz/health/gnrlzHealthInfo/gnrlzHealthInfo/gnrlzHealthInfoMain.do</x:v>
      </x:c>
      <x:c r="H70" s="8" t="str">
        <x:v>{
  "disease": "건막염(특발성 건막염)",
  "section": "진단 및 검사",
  "category": "disease"
}</x:v>
      </x:c>
    </x:row>
    <x:row r="71" ht="54" customHeight="1">
      <x:c r="A71" s="8" t="str">
        <x:v>gold-disease-1279ba8cc05f6cbd</x:v>
      </x:c>
      <x:c r="B71" s="8" t="str">
        <x:v>kdca-2057-34</x:v>
      </x:c>
      <x:c r="C71" s="8" t="str">
        <x:v>kdca-2057-34</x:v>
      </x:c>
      <x:c r="D71" s="8" t="str">
        <x:v>근거와 함께 답변</x:v>
      </x:c>
      <x:c r="E71" s="15" t="n">
        <x:v>69</x:v>
      </x:c>
      <x:c r="F71" s="8" t="str">
        <x:v>기존 검증 정답</x:v>
      </x:c>
      <x:c r="G71" s="8" t="str">
        <x:v>https://health.kdca.go.kr/healthinfo/biz/health/gnrlzHealthInfo/gnrlzHealthInfo/gnrlzHealthInfoMain.do</x:v>
      </x:c>
      <x:c r="H71" s="8" t="str">
        <x:v>{
  "disease": "위식도역류질환",
  "section": "합병증",
  "category": "disease"
}</x:v>
      </x:c>
    </x:row>
    <x:row r="72" ht="54" customHeight="1">
      <x:c r="A72" s="8" t="str">
        <x:v>gold-disease-4d8acfb8d3fc7dbd</x:v>
      </x:c>
      <x:c r="B72" s="8" t="str">
        <x:v>kdca-3749-5</x:v>
      </x:c>
      <x:c r="C72" s="8" t="str">
        <x:v>kdca-3749-5</x:v>
      </x:c>
      <x:c r="D72" s="8" t="str">
        <x:v>근거와 함께 답변</x:v>
      </x:c>
      <x:c r="E72" s="15" t="n">
        <x:v>70</x:v>
      </x:c>
      <x:c r="F72" s="8" t="str">
        <x:v>VDB 원인·위험요인 청크 재선정</x:v>
      </x:c>
      <x:c r="G72" s="8" t="str">
        <x:v>https://health.kdca.go.kr/healthinfo/biz/health/gnrlzHealthInfo/gnrlzHealthInfo/gnrlzHealthInfoMain.do</x:v>
      </x:c>
      <x:c r="H72" s="8" t="str">
        <x:v>{
  "disease": "켈로이드",
  "section": "원인",
  "category": "disease"
}</x:v>
      </x:c>
    </x:row>
    <x:row r="73" ht="54" customHeight="1">
      <x:c r="A73" s="8" t="str">
        <x:v>gold-disease-e515c03627b9ce74</x:v>
      </x:c>
      <x:c r="B73" s="8" t="str">
        <x:v>kdca-4047-3</x:v>
      </x:c>
      <x:c r="C73" s="8" t="str">
        <x:v>kdca-4047-3</x:v>
      </x:c>
      <x:c r="D73" s="8" t="str">
        <x:v>근거와 함께 답변</x:v>
      </x:c>
      <x:c r="E73" s="15" t="n">
        <x:v>71</x:v>
      </x:c>
      <x:c r="F73" s="8" t="str">
        <x:v>기존 검증 정답</x:v>
      </x:c>
      <x:c r="G73" s="8" t="str">
        <x:v>https://health.kdca.go.kr/healthinfo/biz/health/gnrlzHealthInfo/gnrlzHealthInfo/gnrlzHealthInfoMain.do</x:v>
      </x:c>
      <x:c r="H73" s="8" t="str">
        <x:v>{
  "disease": "척추관 협착증",
  "section": "종류",
  "category": "disease"
}</x:v>
      </x:c>
    </x:row>
    <x:row r="74" ht="54" customHeight="1">
      <x:c r="A74" s="8" t="str">
        <x:v>gold-disease-2108ac7dd086e03a</x:v>
      </x:c>
      <x:c r="B74" s="8" t="str">
        <x:v>kdca-6295-11</x:v>
      </x:c>
      <x:c r="C74" s="8" t="str">
        <x:v>kdca-6295-11</x:v>
      </x:c>
      <x:c r="D74" s="8" t="str">
        <x:v>근거와 함께 답변</x:v>
      </x:c>
      <x:c r="E74" s="15" t="n">
        <x:v>72</x:v>
      </x:c>
      <x:c r="F74" s="8" t="str">
        <x:v>VDB 후속 설명 보강</x:v>
      </x:c>
      <x:c r="G74" s="8" t="str">
        <x:v>https://health.kdca.go.kr/healthinfo/biz/health/gnrlzHealthInfo/gnrlzHealthInfo/gnrlzHealthInfoMain.do</x:v>
      </x:c>
      <x:c r="H74" s="8" t="str">
        <x:v>{
  "disease": "각막혼탁 및 반흔",
  "section": "증상",
  "category": "disease"
}</x:v>
      </x:c>
    </x:row>
    <x:row r="75" ht="54" customHeight="1">
      <x:c r="A75" s="8" t="str">
        <x:v>gold-disease-0cc06c6321c24e5d</x:v>
      </x:c>
      <x:c r="B75" s="8" t="str">
        <x:v>kdca-1738-10</x:v>
      </x:c>
      <x:c r="C75" s="8" t="str">
        <x:v>kdca-1738-10</x:v>
      </x:c>
      <x:c r="D75" s="8" t="str">
        <x:v>근거와 함께 답변</x:v>
      </x:c>
      <x:c r="E75" s="15" t="n">
        <x:v>73</x:v>
      </x:c>
      <x:c r="F75" s="8" t="str">
        <x:v>기존 검증 정답</x:v>
      </x:c>
      <x:c r="G75" s="8" t="str">
        <x:v>https://health.kdca.go.kr/healthinfo/biz/health/gnrlzHealthInfo/gnrlzHealthInfo/gnrlzHealthInfoMain.do</x:v>
      </x:c>
      <x:c r="H75" s="8" t="str">
        <x:v>{
  "disease": "골감소증",
  "section": "진단 및 검사",
  "category": "disease"
}</x:v>
      </x:c>
    </x:row>
    <x:row r="76" ht="54" customHeight="1">
      <x:c r="A76" s="8" t="str">
        <x:v>gold-disease-na-d34dc02ec5753f58</x:v>
      </x:c>
      <x:c r="B76" s="8" t="str"/>
      <x:c r="C76" s="8" t="str"/>
      <x:c r="D76" s="8" t="str">
        <x:v>답변 거부 또는 추가 확인 요청</x:v>
      </x:c>
      <x:c r="E76" s="15" t="n">
        <x:v>74</x:v>
      </x:c>
      <x:c r="F76" s="8" t="str">
        <x:v>답변 거부 기준 문구</x:v>
      </x:c>
      <x:c r="G76" s="8" t="str">
        <x:v>https://health.kdca.go.kr/healthinfo/biz/health/gnrlzHealthInfo/gnrlzHealthInfo/gnrlzHealthInfoMain.do</x:v>
      </x:c>
      <x:c r="H76" s="8" t="str">
        <x:v>{
  "disease": "건막염(특발성 건막염)",
  "section": "진단 및 검사",
  "category": "disease"
}</x:v>
      </x:c>
    </x:row>
    <x:row r="77" ht="54" customHeight="1">
      <x:c r="A77" s="8" t="str">
        <x:v>gold-disease-bea76102f05d6225</x:v>
      </x:c>
      <x:c r="B77" s="8" t="str">
        <x:v>kdca-5692-44</x:v>
      </x:c>
      <x:c r="C77" s="8" t="str">
        <x:v>kdca-5692-44</x:v>
      </x:c>
      <x:c r="D77" s="8" t="str">
        <x:v>근거와 함께 답변</x:v>
      </x:c>
      <x:c r="E77" s="15" t="n">
        <x:v>75</x:v>
      </x:c>
      <x:c r="F77" s="8" t="str">
        <x:v>VDB 후속 설명 보강</x:v>
      </x:c>
      <x:c r="G77" s="8" t="str">
        <x:v>https://health.kdca.go.kr/healthinfo/biz/health/gnrlzHealthInfo/gnrlzHealthInfo/gnrlzHealthInfoMain.do</x:v>
      </x:c>
      <x:c r="H77" s="8" t="str">
        <x:v>{
  "disease": "모반(점)",
  "section": "자가 관리",
  "category": "disease"
}</x:v>
      </x:c>
    </x:row>
    <x:row r="78" ht="54" customHeight="1">
      <x:c r="A78" s="8" t="str">
        <x:v>gold-disease-na-328a96a5731cf149</x:v>
      </x:c>
      <x:c r="B78" s="8" t="str"/>
      <x:c r="C78" s="8" t="str"/>
      <x:c r="D78" s="8" t="str">
        <x:v>답변 거부 또는 추가 확인 요청</x:v>
      </x:c>
      <x:c r="E78" s="15" t="n">
        <x:v>76</x:v>
      </x:c>
      <x:c r="F78" s="8" t="str">
        <x:v>답변 거부 기준 문구</x:v>
      </x:c>
      <x:c r="G78" s="8" t="str">
        <x:v>https://health.kdca.go.kr/healthinfo/biz/health/gnrlzHealthInfo/gnrlzHealthInfo/gnrlzHealthInfoMain.do</x:v>
      </x:c>
      <x:c r="H78" s="8" t="str">
        <x:v>{
  "disease": "노인성난청",
  "section": "생활습관 관리 / 지원체계",
  "category": "disease"
}</x:v>
      </x:c>
    </x:row>
    <x:row r="79" ht="54" customHeight="1">
      <x:c r="A79" s="8" t="str">
        <x:v>gold-disease-eb38ffbca3be29d0</x:v>
      </x:c>
      <x:c r="B79" s="8" t="str">
        <x:v>kdca-5423-4</x:v>
      </x:c>
      <x:c r="C79" s="8" t="str">
        <x:v>kdca-5423-4</x:v>
      </x:c>
      <x:c r="D79" s="8" t="str">
        <x:v>근거와 함께 답변</x:v>
      </x:c>
      <x:c r="E79" s="15" t="n">
        <x:v>77</x:v>
      </x:c>
      <x:c r="F79" s="8" t="str">
        <x:v>VDB 원인·위험요인 청크 재선정</x:v>
      </x:c>
      <x:c r="G79" s="8" t="str">
        <x:v>https://health.kdca.go.kr/healthinfo/biz/health/gnrlzHealthInfo/gnrlzHealthInfo/gnrlzHealthInfoMain.do</x:v>
      </x:c>
      <x:c r="H79" s="8" t="str">
        <x:v>{
  "disease": "감기",
  "section": "원인 / 경과 및 예후",
  "category": "disease"
}</x:v>
      </x:c>
    </x:row>
    <x:row r="80" ht="54" customHeight="1">
      <x:c r="A80" s="8" t="str">
        <x:v>gold-disease-d530d16319eba59a</x:v>
      </x:c>
      <x:c r="B80" s="8" t="str">
        <x:v>kdca-1344-0</x:v>
      </x:c>
      <x:c r="C80" s="8" t="str">
        <x:v>kdca-1344-0</x:v>
      </x:c>
      <x:c r="D80" s="8" t="str">
        <x:v>근거와 함께 답변</x:v>
      </x:c>
      <x:c r="E80" s="15" t="n">
        <x:v>78</x:v>
      </x:c>
      <x:c r="F80" s="8" t="str">
        <x:v>VDB 정의 문장 재선정</x:v>
      </x:c>
      <x:c r="G80" s="8" t="str">
        <x:v>https://health.kdca.go.kr/healthinfo/biz/health/gnrlzHealthInfo/gnrlzHealthInfo/gnrlzHealthInfoMain.do</x:v>
      </x:c>
      <x:c r="H80" s="8" t="str">
        <x:v>{
  "disease": "건선",
  "section": "요약문",
  "category": "disease"
}</x:v>
      </x:c>
    </x:row>
    <x:row r="81" ht="54" customHeight="1">
      <x:c r="A81" s="8" t="str">
        <x:v>gold-disease-c6bdac305f560b6f</x:v>
      </x:c>
      <x:c r="B81" s="8" t="str">
        <x:v>kdca-5803-36</x:v>
      </x:c>
      <x:c r="C81" s="8" t="str">
        <x:v>kdca-5803-36</x:v>
      </x:c>
      <x:c r="D81" s="8" t="str">
        <x:v>근거와 함께 답변</x:v>
      </x:c>
      <x:c r="E81" s="15" t="n">
        <x:v>79</x:v>
      </x:c>
      <x:c r="F81" s="8" t="str">
        <x:v>VDB 후속 설명 보강</x:v>
      </x:c>
      <x:c r="G81" s="8" t="str">
        <x:v>https://health.kdca.go.kr/healthinfo/biz/health/gnrlzHealthInfo/gnrlzHealthInfo/gnrlzHealthInfoMain.do</x:v>
      </x:c>
      <x:c r="H81" s="8" t="str">
        <x:v>{
  "disease": "급성호흡곤란증후군",
  "section": "자주하는 질문",
  "category": "disease"
}</x:v>
      </x:c>
    </x:row>
    <x:row r="82" ht="54" customHeight="1">
      <x:c r="A82" s="8" t="str">
        <x:v>gold-disease-f1fd537d7a8b249e</x:v>
      </x:c>
      <x:c r="B82" s="8" t="str">
        <x:v>kdca-6735-10</x:v>
      </x:c>
      <x:c r="C82" s="8" t="str">
        <x:v>kdca-6735-10</x:v>
      </x:c>
      <x:c r="D82" s="8" t="str">
        <x:v>근거와 함께 답변</x:v>
      </x:c>
      <x:c r="E82" s="15" t="n">
        <x:v>80</x:v>
      </x:c>
      <x:c r="F82" s="8" t="str">
        <x:v>기존 검증 정답</x:v>
      </x:c>
      <x:c r="G82" s="8" t="str">
        <x:v>https://health.kdca.go.kr/healthinfo/biz/health/gnrlzHealthInfo/gnrlzHealthInfo/gnrlzHealthInfoMain.do</x:v>
      </x:c>
      <x:c r="H82" s="8" t="str">
        <x:v>{
  "disease": "담석증",
  "section": "진단 및 검사",
  "category": "disease"
}</x:v>
      </x:c>
    </x:row>
    <x:row r="83" ht="54" customHeight="1">
      <x:c r="A83" s="8" t="str">
        <x:v>gold-disease-42380332d65bbc05</x:v>
      </x:c>
      <x:c r="B83" s="8" t="str">
        <x:v>kdca-6744-6</x:v>
      </x:c>
      <x:c r="C83" s="8" t="str">
        <x:v>kdca-6744-6</x:v>
      </x:c>
      <x:c r="D83" s="8" t="str">
        <x:v>근거와 함께 답변</x:v>
      </x:c>
      <x:c r="E83" s="15" t="n">
        <x:v>81</x:v>
      </x:c>
      <x:c r="F83" s="8" t="str">
        <x:v>기존 검증 정답</x:v>
      </x:c>
      <x:c r="G83" s="8" t="str">
        <x:v>https://health.kdca.go.kr/healthinfo/biz/health/gnrlzHealthInfo/gnrlzHealthInfo/gnrlzHealthInfoMain.do</x:v>
      </x:c>
      <x:c r="H83" s="8" t="str">
        <x:v>{
  "disease": "무릎 관절 손상",
  "section": "개요 / 자주하는 질문",
  "category": "disease"
}</x:v>
      </x:c>
    </x:row>
    <x:row r="84" ht="54" customHeight="1">
      <x:c r="A84" s="8" t="str">
        <x:v>gold-disease-7671a0a0278515c7</x:v>
      </x:c>
      <x:c r="B84" s="8" t="str">
        <x:v>kdca-6289-13</x:v>
      </x:c>
      <x:c r="C84" s="8" t="str">
        <x:v>kdca-6289-13</x:v>
      </x:c>
      <x:c r="D84" s="8" t="str">
        <x:v>근거와 함께 답변</x:v>
      </x:c>
      <x:c r="E84" s="15" t="n">
        <x:v>82</x:v>
      </x:c>
      <x:c r="F84" s="8" t="str">
        <x:v>기존 검증 정답</x:v>
      </x:c>
      <x:c r="G84" s="8" t="str">
        <x:v>https://health.kdca.go.kr/healthinfo/biz/health/gnrlzHealthInfo/gnrlzHealthInfo/gnrlzHealthInfoMain.do</x:v>
      </x:c>
      <x:c r="H84" s="8" t="str">
        <x:v>{
  "disease": "지루 피부염",
  "section": "진단 및 검사",
  "category": "disease"
}</x:v>
      </x:c>
    </x:row>
    <x:row r="85" ht="54" customHeight="1">
      <x:c r="A85" s="8" t="str">
        <x:v>gold-disease-322343462e986f5d</x:v>
      </x:c>
      <x:c r="B85" s="8" t="str">
        <x:v>kdca-6319-18</x:v>
      </x:c>
      <x:c r="C85" s="8" t="str">
        <x:v>kdca-6319-18</x:v>
      </x:c>
      <x:c r="D85" s="8" t="str">
        <x:v>근거와 함께 답변</x:v>
      </x:c>
      <x:c r="E85" s="15" t="n">
        <x:v>83</x:v>
      </x:c>
      <x:c r="F85" s="8" t="str">
        <x:v>기존 검증 정답</x:v>
      </x:c>
      <x:c r="G85" s="8" t="str">
        <x:v>https://health.kdca.go.kr/healthinfo/biz/health/gnrlzHealthInfo/gnrlzHealthInfo/gnrlzHealthInfoMain.do</x:v>
      </x:c>
      <x:c r="H85" s="8" t="str">
        <x:v>{
  "disease": "망막박리",
  "section": "생활습관 관리",
  "category": "disease"
}</x:v>
      </x:c>
    </x:row>
    <x:row r="86" ht="54" customHeight="1">
      <x:c r="A86" s="8" t="str">
        <x:v>gold-disease-11e50cbf72d10de1</x:v>
      </x:c>
      <x:c r="B86" s="8" t="str">
        <x:v>kdca-3947-16</x:v>
      </x:c>
      <x:c r="C86" s="8" t="str">
        <x:v>kdca-3947-16</x:v>
      </x:c>
      <x:c r="D86" s="8" t="str">
        <x:v>근거와 함께 답변</x:v>
      </x:c>
      <x:c r="E86" s="15" t="n">
        <x:v>84</x:v>
      </x:c>
      <x:c r="F86" s="8" t="str">
        <x:v>VDB 후속 설명 보강</x:v>
      </x:c>
      <x:c r="G86" s="8" t="str">
        <x:v>https://health.kdca.go.kr/healthinfo/biz/health/gnrlzHealthInfo/gnrlzHealthInfo/gnrlzHealthInfoMain.do</x:v>
      </x:c>
      <x:c r="H86" s="8" t="str">
        <x:v>{
  "disease": "여드름",
  "section": "치료",
  "category": "disease"
}</x:v>
      </x:c>
    </x:row>
    <x:row r="87" ht="54" customHeight="1">
      <x:c r="A87" s="8" t="str">
        <x:v>gold-disease-6084699fe97af280</x:v>
      </x:c>
      <x:c r="B87" s="8" t="str">
        <x:v>kdca-6759-52</x:v>
      </x:c>
      <x:c r="C87" s="8" t="str">
        <x:v>kdca-6759-52</x:v>
      </x:c>
      <x:c r="D87" s="8" t="str">
        <x:v>근거와 함께 답변</x:v>
      </x:c>
      <x:c r="E87" s="15" t="n">
        <x:v>85</x:v>
      </x:c>
      <x:c r="F87" s="8" t="str">
        <x:v>기존 검증 정답</x:v>
      </x:c>
      <x:c r="G87" s="8" t="str">
        <x:v>https://health.kdca.go.kr/healthinfo/biz/health/gnrlzHealthInfo/gnrlzHealthInfo/gnrlzHealthInfoMain.do</x:v>
      </x:c>
      <x:c r="H87" s="8" t="str">
        <x:v>{
  "disease": "사람면역결핍바이러스",
  "section": "치료",
  "category": "disease"
}</x:v>
      </x:c>
    </x:row>
    <x:row r="88" ht="54" customHeight="1">
      <x:c r="A88" s="8" t="str">
        <x:v>gold-disease-cea807507616d580</x:v>
      </x:c>
      <x:c r="B88" s="8" t="str">
        <x:v>kdca-5692-33</x:v>
      </x:c>
      <x:c r="C88" s="8" t="str">
        <x:v>kdca-5692-33</x:v>
      </x:c>
      <x:c r="D88" s="8" t="str">
        <x:v>근거와 함께 답변</x:v>
      </x:c>
      <x:c r="E88" s="15" t="n">
        <x:v>86</x:v>
      </x:c>
      <x:c r="F88" s="8" t="str">
        <x:v>기존 검증 정답</x:v>
      </x:c>
      <x:c r="G88" s="8" t="str">
        <x:v>https://health.kdca.go.kr/healthinfo/biz/health/gnrlzHealthInfo/gnrlzHealthInfo/gnrlzHealthInfoMain.do</x:v>
      </x:c>
      <x:c r="H88" s="8" t="str">
        <x:v>{
  "disease": "모반(점)",
  "section": "진단 및 검사 / 관련 질환",
  "category": "disease"
}</x:v>
      </x:c>
    </x:row>
    <x:row r="89" ht="54" customHeight="1">
      <x:c r="A89" s="8" t="str">
        <x:v>gold-disease-12306f76c979e349</x:v>
      </x:c>
      <x:c r="B89" s="8" t="str">
        <x:v>kdca-2607-17</x:v>
      </x:c>
      <x:c r="C89" s="8" t="str">
        <x:v>kdca-2607-17</x:v>
      </x:c>
      <x:c r="D89" s="8" t="str">
        <x:v>근거와 함께 답변</x:v>
      </x:c>
      <x:c r="E89" s="15" t="n">
        <x:v>87</x:v>
      </x:c>
      <x:c r="F89" s="8" t="str">
        <x:v>VDB 후속 설명 보강</x:v>
      </x:c>
      <x:c r="G89" s="8" t="str">
        <x:v>https://health.kdca.go.kr/healthinfo/biz/health/gnrlzHealthInfo/gnrlzHealthInfo/gnrlzHealthInfoMain.do</x:v>
      </x:c>
      <x:c r="H89" s="8" t="str">
        <x:v>{
  "disease": "일과성 허혈 발작",
  "section": "증상 / 진단 및 검사",
  "category": "disease"
}</x:v>
      </x:c>
    </x:row>
    <x:row r="90" ht="54" customHeight="1">
      <x:c r="A90" s="8" t="str">
        <x:v>gold-disease-bfa608668680a141</x:v>
      </x:c>
      <x:c r="B90" s="8" t="str">
        <x:v>kdca-2727-11</x:v>
      </x:c>
      <x:c r="C90" s="8" t="str">
        <x:v>kdca-2727-11</x:v>
      </x:c>
      <x:c r="D90" s="8" t="str">
        <x:v>근거와 함께 답변</x:v>
      </x:c>
      <x:c r="E90" s="15" t="n">
        <x:v>88</x:v>
      </x:c>
      <x:c r="F90" s="8" t="str">
        <x:v>기존 검증 정답</x:v>
      </x:c>
      <x:c r="G90" s="8" t="str">
        <x:v>https://health.kdca.go.kr/healthinfo/biz/health/gnrlzHealthInfo/gnrlzHealthInfo/gnrlzHealthInfoMain.do</x:v>
      </x:c>
      <x:c r="H90" s="8" t="str">
        <x:v>{
  "disease": "자궁외 임신",
  "section": "증상",
  "category": "disease"
}</x:v>
      </x:c>
    </x:row>
    <x:row r="91" ht="54" customHeight="1">
      <x:c r="A91" s="8" t="str">
        <x:v>gold-disease-05c8e1a7d4044425</x:v>
      </x:c>
      <x:c r="B91" s="8" t="str">
        <x:v>kdca-6541-34</x:v>
      </x:c>
      <x:c r="C91" s="8" t="str">
        <x:v>kdca-6541-34</x:v>
      </x:c>
      <x:c r="D91" s="8" t="str">
        <x:v>근거와 함께 답변</x:v>
      </x:c>
      <x:c r="E91" s="15" t="n">
        <x:v>89</x:v>
      </x:c>
      <x:c r="F91" s="8" t="str">
        <x:v>기존 검증 정답</x:v>
      </x:c>
      <x:c r="G91" s="8" t="str">
        <x:v>https://health.kdca.go.kr/healthinfo/biz/health/gnrlzHealthInfo/gnrlzHealthInfo/gnrlzHealthInfoMain.do</x:v>
      </x:c>
      <x:c r="H91" s="8" t="str">
        <x:v>{
  "disease": "사구체질환",
  "section": "증상",
  "category": "disease"
}</x:v>
      </x:c>
    </x:row>
    <x:row r="92" ht="54" customHeight="1">
      <x:c r="A92" s="8" t="str">
        <x:v>gold-disease-53a11e4a9172bb50</x:v>
      </x:c>
      <x:c r="B92" s="8" t="str">
        <x:v>kdca-5489-17</x:v>
      </x:c>
      <x:c r="C92" s="8" t="str">
        <x:v>kdca-5489-17</x:v>
      </x:c>
      <x:c r="D92" s="8" t="str">
        <x:v>근거와 함께 답변</x:v>
      </x:c>
      <x:c r="E92" s="15" t="n">
        <x:v>90</x:v>
      </x:c>
      <x:c r="F92" s="8" t="str">
        <x:v>기존 검증 정답</x:v>
      </x:c>
      <x:c r="G92" s="8" t="str">
        <x:v>https://health.kdca.go.kr/healthinfo/biz/health/gnrlzHealthInfo/gnrlzHealthInfo/gnrlzHealthInfoMain.do</x:v>
      </x:c>
      <x:c r="H92" s="8" t="str">
        <x:v>{
  "disease": "노인성난청",
  "section": "진단 및 검사",
  "category": "disease"
}</x:v>
      </x:c>
    </x:row>
    <x:row r="93" ht="54" customHeight="1">
      <x:c r="A93" s="8" t="str">
        <x:v>gold-disease-af59204febf0d8c1</x:v>
      </x:c>
      <x:c r="B93" s="8" t="str">
        <x:v>kdca-5697-10</x:v>
      </x:c>
      <x:c r="C93" s="8" t="str">
        <x:v>kdca-5697-10</x:v>
      </x:c>
      <x:c r="D93" s="8" t="str">
        <x:v>근거와 함께 답변</x:v>
      </x:c>
      <x:c r="E93" s="15" t="n">
        <x:v>91</x:v>
      </x:c>
      <x:c r="F93" s="8" t="str">
        <x:v>기존 검증 정답</x:v>
      </x:c>
      <x:c r="G93" s="8" t="str">
        <x:v>https://health.kdca.go.kr/healthinfo/biz/health/gnrlzHealthInfo/gnrlzHealthInfo/gnrlzHealthInfoMain.do</x:v>
      </x:c>
      <x:c r="H93" s="8" t="str">
        <x:v>{
  "disease": "난소 양성 종양",
  "section": "진단 및 검사",
  "category": "disease"
}</x:v>
      </x:c>
    </x:row>
    <x:row r="94" ht="54" customHeight="1">
      <x:c r="A94" s="8" t="str">
        <x:v>gold-disease-1b02f59d615d3af6</x:v>
      </x:c>
      <x:c r="B94" s="8" t="str">
        <x:v>kdca-6686-38</x:v>
      </x:c>
      <x:c r="C94" s="8" t="str">
        <x:v>kdca-6686-38</x:v>
      </x:c>
      <x:c r="D94" s="8" t="str">
        <x:v>근거와 함께 답변</x:v>
      </x:c>
      <x:c r="E94" s="15" t="n">
        <x:v>92</x:v>
      </x:c>
      <x:c r="F94" s="8" t="str">
        <x:v>VDB 원인·위험요인 청크 재선정</x:v>
      </x:c>
      <x:c r="G94" s="8" t="str">
        <x:v>https://health.kdca.go.kr/healthinfo/biz/health/gnrlzHealthInfo/gnrlzHealthInfo/gnrlzHealthInfoMain.do</x:v>
      </x:c>
      <x:c r="H94" s="8" t="str">
        <x:v>{
  "disease": "자연유산",
  "section": "위험요인 및 예방",
  "category": "disease"
}</x:v>
      </x:c>
    </x:row>
    <x:row r="95" ht="54" customHeight="1">
      <x:c r="A95" s="8" t="str">
        <x:v>gold-disease-na-8a6dd73b5f73dbad</x:v>
      </x:c>
      <x:c r="B95" s="8" t="str"/>
      <x:c r="C95" s="8" t="str"/>
      <x:c r="D95" s="8" t="str">
        <x:v>답변 거부 또는 추가 확인 요청</x:v>
      </x:c>
      <x:c r="E95" s="15" t="n">
        <x:v>93</x:v>
      </x:c>
      <x:c r="F95" s="8" t="str">
        <x:v>답변 거부 기준 문구</x:v>
      </x:c>
      <x:c r="G95" s="8" t="str">
        <x:v>https://health.kdca.go.kr/healthinfo/biz/health/gnrlzHealthInfo/gnrlzHealthInfo/gnrlzHealthInfoMain.do</x:v>
      </x:c>
      <x:c r="H95" s="8" t="str">
        <x:v>{
  "disease": "대동맥류",
  "section": "증상",
  "category": "disease"
}</x:v>
      </x:c>
    </x:row>
    <x:row r="96" ht="54" customHeight="1">
      <x:c r="A96" s="8" t="str">
        <x:v>gold-disease-a351e511d3532456</x:v>
      </x:c>
      <x:c r="B96" s="8" t="str">
        <x:v>kdca-5434-6</x:v>
      </x:c>
      <x:c r="C96" s="8" t="str">
        <x:v>kdca-5434-6</x:v>
      </x:c>
      <x:c r="D96" s="8" t="str">
        <x:v>근거와 함께 답변</x:v>
      </x:c>
      <x:c r="E96" s="15" t="n">
        <x:v>94</x:v>
      </x:c>
      <x:c r="F96" s="8" t="str">
        <x:v>VDB 후속 설명 보강</x:v>
      </x:c>
      <x:c r="G96" s="8" t="str">
        <x:v>https://health.kdca.go.kr/healthinfo/biz/health/gnrlzHealthInfo/gnrlzHealthInfo/gnrlzHealthInfoMain.do</x:v>
      </x:c>
      <x:c r="H96" s="8" t="str">
        <x:v>{
  "disease": "혈변 및 흑변(성인)",
  "section": "종류",
  "category": "disease"
}</x:v>
      </x:c>
    </x:row>
    <x:row r="97" ht="54" customHeight="1">
      <x:c r="A97" s="8" t="str">
        <x:v>gold-disease-094b4e1c784eb2fe</x:v>
      </x:c>
      <x:c r="B97" s="8" t="str">
        <x:v>kdca-6294-5</x:v>
      </x:c>
      <x:c r="C97" s="8" t="str">
        <x:v>kdca-6294-5</x:v>
      </x:c>
      <x:c r="D97" s="8" t="str">
        <x:v>근거와 함께 답변</x:v>
      </x:c>
      <x:c r="E97" s="15" t="n">
        <x:v>95</x:v>
      </x:c>
      <x:c r="F97" s="8" t="str">
        <x:v>기존 검증 정답</x:v>
      </x:c>
      <x:c r="G97" s="8" t="str">
        <x:v>https://health.kdca.go.kr/healthinfo/biz/health/gnrlzHealthInfo/gnrlzHealthInfo/gnrlzHealthInfoMain.do</x:v>
      </x:c>
      <x:c r="H97" s="8" t="str">
        <x:v>{
  "disease": "간흡충증",
  "section": "역학 및 통계 / 증상",
  "category": "disease"
}</x:v>
      </x:c>
    </x:row>
    <x:row r="98" ht="54" customHeight="1">
      <x:c r="A98" s="8" t="str">
        <x:v>gold-disease-981fbb9352616eb8</x:v>
      </x:c>
      <x:c r="B98" s="8" t="str">
        <x:v>kdca-6491-2</x:v>
      </x:c>
      <x:c r="C98" s="8" t="str">
        <x:v>kdca-6491-2</x:v>
      </x:c>
      <x:c r="D98" s="8" t="str">
        <x:v>근거와 함께 답변</x:v>
      </x:c>
      <x:c r="E98" s="15" t="n">
        <x:v>96</x:v>
      </x:c>
      <x:c r="F98" s="8" t="str">
        <x:v>기존 검증 정답</x:v>
      </x:c>
      <x:c r="G98" s="8" t="str">
        <x:v>https://health.kdca.go.kr/healthinfo/biz/health/gnrlzHealthInfo/gnrlzHealthInfo/gnrlzHealthInfoMain.do</x:v>
      </x:c>
      <x:c r="H98" s="8" t="str">
        <x:v>{
  "disease": "건막염(감염성 건막염)",
  "section": "개요",
  "category": "disease"
}</x:v>
      </x:c>
    </x:row>
    <x:row r="99" ht="54" customHeight="1">
      <x:c r="A99" s="8" t="str">
        <x:v>gold-disease-567a7dea558a60f4</x:v>
      </x:c>
      <x:c r="B99" s="8" t="str">
        <x:v>kdca-3134-0</x:v>
      </x:c>
      <x:c r="C99" s="8" t="str">
        <x:v>kdca-3134-0</x:v>
      </x:c>
      <x:c r="D99" s="8" t="str">
        <x:v>근거와 함께 답변</x:v>
      </x:c>
      <x:c r="E99" s="15" t="n">
        <x:v>97</x:v>
      </x:c>
      <x:c r="F99" s="8" t="str">
        <x:v>기존 검증 정답</x:v>
      </x:c>
      <x:c r="G99" s="8" t="str">
        <x:v>https://health.kdca.go.kr/healthinfo/biz/health/gnrlzHealthInfo/gnrlzHealthInfo/gnrlzHealthInfoMain.do</x:v>
      </x:c>
      <x:c r="H99" s="8" t="str">
        <x:v>{
  "disease": "항문직장농양과 치루",
  "section": "개요 / 정의",
  "category": "disease"
}</x:v>
      </x:c>
    </x:row>
    <x:row r="100" ht="54" customHeight="1">
      <x:c r="A100" s="8" t="str">
        <x:v>gold-disease-ff574c8e08412932</x:v>
      </x:c>
      <x:c r="B100" s="8" t="str">
        <x:v>kdca-6577-15</x:v>
      </x:c>
      <x:c r="C100" s="8" t="str">
        <x:v>kdca-6577-15</x:v>
      </x:c>
      <x:c r="D100" s="8" t="str">
        <x:v>근거와 함께 답변</x:v>
      </x:c>
      <x:c r="E100" s="15" t="n">
        <x:v>98</x:v>
      </x:c>
      <x:c r="F100" s="8" t="str">
        <x:v>VDB 후속 설명 보강</x:v>
      </x:c>
      <x:c r="G100" s="8" t="str">
        <x:v>https://health.kdca.go.kr/healthinfo/biz/health/gnrlzHealthInfo/gnrlzHealthInfo/gnrlzHealthInfoMain.do</x:v>
      </x:c>
      <x:c r="H100" s="8" t="str">
        <x:v>{
  "disease": "치아맹출장애",
  "section": "치료",
  "category": "disease"
}</x:v>
      </x:c>
    </x:row>
    <x:row r="101" ht="54" customHeight="1">
      <x:c r="A101" s="8" t="str">
        <x:v>gold-disease-na-2d48c1b5e6055dd8</x:v>
      </x:c>
      <x:c r="B101" s="8" t="str"/>
      <x:c r="C101" s="8" t="str"/>
      <x:c r="D101" s="8" t="str">
        <x:v>답변 거부 또는 추가 확인 요청</x:v>
      </x:c>
      <x:c r="E101" s="15" t="n">
        <x:v>99</x:v>
      </x:c>
      <x:c r="F101" s="8" t="str">
        <x:v>답변 거부 기준 문구</x:v>
      </x:c>
      <x:c r="G101" s="8" t="str">
        <x:v>https://health.kdca.go.kr/healthinfo/biz/health/gnrlzHealthInfo/gnrlzHealthInfo/gnrlzHealthInfoMain.do</x:v>
      </x:c>
      <x:c r="H101" s="8" t="str">
        <x:v>{
  "disease": "파라티푸스",
  "section": "진단 및 검사 / 예방 및 예방접종",
  "category": "disease"
}</x:v>
      </x:c>
    </x:row>
    <x:row r="102" ht="54" customHeight="1">
      <x:c r="A102" s="8" t="str">
        <x:v>gold-disease-734917ff1f2646bf</x:v>
      </x:c>
      <x:c r="B102" s="8" t="str">
        <x:v>kdca-5350-6</x:v>
      </x:c>
      <x:c r="C102" s="8" t="str">
        <x:v>kdca-5350-6</x:v>
      </x:c>
      <x:c r="D102" s="8" t="str">
        <x:v>근거와 함께 답변</x:v>
      </x:c>
      <x:c r="E102" s="15" t="n">
        <x:v>100</x:v>
      </x:c>
      <x:c r="F102" s="8" t="str">
        <x:v>기존 검증 정답</x:v>
      </x:c>
      <x:c r="G102" s="8" t="str">
        <x:v>https://health.kdca.go.kr/healthinfo/biz/health/gnrlzHealthInfo/gnrlzHealthInfo/gnrlzHealthInfoMain.do</x:v>
      </x:c>
      <x:c r="H102" s="8" t="str">
        <x:v>{
  "disease": "편충증",
  "section": "약물 치료 / 대상별 맞춤 정보 / 참고문헌",
  "category": "disease"
}</x:v>
      </x:c>
    </x:row>
    <x:row r="103" ht="54" customHeight="1">
      <x:c r="A103" s="8" t="str">
        <x:v>gold-disease-02b20025fa7d8b8c</x:v>
      </x:c>
      <x:c r="B103" s="8" t="str">
        <x:v>kdca-6695-44</x:v>
      </x:c>
      <x:c r="C103" s="8" t="str">
        <x:v>kdca-6695-44</x:v>
      </x:c>
      <x:c r="D103" s="8" t="str">
        <x:v>근거와 함께 답변</x:v>
      </x:c>
      <x:c r="E103" s="15" t="n">
        <x:v>101</x:v>
      </x:c>
      <x:c r="F103" s="8" t="str">
        <x:v>기존 검증 정답</x:v>
      </x:c>
      <x:c r="G103" s="8" t="str">
        <x:v>https://health.kdca.go.kr/healthinfo/biz/health/gnrlzHealthInfo/gnrlzHealthInfo/gnrlzHealthInfoMain.do</x:v>
      </x:c>
      <x:c r="H103" s="8" t="str">
        <x:v>{
  "disease": "노인 보행장애",
  "section": "자주하는 질문",
  "category": "disease"
}</x:v>
      </x:c>
    </x:row>
    <x:row r="104" ht="54" customHeight="1">
      <x:c r="A104" s="8" t="str">
        <x:v>gold-disease-c646303c91465d21</x:v>
      </x:c>
      <x:c r="B104" s="8" t="str">
        <x:v>kdca-5302-10</x:v>
      </x:c>
      <x:c r="C104" s="8" t="str">
        <x:v>kdca-5302-10</x:v>
      </x:c>
      <x:c r="D104" s="8" t="str">
        <x:v>근거와 함께 답변</x:v>
      </x:c>
      <x:c r="E104" s="15" t="n">
        <x:v>102</x:v>
      </x:c>
      <x:c r="F104" s="8" t="str">
        <x:v>기존 검증 정답</x:v>
      </x:c>
      <x:c r="G104" s="8" t="str">
        <x:v>https://health.kdca.go.kr/healthinfo/biz/health/gnrlzHealthInfo/gnrlzHealthInfo/gnrlzHealthInfoMain.do</x:v>
      </x:c>
      <x:c r="H104" s="8" t="str">
        <x:v>{
  "disease": "고혈압심장질환",
  "section": "종류 / 원인",
  "category": "disease"
}</x:v>
      </x:c>
    </x:row>
    <x:row r="105" ht="54" customHeight="1">
      <x:c r="A105" s="8" t="str">
        <x:v>gold-disease-908fb386692317f3</x:v>
      </x:c>
      <x:c r="B105" s="8" t="str">
        <x:v>kdca-1101-39</x:v>
      </x:c>
      <x:c r="C105" s="8" t="str">
        <x:v>kdca-1101-39</x:v>
      </x:c>
      <x:c r="D105" s="8" t="str">
        <x:v>근거와 함께 답변</x:v>
      </x:c>
      <x:c r="E105" s="15" t="n">
        <x:v>103</x:v>
      </x:c>
      <x:c r="F105" s="8" t="str">
        <x:v>VDB 후속 설명 보강</x:v>
      </x:c>
      <x:c r="G105" s="8" t="str">
        <x:v>https://health.kdca.go.kr/healthinfo/biz/health/gnrlzHealthInfo/gnrlzHealthInfo/gnrlzHealthInfoMain.do</x:v>
      </x:c>
      <x:c r="H105" s="8" t="str">
        <x:v>{
  "disease": "비부비동염",
  "section": "치료",
  "category": "disease"
}</x:v>
      </x:c>
    </x:row>
    <x:row r="106" ht="54" customHeight="1">
      <x:c r="A106" s="8" t="str">
        <x:v>gold-disease-730f21ff1ec550bf</x:v>
      </x:c>
      <x:c r="B106" s="8" t="str">
        <x:v>kdca-5964-5</x:v>
      </x:c>
      <x:c r="C106" s="8" t="str">
        <x:v>kdca-5964-5</x:v>
      </x:c>
      <x:c r="D106" s="8" t="str">
        <x:v>근거와 함께 답변</x:v>
      </x:c>
      <x:c r="E106" s="15" t="n">
        <x:v>104</x:v>
      </x:c>
      <x:c r="F106" s="8" t="str">
        <x:v>기존 검증 정답</x:v>
      </x:c>
      <x:c r="G106" s="8" t="str">
        <x:v>https://health.kdca.go.kr/healthinfo/biz/health/gnrlzHealthInfo/gnrlzHealthInfo/gnrlzHealthInfoMain.do</x:v>
      </x:c>
      <x:c r="H106" s="8" t="str">
        <x:v>{
  "disease": "메니에르병",
  "section": "경과 및 예후",
  "category": "disease"
}</x:v>
      </x:c>
    </x:row>
    <x:row r="107" ht="54" customHeight="1">
      <x:c r="A107" s="8" t="str">
        <x:v>gold-disease-c6b2b5c68889fcfb</x:v>
      </x:c>
      <x:c r="B107" s="8" t="str">
        <x:v>kdca-6317-17</x:v>
      </x:c>
      <x:c r="C107" s="8" t="str">
        <x:v>kdca-6317-17</x:v>
      </x:c>
      <x:c r="D107" s="8" t="str">
        <x:v>근거와 함께 답변</x:v>
      </x:c>
      <x:c r="E107" s="15" t="n">
        <x:v>105</x:v>
      </x:c>
      <x:c r="F107" s="8" t="str">
        <x:v>VDB 후속 설명 보강</x:v>
      </x:c>
      <x:c r="G107" s="8" t="str">
        <x:v>https://health.kdca.go.kr/healthinfo/biz/health/gnrlzHealthInfo/gnrlzHealthInfo/gnrlzHealthInfoMain.do</x:v>
      </x:c>
      <x:c r="H107" s="8" t="str">
        <x:v>{
  "disease": "혈관종",
  "section": "약물 치료",
  "category": "disease"
}</x:v>
      </x:c>
    </x:row>
    <x:row r="108" ht="54" customHeight="1">
      <x:c r="A108" s="8" t="str">
        <x:v>gold-disease-na-86c548e89a86b0a6</x:v>
      </x:c>
      <x:c r="B108" s="8" t="str"/>
      <x:c r="C108" s="8" t="str"/>
      <x:c r="D108" s="8" t="str">
        <x:v>답변 거부 또는 추가 확인 요청</x:v>
      </x:c>
      <x:c r="E108" s="15" t="n">
        <x:v>106</x:v>
      </x:c>
      <x:c r="F108" s="8" t="str">
        <x:v>답변 거부 기준 문구</x:v>
      </x:c>
      <x:c r="G108" s="8" t="str">
        <x:v>https://health.kdca.go.kr/healthinfo/biz/health/gnrlzHealthInfo/gnrlzHealthInfo/gnrlzHealthInfoMain.do</x:v>
      </x:c>
      <x:c r="H108" s="8" t="str">
        <x:v>{
  "disease": "무릎 연골 손상",
  "section": "진단 및 검사 / 치료",
  "category": "disease"
}</x:v>
      </x:c>
    </x:row>
    <x:row r="109" ht="54" customHeight="1">
      <x:c r="A109" s="8" t="str">
        <x:v>gold-disease-na-3c42ffa3f7efb7fa</x:v>
      </x:c>
      <x:c r="B109" s="8" t="str"/>
      <x:c r="C109" s="8" t="str"/>
      <x:c r="D109" s="8" t="str">
        <x:v>답변 거부 또는 추가 확인 요청</x:v>
      </x:c>
      <x:c r="E109" s="15" t="n">
        <x:v>107</x:v>
      </x:c>
      <x:c r="F109" s="8" t="str">
        <x:v>답변 거부 기준 문구</x:v>
      </x:c>
      <x:c r="G109" s="8" t="str">
        <x:v>https://health.kdca.go.kr/healthinfo/biz/health/gnrlzHealthInfo/gnrlzHealthInfo/gnrlzHealthInfoMain.do</x:v>
      </x:c>
      <x:c r="H109" s="8" t="str">
        <x:v>{
  "disease": "공수병(광견병)",
  "section": "증상",
  "category": "disease"
}</x:v>
      </x:c>
    </x:row>
    <x:row r="110" ht="54" customHeight="1">
      <x:c r="A110" s="8" t="str">
        <x:v>gold-disease-53a15821be233b16</x:v>
      </x:c>
      <x:c r="B110" s="8" t="str">
        <x:v>kdca-1101-52</x:v>
      </x:c>
      <x:c r="C110" s="8" t="str">
        <x:v>kdca-1101-52</x:v>
      </x:c>
      <x:c r="D110" s="8" t="str">
        <x:v>근거와 함께 답변</x:v>
      </x:c>
      <x:c r="E110" s="15" t="n">
        <x:v>108</x:v>
      </x:c>
      <x:c r="F110" s="8" t="str">
        <x:v>기존 검증 정답</x:v>
      </x:c>
      <x:c r="G110" s="8" t="str">
        <x:v>https://health.kdca.go.kr/healthinfo/biz/health/gnrlzHealthInfo/gnrlzHealthInfo/gnrlzHealthInfoMain.do</x:v>
      </x:c>
      <x:c r="H110" s="8" t="str">
        <x:v>{
  "disease": "비부비동염",
  "section": "대상별 맞춤 정보",
  "category": "disease"
}</x:v>
      </x:c>
    </x:row>
    <x:row r="111" ht="54" customHeight="1">
      <x:c r="A111" s="8" t="str">
        <x:v>gold-medication-1a9d45c3edfc8d65</x:v>
      </x:c>
      <x:c r="B111" s="8" t="str">
        <x:v>eyak:202000598:storage:001</x:v>
      </x:c>
      <x:c r="C111" s="8" t="str">
        <x:v>eyak:202000598:storage:001</x:v>
      </x:c>
      <x:c r="D111" s="8" t="str">
        <x:v>근거와 함께 답변</x:v>
      </x:c>
      <x:c r="E111" s="15" t="n">
        <x:v>109</x:v>
      </x:c>
      <x:c r="F111" s="8" t="str">
        <x:v>기존 검증 정답</x:v>
      </x:c>
      <x:c r="G111" s="8" t="str">
        <x:v>https://apis.data.go.kr/1471000/DrbEasyDrugInfoService/getDrbEasyDrugList</x:v>
      </x:c>
      <x:c r="H111" s="8" t="str">
        <x:v>{
  "item_seq": "202000598",
  "item_name": "파탁정10밀리그램(파모티딘)",
  "manufacturer": "(주)라이트팜텍",
  "section_codes": [
    "storage"
  ]
}</x:v>
      </x:c>
    </x:row>
    <x:row r="112" ht="54" customHeight="1">
      <x:c r="A112" s="8" t="str">
        <x:v>gold-medication-6b33ce55c8aa282a</x:v>
      </x:c>
      <x:c r="B112" s="8" t="str">
        <x:v>eyak:199902702:efficacy:001</x:v>
      </x:c>
      <x:c r="C112" s="8" t="str">
        <x:v>eyak:199902702:efficacy:001</x:v>
      </x:c>
      <x:c r="D112" s="8" t="str">
        <x:v>근거와 함께 답변</x:v>
      </x:c>
      <x:c r="E112" s="15" t="n">
        <x:v>110</x:v>
      </x:c>
      <x:c r="F112" s="8" t="str">
        <x:v>기존 검증 정답</x:v>
      </x:c>
      <x:c r="G112" s="8" t="str">
        <x:v>https://apis.data.go.kr/1471000/DrbEasyDrugInfoService/getDrbEasyDrugList</x:v>
      </x:c>
      <x:c r="H112" s="8" t="str">
        <x:v>{
  "item_seq": "199902702",
  "item_name": "목시딜액5%(미녹시딜)",
  "manufacturer": "한미약품(주)",
  "section_codes": [
    "efficacy"
  ]
}</x:v>
      </x:c>
    </x:row>
    <x:row r="113" ht="54" customHeight="1">
      <x:c r="A113" s="8" t="str">
        <x:v>gold-medication-c5eb3a6acb2b98c0</x:v>
      </x:c>
      <x:c r="B113" s="8" t="str">
        <x:v>eyak:200902331:precautions:001</x:v>
      </x:c>
      <x:c r="C113" s="8" t="str">
        <x:v>eyak:200902331:precautions:001</x:v>
      </x:c>
      <x:c r="D113" s="8" t="str">
        <x:v>근거와 함께 답변</x:v>
      </x:c>
      <x:c r="E113" s="15" t="n">
        <x:v>111</x:v>
      </x:c>
      <x:c r="F113" s="8" t="str">
        <x:v>기존 검증 정답</x:v>
      </x:c>
      <x:c r="G113" s="8" t="str">
        <x:v>https://apis.data.go.kr/1471000/DrbEasyDrugInfoService/getDrbEasyDrugList</x:v>
      </x:c>
      <x:c r="H113" s="8" t="str">
        <x:v>{
  "item_seq": "200902331",
  "item_name": "베베락스액",
  "manufacturer": "(주)퍼슨",
  "section_codes": [
    "precautions"
  ]
}</x:v>
      </x:c>
    </x:row>
    <x:row r="114" ht="54" customHeight="1">
      <x:c r="A114" s="8" t="str">
        <x:v>gold-medication-09ab3040c0c69b67</x:v>
      </x:c>
      <x:c r="B114" s="8" t="str">
        <x:v>eyak:198801657:efficacy:001</x:v>
      </x:c>
      <x:c r="C114" s="8" t="str">
        <x:v>eyak:198801657:efficacy:001
eyak:198801657:efficacy:002</x:v>
      </x:c>
      <x:c r="D114" s="8" t="str">
        <x:v>근거와 함께 답변</x:v>
      </x:c>
      <x:c r="E114" s="15" t="n">
        <x:v>112</x:v>
      </x:c>
      <x:c r="F114" s="8" t="str">
        <x:v>기존 검증 정답</x:v>
      </x:c>
      <x:c r="G114" s="8" t="str">
        <x:v>https://apis.data.go.kr/1471000/DrbEasyDrugInfoService/getDrbEasyDrugList</x:v>
      </x:c>
      <x:c r="H114" s="8" t="str">
        <x:v>{
  "item_seq": "198801657",
  "item_name": "대화이부프로펜정400밀리그램(수출명:UPRO400,IBUFEN)",
  "manufacturer": "대화제약(주)",
  "section_codes": [
    "efficacy"
  ]
}</x:v>
      </x:c>
    </x:row>
    <x:row r="115" ht="54" customHeight="1">
      <x:c r="A115" s="8" t="str">
        <x:v>gold-medication-c808789de3e21582</x:v>
      </x:c>
      <x:c r="B115" s="8" t="str">
        <x:v>eyak:200400135:efficacy:001</x:v>
      </x:c>
      <x:c r="C115" s="8" t="str">
        <x:v>eyak:200400135:efficacy:001</x:v>
      </x:c>
      <x:c r="D115" s="8" t="str">
        <x:v>근거와 함께 답변</x:v>
      </x:c>
      <x:c r="E115" s="15" t="n">
        <x:v>113</x:v>
      </x:c>
      <x:c r="F115" s="8" t="str">
        <x:v>기존 검증 정답</x:v>
      </x:c>
      <x:c r="G115" s="8" t="str">
        <x:v>https://apis.data.go.kr/1471000/DrbEasyDrugInfoService/getDrbEasyDrugList</x:v>
      </x:c>
      <x:c r="H115" s="8" t="str">
        <x:v>{
  "item_seq": "200400135",
  "item_name": "덱시로펜정(덱시부프로펜)",
  "manufacturer": "동광제약(주)",
  "section_codes": [
    "efficacy"
  ]
}</x:v>
      </x:c>
    </x:row>
    <x:row r="116" ht="54" customHeight="1">
      <x:c r="A116" s="8" t="str">
        <x:v>gold-medication-874176a64f91c7ee</x:v>
      </x:c>
      <x:c r="B116" s="8" t="str">
        <x:v>eyak:201801922:precautions:003
eyak:201801922:adverse_reactions:001</x:v>
      </x:c>
      <x:c r="C116" s="8" t="str">
        <x:v>eyak:201801922:precautions:003
eyak:201801922:precautions:002
eyak:201801922:precautions:001
eyak:201801922:adverse_reactions:001</x:v>
      </x:c>
      <x:c r="D116" s="8" t="str">
        <x:v>근거와 함께 답변</x:v>
      </x:c>
      <x:c r="E116" s="15" t="n">
        <x:v>114</x:v>
      </x:c>
      <x:c r="F116" s="8" t="str">
        <x:v>기존 검증 정답</x:v>
      </x:c>
      <x:c r="G116" s="8" t="str">
        <x:v>https://apis.data.go.kr/1471000/DrbEasyDrugInfoService/getDrbEasyDrugList</x:v>
      </x:c>
      <x:c r="H116" s="8" t="str">
        <x:v>{
  "item_seq": "201801922",
  "item_name": "리액타민연질캡슐",
  "manufacturer": "(주)서흥",
  "section_codes": [
    "precautions",
    "adverse_reactions"
  ]
}</x:v>
      </x:c>
    </x:row>
    <x:row r="117" ht="54" customHeight="1">
      <x:c r="A117" s="8" t="str">
        <x:v>gold-medication-577f3107bb25f044</x:v>
      </x:c>
      <x:c r="B117" s="8" t="str">
        <x:v>eyak:200400925:efficacy:001</x:v>
      </x:c>
      <x:c r="C117" s="8" t="str">
        <x:v>eyak:200400925:efficacy:001</x:v>
      </x:c>
      <x:c r="D117" s="8" t="str">
        <x:v>근거와 함께 답변</x:v>
      </x:c>
      <x:c r="E117" s="15" t="n">
        <x:v>115</x:v>
      </x:c>
      <x:c r="F117" s="8" t="str">
        <x:v>기존 검증 정답</x:v>
      </x:c>
      <x:c r="G117" s="8" t="str">
        <x:v>https://apis.data.go.kr/1471000/DrbEasyDrugInfoService/getDrbEasyDrugList</x:v>
      </x:c>
      <x:c r="H117" s="8" t="str">
        <x:v>{
  "item_seq": "200400925",
  "item_name": "훼로바프리미엄캡슐",
  "manufacturer": "부광약품(주)",
  "section_codes": [
    "efficacy"
  ]
}</x:v>
      </x:c>
    </x:row>
    <x:row r="118" ht="54" customHeight="1">
      <x:c r="A118" s="8" t="str">
        <x:v>gold-medication-878cbe867a7dfe40</x:v>
      </x:c>
      <x:c r="B118" s="8" t="str">
        <x:v>eyak:202301193:adverse_reactions:001</x:v>
      </x:c>
      <x:c r="C118" s="8" t="str">
        <x:v>eyak:202301193:adverse_reactions:001
eyak:202301193:adverse_reactions:002
eyak:202301193:adverse_reactions:003</x:v>
      </x:c>
      <x:c r="D118" s="8" t="str">
        <x:v>근거와 함께 답변</x:v>
      </x:c>
      <x:c r="E118" s="15" t="n">
        <x:v>116</x:v>
      </x:c>
      <x:c r="F118" s="8" t="str">
        <x:v>기존 검증 정답</x:v>
      </x:c>
      <x:c r="G118" s="8" t="str">
        <x:v>https://apis.data.go.kr/1471000/DrbEasyDrugInfoService/getDrbEasyDrugList</x:v>
      </x:c>
      <x:c r="H118" s="8" t="str">
        <x:v>{
  "item_seq": "202301193",
  "item_name": "큐어콜플러스연질캡슐",
  "manufacturer": "아이큐어(주)",
  "section_codes": [
    "adverse_reactions"
  ]
}</x:v>
      </x:c>
    </x:row>
    <x:row r="119" ht="54" customHeight="1">
      <x:c r="A119" s="8" t="str">
        <x:v>gold-medication-833c5806251bc219</x:v>
      </x:c>
      <x:c r="B119" s="8" t="str">
        <x:v>eyak:202400995:precautions:002</x:v>
      </x:c>
      <x:c r="C119" s="8" t="str">
        <x:v>eyak:202400995:precautions:002
eyak:202400995:precautions:001</x:v>
      </x:c>
      <x:c r="D119" s="8" t="str">
        <x:v>근거와 함께 답변</x:v>
      </x:c>
      <x:c r="E119" s="15" t="n">
        <x:v>117</x:v>
      </x:c>
      <x:c r="F119" s="8" t="str">
        <x:v>기존 검증 정답</x:v>
      </x:c>
      <x:c r="G119" s="8" t="str">
        <x:v>https://apis.data.go.kr/1471000/DrbEasyDrugInfoService/getDrbEasyDrugList</x:v>
      </x:c>
      <x:c r="H119" s="8" t="str">
        <x:v>{
  "item_seq": "202400995",
  "item_name": "메코조인콘드로800정",
  "manufacturer": "(주)경보제약",
  "section_codes": [
    "precautions"
  ]
}</x:v>
      </x:c>
    </x:row>
    <x:row r="120" ht="54" customHeight="1">
      <x:c r="A120" s="8" t="str">
        <x:v>gold-medication-ea1fe0c9812c116c</x:v>
      </x:c>
      <x:c r="B120" s="8" t="str">
        <x:v>eyak:200905103:efficacy:001</x:v>
      </x:c>
      <x:c r="C120" s="8" t="str">
        <x:v>eyak:200905103:efficacy:001</x:v>
      </x:c>
      <x:c r="D120" s="8" t="str">
        <x:v>근거와 함께 답변</x:v>
      </x:c>
      <x:c r="E120" s="15" t="n">
        <x:v>118</x:v>
      </x:c>
      <x:c r="F120" s="8" t="str">
        <x:v>기존 검증 정답</x:v>
      </x:c>
      <x:c r="G120" s="8" t="str">
        <x:v>https://apis.data.go.kr/1471000/DrbEasyDrugInfoService/getDrbEasyDrugList</x:v>
      </x:c>
      <x:c r="H120" s="8" t="str">
        <x:v>{
  "item_seq": "200905103",
  "item_name": "루페인플라스타(플루르비프로펜)",
  "manufacturer": "(주)티디에스팜",
  "section_codes": [
    "efficacy"
  ]
}</x:v>
      </x:c>
    </x:row>
    <x:row r="121" ht="54" customHeight="1">
      <x:c r="A121" s="8" t="str">
        <x:v>gold-medication-9353ef1bda64a0fe</x:v>
      </x:c>
      <x:c r="B121" s="8" t="str">
        <x:v>eyak:200300069:efficacy:001</x:v>
      </x:c>
      <x:c r="C121" s="8" t="str">
        <x:v>eyak:200300069:efficacy:001
eyak:200300069:efficacy:002</x:v>
      </x:c>
      <x:c r="D121" s="8" t="str">
        <x:v>근거와 함께 답변</x:v>
      </x:c>
      <x:c r="E121" s="15" t="n">
        <x:v>119</x:v>
      </x:c>
      <x:c r="F121" s="8" t="str">
        <x:v>기존 검증 정답</x:v>
      </x:c>
      <x:c r="G121" s="8" t="str">
        <x:v>https://apis.data.go.kr/1471000/DrbEasyDrugInfoService/getDrbEasyDrugList</x:v>
      </x:c>
      <x:c r="H121" s="8" t="str">
        <x:v>{
  "item_seq": "200300069",
  "item_name": "바이오파워캡슐",
  "manufacturer": "(주)한풍제약",
  "section_codes": [
    "efficacy"
  ]
}</x:v>
      </x:c>
    </x:row>
    <x:row r="122" ht="54" customHeight="1">
      <x:c r="A122" s="8" t="str">
        <x:v>gold-medication-1c6393971162966a</x:v>
      </x:c>
      <x:c r="B122" s="8" t="str">
        <x:v>eyak:200501511:dosage:001</x:v>
      </x:c>
      <x:c r="C122" s="8" t="str">
        <x:v>eyak:200501511:dosage:001</x:v>
      </x:c>
      <x:c r="D122" s="8" t="str">
        <x:v>근거와 함께 답변</x:v>
      </x:c>
      <x:c r="E122" s="15" t="n">
        <x:v>120</x:v>
      </x:c>
      <x:c r="F122" s="8" t="str">
        <x:v>기존 검증 정답</x:v>
      </x:c>
      <x:c r="G122" s="8" t="str">
        <x:v>https://apis.data.go.kr/1471000/DrbEasyDrugInfoService/getDrbEasyDrugList</x:v>
      </x:c>
      <x:c r="H122" s="8" t="str">
        <x:v>{
  "item_seq": "200501511",
  "item_name": "벨라제정45mg(브로멜라인)",
  "manufacturer": "한국유니온제약(주)",
  "section_codes": [
    "dosage"
  ]
}</x:v>
      </x:c>
    </x:row>
    <x:row r="123" ht="54" customHeight="1">
      <x:c r="A123" s="8" t="str">
        <x:v>gold-medication-6716e1c0198f8347</x:v>
      </x:c>
      <x:c r="B123" s="8" t="str">
        <x:v>eyak:200808096:dosage:001</x:v>
      </x:c>
      <x:c r="C123" s="8" t="str">
        <x:v>eyak:200808096:dosage:001</x:v>
      </x:c>
      <x:c r="D123" s="8" t="str">
        <x:v>근거와 함께 답변</x:v>
      </x:c>
      <x:c r="E123" s="15" t="n">
        <x:v>121</x:v>
      </x:c>
      <x:c r="F123" s="8" t="str">
        <x:v>기존 검증 정답</x:v>
      </x:c>
      <x:c r="G123" s="8" t="str">
        <x:v>https://apis.data.go.kr/1471000/DrbEasyDrugInfoService/getDrbEasyDrugList</x:v>
      </x:c>
      <x:c r="H123" s="8" t="str">
        <x:v>{
  "item_seq": "200808096",
  "item_name": "가네탑골드연질캡슐",
  "manufacturer": "일양약품(주)",
  "section_codes": [
    "dosage"
  ]
}</x:v>
      </x:c>
    </x:row>
    <x:row r="124" ht="54" customHeight="1">
      <x:c r="A124" s="8" t="str">
        <x:v>gold-medication-a428e777342a97a0</x:v>
      </x:c>
      <x:c r="B124" s="8" t="str">
        <x:v>eyak:198803095:precautions:001</x:v>
      </x:c>
      <x:c r="C124" s="8" t="str">
        <x:v>eyak:198803095:precautions:001</x:v>
      </x:c>
      <x:c r="D124" s="8" t="str">
        <x:v>근거와 함께 답변</x:v>
      </x:c>
      <x:c r="E124" s="15" t="n">
        <x:v>122</x:v>
      </x:c>
      <x:c r="F124" s="8" t="str">
        <x:v>기존 검증 정답</x:v>
      </x:c>
      <x:c r="G124" s="8" t="str">
        <x:v>https://apis.data.go.kr/1471000/DrbEasyDrugInfoService/getDrbEasyDrugList</x:v>
      </x:c>
      <x:c r="H124" s="8" t="str">
        <x:v>{
  "item_seq": "198803095",
  "item_name": "누마렌점안액(1회용),누마렌점안액",
  "manufacturer": "한림제약(주)",
  "section_codes": [
    "precautions"
  ]
}</x:v>
      </x:c>
    </x:row>
    <x:row r="125" ht="54" customHeight="1">
      <x:c r="A125" s="8" t="str">
        <x:v>gold-medication-23e07eb24b9f8590</x:v>
      </x:c>
      <x:c r="B125" s="8" t="str">
        <x:v>eyak:199800728:storage:001</x:v>
      </x:c>
      <x:c r="C125" s="8" t="str">
        <x:v>eyak:199800728:storage:001</x:v>
      </x:c>
      <x:c r="D125" s="8" t="str">
        <x:v>근거와 함께 답변</x:v>
      </x:c>
      <x:c r="E125" s="15" t="n">
        <x:v>123</x:v>
      </x:c>
      <x:c r="F125" s="8" t="str">
        <x:v>기존 검증 정답</x:v>
      </x:c>
      <x:c r="G125" s="8" t="str">
        <x:v>https://apis.data.go.kr/1471000/DrbEasyDrugInfoService/getDrbEasyDrugList</x:v>
      </x:c>
      <x:c r="H125" s="8" t="str">
        <x:v>{
  "item_seq": "199800728",
  "item_name": "안티푸라민에스로션\n(수출명:유한안티푸라민에스로션)",
  "manufacturer": "(주)유한양행",
  "section_codes": [
    "storage"
  ]
}</x:v>
      </x:c>
    </x:row>
    <x:row r="126" ht="54" customHeight="1">
      <x:c r="A126" s="8" t="str">
        <x:v>gold-medication-435fe2391956bf7b</x:v>
      </x:c>
      <x:c r="B126" s="8" t="str">
        <x:v>eyak:201801882:efficacy:001</x:v>
      </x:c>
      <x:c r="C126" s="8" t="str">
        <x:v>eyak:201801882:efficacy:001</x:v>
      </x:c>
      <x:c r="D126" s="8" t="str">
        <x:v>근거와 함께 답변</x:v>
      </x:c>
      <x:c r="E126" s="15" t="n">
        <x:v>124</x:v>
      </x:c>
      <x:c r="F126" s="8" t="str">
        <x:v>기존 검증 정답</x:v>
      </x:c>
      <x:c r="G126" s="8" t="str">
        <x:v>https://apis.data.go.kr/1471000/DrbEasyDrugInfoService/getDrbEasyDrugList</x:v>
      </x:c>
      <x:c r="H126" s="8" t="str">
        <x:v>{
  "item_seq": "201801882",
  "item_name": "메가엑트액(시트룰린말산염)",
  "manufacturer": "하나제약(주)",
  "section_codes": [
    "efficacy"
  ]
}</x:v>
      </x:c>
    </x:row>
    <x:row r="127" ht="54" customHeight="1">
      <x:c r="A127" s="8" t="str">
        <x:v>gold-medication-21e815449daadfcf</x:v>
      </x:c>
      <x:c r="B127" s="8" t="str">
        <x:v>eyak:202204116:efficacy:001</x:v>
      </x:c>
      <x:c r="C127" s="8" t="str">
        <x:v>eyak:202204116:efficacy:001</x:v>
      </x:c>
      <x:c r="D127" s="8" t="str">
        <x:v>근거와 함께 답변</x:v>
      </x:c>
      <x:c r="E127" s="15" t="n">
        <x:v>125</x:v>
      </x:c>
      <x:c r="F127" s="8" t="str">
        <x:v>기존 검증 정답</x:v>
      </x:c>
      <x:c r="G127" s="8" t="str">
        <x:v>https://apis.data.go.kr/1471000/DrbEasyDrugInfoService/getDrbEasyDrugList</x:v>
      </x:c>
      <x:c r="H127" s="8" t="str">
        <x:v>{
  "item_seq": "202204116",
  "item_name": "더아이즈점안액(카르복시메틸셀룰로오스나트륨)(1회용)",
  "manufacturer": "코오롱제약(주)",
  "section_codes": [
    "efficacy"
  ]
}</x:v>
      </x:c>
    </x:row>
    <x:row r="128" ht="54" customHeight="1">
      <x:c r="A128" s="8" t="str">
        <x:v>gold-medication-8fa32c72ef8c9298</x:v>
      </x:c>
      <x:c r="B128" s="8" t="str">
        <x:v>eyak:202202168:adverse_reactions:001</x:v>
      </x:c>
      <x:c r="C128" s="8" t="str">
        <x:v>eyak:202202168:adverse_reactions:001</x:v>
      </x:c>
      <x:c r="D128" s="8" t="str">
        <x:v>근거와 함께 답변</x:v>
      </x:c>
      <x:c r="E128" s="15" t="n">
        <x:v>126</x:v>
      </x:c>
      <x:c r="F128" s="8" t="str">
        <x:v>기존 검증 정답</x:v>
      </x:c>
      <x:c r="G128" s="8" t="str">
        <x:v>https://apis.data.go.kr/1471000/DrbEasyDrugInfoService/getDrbEasyDrugList</x:v>
      </x:c>
      <x:c r="H128" s="8" t="str">
        <x:v>{
  "item_seq": "202202168",
  "item_name": "라이트프레쉬점안액1%(카르복시메틸셀룰로오스나트륨)(1회용)",
  "manufacturer": "(주)라이트팜텍",
  "section_codes": [
    "adverse_reactions"
  ]
}</x:v>
      </x:c>
    </x:row>
    <x:row r="129" ht="54" customHeight="1">
      <x:c r="A129" s="8" t="str">
        <x:v>gold-medication-828985292cbee12d</x:v>
      </x:c>
      <x:c r="B129" s="8" t="str">
        <x:v>eyak:200402856:adverse_reactions:001</x:v>
      </x:c>
      <x:c r="C129" s="8" t="str">
        <x:v>eyak:200402856:adverse_reactions:001</x:v>
      </x:c>
      <x:c r="D129" s="8" t="str">
        <x:v>근거와 함께 답변</x:v>
      </x:c>
      <x:c r="E129" s="15" t="n">
        <x:v>127</x:v>
      </x:c>
      <x:c r="F129" s="8" t="str">
        <x:v>기존 검증 정답</x:v>
      </x:c>
      <x:c r="G129" s="8" t="str">
        <x:v>https://apis.data.go.kr/1471000/DrbEasyDrugInfoService/getDrbEasyDrugList</x:v>
      </x:c>
      <x:c r="H129" s="8" t="str">
        <x:v>{
  "item_seq": "200402856",
  "item_name": "콜스롤연질캡슐",
  "manufacturer": "(주)씨엠지제약",
  "section_codes": [
    "adverse_reactions"
  ]
}</x:v>
      </x:c>
    </x:row>
    <x:row r="130" ht="54" customHeight="1">
      <x:c r="A130" s="8" t="str">
        <x:v>gold-medication-c58fbf32825f1ae7</x:v>
      </x:c>
      <x:c r="B130" s="8" t="str">
        <x:v>eyak:200704407:interactions:001</x:v>
      </x:c>
      <x:c r="C130" s="8" t="str">
        <x:v>eyak:200704407:interactions:001</x:v>
      </x:c>
      <x:c r="D130" s="8" t="str">
        <x:v>근거와 함께 답변</x:v>
      </x:c>
      <x:c r="E130" s="15" t="n">
        <x:v>128</x:v>
      </x:c>
      <x:c r="F130" s="8" t="str">
        <x:v>기존 검증 정답</x:v>
      </x:c>
      <x:c r="G130" s="8" t="str">
        <x:v>https://apis.data.go.kr/1471000/DrbEasyDrugInfoService/getDrbEasyDrugList</x:v>
      </x:c>
      <x:c r="H130" s="8" t="str">
        <x:v>{
  "item_seq": "200704407",
  "item_name": "코큐텐비타알부정",
  "manufacturer": "일양약품(주)",
  "section_codes": [
    "interactions"
  ]
}</x:v>
      </x:c>
    </x:row>
    <x:row r="131" ht="54" customHeight="1">
      <x:c r="A131" s="8" t="str">
        <x:v>gold-medication-60c7274a844dae4d</x:v>
      </x:c>
      <x:c r="B131" s="8" t="str">
        <x:v>eyak:202202409:precautions:002</x:v>
      </x:c>
      <x:c r="C131" s="8" t="str">
        <x:v>eyak:202202409:precautions:002
eyak:202202409:precautions:003
eyak:202202409:precautions:001
eyak:202202409:precautions:004
eyak:202202409:precautions:005</x:v>
      </x:c>
      <x:c r="D131" s="8" t="str">
        <x:v>근거와 함께 답변</x:v>
      </x:c>
      <x:c r="E131" s="15" t="n">
        <x:v>129</x:v>
      </x:c>
      <x:c r="F131" s="8" t="str">
        <x:v>기존 검증 정답</x:v>
      </x:c>
      <x:c r="G131" s="8" t="str">
        <x:v>https://apis.data.go.kr/1471000/DrbEasyDrugInfoService/getDrbEasyDrugList</x:v>
      </x:c>
      <x:c r="H131" s="8" t="str">
        <x:v>{
  "item_seq": "202202409",
  "item_name": "콜록노즈연질캡슐",
  "manufacturer": "(주)녹십자",
  "section_codes": [
    "precautions"
  ]
}</x:v>
      </x:c>
    </x:row>
    <x:row r="132" ht="54" customHeight="1">
      <x:c r="A132" s="8" t="str">
        <x:v>gold-medication-d250988699332db3</x:v>
      </x:c>
      <x:c r="B132" s="8" t="str">
        <x:v>eyak:199602310:precautions:001</x:v>
      </x:c>
      <x:c r="C132" s="8" t="str">
        <x:v>eyak:199602310:precautions:001
eyak:199602310:precautions:002</x:v>
      </x:c>
      <x:c r="D132" s="8" t="str">
        <x:v>근거와 함께 답변</x:v>
      </x:c>
      <x:c r="E132" s="15" t="n">
        <x:v>130</x:v>
      </x:c>
      <x:c r="F132" s="8" t="str">
        <x:v>기존 검증 정답</x:v>
      </x:c>
      <x:c r="G132" s="8" t="str">
        <x:v>https://apis.data.go.kr/1471000/DrbEasyDrugInfoService/getDrbEasyDrugList</x:v>
      </x:c>
      <x:c r="H132" s="8" t="str">
        <x:v>{
  "item_seq": "199602310",
  "item_name": "파비스염산메클리진정",
  "manufacturer": "(주)한국파비스제약",
  "section_codes": [
    "precautions"
  ]
}</x:v>
      </x:c>
    </x:row>
    <x:row r="133" ht="54" customHeight="1">
      <x:c r="A133" s="8" t="str">
        <x:v>gold-medication-785da3378f2146ff</x:v>
      </x:c>
      <x:c r="B133" s="8" t="str">
        <x:v>eyak:200201695:interactions:001</x:v>
      </x:c>
      <x:c r="C133" s="8" t="str">
        <x:v>eyak:200201695:interactions:001
eyak:200201695:interactions:003
eyak:200201695:interactions:002
eyak:200201695:interactions:004</x:v>
      </x:c>
      <x:c r="D133" s="8" t="str">
        <x:v>근거와 함께 답변</x:v>
      </x:c>
      <x:c r="E133" s="15" t="n">
        <x:v>131</x:v>
      </x:c>
      <x:c r="F133" s="8" t="str">
        <x:v>기존 검증 정답</x:v>
      </x:c>
      <x:c r="G133" s="8" t="str">
        <x:v>https://apis.data.go.kr/1471000/DrbEasyDrugInfoService/getDrbEasyDrugList</x:v>
      </x:c>
      <x:c r="H133" s="8" t="str">
        <x:v>{
  "item_seq": "200201695",
  "item_name": "맥스펜정(덱시부프로펜)",
  "manufacturer": "오스틴제약(주)",
  "section_codes": [
    "interactions"
  ]
}</x:v>
      </x:c>
    </x:row>
    <x:row r="134" ht="54" customHeight="1">
      <x:c r="A134" s="8" t="str">
        <x:v>gold-medication-e2cd0ce059965cb1</x:v>
      </x:c>
      <x:c r="B134" s="8" t="str">
        <x:v>eyak:201702434:dosage:001</x:v>
      </x:c>
      <x:c r="C134" s="8" t="str">
        <x:v>eyak:201702434:dosage:001
eyak:201702434:dosage:002</x:v>
      </x:c>
      <x:c r="D134" s="8" t="str">
        <x:v>근거와 함께 답변</x:v>
      </x:c>
      <x:c r="E134" s="15" t="n">
        <x:v>132</x:v>
      </x:c>
      <x:c r="F134" s="8" t="str">
        <x:v>기존 검증 정답</x:v>
      </x:c>
      <x:c r="G134" s="8" t="str">
        <x:v>https://apis.data.go.kr/1471000/DrbEasyDrugInfoService/getDrbEasyDrugList</x:v>
      </x:c>
      <x:c r="H134" s="8" t="str">
        <x:v>{
  "item_seq": "201702434",
  "item_name": "마이녹실겔3%(미녹시딜)",
  "manufacturer": "현대약품(주)",
  "section_codes": [
    "dosage"
  ]
}</x:v>
      </x:c>
    </x:row>
    <x:row r="135" ht="54" customHeight="1">
      <x:c r="A135" s="8" t="str">
        <x:v>gold-medication-495dbe6b096e7402</x:v>
      </x:c>
      <x:c r="B135" s="8" t="str">
        <x:v>eyak:199600625:warning:002
eyak:199600625:precautions:001</x:v>
      </x:c>
      <x:c r="C135" s="8" t="str">
        <x:v>eyak:199600625:warning:002
eyak:199600625:warning:001
eyak:199600625:precautions:001
eyak:199600625:precautions:002
eyak:199600625:precautions:003</x:v>
      </x:c>
      <x:c r="D135" s="8" t="str">
        <x:v>근거와 함께 답변</x:v>
      </x:c>
      <x:c r="E135" s="15" t="n">
        <x:v>133</x:v>
      </x:c>
      <x:c r="F135" s="8" t="str">
        <x:v>기존 검증 정답</x:v>
      </x:c>
      <x:c r="G135" s="8" t="str">
        <x:v>https://apis.data.go.kr/1471000/DrbEasyDrugInfoService/getDrbEasyDrugList</x:v>
      </x:c>
      <x:c r="H135" s="8" t="str">
        <x:v>{
  "item_seq": "199600625",
  "item_name": "루트펜325밀리그램정(아세트아미노펜)",
  "manufacturer": "(주)바이넥스",
  "section_codes": [
    "warning",
    "precautions"
  ]
}</x:v>
      </x:c>
    </x:row>
    <x:row r="136" ht="54" customHeight="1">
      <x:c r="A136" s="8" t="str">
        <x:v>gold-medication-na-faa3ca223ed53df4</x:v>
      </x:c>
      <x:c r="B136" s="8" t="str"/>
      <x:c r="C136" s="8" t="str"/>
      <x:c r="D136" s="8" t="str">
        <x:v>답변 거부 또는 추가 확인 요청</x:v>
      </x:c>
      <x:c r="E136" s="15" t="n">
        <x:v>134</x:v>
      </x:c>
      <x:c r="F136" s="8" t="str">
        <x:v>답변 거부 기준 문구</x:v>
      </x:c>
      <x:c r="G136" s="8" t="str">
        <x:v>https://apis.data.go.kr/1471000/DrbEasyDrugInfoService/getDrbEasyDrugList</x:v>
      </x:c>
      <x:c r="H136" s="8" t="str">
        <x:v>{
  "item_seq": "201905366",
  "item_name": "엘보스캡슐(에르도스테인)",
  "manufacturer": "삼익제약(주)",
  "section_codes": [
    "adverse_reactions"
  ]
}</x:v>
      </x:c>
    </x:row>
    <x:row r="137" ht="54" customHeight="1">
      <x:c r="A137" s="8" t="str">
        <x:v>gold-medication-1d022f55eab2ee87</x:v>
      </x:c>
      <x:c r="B137" s="8" t="str">
        <x:v>eyak:201707227:warning:001
eyak:201707227:precautions:002</x:v>
      </x:c>
      <x:c r="C137" s="8" t="str">
        <x:v>eyak:201707227:warning:001
eyak:201707227:precautions:002
eyak:201707227:precautions:001
eyak:201707227:precautions:003
eyak:201707227:precautions:005
eyak:201707227:precautions:004
eyak:201707227:precautions:006</x:v>
      </x:c>
      <x:c r="D137" s="8" t="str">
        <x:v>근거와 함께 답변</x:v>
      </x:c>
      <x:c r="E137" s="15" t="n">
        <x:v>135</x:v>
      </x:c>
      <x:c r="F137" s="8" t="str">
        <x:v>기존 검증 정답</x:v>
      </x:c>
      <x:c r="G137" s="8" t="str">
        <x:v>https://apis.data.go.kr/1471000/DrbEasyDrugInfoService/getDrbEasyDrugList</x:v>
      </x:c>
      <x:c r="H137" s="8" t="str">
        <x:v>{
  "item_seq": "201707227",
  "item_name": "쎄스콘노아정",
  "manufacturer": "지엘파마(주)",
  "section_codes": [
    "warning",
    "precautions"
  ]
}</x:v>
      </x:c>
    </x:row>
    <x:row r="138" ht="54" customHeight="1">
      <x:c r="A138" s="8" t="str">
        <x:v>gold-medication-na-18002a9b5097bdba</x:v>
      </x:c>
      <x:c r="B138" s="8" t="str"/>
      <x:c r="C138" s="8" t="str"/>
      <x:c r="D138" s="8" t="str">
        <x:v>답변 거부 또는 추가 확인 요청</x:v>
      </x:c>
      <x:c r="E138" s="15" t="n">
        <x:v>136</x:v>
      </x:c>
      <x:c r="F138" s="8" t="str">
        <x:v>답변 거부 기준 문구</x:v>
      </x:c>
      <x:c r="G138" s="8" t="str">
        <x:v>https://apis.data.go.kr/1471000/DrbEasyDrugInfoService/getDrbEasyDrugList</x:v>
      </x:c>
      <x:c r="H138" s="8" t="str">
        <x:v>{
  "item_seq": "202303088",
  "item_name": "머슬펜에프정",
  "manufacturer": "한국신텍스제약(주)",
  "section_codes": [
    "precautions"
  ]
}</x:v>
      </x:c>
    </x:row>
    <x:row r="139" ht="54" customHeight="1">
      <x:c r="A139" s="8" t="str">
        <x:v>gold-medication-9ce5ebe772e98a29</x:v>
      </x:c>
      <x:c r="B139" s="8" t="str">
        <x:v>eyak:200302266:precautions:001</x:v>
      </x:c>
      <x:c r="C139" s="8" t="str">
        <x:v>eyak:200302266:precautions:001
eyak:200302266:precautions:002</x:v>
      </x:c>
      <x:c r="D139" s="8" t="str">
        <x:v>근거와 함께 답변</x:v>
      </x:c>
      <x:c r="E139" s="15" t="n">
        <x:v>137</x:v>
      </x:c>
      <x:c r="F139" s="8" t="str">
        <x:v>기존 검증 정답</x:v>
      </x:c>
      <x:c r="G139" s="8" t="str">
        <x:v>https://apis.data.go.kr/1471000/DrbEasyDrugInfoService/getDrbEasyDrugList</x:v>
      </x:c>
      <x:c r="H139" s="8" t="str">
        <x:v>{
  "item_seq": "200302266",
  "item_name": "두배락캡슐(바실루스리케니포르미스균)",
  "manufacturer": "(주)서울제약",
  "section_codes": [
    "precautions"
  ]
}</x:v>
      </x:c>
    </x:row>
    <x:row r="140" ht="54" customHeight="1">
      <x:c r="A140" s="8" t="str">
        <x:v>gold-medication-db9bc91dab8cd323</x:v>
      </x:c>
      <x:c r="B140" s="8" t="str">
        <x:v>eyak:202204492:adverse_reactions:001</x:v>
      </x:c>
      <x:c r="C140" s="8" t="str">
        <x:v>eyak:202204492:adverse_reactions:001
eyak:202204492:adverse_reactions:002</x:v>
      </x:c>
      <x:c r="D140" s="8" t="str">
        <x:v>근거와 함께 답변</x:v>
      </x:c>
      <x:c r="E140" s="15" t="n">
        <x:v>138</x:v>
      </x:c>
      <x:c r="F140" s="8" t="str">
        <x:v>기존 검증 정답</x:v>
      </x:c>
      <x:c r="G140" s="8" t="str">
        <x:v>https://apis.data.go.kr/1471000/DrbEasyDrugInfoService/getDrbEasyDrugList</x:v>
      </x:c>
      <x:c r="H140" s="8" t="str">
        <x:v>{
  "item_seq": "202204492",
  "item_name": "투엑스비추어블정",
  "manufacturer": "제일헬스사이언스(주)",
  "section_codes": [
    "adverse_reactions"
  ]
}</x:v>
      </x:c>
    </x:row>
    <x:row r="141" ht="54" customHeight="1">
      <x:c r="A141" s="8" t="str">
        <x:v>gold-medication-39219c6b63479d6e</x:v>
      </x:c>
      <x:c r="B141" s="8" t="str">
        <x:v>eyak:200300092:precautions:001
eyak:200300092:adverse_reactions:001</x:v>
      </x:c>
      <x:c r="C141" s="8" t="str">
        <x:v>eyak:200300092:precautions:001
eyak:200300092:precautions:002
eyak:200300092:adverse_reactions:001
eyak:200300092:adverse_reactions:002</x:v>
      </x:c>
      <x:c r="D141" s="8" t="str">
        <x:v>근거와 함께 답변</x:v>
      </x:c>
      <x:c r="E141" s="15" t="n">
        <x:v>139</x:v>
      </x:c>
      <x:c r="F141" s="8" t="str">
        <x:v>기존 검증 정답</x:v>
      </x:c>
      <x:c r="G141" s="8" t="str">
        <x:v>https://apis.data.go.kr/1471000/DrbEasyDrugInfoService/getDrbEasyDrugList</x:v>
      </x:c>
      <x:c r="H141" s="8" t="str">
        <x:v>{
  "item_seq": "200300092",
  "item_name": "투스딘골드캡슐",
  "manufacturer": "(주)종근당",
  "section_codes": [
    "precautions",
    "adverse_reactions"
  ]
}</x:v>
      </x:c>
    </x:row>
    <x:row r="142" ht="54" customHeight="1">
      <x:c r="A142" s="8" t="str">
        <x:v>gold-medication-64aee112d733a574</x:v>
      </x:c>
      <x:c r="B142" s="8" t="str">
        <x:v>eyak:202002390:interactions:001</x:v>
      </x:c>
      <x:c r="C142" s="8" t="str">
        <x:v>eyak:202002390:interactions:001</x:v>
      </x:c>
      <x:c r="D142" s="8" t="str">
        <x:v>근거와 함께 답변</x:v>
      </x:c>
      <x:c r="E142" s="15" t="n">
        <x:v>140</x:v>
      </x:c>
      <x:c r="F142" s="8" t="str">
        <x:v>기존 검증 정답</x:v>
      </x:c>
      <x:c r="G142" s="8" t="str">
        <x:v>https://apis.data.go.kr/1471000/DrbEasyDrugInfoService/getDrbEasyDrugList</x:v>
      </x:c>
      <x:c r="H142" s="8" t="str">
        <x:v>{
  "item_seq": "202002390",
  "item_name": "요를레이트로키",
  "manufacturer": "대원제약(주)",
  "section_codes": [
    "interactions"
  ]
}</x:v>
      </x:c>
    </x:row>
    <x:row r="143" ht="54" customHeight="1">
      <x:c r="A143" s="8" t="str">
        <x:v>gold-medication-dbde12c0de110646</x:v>
      </x:c>
      <x:c r="B143" s="8" t="str">
        <x:v>eyak:202401954:dosage:001</x:v>
      </x:c>
      <x:c r="C143" s="8" t="str">
        <x:v>eyak:202401954:dosage:001</x:v>
      </x:c>
      <x:c r="D143" s="8" t="str">
        <x:v>근거와 함께 답변</x:v>
      </x:c>
      <x:c r="E143" s="15" t="n">
        <x:v>141</x:v>
      </x:c>
      <x:c r="F143" s="8" t="str">
        <x:v>기존 검증 정답</x:v>
      </x:c>
      <x:c r="G143" s="8" t="str">
        <x:v>https://apis.data.go.kr/1471000/DrbEasyDrugInfoService/getDrbEasyDrugList</x:v>
      </x:c>
      <x:c r="H143" s="8" t="str">
        <x:v>{
  "item_seq": "202401954",
  "item_name": "삭시네쿨겔(피록시캄)",
  "manufacturer": "대원제약(주)",
  "section_codes": [
    "dosage"
  ]
}</x:v>
      </x:c>
    </x:row>
    <x:row r="144" ht="54" customHeight="1">
      <x:c r="A144" s="8" t="str">
        <x:v>gold-medication-8e750a0875498376</x:v>
      </x:c>
      <x:c r="B144" s="8" t="str">
        <x:v>eyak:202402011:storage:001</x:v>
      </x:c>
      <x:c r="C144" s="8" t="str">
        <x:v>eyak:202402011:storage:001</x:v>
      </x:c>
      <x:c r="D144" s="8" t="str">
        <x:v>근거와 함께 답변</x:v>
      </x:c>
      <x:c r="E144" s="15" t="n">
        <x:v>142</x:v>
      </x:c>
      <x:c r="F144" s="8" t="str">
        <x:v>기존 검증 정답</x:v>
      </x:c>
      <x:c r="G144" s="8" t="str">
        <x:v>https://apis.data.go.kr/1471000/DrbEasyDrugInfoService/getDrbEasyDrugList</x:v>
      </x:c>
      <x:c r="H144" s="8" t="str">
        <x:v>{
  "item_seq": "202402011",
  "item_name": "앤도민액트800정",
  "manufacturer": "신일제약(주)",
  "section_codes": [
    "storage"
  ]
}</x:v>
      </x:c>
    </x:row>
    <x:row r="145" ht="54" customHeight="1">
      <x:c r="A145" s="8" t="str">
        <x:v>gold-medication-4bf4ffd98f59ca21</x:v>
      </x:c>
      <x:c r="B145" s="8" t="str">
        <x:v>eyak:201502798:efficacy:001</x:v>
      </x:c>
      <x:c r="C145" s="8" t="str">
        <x:v>eyak:201502798:efficacy:001</x:v>
      </x:c>
      <x:c r="D145" s="8" t="str">
        <x:v>근거와 함께 답변</x:v>
      </x:c>
      <x:c r="E145" s="15" t="n">
        <x:v>143</x:v>
      </x:c>
      <x:c r="F145" s="8" t="str">
        <x:v>기존 검증 정답</x:v>
      </x:c>
      <x:c r="G145" s="8" t="str">
        <x:v>https://apis.data.go.kr/1471000/DrbEasyDrugInfoService/getDrbEasyDrugList</x:v>
      </x:c>
      <x:c r="H145" s="8" t="str">
        <x:v>{
  "item_seq": "201502798",
  "item_name": "덴티드에프캡슐",
  "manufacturer": "(주)이든파마",
  "section_codes": [
    "efficacy"
  ]
}</x:v>
      </x:c>
    </x:row>
    <x:row r="146" ht="54" customHeight="1">
      <x:c r="A146" s="8" t="str">
        <x:v>gold-medication-d5192aa0db90e238</x:v>
      </x:c>
      <x:c r="B146" s="8" t="str">
        <x:v>eyak:201504224:adverse_reactions:001</x:v>
      </x:c>
      <x:c r="C146" s="8" t="str">
        <x:v>eyak:201504224:adverse_reactions:001</x:v>
      </x:c>
      <x:c r="D146" s="8" t="str">
        <x:v>근거와 함께 답변</x:v>
      </x:c>
      <x:c r="E146" s="15" t="n">
        <x:v>144</x:v>
      </x:c>
      <x:c r="F146" s="8" t="str">
        <x:v>기존 검증 정답</x:v>
      </x:c>
      <x:c r="G146" s="8" t="str">
        <x:v>https://apis.data.go.kr/1471000/DrbEasyDrugInfoService/getDrbEasyDrugList</x:v>
      </x:c>
      <x:c r="H146" s="8" t="str">
        <x:v>{
  "item_seq": "201504224",
  "item_name": "시크린뷰점안액",
  "manufacturer": "조아제약(주)",
  "section_codes": [
    "adverse_reactions"
  ]
}</x:v>
      </x:c>
    </x:row>
    <x:row r="147" ht="54" customHeight="1">
      <x:c r="A147" s="8" t="str">
        <x:v>gold-medication-9160be260f1d4960</x:v>
      </x:c>
      <x:c r="B147" s="8" t="str">
        <x:v>eyak:202107184:adverse_reactions:001</x:v>
      </x:c>
      <x:c r="C147" s="8" t="str">
        <x:v>eyak:202107184:adverse_reactions:001</x:v>
      </x:c>
      <x:c r="D147" s="8" t="str">
        <x:v>근거와 함께 답변</x:v>
      </x:c>
      <x:c r="E147" s="15" t="n">
        <x:v>145</x:v>
      </x:c>
      <x:c r="F147" s="8" t="str">
        <x:v>기존 검증 정답</x:v>
      </x:c>
      <x:c r="G147" s="8" t="str">
        <x:v>https://apis.data.go.kr/1471000/DrbEasyDrugInfoService/getDrbEasyDrugList</x:v>
      </x:c>
      <x:c r="H147" s="8" t="str">
        <x:v>{
  "item_seq": "202107184",
  "item_name": "자멘쏙정(독시라민숙신산염)",
  "manufacturer": "일양약품(주)",
  "section_codes": [
    "adverse_reactions"
  ]
}</x:v>
      </x:c>
    </x:row>
    <x:row r="148" ht="54" customHeight="1">
      <x:c r="A148" s="8" t="str">
        <x:v>gold-medication-6da3304038d54e68</x:v>
      </x:c>
      <x:c r="B148" s="8" t="str">
        <x:v>eyak:201405228:adverse_reactions:001</x:v>
      </x:c>
      <x:c r="C148" s="8" t="str">
        <x:v>eyak:201405228:adverse_reactions:001</x:v>
      </x:c>
      <x:c r="D148" s="8" t="str">
        <x:v>근거와 함께 답변</x:v>
      </x:c>
      <x:c r="E148" s="15" t="n">
        <x:v>146</x:v>
      </x:c>
      <x:c r="F148" s="8" t="str">
        <x:v>기존 검증 정답</x:v>
      </x:c>
      <x:c r="G148" s="8" t="str">
        <x:v>https://apis.data.go.kr/1471000/DrbEasyDrugInfoService/getDrbEasyDrugList</x:v>
      </x:c>
      <x:c r="H148" s="8" t="str">
        <x:v>{
  "item_seq": "201405228",
  "item_name": "쿨스펜겔(피록시캄)",
  "manufacturer": "신일제약(주)",
  "section_codes": [
    "adverse_reactions"
  ]
}</x:v>
      </x:c>
    </x:row>
    <x:row r="149" ht="54" customHeight="1">
      <x:c r="A149" s="8" t="str">
        <x:v>gold-medication-9955311c86e75d2b</x:v>
      </x:c>
      <x:c r="B149" s="8" t="str">
        <x:v>eyak:202200413:adverse_reactions:001</x:v>
      </x:c>
      <x:c r="C149" s="8" t="str">
        <x:v>eyak:202200413:adverse_reactions:001
eyak:202200413:adverse_reactions:002</x:v>
      </x:c>
      <x:c r="D149" s="8" t="str">
        <x:v>근거와 함께 답변</x:v>
      </x:c>
      <x:c r="E149" s="15" t="n">
        <x:v>147</x:v>
      </x:c>
      <x:c r="F149" s="8" t="str">
        <x:v>기존 검증 정답</x:v>
      </x:c>
      <x:c r="G149" s="8" t="str">
        <x:v>https://apis.data.go.kr/1471000/DrbEasyDrugInfoService/getDrbEasyDrugList</x:v>
      </x:c>
      <x:c r="H149" s="8" t="str">
        <x:v>{
  "item_seq": "202200413",
  "item_name": "원펜정",
  "manufacturer": "원광제약(주)",
  "section_codes": [
    "adverse_reactions"
  ]
}</x:v>
      </x:c>
    </x:row>
    <x:row r="150" ht="54" customHeight="1">
      <x:c r="A150" s="8" t="str">
        <x:v>gold-medication-6af5ce14ca8e21e2</x:v>
      </x:c>
      <x:c r="B150" s="8" t="str">
        <x:v>eyak:200500162:dosage:001</x:v>
      </x:c>
      <x:c r="C150" s="8" t="str">
        <x:v>eyak:200500162:dosage:001</x:v>
      </x:c>
      <x:c r="D150" s="8" t="str">
        <x:v>근거와 함께 답변</x:v>
      </x:c>
      <x:c r="E150" s="15" t="n">
        <x:v>148</x:v>
      </x:c>
      <x:c r="F150" s="8" t="str">
        <x:v>기존 검증 정답</x:v>
      </x:c>
      <x:c r="G150" s="8" t="str">
        <x:v>https://apis.data.go.kr/1471000/DrbEasyDrugInfoService/getDrbEasyDrugList</x:v>
      </x:c>
      <x:c r="H150" s="8" t="str">
        <x:v>{
  "item_seq": "200500162",
  "item_name": "펙손정120밀리그램(펙소페나딘염산염)",
  "manufacturer": "(주)종근당",
  "section_codes": [
    "dosage"
  ]
}</x:v>
      </x:c>
    </x:row>
    <x:row r="151" ht="54" customHeight="1">
      <x:c r="A151" s="8" t="str">
        <x:v>gold-medication-na-81c1cf43f5c2b98a</x:v>
      </x:c>
      <x:c r="B151" s="8" t="str"/>
      <x:c r="C151" s="8" t="str"/>
      <x:c r="D151" s="8" t="str">
        <x:v>답변 거부 또는 추가 확인 요청</x:v>
      </x:c>
      <x:c r="E151" s="15" t="n">
        <x:v>149</x:v>
      </x:c>
      <x:c r="F151" s="8" t="str">
        <x:v>답변 거부 기준 문구</x:v>
      </x:c>
      <x:c r="G151" s="8" t="str">
        <x:v>https://apis.data.go.kr/1471000/DrbEasyDrugInfoService/getDrbEasyDrugList</x:v>
      </x:c>
      <x:c r="H151" s="8" t="str">
        <x:v>{
  "item_seq": "201001784",
  "item_name": "비트리모정",
  "manufacturer": "조아제약(주)",
  "section_codes": [
    "dosage"
  ]
}</x:v>
      </x:c>
    </x:row>
    <x:row r="152" ht="54" customHeight="1">
      <x:c r="A152" s="8" t="str">
        <x:v>gold-medication-na-1c585eb28fdfdad1</x:v>
      </x:c>
      <x:c r="B152" s="8" t="str"/>
      <x:c r="C152" s="8" t="str"/>
      <x:c r="D152" s="8" t="str">
        <x:v>답변 거부 또는 추가 확인 요청</x:v>
      </x:c>
      <x:c r="E152" s="15" t="n">
        <x:v>150</x:v>
      </x:c>
      <x:c r="F152" s="8" t="str">
        <x:v>답변 거부 기준 문구</x:v>
      </x:c>
      <x:c r="G152" s="8" t="str">
        <x:v>https://apis.data.go.kr/1471000/DrbEasyDrugInfoService/getDrbEasyDrugList</x:v>
      </x:c>
      <x:c r="H152" s="8" t="str">
        <x:v>{
  "item_seq": "201704845",
  "item_name": "본디칼플러스정",
  "manufacturer": "(주)아이월드제약",
  "section_codes": [
    "precautions"
  ]
}</x:v>
      </x:c>
    </x:row>
    <x:row r="153" ht="54" customHeight="1">
      <x:c r="A153" s="8" t="str">
        <x:v>gold-medication-24e359a66585899e</x:v>
      </x:c>
      <x:c r="B153" s="8" t="str">
        <x:v>eyak:201501249:precautions:001</x:v>
      </x:c>
      <x:c r="C153" s="8" t="str">
        <x:v>eyak:201501249:precautions:001</x:v>
      </x:c>
      <x:c r="D153" s="8" t="str">
        <x:v>근거와 함께 답변</x:v>
      </x:c>
      <x:c r="E153" s="15" t="n">
        <x:v>151</x:v>
      </x:c>
      <x:c r="F153" s="8" t="str">
        <x:v>기존 검증 정답</x:v>
      </x:c>
      <x:c r="G153" s="8" t="str">
        <x:v>https://apis.data.go.kr/1471000/DrbEasyDrugInfoService/getDrbEasyDrugList</x:v>
      </x:c>
      <x:c r="H153" s="8" t="str">
        <x:v>{
  "item_seq": "201501249",
  "item_name": "무조멘액",
  "manufacturer": "(주)마더스제약",
  "section_codes": [
    "precautions"
  ]
}</x:v>
      </x:c>
    </x:row>
    <x:row r="154" ht="54" customHeight="1">
      <x:c r="A154" s="8" t="str">
        <x:v>gold-medication-2bf4f20d49647999</x:v>
      </x:c>
      <x:c r="B154" s="8" t="str">
        <x:v>eyak:201800145:dosage:001</x:v>
      </x:c>
      <x:c r="C154" s="8" t="str">
        <x:v>eyak:201800145:dosage:001
eyak:201800145:dosage:003
eyak:201800145:dosage:002
eyak:201800145:dosage:004</x:v>
      </x:c>
      <x:c r="D154" s="8" t="str">
        <x:v>근거와 함께 답변</x:v>
      </x:c>
      <x:c r="E154" s="15" t="n">
        <x:v>152</x:v>
      </x:c>
      <x:c r="F154" s="8" t="str">
        <x:v>기존 검증 정답</x:v>
      </x:c>
      <x:c r="G154" s="8" t="str">
        <x:v>https://apis.data.go.kr/1471000/DrbEasyDrugInfoService/getDrbEasyDrugList</x:v>
      </x:c>
      <x:c r="H154" s="8" t="str">
        <x:v>{
  "item_seq": "201800145",
  "item_name": "무조날에스네일라카(시클로피록스)",
  "manufacturer": "한미약품(주)",
  "section_codes": [
    "dosage"
  ]
}</x:v>
      </x:c>
    </x:row>
    <x:row r="155" ht="54" customHeight="1">
      <x:c r="A155" s="8" t="str">
        <x:v>gold-medication-na-fd816888acf001c2</x:v>
      </x:c>
      <x:c r="B155" s="8" t="str"/>
      <x:c r="C155" s="8" t="str"/>
      <x:c r="D155" s="8" t="str">
        <x:v>답변 거부 또는 추가 확인 요청</x:v>
      </x:c>
      <x:c r="E155" s="15" t="n">
        <x:v>153</x:v>
      </x:c>
      <x:c r="F155" s="8" t="str">
        <x:v>답변 거부 기준 문구</x:v>
      </x:c>
      <x:c r="G155" s="8" t="str">
        <x:v>https://apis.data.go.kr/1471000/DrbEasyDrugInfoService/getDrbEasyDrugList</x:v>
      </x:c>
      <x:c r="H155" s="8" t="str">
        <x:v>{
  "item_seq": "200003491",
  "item_name": "크린지크림",
  "manufacturer": "조아제약(주)",
  "section_codes": [
    "precautions"
  ]
}</x:v>
      </x:c>
    </x:row>
    <x:row r="156" ht="54" customHeight="1">
      <x:c r="A156" s="8" t="str">
        <x:v>gold-medication-addc424b0522aa22</x:v>
      </x:c>
      <x:c r="B156" s="8" t="str">
        <x:v>eyak:201707838:adverse_reactions:001</x:v>
      </x:c>
      <x:c r="C156" s="8" t="str">
        <x:v>eyak:201707838:adverse_reactions:001</x:v>
      </x:c>
      <x:c r="D156" s="8" t="str">
        <x:v>근거와 함께 답변</x:v>
      </x:c>
      <x:c r="E156" s="15" t="n">
        <x:v>154</x:v>
      </x:c>
      <x:c r="F156" s="8" t="str">
        <x:v>기존 검증 정답</x:v>
      </x:c>
      <x:c r="G156" s="8" t="str">
        <x:v>https://apis.data.go.kr/1471000/DrbEasyDrugInfoService/getDrbEasyDrugList</x:v>
      </x:c>
      <x:c r="H156" s="8" t="str">
        <x:v>{
  "item_seq": "201707838",
  "item_name": "엑셀렌비정",
  "manufacturer": "(주)씨엠지제약",
  "section_codes": [
    "adverse_reactions"
  ]
}</x:v>
      </x:c>
    </x:row>
    <x:row r="157" ht="54" customHeight="1">
      <x:c r="A157" s="8" t="str">
        <x:v>gold-medication-98475410b36bbba4</x:v>
      </x:c>
      <x:c r="B157" s="8" t="str">
        <x:v>eyak:200501095:precautions:002</x:v>
      </x:c>
      <x:c r="C157" s="8" t="str">
        <x:v>eyak:200501095:precautions:002
eyak:200501095:precautions:001
eyak:200501095:precautions:003</x:v>
      </x:c>
      <x:c r="D157" s="8" t="str">
        <x:v>근거와 함께 답변</x:v>
      </x:c>
      <x:c r="E157" s="15" t="n">
        <x:v>155</x:v>
      </x:c>
      <x:c r="F157" s="8" t="str">
        <x:v>기존 검증 정답</x:v>
      </x:c>
      <x:c r="G157" s="8" t="str">
        <x:v>https://apis.data.go.kr/1471000/DrbEasyDrugInfoService/getDrbEasyDrugList</x:v>
      </x:c>
      <x:c r="H157" s="8" t="str">
        <x:v>{
  "item_seq": "200501095",
  "item_name": "알로탈정",
  "manufacturer": "태극제약(주)",
  "section_codes": [
    "precautions"
  ]
}</x:v>
      </x:c>
    </x:row>
    <x:row r="158" ht="54" customHeight="1">
      <x:c r="A158" s="8" t="str">
        <x:v>gold-medication-d44c0f497093d4f2</x:v>
      </x:c>
      <x:c r="B158" s="8" t="str">
        <x:v>eyak:202402023:interactions:001</x:v>
      </x:c>
      <x:c r="C158" s="8" t="str">
        <x:v>eyak:202402023:interactions:001
eyak:202402023:interactions:002</x:v>
      </x:c>
      <x:c r="D158" s="8" t="str">
        <x:v>근거와 함께 답변</x:v>
      </x:c>
      <x:c r="E158" s="15" t="n">
        <x:v>156</x:v>
      </x:c>
      <x:c r="F158" s="8" t="str">
        <x:v>기존 검증 정답</x:v>
      </x:c>
      <x:c r="G158" s="8" t="str">
        <x:v>https://apis.data.go.kr/1471000/DrbEasyDrugInfoService/getDrbEasyDrugList</x:v>
      </x:c>
      <x:c r="H158" s="8" t="str">
        <x:v>{
  "item_seq": "202402023",
  "item_name": "팜플루콜드플러스연질캡슐",
  "manufacturer": "코스맥스파마(주)",
  "section_codes": [
    "interactions"
  ]
}</x:v>
      </x:c>
    </x:row>
    <x:row r="159" ht="54" customHeight="1">
      <x:c r="A159" s="8" t="str">
        <x:v>gold-medication-a0f2fb4e908daa31</x:v>
      </x:c>
      <x:c r="B159" s="8" t="str">
        <x:v>eyak:202100747:precautions:001
eyak:202100747:adverse_reactions:001</x:v>
      </x:c>
      <x:c r="C159" s="8" t="str">
        <x:v>eyak:202100747:precautions:001
eyak:202100747:precautions:002
eyak:202100747:precautions:004
eyak:202100747:precautions:003
eyak:202100747:adverse_reactions:001</x:v>
      </x:c>
      <x:c r="D159" s="8" t="str">
        <x:v>근거와 함께 답변</x:v>
      </x:c>
      <x:c r="E159" s="15" t="n">
        <x:v>157</x:v>
      </x:c>
      <x:c r="F159" s="8" t="str">
        <x:v>기존 검증 정답</x:v>
      </x:c>
      <x:c r="G159" s="8" t="str">
        <x:v>https://apis.data.go.kr/1471000/DrbEasyDrugInfoService/getDrbEasyDrugList</x:v>
      </x:c>
      <x:c r="H159" s="8" t="str">
        <x:v>{
  "item_seq": "202100747",
  "item_name": "오에수트레할로스점안액(트레할로스수화물)(1회용)",
  "manufacturer": "(주)옵투스제약",
  "section_codes": [
    "precautions",
    "adverse_reactions"
  ]
}</x:v>
      </x:c>
    </x:row>
    <x:row r="160" ht="54" customHeight="1">
      <x:c r="A160" s="8" t="str">
        <x:v>gold-medication-09aaceb387c83ec7</x:v>
      </x:c>
      <x:c r="B160" s="8" t="str">
        <x:v>eyak:200610627:efficacy:001</x:v>
      </x:c>
      <x:c r="C160" s="8" t="str">
        <x:v>eyak:200610627:efficacy:001</x:v>
      </x:c>
      <x:c r="D160" s="8" t="str">
        <x:v>근거와 함께 답변</x:v>
      </x:c>
      <x:c r="E160" s="15" t="n">
        <x:v>158</x:v>
      </x:c>
      <x:c r="F160" s="8" t="str">
        <x:v>기존 검증 정답</x:v>
      </x:c>
      <x:c r="G160" s="8" t="str">
        <x:v>https://apis.data.go.kr/1471000/DrbEasyDrugInfoService/getDrbEasyDrugList</x:v>
      </x:c>
      <x:c r="H160" s="8" t="str">
        <x:v>{
  "item_seq": "200610627",
  "item_name": "사리돈에이정",
  "manufacturer": "바이엘코리아(주)",
  "section_codes": [
    "efficacy"
  ]
}</x:v>
      </x:c>
    </x:row>
    <x:row r="161" ht="54" customHeight="1">
      <x:c r="A161" s="8" t="str">
        <x:v>gold-medication-ade88a38e8fc2878</x:v>
      </x:c>
      <x:c r="B161" s="8" t="str">
        <x:v>eyak:202004867:precautions:001
eyak:202004867:adverse_reactions:001</x:v>
      </x:c>
      <x:c r="C161" s="8" t="str">
        <x:v>eyak:202004867:precautions:001
eyak:202004867:adverse_reactions:001
eyak:202004867:adverse_reactions:002</x:v>
      </x:c>
      <x:c r="D161" s="8" t="str">
        <x:v>근거와 함께 답변</x:v>
      </x:c>
      <x:c r="E161" s="15" t="n">
        <x:v>159</x:v>
      </x:c>
      <x:c r="F161" s="8" t="str">
        <x:v>기존 검증 정답</x:v>
      </x:c>
      <x:c r="G161" s="8" t="str">
        <x:v>https://apis.data.go.kr/1471000/DrbEasyDrugInfoService/getDrbEasyDrugList</x:v>
      </x:c>
      <x:c r="H161" s="8" t="str">
        <x:v>{
  "item_seq": "202004867",
  "item_name": "돌체락원스산",
  "manufacturer": "삼진제약(주)",
  "section_codes": [
    "precautions",
    "adverse_reactions"
  ]
}</x:v>
      </x:c>
    </x:row>
    <x:row r="162" ht="54" customHeight="1">
      <x:c r="A162" s="8" t="str">
        <x:v>gold-medication-7ec6691f440004d7</x:v>
      </x:c>
      <x:c r="B162" s="8" t="str">
        <x:v>eyak:199901458:efficacy:001</x:v>
      </x:c>
      <x:c r="C162" s="8" t="str">
        <x:v>eyak:199901458:efficacy:001</x:v>
      </x:c>
      <x:c r="D162" s="8" t="str">
        <x:v>근거와 함께 답변</x:v>
      </x:c>
      <x:c r="E162" s="15" t="n">
        <x:v>160</x:v>
      </x:c>
      <x:c r="F162" s="8" t="str">
        <x:v>기존 검증 정답</x:v>
      </x:c>
      <x:c r="G162" s="8" t="str">
        <x:v>https://apis.data.go.kr/1471000/DrbEasyDrugInfoService/getDrbEasyDrugList</x:v>
      </x:c>
      <x:c r="H162" s="8" t="str">
        <x:v>{
  "item_seq": "199901458",
  "item_name": "마그오캡슐500mg(산화마그네슘)",
  "manufacturer": "(주)한국파마",
  "section_codes": [
    "efficacy"
  ]
}</x:v>
      </x:c>
    </x:row>
    <x:row r="163" ht="54" customHeight="1">
      <x:c r="A163" s="8" t="str">
        <x:v>gold-medication-6e4019eb2771dc8d</x:v>
      </x:c>
      <x:c r="B163" s="8" t="str">
        <x:v>eyak:199302514:storage:001</x:v>
      </x:c>
      <x:c r="C163" s="8" t="str">
        <x:v>eyak:199302514:storage:001</x:v>
      </x:c>
      <x:c r="D163" s="8" t="str">
        <x:v>근거와 함께 답변</x:v>
      </x:c>
      <x:c r="E163" s="15" t="n">
        <x:v>161</x:v>
      </x:c>
      <x:c r="F163" s="8" t="str">
        <x:v>기존 검증 정답</x:v>
      </x:c>
      <x:c r="G163" s="8" t="str">
        <x:v>https://apis.data.go.kr/1471000/DrbEasyDrugInfoService/getDrbEasyDrugList</x:v>
      </x:c>
      <x:c r="H163" s="8" t="str">
        <x:v>{
  "item_seq": "199302514",
  "item_name": "알파아세트아미노펜정500밀리그람",
  "manufacturer": "알파제약(주)",
  "section_codes": [
    "storage"
  ]
}</x:v>
      </x:c>
    </x:row>
    <x:row r="164" ht="54" customHeight="1">
      <x:c r="A164" s="8" t="str">
        <x:v>gold-medication-1c281714fd3bac83</x:v>
      </x:c>
      <x:c r="B164" s="8" t="str">
        <x:v>eyak:201001784:dosage:001</x:v>
      </x:c>
      <x:c r="C164" s="8" t="str">
        <x:v>eyak:201001784:dosage:001</x:v>
      </x:c>
      <x:c r="D164" s="8" t="str">
        <x:v>근거와 함께 답변</x:v>
      </x:c>
      <x:c r="E164" s="15" t="n">
        <x:v>162</x:v>
      </x:c>
      <x:c r="F164" s="8" t="str">
        <x:v>기존 검증 정답</x:v>
      </x:c>
      <x:c r="G164" s="8" t="str">
        <x:v>https://apis.data.go.kr/1471000/DrbEasyDrugInfoService/getDrbEasyDrugList</x:v>
      </x:c>
      <x:c r="H164" s="8" t="str">
        <x:v>{
  "item_seq": "201001784",
  "item_name": "비트리모정",
  "manufacturer": "조아제약(주)",
  "section_codes": [
    "dosage"
  ]
}</x:v>
      </x:c>
    </x:row>
    <x:row r="165" ht="54" customHeight="1">
      <x:c r="A165" s="8" t="str">
        <x:v>gold-medication-bc7bc8373b68a055</x:v>
      </x:c>
      <x:c r="B165" s="8" t="str">
        <x:v>eyak:201108206:adverse_reactions:001</x:v>
      </x:c>
      <x:c r="C165" s="8" t="str">
        <x:v>eyak:201108206:adverse_reactions:001</x:v>
      </x:c>
      <x:c r="D165" s="8" t="str">
        <x:v>근거와 함께 답변</x:v>
      </x:c>
      <x:c r="E165" s="15" t="n">
        <x:v>163</x:v>
      </x:c>
      <x:c r="F165" s="8" t="str">
        <x:v>기존 검증 정답</x:v>
      </x:c>
      <x:c r="G165" s="8" t="str">
        <x:v>https://apis.data.go.kr/1471000/DrbEasyDrugInfoService/getDrbEasyDrugList</x:v>
      </x:c>
      <x:c r="H165" s="8" t="str">
        <x:v>{
  "item_seq": "201108206",
  "item_name": "폴리아린에프캡슐",
  "manufacturer": "알리코제약(주)",
  "section_codes": [
    "adverse_reactions"
  ]
}</x:v>
      </x:c>
    </x:row>
    <x:row r="166" ht="54" customHeight="1">
      <x:c r="A166" s="8" t="str">
        <x:v>gold-medication-dc30a288bf351dbe</x:v>
      </x:c>
      <x:c r="B166" s="8" t="str">
        <x:v>eyak:202301122:precautions:001</x:v>
      </x:c>
      <x:c r="C166" s="8" t="str">
        <x:v>eyak:202301122:precautions:001</x:v>
      </x:c>
      <x:c r="D166" s="8" t="str">
        <x:v>근거와 함께 답변</x:v>
      </x:c>
      <x:c r="E166" s="15" t="n">
        <x:v>164</x:v>
      </x:c>
      <x:c r="F166" s="8" t="str">
        <x:v>기존 검증 정답</x:v>
      </x:c>
      <x:c r="G166" s="8" t="str">
        <x:v>https://apis.data.go.kr/1471000/DrbEasyDrugInfoService/getDrbEasyDrugList</x:v>
      </x:c>
      <x:c r="H166" s="8" t="str">
        <x:v>{
  "item_seq": "202301122",
  "item_name": "세나트리플질연질캡슐",
  "manufacturer": "알보젠코리아(주)",
  "section_codes": [
    "precautions"
  ]
}</x:v>
      </x:c>
    </x:row>
    <x:row r="167" ht="54" customHeight="1">
      <x:c r="A167" s="8" t="str">
        <x:v>gold-medication-e841cb85771d1d22</x:v>
      </x:c>
      <x:c r="B167" s="8" t="str">
        <x:v>eyak:202500438:efficacy:001</x:v>
      </x:c>
      <x:c r="C167" s="8" t="str">
        <x:v>eyak:202500438:efficacy:001</x:v>
      </x:c>
      <x:c r="D167" s="8" t="str">
        <x:v>근거와 함께 답변</x:v>
      </x:c>
      <x:c r="E167" s="15" t="n">
        <x:v>165</x:v>
      </x:c>
      <x:c r="F167" s="8" t="str">
        <x:v>기존 검증 정답</x:v>
      </x:c>
      <x:c r="G167" s="8" t="str">
        <x:v>https://apis.data.go.kr/1471000/DrbEasyDrugInfoService/getDrbEasyDrugList</x:v>
      </x:c>
      <x:c r="H167" s="8" t="str">
        <x:v>{
  "item_seq": "202500438",
  "item_name": "마이캄피록시겔(피록시캄)",
  "manufacturer": "코오롱제약(주)",
  "section_codes": [
    "efficacy"
  ]
}</x:v>
      </x:c>
    </x:row>
    <x:row r="168" ht="54" customHeight="1">
      <x:c r="A168" s="8" t="str">
        <x:v>gold-medication-c62c857695153d1c</x:v>
      </x:c>
      <x:c r="B168" s="8" t="str">
        <x:v>eyak:201606934:precautions:002</x:v>
      </x:c>
      <x:c r="C168" s="8" t="str">
        <x:v>eyak:201606934:precautions:002
eyak:201606934:precautions:001
eyak:201606934:precautions:003</x:v>
      </x:c>
      <x:c r="D168" s="8" t="str">
        <x:v>근거와 함께 답변</x:v>
      </x:c>
      <x:c r="E168" s="15" t="n">
        <x:v>166</x:v>
      </x:c>
      <x:c r="F168" s="8" t="str">
        <x:v>기존 검증 정답</x:v>
      </x:c>
      <x:c r="G168" s="8" t="str">
        <x:v>https://apis.data.go.kr/1471000/DrbEasyDrugInfoService/getDrbEasyDrugList</x:v>
      </x:c>
      <x:c r="H168" s="8" t="str">
        <x:v>{
  "item_seq": "201606934",
  "item_name": "라미핀쿨크림",
  "manufacturer": "코오롱제약(주)",
  "section_codes": [
    "precautions"
  ]
}</x:v>
      </x:c>
    </x:row>
    <x:row r="169" ht="54" customHeight="1">
      <x:c r="A169" s="8" t="str">
        <x:v>gold-medication-na-ffc62f29053732c1</x:v>
      </x:c>
      <x:c r="B169" s="8" t="str"/>
      <x:c r="C169" s="8" t="str"/>
      <x:c r="D169" s="8" t="str">
        <x:v>답변 거부 또는 추가 확인 요청</x:v>
      </x:c>
      <x:c r="E169" s="15" t="n">
        <x:v>167</x:v>
      </x:c>
      <x:c r="F169" s="8" t="str">
        <x:v>답변 거부 기준 문구</x:v>
      </x:c>
      <x:c r="G169" s="8" t="str">
        <x:v>https://apis.data.go.kr/1471000/DrbEasyDrugInfoService/getDrbEasyDrugList</x:v>
      </x:c>
      <x:c r="H169" s="8" t="str">
        <x:v>{
  "item_seq": "197800212",
  "item_name": "로파인캡슐(로페라미드염산염)",
  "manufacturer": "태극제약(주)",
  "section_codes": [
    "storage"
  ]
}</x:v>
      </x:c>
    </x:row>
    <x:row r="170" ht="54" customHeight="1">
      <x:c r="A170" s="8" t="str">
        <x:v>gold-medication-2d132231f2b40bb3</x:v>
      </x:c>
      <x:c r="B170" s="8" t="str">
        <x:v>eyak:201004044:warning:001
eyak:201004044:precautions:002</x:v>
      </x:c>
      <x:c r="C170" s="8" t="str">
        <x:v>eyak:201004044:warning:001
eyak:201004044:precautions:002
eyak:201004044:precautions:001
eyak:201004044:precautions:003</x:v>
      </x:c>
      <x:c r="D170" s="8" t="str">
        <x:v>근거와 함께 답변</x:v>
      </x:c>
      <x:c r="E170" s="15" t="n">
        <x:v>168</x:v>
      </x:c>
      <x:c r="F170" s="8" t="str">
        <x:v>기존 검증 정답</x:v>
      </x:c>
      <x:c r="G170" s="8" t="str">
        <x:v>https://apis.data.go.kr/1471000/DrbEasyDrugInfoService/getDrbEasyDrugList</x:v>
      </x:c>
      <x:c r="H170" s="8" t="str">
        <x:v>{
  "item_seq": "201004044",
  "item_name": "파워톤연질캡슐",
  "manufacturer": "(주)동구바이오제약",
  "section_codes": [
    "warning",
    "precautions"
  ]
}</x:v>
      </x:c>
    </x:row>
    <x:row r="171" ht="54" customHeight="1">
      <x:c r="A171" s="8" t="str">
        <x:v>gold-medication-b5fe17746a1298bd</x:v>
      </x:c>
      <x:c r="B171" s="8" t="str">
        <x:v>eyak:201602741:precautions:001</x:v>
      </x:c>
      <x:c r="C171" s="8" t="str">
        <x:v>eyak:201602741:precautions:001</x:v>
      </x:c>
      <x:c r="D171" s="8" t="str">
        <x:v>근거와 함께 답변</x:v>
      </x:c>
      <x:c r="E171" s="15" t="n">
        <x:v>169</x:v>
      </x:c>
      <x:c r="F171" s="8" t="str">
        <x:v>기존 검증 정답</x:v>
      </x:c>
      <x:c r="G171" s="8" t="str">
        <x:v>https://apis.data.go.kr/1471000/DrbEasyDrugInfoService/getDrbEasyDrugList</x:v>
      </x:c>
      <x:c r="H171" s="8" t="str">
        <x:v>{
  "item_seq": "201602741",
  "item_name": "안티포스연고",
  "manufacturer": "시믹씨엠오코리아주식회사",
  "section_codes": [
    "precautions"
  ]
}</x:v>
      </x:c>
    </x:row>
    <x:row r="172" ht="54" customHeight="1">
      <x:c r="A172" s="8" t="str">
        <x:v>gold-medication-722daf3e9b964081</x:v>
      </x:c>
      <x:c r="B172" s="8" t="str">
        <x:v>eyak:199902726:dosage:001</x:v>
      </x:c>
      <x:c r="C172" s="8" t="str">
        <x:v>eyak:199902726:dosage:001</x:v>
      </x:c>
      <x:c r="D172" s="8" t="str">
        <x:v>근거와 함께 답변</x:v>
      </x:c>
      <x:c r="E172" s="15" t="n">
        <x:v>170</x:v>
      </x:c>
      <x:c r="F172" s="8" t="str">
        <x:v>기존 검증 정답</x:v>
      </x:c>
      <x:c r="G172" s="8" t="str">
        <x:v>https://apis.data.go.kr/1471000/DrbEasyDrugInfoService/getDrbEasyDrugList</x:v>
      </x:c>
      <x:c r="H172" s="8" t="str">
        <x:v>{
  "item_seq": "199902726",
  "item_name": "훼로맥스액(폴리말토오스수산화제이철착염)",
  "manufacturer": "한미약품(주)",
  "section_codes": [
    "dosage"
  ]
}</x:v>
      </x:c>
    </x:row>
    <x:row r="173" ht="54" customHeight="1">
      <x:c r="A173" s="8" t="str">
        <x:v>gold-medication-e66bcc80e686a63d</x:v>
      </x:c>
      <x:c r="B173" s="8" t="str">
        <x:v>eyak:197800212:storage:001</x:v>
      </x:c>
      <x:c r="C173" s="8" t="str">
        <x:v>eyak:197800212:storage:001</x:v>
      </x:c>
      <x:c r="D173" s="8" t="str">
        <x:v>근거와 함께 답변</x:v>
      </x:c>
      <x:c r="E173" s="15" t="n">
        <x:v>171</x:v>
      </x:c>
      <x:c r="F173" s="8" t="str">
        <x:v>기존 검증 정답</x:v>
      </x:c>
      <x:c r="G173" s="8" t="str">
        <x:v>https://apis.data.go.kr/1471000/DrbEasyDrugInfoService/getDrbEasyDrugList</x:v>
      </x:c>
      <x:c r="H173" s="8" t="str">
        <x:v>{
  "item_seq": "197800212",
  "item_name": "로파인캡슐(로페라미드염산염)",
  "manufacturer": "태극제약(주)",
  "section_codes": [
    "storage"
  ]
}</x:v>
      </x:c>
    </x:row>
    <x:row r="174" ht="54" customHeight="1">
      <x:c r="A174" s="8" t="str">
        <x:v>gold-medication-b5ade1bb196b37c7</x:v>
      </x:c>
      <x:c r="B174" s="8" t="str">
        <x:v>eyak:199401576:precautions:001</x:v>
      </x:c>
      <x:c r="C174" s="8" t="str">
        <x:v>eyak:199401576:precautions:001
eyak:199401576:precautions:002</x:v>
      </x:c>
      <x:c r="D174" s="8" t="str">
        <x:v>근거와 함께 답변</x:v>
      </x:c>
      <x:c r="E174" s="15" t="n">
        <x:v>172</x:v>
      </x:c>
      <x:c r="F174" s="8" t="str">
        <x:v>기존 검증 정답</x:v>
      </x:c>
      <x:c r="G174" s="8" t="str">
        <x:v>https://apis.data.go.kr/1471000/DrbEasyDrugInfoService/getDrbEasyDrugList</x:v>
      </x:c>
      <x:c r="H174" s="8" t="str">
        <x:v>{
  "item_seq": "199401576",
  "item_name": "트라스트패취(피록시캄)(수출명:미포톱)",
  "manufacturer": "에스케이케미칼(주)",
  "section_codes": [
    "precautions"
  ]
}</x:v>
      </x:c>
    </x:row>
    <x:row r="175" ht="54" customHeight="1">
      <x:c r="A175" s="8" t="str">
        <x:v>gold-medication-e1416d2ffc848f12</x:v>
      </x:c>
      <x:c r="B175" s="8" t="str">
        <x:v>eyak:202003660:precautions:003</x:v>
      </x:c>
      <x:c r="C175" s="8" t="str">
        <x:v>eyak:202003660:precautions:003
eyak:202003660:precautions:001
eyak:202003660:precautions:002
eyak:202003660:precautions:004</x:v>
      </x:c>
      <x:c r="D175" s="8" t="str">
        <x:v>근거와 함께 답변</x:v>
      </x:c>
      <x:c r="E175" s="15" t="n">
        <x:v>173</x:v>
      </x:c>
      <x:c r="F175" s="8" t="str">
        <x:v>기존 검증 정답</x:v>
      </x:c>
      <x:c r="G175" s="8" t="str">
        <x:v>https://apis.data.go.kr/1471000/DrbEasyDrugInfoService/getDrbEasyDrugList</x:v>
      </x:c>
      <x:c r="H175" s="8" t="str">
        <x:v>{
  "item_seq": "202003660",
  "item_name": "투엑스비듀얼정",
  "manufacturer": "(주)한풍제약",
  "section_codes": [
    "precautions"
  ]
}</x:v>
      </x:c>
    </x:row>
    <x:row r="176" ht="54" customHeight="1">
      <x:c r="A176" s="8" t="str">
        <x:v>gold-medication-e25893aa36429d31</x:v>
      </x:c>
      <x:c r="B176" s="8" t="str">
        <x:v>eyak:202301564:interactions:001</x:v>
      </x:c>
      <x:c r="C176" s="8" t="str">
        <x:v>eyak:202301564:interactions:001</x:v>
      </x:c>
      <x:c r="D176" s="8" t="str">
        <x:v>근거와 함께 답변</x:v>
      </x:c>
      <x:c r="E176" s="15" t="n">
        <x:v>174</x:v>
      </x:c>
      <x:c r="F176" s="8" t="str">
        <x:v>기존 검증 정답</x:v>
      </x:c>
      <x:c r="G176" s="8" t="str">
        <x:v>https://apis.data.go.kr/1471000/DrbEasyDrugInfoService/getDrbEasyDrugList</x:v>
      </x:c>
      <x:c r="H176" s="8" t="str">
        <x:v>{
  "item_seq": "202301564",
  "item_name": "메코이에프정",
  "manufacturer": "동성제약(주)",
  "section_codes": [
    "interactions"
  ]
}</x:v>
      </x:c>
    </x:row>
    <x:row r="177" ht="54" customHeight="1">
      <x:c r="A177" s="8" t="str">
        <x:v>gold-medication-na-ff5237f6fa446abf</x:v>
      </x:c>
      <x:c r="B177" s="8" t="str"/>
      <x:c r="C177" s="8" t="str"/>
      <x:c r="D177" s="8" t="str">
        <x:v>답변 거부 또는 추가 확인 요청</x:v>
      </x:c>
      <x:c r="E177" s="15" t="n">
        <x:v>175</x:v>
      </x:c>
      <x:c r="F177" s="8" t="str">
        <x:v>답변 거부 기준 문구</x:v>
      </x:c>
      <x:c r="G177" s="8" t="str">
        <x:v>https://apis.data.go.kr/1471000/DrbEasyDrugInfoService/getDrbEasyDrugList</x:v>
      </x:c>
      <x:c r="H177" s="8" t="str">
        <x:v>{
  "item_seq": "201602682",
  "item_name": "메클린구강용해필름25밀리그램(메클리진염산염수화물)(오렌지향)",
  "manufacturer": "(주)씨티씨바이오",
  "section_codes": [
    "adverse_reactions"
  ]
}</x:v>
      </x:c>
    </x:row>
    <x:row r="178" ht="54" customHeight="1">
      <x:c r="A178" s="8" t="str">
        <x:v>gold-medication-29b5a6bdac298720</x:v>
      </x:c>
      <x:c r="B178" s="8" t="str">
        <x:v>eyak:200901620:adverse_reactions:001</x:v>
      </x:c>
      <x:c r="C178" s="8" t="str">
        <x:v>eyak:200901620:adverse_reactions:001</x:v>
      </x:c>
      <x:c r="D178" s="8" t="str">
        <x:v>근거와 함께 답변</x:v>
      </x:c>
      <x:c r="E178" s="15" t="n">
        <x:v>176</x:v>
      </x:c>
      <x:c r="F178" s="8" t="str">
        <x:v>기존 검증 정답</x:v>
      </x:c>
      <x:c r="G178" s="8" t="str">
        <x:v>https://apis.data.go.kr/1471000/DrbEasyDrugInfoService/getDrbEasyDrugList</x:v>
      </x:c>
      <x:c r="H178" s="8" t="str">
        <x:v>{
  "item_seq": "200901620",
  "item_name": "미니메이드정(수출용)",
  "manufacturer": "(주)넥스팜코리아",
  "section_codes": [
    "adverse_reactions"
  ]
}</x:v>
      </x:c>
    </x:row>
    <x:row r="179" ht="54" customHeight="1">
      <x:c r="A179" s="8" t="str">
        <x:v>gold-medication-625003e235b997a1</x:v>
      </x:c>
      <x:c r="B179" s="8" t="str">
        <x:v>eyak:201202810:efficacy:001</x:v>
      </x:c>
      <x:c r="C179" s="8" t="str">
        <x:v>eyak:201202810:efficacy:001</x:v>
      </x:c>
      <x:c r="D179" s="8" t="str">
        <x:v>근거와 함께 답변</x:v>
      </x:c>
      <x:c r="E179" s="15" t="n">
        <x:v>177</x:v>
      </x:c>
      <x:c r="F179" s="8" t="str">
        <x:v>기존 검증 정답</x:v>
      </x:c>
      <x:c r="G179" s="8" t="str">
        <x:v>https://apis.data.go.kr/1471000/DrbEasyDrugInfoService/getDrbEasyDrugList</x:v>
      </x:c>
      <x:c r="H179" s="8" t="str">
        <x:v>{
  "item_seq": "201202810",
  "item_name": "케이팜플라스타(플루르비프로펜)",
  "manufacturer": "명문제약(주)",
  "section_codes": [
    "efficacy"
  ]
}</x:v>
      </x:c>
    </x:row>
    <x:row r="180" ht="54" customHeight="1">
      <x:c r="A180" s="8" t="str">
        <x:v>gold-medication-b7e91347f0cf6fb0</x:v>
      </x:c>
      <x:c r="B180" s="8" t="str">
        <x:v>eyak:201110744:interactions:001</x:v>
      </x:c>
      <x:c r="C180" s="8" t="str">
        <x:v>eyak:201110744:interactions:001</x:v>
      </x:c>
      <x:c r="D180" s="8" t="str">
        <x:v>근거와 함께 답변</x:v>
      </x:c>
      <x:c r="E180" s="15" t="n">
        <x:v>178</x:v>
      </x:c>
      <x:c r="F180" s="8" t="str">
        <x:v>기존 검증 정답</x:v>
      </x:c>
      <x:c r="G180" s="8" t="str">
        <x:v>https://apis.data.go.kr/1471000/DrbEasyDrugInfoService/getDrbEasyDrugList</x:v>
      </x:c>
      <x:c r="H180" s="8" t="str">
        <x:v>{
  "item_seq": "201110744",
  "item_name": "비타미니아정",
  "manufacturer": "동화약품(주)",
  "section_codes": [
    "interactions"
  ]
}</x:v>
      </x:c>
    </x:row>
    <x:row r="181" ht="54" customHeight="1">
      <x:c r="A181" s="8" t="str">
        <x:v>gold-medication-b14eb60a36e65049</x:v>
      </x:c>
      <x:c r="B181" s="8" t="str">
        <x:v>eyak:202501427:adverse_reactions:001</x:v>
      </x:c>
      <x:c r="C181" s="8" t="str">
        <x:v>eyak:202501427:adverse_reactions:001
eyak:202501427:adverse_reactions:002</x:v>
      </x:c>
      <x:c r="D181" s="8" t="str">
        <x:v>근거와 함께 답변</x:v>
      </x:c>
      <x:c r="E181" s="15" t="n">
        <x:v>179</x:v>
      </x:c>
      <x:c r="F181" s="8" t="str">
        <x:v>기존 검증 정답</x:v>
      </x:c>
      <x:c r="G181" s="8" t="str">
        <x:v>https://apis.data.go.kr/1471000/DrbEasyDrugInfoService/getDrbEasyDrugList</x:v>
      </x:c>
      <x:c r="H181" s="8" t="str">
        <x:v>{
  "item_seq": "202501427",
  "item_name": "콘드인정",
  "manufacturer": "한국프라임제약(주)",
  "section_codes": [
    "adverse_reactions"
  ]
}</x:v>
      </x:c>
    </x:row>
    <x:row r="182" ht="54" customHeight="1">
      <x:c r="A182" s="8" t="str">
        <x:v>gold-medication-dc5e003ddda98e25</x:v>
      </x:c>
      <x:c r="B182" s="8" t="str">
        <x:v>eyak:201307061:efficacy:001</x:v>
      </x:c>
      <x:c r="C182" s="8" t="str">
        <x:v>eyak:201307061:efficacy:001</x:v>
      </x:c>
      <x:c r="D182" s="8" t="str">
        <x:v>근거와 함께 답변</x:v>
      </x:c>
      <x:c r="E182" s="15" t="n">
        <x:v>180</x:v>
      </x:c>
      <x:c r="F182" s="8" t="str">
        <x:v>기존 검증 정답</x:v>
      </x:c>
      <x:c r="G182" s="8" t="str">
        <x:v>https://apis.data.go.kr/1471000/DrbEasyDrugInfoService/getDrbEasyDrugList</x:v>
      </x:c>
      <x:c r="H182" s="8" t="str">
        <x:v>{
  "item_seq": "201307061",
  "item_name": "린아스장용정(아스피린)",
  "manufacturer": "알리코제약(주)",
  "section_codes": [
    "efficacy"
  ]
}</x:v>
      </x:c>
    </x:row>
    <x:row r="183" ht="54" customHeight="1">
      <x:c r="A183" s="8" t="str">
        <x:v>gold-medication-d6f0f981758228a4</x:v>
      </x:c>
      <x:c r="B183" s="8" t="str">
        <x:v>eyak:201802357:interactions:001</x:v>
      </x:c>
      <x:c r="C183" s="8" t="str">
        <x:v>eyak:201802357:interactions:001</x:v>
      </x:c>
      <x:c r="D183" s="8" t="str">
        <x:v>근거와 함께 답변</x:v>
      </x:c>
      <x:c r="E183" s="15" t="n">
        <x:v>181</x:v>
      </x:c>
      <x:c r="F183" s="8" t="str">
        <x:v>기존 검증 정답</x:v>
      </x:c>
      <x:c r="G183" s="8" t="str">
        <x:v>https://apis.data.go.kr/1471000/DrbEasyDrugInfoService/getDrbEasyDrugList</x:v>
      </x:c>
      <x:c r="H183" s="8" t="str">
        <x:v>{
  "item_seq": "201802357",
  "item_name": "에르코프캡슐(에르도스테인)",
  "manufacturer": "(주)다산제약",
  "section_codes": [
    "interactions"
  ]
}</x:v>
      </x:c>
    </x:row>
    <x:row r="184" ht="54" customHeight="1">
      <x:c r="A184" s="8" t="str">
        <x:v>gold-medication-159d323312120366</x:v>
      </x:c>
      <x:c r="B184" s="8" t="str">
        <x:v>eyak:199702621:precautions:001
eyak:199702621:adverse_reactions:001</x:v>
      </x:c>
      <x:c r="C184" s="8" t="str">
        <x:v>eyak:199702621:precautions:001
eyak:199702621:precautions:002
eyak:199702621:adverse_reactions:001
eyak:199702621:adverse_reactions:002</x:v>
      </x:c>
      <x:c r="D184" s="8" t="str">
        <x:v>근거와 함께 답변</x:v>
      </x:c>
      <x:c r="E184" s="15" t="n">
        <x:v>182</x:v>
      </x:c>
      <x:c r="F184" s="8" t="str">
        <x:v>기존 검증 정답</x:v>
      </x:c>
      <x:c r="G184" s="8" t="str">
        <x:v>https://apis.data.go.kr/1471000/DrbEasyDrugInfoService/getDrbEasyDrugList</x:v>
      </x:c>
      <x:c r="H184" s="8" t="str">
        <x:v>{
  "item_seq": "199702621",
  "item_name": "덴스민캡슐",
  "manufacturer": "(주)한국파비스제약",
  "section_codes": [
    "precautions",
    "adverse_reactions"
  ]
}</x:v>
      </x:c>
    </x:row>
    <x:row r="185" ht="54" customHeight="1">
      <x:c r="A185" s="8" t="str">
        <x:v>gold-medication-5ffc95a3d03085c0</x:v>
      </x:c>
      <x:c r="B185" s="8" t="str">
        <x:v>eyak:200001634:dosage:001</x:v>
      </x:c>
      <x:c r="C185" s="8" t="str">
        <x:v>eyak:200001634:dosage:001
eyak:200001634:dosage:002</x:v>
      </x:c>
      <x:c r="D185" s="8" t="str">
        <x:v>근거와 함께 답변</x:v>
      </x:c>
      <x:c r="E185" s="15" t="n">
        <x:v>183</x:v>
      </x:c>
      <x:c r="F185" s="8" t="str">
        <x:v>기존 검증 정답</x:v>
      </x:c>
      <x:c r="G185" s="8" t="str">
        <x:v>https://apis.data.go.kr/1471000/DrbEasyDrugInfoService/getDrbEasyDrugList</x:v>
      </x:c>
      <x:c r="H185" s="8" t="str">
        <x:v>{
  "item_seq": "200001634",
  "item_name": "세진정(세티리진염산염)",
  "manufacturer": "(주)동구바이오제약",
  "section_codes": [
    "dosage"
  ]
}</x:v>
      </x:c>
    </x:row>
    <x:row r="186" ht="54" customHeight="1">
      <x:c r="A186" s="8" t="str">
        <x:v>gold-medication-79e728ac5d0818b4</x:v>
      </x:c>
      <x:c r="B186" s="8" t="str">
        <x:v>eyak:200809299:efficacy:001</x:v>
      </x:c>
      <x:c r="C186" s="8" t="str">
        <x:v>eyak:200809299:efficacy:001</x:v>
      </x:c>
      <x:c r="D186" s="8" t="str">
        <x:v>근거와 함께 답변</x:v>
      </x:c>
      <x:c r="E186" s="15" t="n">
        <x:v>184</x:v>
      </x:c>
      <x:c r="F186" s="8" t="str">
        <x:v>기존 검증 정답</x:v>
      </x:c>
      <x:c r="G186" s="8" t="str">
        <x:v>https://apis.data.go.kr/1471000/DrbEasyDrugInfoService/getDrbEasyDrugList</x:v>
      </x:c>
      <x:c r="H186" s="8" t="str">
        <x:v>{
  "item_seq": "200809299",
  "item_name": "티어클린점안액(순-1회용), 티어클린점안액(순), 티어클린점안액(쿨-1회용), 티어클린점안액(쿨), 티어클린점안액(쿨하이)",
  "manufacturer": "한림제약(주)",
  "section_codes": [
    "efficacy"
  ]
}</x:v>
      </x:c>
    </x:row>
    <x:row r="187" ht="54" customHeight="1">
      <x:c r="A187" s="8" t="str">
        <x:v>gold-medication-196f0ed08c1aab1e</x:v>
      </x:c>
      <x:c r="B187" s="8" t="str">
        <x:v>eyak:202106861:interactions:001</x:v>
      </x:c>
      <x:c r="C187" s="8" t="str">
        <x:v>eyak:202106861:interactions:001
eyak:202106861:interactions:002</x:v>
      </x:c>
      <x:c r="D187" s="8" t="str">
        <x:v>근거와 함께 답변</x:v>
      </x:c>
      <x:c r="E187" s="15" t="n">
        <x:v>185</x:v>
      </x:c>
      <x:c r="F187" s="8" t="str">
        <x:v>기존 검증 정답</x:v>
      </x:c>
      <x:c r="G187" s="8" t="str">
        <x:v>https://apis.data.go.kr/1471000/DrbEasyDrugInfoService/getDrbEasyDrugList</x:v>
      </x:c>
      <x:c r="H187" s="8" t="str">
        <x:v>{
  "item_seq": "202106861",
  "item_name": "파모컴정",
  "manufacturer": "정우신약(주)",
  "section_codes": [
    "interactions"
  ]
}</x:v>
      </x:c>
    </x:row>
    <x:row r="188" ht="54" customHeight="1">
      <x:c r="A188" s="8" t="str">
        <x:v>gold-medication-02a78fb2e03658de</x:v>
      </x:c>
      <x:c r="B188" s="8" t="str">
        <x:v>eyak:202401065:interactions:001</x:v>
      </x:c>
      <x:c r="C188" s="8" t="str">
        <x:v>eyak:202401065:interactions:001</x:v>
      </x:c>
      <x:c r="D188" s="8" t="str">
        <x:v>근거와 함께 답변</x:v>
      </x:c>
      <x:c r="E188" s="15" t="n">
        <x:v>186</x:v>
      </x:c>
      <x:c r="F188" s="8" t="str">
        <x:v>기존 검증 정답</x:v>
      </x:c>
      <x:c r="G188" s="8" t="str">
        <x:v>https://apis.data.go.kr/1471000/DrbEasyDrugInfoService/getDrbEasyDrugList</x:v>
      </x:c>
      <x:c r="H188" s="8" t="str">
        <x:v>{
  "item_seq": "202401065",
  "item_name": "이엠지스피드더블액션액",
  "manufacturer": "동성제약(주)",
  "section_codes": [
    "interactions"
  ]
}</x:v>
      </x:c>
    </x:row>
    <x:row r="189" ht="54" customHeight="1">
      <x:c r="A189" s="8" t="str">
        <x:v>gold-medication-95280cf5324f419c</x:v>
      </x:c>
      <x:c r="B189" s="8" t="str">
        <x:v>eyak:200809695:precautions:001</x:v>
      </x:c>
      <x:c r="C189" s="8" t="str">
        <x:v>eyak:200809695:precautions:001
eyak:200809695:precautions:002</x:v>
      </x:c>
      <x:c r="D189" s="8" t="str">
        <x:v>근거와 함께 답변</x:v>
      </x:c>
      <x:c r="E189" s="15" t="n">
        <x:v>187</x:v>
      </x:c>
      <x:c r="F189" s="8" t="str">
        <x:v>기존 검증 정답</x:v>
      </x:c>
      <x:c r="G189" s="8" t="str">
        <x:v>https://apis.data.go.kr/1471000/DrbEasyDrugInfoService/getDrbEasyDrugList</x:v>
      </x:c>
      <x:c r="H189" s="8" t="str">
        <x:v>{
  "item_seq": "200809695",
  "item_name": "한방장수고카타플라스마",
  "manufacturer": "대화제약(주)",
  "section_codes": [
    "precautions"
  ]
}</x:v>
      </x:c>
    </x:row>
    <x:row r="190" ht="54" customHeight="1">
      <x:c r="A190" s="8" t="str">
        <x:v>gold-medication-na-f183d2275b7eb319</x:v>
      </x:c>
      <x:c r="B190" s="8" t="str"/>
      <x:c r="C190" s="8" t="str"/>
      <x:c r="D190" s="8" t="str">
        <x:v>답변 거부 또는 추가 확인 요청</x:v>
      </x:c>
      <x:c r="E190" s="15" t="n">
        <x:v>188</x:v>
      </x:c>
      <x:c r="F190" s="8" t="str">
        <x:v>답변 거부 기준 문구</x:v>
      </x:c>
      <x:c r="G190" s="8" t="str">
        <x:v>https://apis.data.go.kr/1471000/DrbEasyDrugInfoService/getDrbEasyDrugList</x:v>
      </x:c>
      <x:c r="H190" s="8" t="str">
        <x:v>{
  "item_seq": "201801769",
  "item_name": "락토필캡슐300밀리그램(락토바실루스아시도필루스균)",
  "manufacturer": "(주)아이월드제약",
  "section_codes": [
    "precautions"
  ]
}</x:v>
      </x:c>
    </x:row>
    <x:row r="191" ht="54" customHeight="1">
      <x:c r="A191" s="8" t="str">
        <x:v>gold-medication-e994fa484da125c1</x:v>
      </x:c>
      <x:c r="B191" s="8" t="str">
        <x:v>eyak:200100780:precautions:001</x:v>
      </x:c>
      <x:c r="C191" s="8" t="str">
        <x:v>eyak:200100780:precautions:001
eyak:200100780:precautions:002</x:v>
      </x:c>
      <x:c r="D191" s="8" t="str">
        <x:v>근거와 함께 답변</x:v>
      </x:c>
      <x:c r="E191" s="15" t="n">
        <x:v>189</x:v>
      </x:c>
      <x:c r="F191" s="8" t="str">
        <x:v>기존 검증 정답</x:v>
      </x:c>
      <x:c r="G191" s="8" t="str">
        <x:v>https://apis.data.go.kr/1471000/DrbEasyDrugInfoService/getDrbEasyDrugList</x:v>
      </x:c>
      <x:c r="H191" s="8" t="str">
        <x:v>{
  "item_seq": "200100780",
  "item_name": "동화덴스톨캡슐",
  "manufacturer": "동화약품(주)",
  "section_codes": [
    "precautions"
  ]
}</x:v>
      </x:c>
    </x:row>
    <x:row r="192" ht="54" customHeight="1">
      <x:c r="A192" s="8" t="str">
        <x:v>gold-medication-50c258e44782de07</x:v>
      </x:c>
      <x:c r="B192" s="8" t="str">
        <x:v>eyak:198901589:warning:001
eyak:198901589:precautions:001</x:v>
      </x:c>
      <x:c r="C192" s="8" t="str">
        <x:v>eyak:198901589:warning:001
eyak:198901589:precautions:001
eyak:198901589:precautions:002
eyak:198901589:precautions:003
eyak:198901589:precautions:004</x:v>
      </x:c>
      <x:c r="D192" s="8" t="str">
        <x:v>근거와 함께 답변</x:v>
      </x:c>
      <x:c r="E192" s="15" t="n">
        <x:v>190</x:v>
      </x:c>
      <x:c r="F192" s="8" t="str">
        <x:v>기존 검증 정답</x:v>
      </x:c>
      <x:c r="G192" s="8" t="str">
        <x:v>https://apis.data.go.kr/1471000/DrbEasyDrugInfoService/getDrbEasyDrugList</x:v>
      </x:c>
      <x:c r="H192" s="8" t="str">
        <x:v>{
  "item_seq": "198901589",
  "item_name": "자이날정(나프록센나트륨)",
  "manufacturer": "고려제약(주)",
  "section_codes": [
    "warning",
    "precautions"
  ]
}</x:v>
      </x:c>
    </x:row>
    <x:row r="193" ht="54" customHeight="1">
      <x:c r="A193" s="8" t="str">
        <x:v>gold-medication-b8f03676bd0772a9</x:v>
      </x:c>
      <x:c r="B193" s="8" t="str">
        <x:v>eyak:201700802:dosage:001</x:v>
      </x:c>
      <x:c r="C193" s="8" t="str">
        <x:v>eyak:201700802:dosage:001</x:v>
      </x:c>
      <x:c r="D193" s="8" t="str">
        <x:v>근거와 함께 답변</x:v>
      </x:c>
      <x:c r="E193" s="15" t="n">
        <x:v>191</x:v>
      </x:c>
      <x:c r="F193" s="8" t="str">
        <x:v>기존 검증 정답</x:v>
      </x:c>
      <x:c r="G193" s="8" t="str">
        <x:v>https://apis.data.go.kr/1471000/DrbEasyDrugInfoService/getDrbEasyDrugList</x:v>
      </x:c>
      <x:c r="H193" s="8" t="str">
        <x:v>{
  "item_seq": "201700802",
  "item_name": "람노스캡슐500밀리그램(락토바실루스카제이변종람노수스)",
  "manufacturer": "한화제약(주)",
  "section_codes": [
    "dosage"
  ]
}</x:v>
      </x:c>
    </x:row>
    <x:row r="194" ht="54" customHeight="1">
      <x:c r="A194" s="8" t="str">
        <x:v>gold-medication-6d32fe5444168de5</x:v>
      </x:c>
      <x:c r="B194" s="8" t="str">
        <x:v>eyak:202102171:adverse_reactions:003</x:v>
      </x:c>
      <x:c r="C194" s="8" t="str">
        <x:v>eyak:202102171:adverse_reactions:003
eyak:202102171:adverse_reactions:001
eyak:202102171:adverse_reactions:002
eyak:202102171:adverse_reactions:004</x:v>
      </x:c>
      <x:c r="D194" s="8" t="str">
        <x:v>근거와 함께 답변</x:v>
      </x:c>
      <x:c r="E194" s="15" t="n">
        <x:v>192</x:v>
      </x:c>
      <x:c r="F194" s="8" t="str">
        <x:v>기존 검증 정답</x:v>
      </x:c>
      <x:c r="G194" s="8" t="str">
        <x:v>https://apis.data.go.kr/1471000/DrbEasyDrugInfoService/getDrbEasyDrugList</x:v>
      </x:c>
      <x:c r="H194" s="8" t="str">
        <x:v>{
  "item_seq": "202102171",
  "item_name": "하디큐콜드연질캡슐",
  "manufacturer": "(주)알피바이오",
  "section_codes": [
    "adverse_reactions"
  ]
}</x:v>
      </x:c>
    </x:row>
    <x:row r="195" ht="54" customHeight="1">
      <x:c r="A195" s="8" t="str">
        <x:v>gold-medication-df67a1702cc9b760</x:v>
      </x:c>
      <x:c r="B195" s="8" t="str">
        <x:v>eyak:199800874:precautions:001</x:v>
      </x:c>
      <x:c r="C195" s="8" t="str">
        <x:v>eyak:199800874:precautions:001</x:v>
      </x:c>
      <x:c r="D195" s="8" t="str">
        <x:v>근거와 함께 답변</x:v>
      </x:c>
      <x:c r="E195" s="15" t="n">
        <x:v>193</x:v>
      </x:c>
      <x:c r="F195" s="8" t="str">
        <x:v>기존 검증 정답</x:v>
      </x:c>
      <x:c r="G195" s="8" t="str">
        <x:v>https://apis.data.go.kr/1471000/DrbEasyDrugInfoService/getDrbEasyDrugList</x:v>
      </x:c>
      <x:c r="H195" s="8" t="str">
        <x:v>{
  "item_seq": "199800874",
  "item_name": "터치메드연고",
  "manufacturer": "동화약품(주)",
  "section_codes": [
    "precautions"
  ]
}</x:v>
      </x:c>
    </x:row>
    <x:row r="196" ht="54" customHeight="1">
      <x:c r="A196" s="8" t="str">
        <x:v>gold-medication-6a7e433de58910fd</x:v>
      </x:c>
      <x:c r="B196" s="8" t="str">
        <x:v>eyak:201300045:warning:001
eyak:201300045:precautions:005
eyak:201300045:adverse_reactions:001</x:v>
      </x:c>
      <x:c r="C196" s="8" t="str">
        <x:v>eyak:201300045:warning:001
eyak:201300045:warning:002
eyak:201300045:precautions:005
eyak:201300045:precautions:004
eyak:201300045:precautions:003
eyak:201300045:precautions:002
eyak:201300045:precautions:001
eyak:201300045:adverse_reactions:001
eyak:201300045:adverse_reactions:002
eyak:201300045:adverse_reactions:003</x:v>
      </x:c>
      <x:c r="D196" s="8" t="str">
        <x:v>근거와 함께 답변</x:v>
      </x:c>
      <x:c r="E196" s="15" t="n">
        <x:v>194</x:v>
      </x:c>
      <x:c r="F196" s="8" t="str">
        <x:v>기존 검증 정답</x:v>
      </x:c>
      <x:c r="G196" s="8" t="str">
        <x:v>https://apis.data.go.kr/1471000/DrbEasyDrugInfoService/getDrbEasyDrugList</x:v>
      </x:c>
      <x:c r="H196" s="8" t="str">
        <x:v>{
  "item_seq": "201300045",
  "item_name": "화이투벤씨플러스캡슐",
  "manufacturer": "동화약품(주)",
  "section_codes": [
    "warning",
    "precautions",
    "adverse_reactions"
  ]
}</x:v>
      </x:c>
    </x:row>
    <x:row r="197" ht="54" customHeight="1">
      <x:c r="A197" s="8" t="str">
        <x:v>gold-medication-na-a1a97190fea564bf</x:v>
      </x:c>
      <x:c r="B197" s="8" t="str"/>
      <x:c r="C197" s="8" t="str"/>
      <x:c r="D197" s="8" t="str">
        <x:v>답변 거부 또는 추가 확인 요청</x:v>
      </x:c>
      <x:c r="E197" s="15" t="n">
        <x:v>195</x:v>
      </x:c>
      <x:c r="F197" s="8" t="str">
        <x:v>답변 거부 기준 문구</x:v>
      </x:c>
      <x:c r="G197" s="8" t="str">
        <x:v>https://apis.data.go.kr/1471000/DrbEasyDrugInfoService/getDrbEasyDrugList</x:v>
      </x:c>
      <x:c r="H197" s="8" t="str">
        <x:v>{
  "item_seq": "200708107",
  "item_name": "디알클리어점안액(카르복시메틸셀룰로오스나트륨)(1회용)",
  "manufacturer": "삼천당제약(주)",
  "section_codes": [
    "storage"
  ]
}</x:v>
      </x:c>
    </x:row>
    <x:row r="198" ht="54" customHeight="1">
      <x:c r="A198" s="8" t="str">
        <x:v>gold-medication-cf93a0685e55b9d5</x:v>
      </x:c>
      <x:c r="B198" s="8" t="str">
        <x:v>eyak:201006974:precautions:002
eyak:201006974:adverse_reactions:001</x:v>
      </x:c>
      <x:c r="C198" s="8" t="str">
        <x:v>eyak:201006974:precautions:002
eyak:201006974:precautions:001
eyak:201006974:adverse_reactions:001</x:v>
      </x:c>
      <x:c r="D198" s="8" t="str">
        <x:v>근거와 함께 답변</x:v>
      </x:c>
      <x:c r="E198" s="15" t="n">
        <x:v>196</x:v>
      </x:c>
      <x:c r="F198" s="8" t="str">
        <x:v>기존 검증 정답</x:v>
      </x:c>
      <x:c r="G198" s="8" t="str">
        <x:v>https://apis.data.go.kr/1471000/DrbEasyDrugInfoService/getDrbEasyDrugList</x:v>
      </x:c>
      <x:c r="H198" s="8" t="str">
        <x:v>{
  "item_seq": "201006974",
  "item_name": "비오플250산(사카로마이세스보울라르디균)",
  "manufacturer": "건일제약(주)",
  "section_codes": [
    "precautions",
    "adverse_reactions"
  ]
}</x:v>
      </x:c>
    </x:row>
    <x:row r="199" ht="54" customHeight="1">
      <x:c r="A199" s="8" t="str">
        <x:v>gold-medication-9481fd56a6e2fb92</x:v>
      </x:c>
      <x:c r="B199" s="8" t="str">
        <x:v>eyak:199703010:precautions:001</x:v>
      </x:c>
      <x:c r="C199" s="8" t="str">
        <x:v>eyak:199703010:precautions:001
eyak:199703010:precautions:002
eyak:199703010:precautions:003
eyak:199703010:precautions:004</x:v>
      </x:c>
      <x:c r="D199" s="8" t="str">
        <x:v>근거와 함께 답변</x:v>
      </x:c>
      <x:c r="E199" s="15" t="n">
        <x:v>197</x:v>
      </x:c>
      <x:c r="F199" s="8" t="str">
        <x:v>기존 검증 정답</x:v>
      </x:c>
      <x:c r="G199" s="8" t="str">
        <x:v>https://apis.data.go.kr/1471000/DrbEasyDrugInfoService/getDrbEasyDrugList</x:v>
      </x:c>
      <x:c r="H199" s="8" t="str">
        <x:v>{
  "item_seq": "199703010",
  "item_name": "초당아스피린장용정100mg(아스피린)",
  "manufacturer": "초당약품공업(주)",
  "section_codes": [
    "precautions"
  ]
}</x:v>
      </x:c>
    </x:row>
    <x:row r="200" ht="54" customHeight="1">
      <x:c r="A200" s="8" t="str">
        <x:v>gold-medication-183bb6a3460ab6bc</x:v>
      </x:c>
      <x:c r="B200" s="8" t="str">
        <x:v>eyak:201707524:precautions:001</x:v>
      </x:c>
      <x:c r="C200" s="8" t="str">
        <x:v>eyak:201707524:precautions:001
eyak:201707524:precautions:003
eyak:201707524:precautions:002
eyak:201707524:precautions:005
eyak:201707524:precautions:004</x:v>
      </x:c>
      <x:c r="D200" s="8" t="str">
        <x:v>근거와 함께 답변</x:v>
      </x:c>
      <x:c r="E200" s="15" t="n">
        <x:v>198</x:v>
      </x:c>
      <x:c r="F200" s="8" t="str">
        <x:v>기존 검증 정답</x:v>
      </x:c>
      <x:c r="G200" s="8" t="str">
        <x:v>https://apis.data.go.kr/1471000/DrbEasyDrugInfoService/getDrbEasyDrugList</x:v>
      </x:c>
      <x:c r="H200" s="8" t="str">
        <x:v>{
  "item_seq": "201707524",
  "item_name": "킥콜연질캡슐",
  "manufacturer": "지엘파마(주)",
  "section_codes": [
    "precautions"
  ]
}</x:v>
      </x:c>
    </x:row>
    <x:row r="201" ht="54" customHeight="1">
      <x:c r="A201" s="8" t="str">
        <x:v>gold-medication-a4eda492ea7ab6b6</x:v>
      </x:c>
      <x:c r="B201" s="8" t="str">
        <x:v>eyak:201705676:warning:001
eyak:201705676:precautions:004
eyak:201705676:adverse_reactions:001</x:v>
      </x:c>
      <x:c r="C201" s="8" t="str">
        <x:v>eyak:201705676:warning:001
eyak:201705676:precautions:004
eyak:201705676:precautions:003
eyak:201705676:precautions:002
eyak:201705676:precautions:001
eyak:201705676:adverse_reactions:001
eyak:201705676:adverse_reactions:002</x:v>
      </x:c>
      <x:c r="D201" s="8" t="str">
        <x:v>근거와 함께 답변</x:v>
      </x:c>
      <x:c r="E201" s="15" t="n">
        <x:v>199</x:v>
      </x:c>
      <x:c r="F201" s="8" t="str">
        <x:v>기존 검증 정답</x:v>
      </x:c>
      <x:c r="G201" s="8" t="str">
        <x:v>https://apis.data.go.kr/1471000/DrbEasyDrugInfoService/getDrbEasyDrugList</x:v>
      </x:c>
      <x:c r="H201" s="8" t="str">
        <x:v>{
  "item_seq": "201705676",
  "item_name": "벤포벨브이정",
  "manufacturer": "(주)종근당",
  "section_codes": [
    "warning",
    "precautions",
    "adverse_reactions"
  ]
}</x:v>
      </x:c>
    </x:row>
    <x:row r="202" ht="54" customHeight="1">
      <x:c r="A202" s="8" t="str">
        <x:v>gold-medication-5819a459430b9005</x:v>
      </x:c>
      <x:c r="B202" s="8" t="str">
        <x:v>eyak:201700510:precautions:001</x:v>
      </x:c>
      <x:c r="C202" s="8" t="str">
        <x:v>eyak:201700510:precautions:001
eyak:201700510:precautions:002
eyak:201700510:precautions:003</x:v>
      </x:c>
      <x:c r="D202" s="8" t="str">
        <x:v>근거와 함께 답변</x:v>
      </x:c>
      <x:c r="E202" s="15" t="n">
        <x:v>200</x:v>
      </x:c>
      <x:c r="F202" s="8" t="str">
        <x:v>기존 검증 정답</x:v>
      </x:c>
      <x:c r="G202" s="8" t="str">
        <x:v>https://apis.data.go.kr/1471000/DrbEasyDrugInfoService/getDrbEasyDrugList</x:v>
      </x:c>
      <x:c r="H202" s="8" t="str">
        <x:v>{
  "item_seq": "201700510",
  "item_name": "메가트루액티브정",
  "manufacturer": "(주)유한양행",
  "section_codes": [
    "precautions"
  ]
}</x:v>
      </x:c>
    </x:row>
    <x:row r="203" ht="54" customHeight="1">
      <x:c r="A203" s="8" t="str">
        <x:v>gold-medication-na-87d1ff51117f8da2</x:v>
      </x:c>
      <x:c r="B203" s="8" t="str"/>
      <x:c r="C203" s="8" t="str"/>
      <x:c r="D203" s="8" t="str">
        <x:v>답변 거부 또는 추가 확인 요청</x:v>
      </x:c>
      <x:c r="E203" s="15" t="n">
        <x:v>201</x:v>
      </x:c>
      <x:c r="F203" s="8" t="str">
        <x:v>답변 거부 기준 문구</x:v>
      </x:c>
      <x:c r="G203" s="8" t="str">
        <x:v>https://apis.data.go.kr/1471000/DrbEasyDrugInfoService/getDrbEasyDrugList</x:v>
      </x:c>
      <x:c r="H203" s="8" t="str">
        <x:v>{
  "item_seq": "200102101",
  "item_name": "혜민고카타플라스마",
  "manufacturer": "대화제약(주)",
  "section_codes": [
    "efficacy"
  ]
}</x:v>
      </x:c>
    </x:row>
    <x:row r="204" ht="54" customHeight="1">
      <x:c r="A204" s="8" t="str">
        <x:v>gold-medication-22e9a8d981a7fa2d</x:v>
      </x:c>
      <x:c r="B204" s="8" t="str">
        <x:v>eyak:200201998:precautions:001</x:v>
      </x:c>
      <x:c r="C204" s="8" t="str">
        <x:v>eyak:200201998:precautions:001</x:v>
      </x:c>
      <x:c r="D204" s="8" t="str">
        <x:v>근거와 함께 답변</x:v>
      </x:c>
      <x:c r="E204" s="15" t="n">
        <x:v>202</x:v>
      </x:c>
      <x:c r="F204" s="8" t="str">
        <x:v>기존 검증 정답</x:v>
      </x:c>
      <x:c r="G204" s="8" t="str">
        <x:v>https://apis.data.go.kr/1471000/DrbEasyDrugInfoService/getDrbEasyDrugList</x:v>
      </x:c>
      <x:c r="H204" s="8" t="str">
        <x:v>{
  "item_seq": "200201998",
  "item_name": "덴스롤캡슐",
  "manufacturer": "에스케이케미칼(주)",
  "section_codes": [
    "precautions"
  ]
}</x:v>
      </x:c>
    </x:row>
    <x:row r="205" ht="54" customHeight="1">
      <x:c r="A205" s="8" t="str">
        <x:v>gold-medication-91995729074687ef</x:v>
      </x:c>
      <x:c r="B205" s="8" t="str">
        <x:v>eyak:201508445:adverse_reactions:001</x:v>
      </x:c>
      <x:c r="C205" s="8" t="str">
        <x:v>eyak:201508445:adverse_reactions:001
eyak:201508445:adverse_reactions:002</x:v>
      </x:c>
      <x:c r="D205" s="8" t="str">
        <x:v>근거와 함께 답변</x:v>
      </x:c>
      <x:c r="E205" s="15" t="n">
        <x:v>203</x:v>
      </x:c>
      <x:c r="F205" s="8" t="str">
        <x:v>기존 검증 정답</x:v>
      </x:c>
      <x:c r="G205" s="8" t="str">
        <x:v>https://apis.data.go.kr/1471000/DrbEasyDrugInfoService/getDrbEasyDrugList</x:v>
      </x:c>
      <x:c r="H205" s="8" t="str">
        <x:v>{
  "item_seq": "201508445",
  "item_name": "기가엔드연질캡슐",
  "manufacturer": "동방에프티엘(주)",
  "section_codes": [
    "adverse_reactions"
  ]
}</x:v>
      </x:c>
    </x:row>
    <x:row r="206" ht="54" customHeight="1">
      <x:c r="A206" s="8" t="str">
        <x:v>gold-medication-8bddfaa102b3ab5b</x:v>
      </x:c>
      <x:c r="B206" s="8" t="str">
        <x:v>eyak:202107890:precautions:001</x:v>
      </x:c>
      <x:c r="C206" s="8" t="str">
        <x:v>eyak:202107890:precautions:001
eyak:202107890:precautions:003
eyak:202107890:precautions:002</x:v>
      </x:c>
      <x:c r="D206" s="8" t="str">
        <x:v>근거와 함께 답변</x:v>
      </x:c>
      <x:c r="E206" s="15" t="n">
        <x:v>204</x:v>
      </x:c>
      <x:c r="F206" s="8" t="str">
        <x:v>기존 검증 정답</x:v>
      </x:c>
      <x:c r="G206" s="8" t="str">
        <x:v>https://apis.data.go.kr/1471000/DrbEasyDrugInfoService/getDrbEasyDrugList</x:v>
      </x:c>
      <x:c r="H206" s="8" t="str">
        <x:v>{
  "item_seq": "202107890",
  "item_name": "듀오베린정",
  "manufacturer": "주식회사 노바엠헬스케어",
  "section_codes": [
    "precautions"
  ]
}</x:v>
      </x:c>
    </x:row>
    <x:row r="207" ht="54" customHeight="1">
      <x:c r="A207" s="8" t="str">
        <x:v>gold-medication-65176de903119144</x:v>
      </x:c>
      <x:c r="B207" s="8" t="str">
        <x:v>eyak:201906400:adverse_reactions:001</x:v>
      </x:c>
      <x:c r="C207" s="8" t="str">
        <x:v>eyak:201906400:adverse_reactions:001
eyak:201906400:adverse_reactions:002
eyak:201906400:adverse_reactions:003
eyak:201906400:adverse_reactions:004
eyak:201906400:adverse_reactions:005
eyak:201906400:adverse_reactions:006</x:v>
      </x:c>
      <x:c r="D207" s="8" t="str">
        <x:v>근거와 함께 답변</x:v>
      </x:c>
      <x:c r="E207" s="15" t="n">
        <x:v>205</x:v>
      </x:c>
      <x:c r="F207" s="8" t="str">
        <x:v>기존 검증 정답</x:v>
      </x:c>
      <x:c r="G207" s="8" t="str">
        <x:v>https://apis.data.go.kr/1471000/DrbEasyDrugInfoService/getDrbEasyDrugList</x:v>
      </x:c>
      <x:c r="H207" s="8" t="str">
        <x:v>{
  "item_seq": "201906400",
  "item_name": "세노바퀵연질캡슐(세티리진염산염)",
  "manufacturer": "일동제약(주)",
  "section_codes": [
    "adverse_reactions"
  ]
}</x:v>
      </x:c>
    </x:row>
    <x:row r="208" ht="54" customHeight="1">
      <x:c r="A208" s="8" t="str">
        <x:v>gold-medication-52391bdab79d297c</x:v>
      </x:c>
      <x:c r="B208" s="8" t="str">
        <x:v>eyak:201309581:adverse_reactions:001</x:v>
      </x:c>
      <x:c r="C208" s="8" t="str">
        <x:v>eyak:201309581:adverse_reactions:001</x:v>
      </x:c>
      <x:c r="D208" s="8" t="str">
        <x:v>근거와 함께 답변</x:v>
      </x:c>
      <x:c r="E208" s="15" t="n">
        <x:v>206</x:v>
      </x:c>
      <x:c r="F208" s="8" t="str">
        <x:v>기존 검증 정답</x:v>
      </x:c>
      <x:c r="G208" s="8" t="str">
        <x:v>https://apis.data.go.kr/1471000/DrbEasyDrugInfoService/getDrbEasyDrugList</x:v>
      </x:c>
      <x:c r="H208" s="8" t="str">
        <x:v>{
  "item_seq": "201309581",
  "item_name": "하벤유에스캡슐",
  "manufacturer": "고려제약(주)",
  "section_codes": [
    "adverse_reactions"
  ]
}</x:v>
      </x:c>
    </x:row>
    <x:row r="209" ht="54" customHeight="1">
      <x:c r="A209" s="8" t="str">
        <x:v>gold-medication-eff93a7b404442b2</x:v>
      </x:c>
      <x:c r="B209" s="8" t="str">
        <x:v>eyak:201307930:efficacy:001</x:v>
      </x:c>
      <x:c r="C209" s="8" t="str">
        <x:v>eyak:201307930:efficacy:001</x:v>
      </x:c>
      <x:c r="D209" s="8" t="str">
        <x:v>근거와 함께 답변</x:v>
      </x:c>
      <x:c r="E209" s="15" t="n">
        <x:v>207</x:v>
      </x:c>
      <x:c r="F209" s="8" t="str">
        <x:v>기존 검증 정답</x:v>
      </x:c>
      <x:c r="G209" s="8" t="str">
        <x:v>https://apis.data.go.kr/1471000/DrbEasyDrugInfoService/getDrbEasyDrugList</x:v>
      </x:c>
      <x:c r="H209" s="8" t="str">
        <x:v>{
  "item_seq": "201307930",
  "item_name": "노자임캡슐40000(판크레아틴장용성제피펠렛)",
  "manufacturer": "(주)한국팜비오",
  "section_codes": [
    "efficacy"
  ]
}</x:v>
      </x:c>
    </x:row>
    <x:row r="210" ht="54" customHeight="1">
      <x:c r="A210" s="8" t="str">
        <x:v>gold-medication-ba676689d8717302</x:v>
      </x:c>
      <x:c r="B210" s="8" t="str">
        <x:v>eyak:199300228:adverse_reactions:001</x:v>
      </x:c>
      <x:c r="C210" s="8" t="str">
        <x:v>eyak:199300228:adverse_reactions:001</x:v>
      </x:c>
      <x:c r="D210" s="8" t="str">
        <x:v>근거와 함께 답변</x:v>
      </x:c>
      <x:c r="E210" s="15" t="n">
        <x:v>208</x:v>
      </x:c>
      <x:c r="F210" s="8" t="str">
        <x:v>기존 검증 정답</x:v>
      </x:c>
      <x:c r="G210" s="8" t="str">
        <x:v>https://apis.data.go.kr/1471000/DrbEasyDrugInfoService/getDrbEasyDrugList</x:v>
      </x:c>
      <x:c r="H210" s="8" t="str">
        <x:v>{
  "item_seq": "199300228",
  "item_name": "젤콤현탁액(플루벤다졸)",
  "manufacturer": "(주)종근당",
  "section_codes": [
    "adverse_reactions"
  ]
}</x:v>
      </x:c>
    </x:row>
    <x:row r="211" ht="54" customHeight="1">
      <x:c r="A211" s="8" t="str">
        <x:v>gold-medication-623ba7d6cf9695e7</x:v>
      </x:c>
      <x:c r="B211" s="8" t="str">
        <x:v>eyak:198800902:adverse_reactions:001</x:v>
      </x:c>
      <x:c r="C211" s="8" t="str">
        <x:v>eyak:198800902:adverse_reactions:001
eyak:198800902:adverse_reactions:002</x:v>
      </x:c>
      <x:c r="D211" s="8" t="str">
        <x:v>근거와 함께 답변</x:v>
      </x:c>
      <x:c r="E211" s="15" t="n">
        <x:v>209</x:v>
      </x:c>
      <x:c r="F211" s="8" t="str">
        <x:v>기존 검증 정답</x:v>
      </x:c>
      <x:c r="G211" s="8" t="str">
        <x:v>https://apis.data.go.kr/1471000/DrbEasyDrugInfoService/getDrbEasyDrugList</x:v>
      </x:c>
      <x:c r="H211" s="8" t="str">
        <x:v>{
  "item_seq": "198800902",
  "item_name": "트리마정200밀리그램(트리메부틴말레산염)",
  "manufacturer": "진양제약(주)",
  "section_codes": [
    "adverse_reactions"
  ]
}</x:v>
      </x:c>
    </x:row>
    <x:row r="212" ht="54" customHeight="1">
      <x:c r="A212" s="8" t="str">
        <x:v>gold-medication-20c49a31d434f6de</x:v>
      </x:c>
      <x:c r="B212" s="8" t="str">
        <x:v>eyak:200401293:efficacy:001</x:v>
      </x:c>
      <x:c r="C212" s="8" t="str">
        <x:v>eyak:200401293:efficacy:001</x:v>
      </x:c>
      <x:c r="D212" s="8" t="str">
        <x:v>근거와 함께 답변</x:v>
      </x:c>
      <x:c r="E212" s="15" t="n">
        <x:v>210</x:v>
      </x:c>
      <x:c r="F212" s="8" t="str">
        <x:v>기존 검증 정답</x:v>
      </x:c>
      <x:c r="G212" s="8" t="str">
        <x:v>https://apis.data.go.kr/1471000/DrbEasyDrugInfoService/getDrbEasyDrugList</x:v>
      </x:c>
      <x:c r="H212" s="8" t="str">
        <x:v>{
  "item_seq": "200401293",
  "item_name": "슈멕톤현탁액(디옥타헤드랄스멕타이트)(수출명:DOSMECTINE)",
  "manufacturer": "일양약품(주)",
  "section_codes": [
    "efficacy"
  ]
}</x:v>
      </x:c>
    </x:row>
    <x:row r="213" ht="54" customHeight="1">
      <x:c r="A213" s="8" t="str">
        <x:v>gold-medication-8ab62efa25db98ca</x:v>
      </x:c>
      <x:c r="B213" s="8" t="str">
        <x:v>eyak:202102246:interactions:001</x:v>
      </x:c>
      <x:c r="C213" s="8" t="str">
        <x:v>eyak:202102246:interactions:001</x:v>
      </x:c>
      <x:c r="D213" s="8" t="str">
        <x:v>근거와 함께 답변</x:v>
      </x:c>
      <x:c r="E213" s="15" t="n">
        <x:v>211</x:v>
      </x:c>
      <x:c r="F213" s="8" t="str">
        <x:v>기존 검증 정답</x:v>
      </x:c>
      <x:c r="G213" s="8" t="str">
        <x:v>https://apis.data.go.kr/1471000/DrbEasyDrugInfoService/getDrbEasyDrugList</x:v>
      </x:c>
      <x:c r="H213" s="8" t="str">
        <x:v>{
  "item_seq": "202102246",
  "item_name": "알기닉액(L-아스파르트산-L-아르기닌수화물)",
  "manufacturer": "(주)티디에스팜",
  "section_codes": [
    "interactions"
  ]
}</x:v>
      </x:c>
    </x:row>
    <x:row r="214" ht="54" customHeight="1">
      <x:c r="A214" s="8" t="str">
        <x:v>gold-medication-8617c3b77d26705b</x:v>
      </x:c>
      <x:c r="B214" s="8" t="str">
        <x:v>eyak:202202422:interactions:001</x:v>
      </x:c>
      <x:c r="C214" s="8" t="str">
        <x:v>eyak:202202422:interactions:001</x:v>
      </x:c>
      <x:c r="D214" s="8" t="str">
        <x:v>근거와 함께 답변</x:v>
      </x:c>
      <x:c r="E214" s="15" t="n">
        <x:v>212</x:v>
      </x:c>
      <x:c r="F214" s="8" t="str">
        <x:v>기존 검증 정답</x:v>
      </x:c>
      <x:c r="G214" s="8" t="str">
        <x:v>https://apis.data.go.kr/1471000/DrbEasyDrugInfoService/getDrbEasyDrugList</x:v>
      </x:c>
      <x:c r="H214" s="8" t="str">
        <x:v>{
  "item_seq": "202202422",
  "item_name": "유한이브펜연질캡슐",
  "manufacturer": "(주)유한양행",
  "section_codes": [
    "interactions"
  ]
}</x:v>
      </x:c>
    </x:row>
    <x:row r="215" ht="54" customHeight="1">
      <x:c r="A215" s="8" t="str">
        <x:v>gold-medication-1577c56874a1cac2</x:v>
      </x:c>
      <x:c r="B215" s="8" t="str">
        <x:v>eyak:202302477:adverse_reactions:001</x:v>
      </x:c>
      <x:c r="C215" s="8" t="str">
        <x:v>eyak:202302477:adverse_reactions:001</x:v>
      </x:c>
      <x:c r="D215" s="8" t="str">
        <x:v>근거와 함께 답변</x:v>
      </x:c>
      <x:c r="E215" s="15" t="n">
        <x:v>213</x:v>
      </x:c>
      <x:c r="F215" s="8" t="str">
        <x:v>기존 검증 정답</x:v>
      </x:c>
      <x:c r="G215" s="8" t="str">
        <x:v>https://apis.data.go.kr/1471000/DrbEasyDrugInfoService/getDrbEasyDrugList</x:v>
      </x:c>
      <x:c r="H215" s="8" t="str">
        <x:v>{
  "item_seq": "202302477",
  "item_name": "눈앤큐점안액",
  "manufacturer": "한미약품(주)",
  "section_codes": [
    "adverse_reactions"
  ]
}</x:v>
      </x:c>
    </x:row>
    <x:row r="216" ht="54" customHeight="1">
      <x:c r="A216" s="8" t="str">
        <x:v>gold-medication-57a337a1d8925c7d</x:v>
      </x:c>
      <x:c r="B216" s="8" t="str">
        <x:v>eyak:202502076:adverse_reactions:001</x:v>
      </x:c>
      <x:c r="C216" s="8" t="str">
        <x:v>eyak:202502076:adverse_reactions:001</x:v>
      </x:c>
      <x:c r="D216" s="8" t="str">
        <x:v>근거와 함께 답변</x:v>
      </x:c>
      <x:c r="E216" s="15" t="n">
        <x:v>214</x:v>
      </x:c>
      <x:c r="F216" s="8" t="str">
        <x:v>기존 검증 정답</x:v>
      </x:c>
      <x:c r="G216" s="8" t="str">
        <x:v>https://apis.data.go.kr/1471000/DrbEasyDrugInfoService/getDrbEasyDrugList</x:v>
      </x:c>
      <x:c r="H216" s="8" t="str">
        <x:v>{
  "item_seq": "202502076",
  "item_name": "메코마그민500정",
  "manufacturer": "주식회사 노바엠헬스케어",
  "section_codes": [
    "adverse_reactions"
  ]
}</x:v>
      </x:c>
    </x:row>
    <x:row r="217" ht="54" customHeight="1">
      <x:c r="A217" s="8" t="str">
        <x:v>gold-medication-6be8180df6767311</x:v>
      </x:c>
      <x:c r="B217" s="8" t="str">
        <x:v>eyak:202400285:precautions:001</x:v>
      </x:c>
      <x:c r="C217" s="8" t="str">
        <x:v>eyak:202400285:precautions:001</x:v>
      </x:c>
      <x:c r="D217" s="8" t="str">
        <x:v>근거와 함께 답변</x:v>
      </x:c>
      <x:c r="E217" s="15" t="n">
        <x:v>215</x:v>
      </x:c>
      <x:c r="F217" s="8" t="str">
        <x:v>기존 검증 정답</x:v>
      </x:c>
      <x:c r="G217" s="8" t="str">
        <x:v>https://apis.data.go.kr/1471000/DrbEasyDrugInfoService/getDrbEasyDrugList</x:v>
      </x:c>
      <x:c r="H217" s="8" t="str">
        <x:v>{
  "item_seq": "202400285",
  "item_name": "큐앤큐니트로푸라존거즈",
  "manufacturer": "큐앤큐팜(주)",
  "section_codes": [
    "precautions"
  ]
}</x:v>
      </x:c>
    </x:row>
    <x:row r="218" ht="54" customHeight="1">
      <x:c r="A218" s="8" t="str">
        <x:v>gold-medication-4584f13eace7592a</x:v>
      </x:c>
      <x:c r="B218" s="8" t="str">
        <x:v>eyak:202001082:precautions:001</x:v>
      </x:c>
      <x:c r="C218" s="8" t="str">
        <x:v>eyak:202001082:precautions:001
eyak:202001082:precautions:002
eyak:202001082:precautions:003</x:v>
      </x:c>
      <x:c r="D218" s="8" t="str">
        <x:v>근거와 함께 답변</x:v>
      </x:c>
      <x:c r="E218" s="15" t="n">
        <x:v>216</x:v>
      </x:c>
      <x:c r="F218" s="8" t="str">
        <x:v>기존 검증 정답</x:v>
      </x:c>
      <x:c r="G218" s="8" t="str">
        <x:v>https://apis.data.go.kr/1471000/DrbEasyDrugInfoService/getDrbEasyDrugList</x:v>
      </x:c>
      <x:c r="H218" s="8" t="str">
        <x:v>{
  "item_seq": "202001082",
  "item_name": "록소앤겔(록소프로펜나트륨수화물)",
  "manufacturer": "동성제약(주)",
  "section_codes": [
    "precautions"
  ]
}</x:v>
      </x:c>
    </x:row>
    <x:row r="219" ht="54" customHeight="1">
      <x:c r="A219" s="8" t="str">
        <x:v>gold-medication-673c8cad8d541dff</x:v>
      </x:c>
      <x:c r="B219" s="8" t="str">
        <x:v>eyak:200908760:precautions:001</x:v>
      </x:c>
      <x:c r="C219" s="8" t="str">
        <x:v>eyak:200908760:precautions:001
eyak:200908760:precautions:002</x:v>
      </x:c>
      <x:c r="D219" s="8" t="str">
        <x:v>근거와 함께 답변</x:v>
      </x:c>
      <x:c r="E219" s="15" t="n">
        <x:v>217</x:v>
      </x:c>
      <x:c r="F219" s="8" t="str">
        <x:v>기존 검증 정답</x:v>
      </x:c>
      <x:c r="G219" s="8" t="str">
        <x:v>https://apis.data.go.kr/1471000/DrbEasyDrugInfoService/getDrbEasyDrugList</x:v>
      </x:c>
      <x:c r="H219" s="8" t="str">
        <x:v>{
  "item_seq": "200908760",
  "item_name": "마이크로실드2액(클로르헥시딘글루콘산염)",
  "manufacturer": "(주)한국유니팜",
  "section_codes": [
    "precautions"
  ]
}</x:v>
      </x:c>
    </x:row>
    <x:row r="220" ht="54" customHeight="1">
      <x:c r="A220" s="8" t="str">
        <x:v>gold-medication-aadf09aa492af1d4</x:v>
      </x:c>
      <x:c r="B220" s="8" t="str">
        <x:v>eyak:202002625:precautions:001</x:v>
      </x:c>
      <x:c r="C220" s="8" t="str">
        <x:v>eyak:202002625:precautions:001</x:v>
      </x:c>
      <x:c r="D220" s="8" t="str">
        <x:v>근거와 함께 답변</x:v>
      </x:c>
      <x:c r="E220" s="15" t="n">
        <x:v>218</x:v>
      </x:c>
      <x:c r="F220" s="8" t="str">
        <x:v>기존 검증 정답</x:v>
      </x:c>
      <x:c r="G220" s="8" t="str">
        <x:v>https://apis.data.go.kr/1471000/DrbEasyDrugInfoService/getDrbEasyDrugList</x:v>
      </x:c>
      <x:c r="H220" s="8" t="str">
        <x:v>{
  "item_seq": "202002625",
  "item_name": "지엘도스캡슐300밀리그램(에르도스테인)",
  "manufacturer": "지엘파마(주)",
  "section_codes": [
    "precautions"
  ]
}</x:v>
      </x:c>
    </x:row>
    <x:row r="221" ht="54" customHeight="1">
      <x:c r="A221" s="8" t="str">
        <x:v>gold-medication-na-e540154728e644fb</x:v>
      </x:c>
      <x:c r="B221" s="8" t="str"/>
      <x:c r="C221" s="8" t="str"/>
      <x:c r="D221" s="8" t="str">
        <x:v>답변 거부 또는 추가 확인 요청</x:v>
      </x:c>
      <x:c r="E221" s="15" t="n">
        <x:v>219</x:v>
      </x:c>
      <x:c r="F221" s="8" t="str">
        <x:v>답변 거부 기준 문구</x:v>
      </x:c>
      <x:c r="G221" s="8" t="str">
        <x:v>https://apis.data.go.kr/1471000/DrbEasyDrugInfoService/getDrbEasyDrugList</x:v>
      </x:c>
      <x:c r="H221" s="8" t="str">
        <x:v>{
  "item_seq": "202501602",
  "item_name": "자하골드액",
  "manufacturer": "조아제약(주)",
  "section_codes": [
    "precautions"
  ]
}</x:v>
      </x:c>
    </x:row>
    <x:row r="222" ht="54" customHeight="1">
      <x:c r="A222" s="8" t="str">
        <x:v>gold-disease-5a71f43e2410cf37</x:v>
      </x:c>
      <x:c r="B222" s="8" t="str">
        <x:v>kdca-6749-0</x:v>
      </x:c>
      <x:c r="C222" s="8" t="str">
        <x:v>kdca-6749-0</x:v>
      </x:c>
      <x:c r="D222" s="8" t="str">
        <x:v>근거와 함께 답변</x:v>
      </x:c>
      <x:c r="E222" s="15" t="n">
        <x:v>220</x:v>
      </x:c>
      <x:c r="F222" s="8" t="str">
        <x:v>VDB 정의 문장 재선정</x:v>
      </x:c>
      <x:c r="G222" s="8" t="str">
        <x:v>https://health.kdca.go.kr/healthinfo/biz/health/gnrlzHealthInfo/gnrlzHealthInfo/gnrlzHealthInfoMain.do</x:v>
      </x:c>
      <x:c r="H222" s="8" t="str">
        <x:v>{
  "disease": "변실금",
  "section": "요약문",
  "category": "disease"
}</x:v>
      </x:c>
    </x:row>
    <x:row r="223" ht="54" customHeight="1">
      <x:c r="A223" s="8" t="str">
        <x:v>gold-disease-89abb8cf8f5dfa72</x:v>
      </x:c>
      <x:c r="B223" s="8" t="str">
        <x:v>kdca-5239-24</x:v>
      </x:c>
      <x:c r="C223" s="8" t="str">
        <x:v>kdca-5239-24</x:v>
      </x:c>
      <x:c r="D223" s="8" t="str">
        <x:v>근거와 함께 답변</x:v>
      </x:c>
      <x:c r="E223" s="15" t="n">
        <x:v>221</x:v>
      </x:c>
      <x:c r="F223" s="8" t="str">
        <x:v>VDB 후속 설명 보강</x:v>
      </x:c>
      <x:c r="G223" s="8" t="str">
        <x:v>https://health.kdca.go.kr/healthinfo/biz/health/gnrlzHealthInfo/gnrlzHealthInfo/gnrlzHealthInfoMain.do</x:v>
      </x:c>
      <x:c r="H223" s="8" t="str">
        <x:v>{
  "disease": "식중독",
  "section": "생활습관 관리",
  "category": "disease"
}</x:v>
      </x:c>
    </x:row>
    <x:row r="224" ht="54" customHeight="1">
      <x:c r="A224" s="8" t="str">
        <x:v>gold-disease-8034783c337669c0</x:v>
      </x:c>
      <x:c r="B224" s="8" t="str">
        <x:v>kdca-5704-38</x:v>
      </x:c>
      <x:c r="C224" s="8" t="str">
        <x:v>kdca-5704-38</x:v>
      </x:c>
      <x:c r="D224" s="8" t="str">
        <x:v>근거와 함께 답변</x:v>
      </x:c>
      <x:c r="E224" s="15" t="n">
        <x:v>222</x:v>
      </x:c>
      <x:c r="F224" s="8" t="str">
        <x:v>VDB 후속 설명 보강</x:v>
      </x:c>
      <x:c r="G224" s="8" t="str">
        <x:v>https://health.kdca.go.kr/healthinfo/biz/health/gnrlzHealthInfo/gnrlzHealthInfo/gnrlzHealthInfoMain.do</x:v>
      </x:c>
      <x:c r="H224" s="8" t="str">
        <x:v>{
  "disease": "구강건조증",
  "section": "자가 관리 / 정기 진찰 / 위험요인 및 예방",
  "category": "disease"
}</x:v>
      </x:c>
    </x:row>
    <x:row r="225" ht="54" customHeight="1">
      <x:c r="A225" s="8" t="str">
        <x:v>gold-disease-8c814cebbb3dbcc0</x:v>
      </x:c>
      <x:c r="B225" s="8" t="str">
        <x:v>kdca-6557-3</x:v>
      </x:c>
      <x:c r="C225" s="8" t="str">
        <x:v>kdca-6557-3</x:v>
      </x:c>
      <x:c r="D225" s="8" t="str">
        <x:v>근거와 함께 답변</x:v>
      </x:c>
      <x:c r="E225" s="15" t="n">
        <x:v>223</x:v>
      </x:c>
      <x:c r="F225" s="8" t="str">
        <x:v>기존 검증 정답</x:v>
      </x:c>
      <x:c r="G225" s="8" t="str">
        <x:v>https://health.kdca.go.kr/healthinfo/biz/health/gnrlzHealthInfo/gnrlzHealthInfo/gnrlzHealthInfoMain.do</x:v>
      </x:c>
      <x:c r="H225" s="8" t="str">
        <x:v>{
  "disease": "편두통",
  "section": "개요 / 정의",
  "category": "disease"
}</x:v>
      </x:c>
    </x:row>
    <x:row r="226" ht="54" customHeight="1">
      <x:c r="A226" s="8" t="str">
        <x:v>gold-disease-f3dcce7b3080cb77</x:v>
      </x:c>
      <x:c r="B226" s="8" t="str">
        <x:v>kdca-6531-34</x:v>
      </x:c>
      <x:c r="C226" s="8" t="str">
        <x:v>kdca-6531-34</x:v>
      </x:c>
      <x:c r="D226" s="8" t="str">
        <x:v>근거와 함께 답변</x:v>
      </x:c>
      <x:c r="E226" s="15" t="n">
        <x:v>224</x:v>
      </x:c>
      <x:c r="F226" s="8" t="str">
        <x:v>VDB 후속 설명 보강</x:v>
      </x:c>
      <x:c r="G226" s="8" t="str">
        <x:v>https://health.kdca.go.kr/healthinfo/biz/health/gnrlzHealthInfo/gnrlzHealthInfo/gnrlzHealthInfoMain.do</x:v>
      </x:c>
      <x:c r="H226" s="8" t="str">
        <x:v>{
  "disease": "대장용종",
  "section": "자가 관리 / 정기 진찰",
  "category": "disease"
}</x:v>
      </x:c>
    </x:row>
    <x:row r="227" ht="54" customHeight="1">
      <x:c r="A227" s="8" t="str">
        <x:v>gold-disease-43491b74e13b8c9a</x:v>
      </x:c>
      <x:c r="B227" s="8" t="str">
        <x:v>kdca-6314-7</x:v>
      </x:c>
      <x:c r="C227" s="8" t="str">
        <x:v>kdca-6314-7</x:v>
      </x:c>
      <x:c r="D227" s="8" t="str">
        <x:v>근거와 함께 답변</x:v>
      </x:c>
      <x:c r="E227" s="15" t="n">
        <x:v>225</x:v>
      </x:c>
      <x:c r="F227" s="8" t="str">
        <x:v>기존 검증 정답</x:v>
      </x:c>
      <x:c r="G227" s="8" t="str">
        <x:v>https://health.kdca.go.kr/healthinfo/biz/health/gnrlzHealthInfo/gnrlzHealthInfo/gnrlzHealthInfoMain.do</x:v>
      </x:c>
      <x:c r="H227" s="8" t="str">
        <x:v>{
  "disease": "페스트",
  "section": "증상 / 진단 및 검사",
  "category": "disease"
}</x:v>
      </x:c>
    </x:row>
    <x:row r="228" ht="54" customHeight="1">
      <x:c r="A228" s="8" t="str">
        <x:v>gold-disease-c7153cf920457731</x:v>
      </x:c>
      <x:c r="B228" s="8" t="str">
        <x:v>kdca-1104-20</x:v>
      </x:c>
      <x:c r="C228" s="8" t="str">
        <x:v>kdca-1104-20</x:v>
      </x:c>
      <x:c r="D228" s="8" t="str">
        <x:v>근거와 함께 답변</x:v>
      </x:c>
      <x:c r="E228" s="15" t="n">
        <x:v>226</x:v>
      </x:c>
      <x:c r="F228" s="8" t="str">
        <x:v>기존 검증 정답</x:v>
      </x:c>
      <x:c r="G228" s="8" t="str">
        <x:v>https://health.kdca.go.kr/healthinfo/biz/health/gnrlzHealthInfo/gnrlzHealthInfo/gnrlzHealthInfoMain.do</x:v>
      </x:c>
      <x:c r="H228" s="8" t="str">
        <x:v>{
  "disease": "빈혈",
  "section": "진단 및 검사",
  "category": "disease"
}</x:v>
      </x:c>
    </x:row>
    <x:row r="229" ht="54" customHeight="1">
      <x:c r="A229" s="8" t="str">
        <x:v>gold-disease-d6282fd2d1af982d</x:v>
      </x:c>
      <x:c r="B229" s="8" t="str">
        <x:v>kdca-3348-10</x:v>
      </x:c>
      <x:c r="C229" s="8" t="str">
        <x:v>kdca-3348-10</x:v>
      </x:c>
      <x:c r="D229" s="8" t="str">
        <x:v>근거와 함께 답변</x:v>
      </x:c>
      <x:c r="E229" s="15" t="n">
        <x:v>227</x:v>
      </x:c>
      <x:c r="F229" s="8" t="str">
        <x:v>기존 검증 정답</x:v>
      </x:c>
      <x:c r="G229" s="8" t="str">
        <x:v>https://health.kdca.go.kr/healthinfo/biz/health/gnrlzHealthInfo/gnrlzHealthInfo/gnrlzHealthInfoMain.do</x:v>
      </x:c>
      <x:c r="H229" s="8" t="str">
        <x:v>{
  "disease": "추간판탈출증(디스크)",
  "section": "증상",
  "category": "disease"
}</x:v>
      </x:c>
    </x:row>
    <x:row r="230" ht="54" customHeight="1">
      <x:c r="A230" s="8" t="str">
        <x:v>gold-disease-3356b4061f6ad5fc</x:v>
      </x:c>
      <x:c r="B230" s="8" t="str">
        <x:v>kdca-5490-65</x:v>
      </x:c>
      <x:c r="C230" s="8" t="str">
        <x:v>kdca-5490-65</x:v>
      </x:c>
      <x:c r="D230" s="8" t="str">
        <x:v>근거와 함께 답변</x:v>
      </x:c>
      <x:c r="E230" s="15" t="n">
        <x:v>228</x:v>
      </x:c>
      <x:c r="F230" s="8" t="str">
        <x:v>VDB 후속 설명 보강</x:v>
      </x:c>
      <x:c r="G230" s="8" t="str">
        <x:v>https://health.kdca.go.kr/healthinfo/biz/health/gnrlzHealthInfo/gnrlzHealthInfo/gnrlzHealthInfoMain.do</x:v>
      </x:c>
      <x:c r="H230" s="8" t="str">
        <x:v>{
  "disease": "거부반응과 면역억제제",
  "section": "예방",
  "category": "disease"
}</x:v>
      </x:c>
    </x:row>
    <x:row r="231" ht="54" customHeight="1">
      <x:c r="A231" s="8" t="str">
        <x:v>gold-disease-34d6bd20509c46f2</x:v>
      </x:c>
      <x:c r="B231" s="8" t="str">
        <x:v>kdca-5961-10</x:v>
      </x:c>
      <x:c r="C231" s="8" t="str">
        <x:v>kdca-5961-10</x:v>
      </x:c>
      <x:c r="D231" s="8" t="str">
        <x:v>근거와 함께 답변</x:v>
      </x:c>
      <x:c r="E231" s="15" t="n">
        <x:v>229</x:v>
      </x:c>
      <x:c r="F231" s="8" t="str">
        <x:v>VDB 원인·위험요인 청크 재선정</x:v>
      </x:c>
      <x:c r="G231" s="8" t="str">
        <x:v>https://health.kdca.go.kr/healthinfo/biz/health/gnrlzHealthInfo/gnrlzHealthInfo/gnrlzHealthInfoMain.do</x:v>
      </x:c>
      <x:c r="H231" s="8" t="str">
        <x:v>{
  "disease": "뇌전증",
  "section": "원인",
  "category": "disease"
}</x:v>
      </x:c>
    </x:row>
    <x:row r="232" ht="54" customHeight="1">
      <x:c r="A232" s="8" t="str">
        <x:v>gold-disease-ce8d69fb72bc3223</x:v>
      </x:c>
      <x:c r="B232" s="8" t="str">
        <x:v>kdca-5695-0</x:v>
      </x:c>
      <x:c r="C232" s="8" t="str">
        <x:v>kdca-5695-0</x:v>
      </x:c>
      <x:c r="D232" s="8" t="str">
        <x:v>근거와 함께 답변</x:v>
      </x:c>
      <x:c r="E232" s="15" t="n">
        <x:v>230</x:v>
      </x:c>
      <x:c r="F232" s="8" t="str">
        <x:v>VDB 정의 문장 재선정</x:v>
      </x:c>
      <x:c r="G232" s="8" t="str">
        <x:v>https://health.kdca.go.kr/healthinfo/biz/health/gnrlzHealthInfo/gnrlzHealthInfo/gnrlzHealthInfoMain.do</x:v>
      </x:c>
      <x:c r="H232" s="8" t="str">
        <x:v>{
  "disease": "가려움증",
  "section": "요약문",
  "category": "disease"
}</x:v>
      </x:c>
    </x:row>
    <x:row r="233" ht="54" customHeight="1">
      <x:c r="A233" s="8" t="str">
        <x:v>gold-disease-d5446e03630ae929</x:v>
      </x:c>
      <x:c r="B233" s="8" t="str">
        <x:v>kdca-1729-11</x:v>
      </x:c>
      <x:c r="C233" s="8" t="str">
        <x:v>kdca-1729-11</x:v>
      </x:c>
      <x:c r="D233" s="8" t="str">
        <x:v>근거와 함께 답변</x:v>
      </x:c>
      <x:c r="E233" s="15" t="n">
        <x:v>231</x:v>
      </x:c>
      <x:c r="F233" s="8" t="str">
        <x:v>VDB 후속 설명 보강</x:v>
      </x:c>
      <x:c r="G233" s="8" t="str">
        <x:v>https://health.kdca.go.kr/healthinfo/biz/health/gnrlzHealthInfo/gnrlzHealthInfo/gnrlzHealthInfoMain.do</x:v>
      </x:c>
      <x:c r="H233" s="8" t="str">
        <x:v>{
  "disease": "성대결절",
  "section": "증상 / 진단 및 검사",
  "category": "disease"
}</x:v>
      </x:c>
    </x:row>
    <x:row r="234" ht="54" customHeight="1">
      <x:c r="A234" s="8" t="str">
        <x:v>gold-disease-cc2b9f931add9e46</x:v>
      </x:c>
      <x:c r="B234" s="8" t="str">
        <x:v>kdca-6279-9</x:v>
      </x:c>
      <x:c r="C234" s="8" t="str">
        <x:v>kdca-6279-9</x:v>
      </x:c>
      <x:c r="D234" s="8" t="str">
        <x:v>근거와 함께 답변</x:v>
      </x:c>
      <x:c r="E234" s="15" t="n">
        <x:v>232</x:v>
      </x:c>
      <x:c r="F234" s="8" t="str">
        <x:v>기존 검증 정답</x:v>
      </x:c>
      <x:c r="G234" s="8" t="str">
        <x:v>https://health.kdca.go.kr/healthinfo/biz/health/gnrlzHealthInfo/gnrlzHealthInfo/gnrlzHealthInfoMain.do</x:v>
      </x:c>
      <x:c r="H234" s="8" t="str">
        <x:v>{
  "disease": "약시(소아)",
  "section": "진단 및 검사",
  "category": "disease"
}</x:v>
      </x:c>
    </x:row>
    <x:row r="235" ht="54" customHeight="1">
      <x:c r="A235" s="8" t="str">
        <x:v>gold-disease-03d4b5ae080bda9a</x:v>
      </x:c>
      <x:c r="B235" s="8" t="str">
        <x:v>kdca-5860-0</x:v>
      </x:c>
      <x:c r="C235" s="8" t="str">
        <x:v>kdca-5860-0</x:v>
      </x:c>
      <x:c r="D235" s="8" t="str">
        <x:v>근거와 함께 답변</x:v>
      </x:c>
      <x:c r="E235" s="15" t="n">
        <x:v>233</x:v>
      </x:c>
      <x:c r="F235" s="8" t="str">
        <x:v>VDB 정의 문장 재선정</x:v>
      </x:c>
      <x:c r="G235" s="8" t="str">
        <x:v>https://health.kdca.go.kr/healthinfo/biz/health/gnrlzHealthInfo/gnrlzHealthInfo/gnrlzHealthInfoMain.do</x:v>
      </x:c>
      <x:c r="H235" s="8" t="str">
        <x:v>{
  "disease": "다한증",
  "section": "요약문",
  "category": "disease"
}</x:v>
      </x:c>
    </x:row>
    <x:row r="236" ht="54" customHeight="1">
      <x:c r="A236" s="8" t="str">
        <x:v>gold-disease-50cb04a0475eed51</x:v>
      </x:c>
      <x:c r="B236" s="8" t="str">
        <x:v>kdca-6748-5</x:v>
      </x:c>
      <x:c r="C236" s="8" t="str">
        <x:v>kdca-6748-5</x:v>
      </x:c>
      <x:c r="D236" s="8" t="str">
        <x:v>근거와 함께 답변</x:v>
      </x:c>
      <x:c r="E236" s="15" t="n">
        <x:v>234</x:v>
      </x:c>
      <x:c r="F236" s="8" t="str">
        <x:v>VDB 후속 설명 보강</x:v>
      </x:c>
      <x:c r="G236" s="8" t="str">
        <x:v>https://health.kdca.go.kr/healthinfo/biz/health/gnrlzHealthInfo/gnrlzHealthInfo/gnrlzHealthInfoMain.do</x:v>
      </x:c>
      <x:c r="H236" s="8" t="str">
        <x:v>{
  "disease": "반월상 연골판 손상",
  "section": "역학 및 통계 / 증상",
  "category": "disease"
}</x:v>
      </x:c>
    </x:row>
    <x:row r="237" ht="54" customHeight="1">
      <x:c r="A237" s="8" t="str">
        <x:v>gold-disease-0b4c94c2e5aca156</x:v>
      </x:c>
      <x:c r="B237" s="8" t="str">
        <x:v>kdca-6487-15</x:v>
      </x:c>
      <x:c r="C237" s="8" t="str">
        <x:v>kdca-6487-15</x:v>
      </x:c>
      <x:c r="D237" s="8" t="str">
        <x:v>근거와 함께 답변</x:v>
      </x:c>
      <x:c r="E237" s="15" t="n">
        <x:v>235</x:v>
      </x:c>
      <x:c r="F237" s="8" t="str">
        <x:v>VDB 원인·위험요인 청크 재선정</x:v>
      </x:c>
      <x:c r="G237" s="8" t="str">
        <x:v>https://health.kdca.go.kr/healthinfo/biz/health/gnrlzHealthInfo/gnrlzHealthInfo/gnrlzHealthInfoMain.do</x:v>
      </x:c>
      <x:c r="H237" s="8" t="str">
        <x:v>{
  "disease": "손떨림(수전증)",
  "section": "종류 / 원인",
  "category": "disease"
}</x:v>
      </x:c>
    </x:row>
    <x:row r="238" ht="54" customHeight="1">
      <x:c r="A238" s="8" t="str">
        <x:v>gold-disease-ae9be8dcf34bec50</x:v>
      </x:c>
      <x:c r="B238" s="8" t="str">
        <x:v>kdca-5429-39</x:v>
      </x:c>
      <x:c r="C238" s="8" t="str">
        <x:v>kdca-5429-39</x:v>
      </x:c>
      <x:c r="D238" s="8" t="str">
        <x:v>근거와 함께 답변</x:v>
      </x:c>
      <x:c r="E238" s="15" t="n">
        <x:v>236</x:v>
      </x:c>
      <x:c r="F238" s="8" t="str">
        <x:v>기존 검증 정답</x:v>
      </x:c>
      <x:c r="G238" s="8" t="str">
        <x:v>https://health.kdca.go.kr/healthinfo/biz/health/gnrlzHealthInfo/gnrlzHealthInfo/gnrlzHealthInfoMain.do</x:v>
      </x:c>
      <x:c r="H238" s="8" t="str">
        <x:v>{
  "disease": "불임증",
  "section": "진단 및 검사",
  "category": "disease"
}</x:v>
      </x:c>
    </x:row>
    <x:row r="239" ht="54" customHeight="1">
      <x:c r="A239" s="8" t="str">
        <x:v>gold-disease-bdc00962495fb2e6</x:v>
      </x:c>
      <x:c r="B239" s="8" t="str">
        <x:v>kdca-5305-1</x:v>
      </x:c>
      <x:c r="C239" s="8" t="str">
        <x:v>kdca-5305-1</x:v>
      </x:c>
      <x:c r="D239" s="8" t="str">
        <x:v>근거와 함께 답변</x:v>
      </x:c>
      <x:c r="E239" s="15" t="n">
        <x:v>237</x:v>
      </x:c>
      <x:c r="F239" s="8" t="str">
        <x:v>VDB 정의 문장 재선정</x:v>
      </x:c>
      <x:c r="G239" s="8" t="str">
        <x:v>https://health.kdca.go.kr/healthinfo/biz/health/gnrlzHealthInfo/gnrlzHealthInfo/gnrlzHealthInfoMain.do</x:v>
      </x:c>
      <x:c r="H239" s="8" t="str">
        <x:v>{
  "disease": "당뇨병",
  "section": "요약문 / 개요",
  "category": "disease"
}</x:v>
      </x:c>
    </x:row>
    <x:row r="240" ht="54" customHeight="1">
      <x:c r="A240" s="8" t="str">
        <x:v>gold-disease-c866e73b20eb3d47</x:v>
      </x:c>
      <x:c r="B240" s="8" t="str">
        <x:v>kdca-6721-4</x:v>
      </x:c>
      <x:c r="C240" s="8" t="str">
        <x:v>kdca-6721-4</x:v>
      </x:c>
      <x:c r="D240" s="8" t="str">
        <x:v>근거와 함께 답변</x:v>
      </x:c>
      <x:c r="E240" s="15" t="n">
        <x:v>238</x:v>
      </x:c>
      <x:c r="F240" s="8" t="str">
        <x:v>기존 검증 정답</x:v>
      </x:c>
      <x:c r="G240" s="8" t="str">
        <x:v>https://health.kdca.go.kr/healthinfo/biz/health/gnrlzHealthInfo/gnrlzHealthInfo/gnrlzHealthInfoMain.do</x:v>
      </x:c>
      <x:c r="H240" s="8" t="str">
        <x:v>{
  "disease": "소변이상(당뇨)",
  "section": "진단 및 검사",
  "category": "symptom"
}</x:v>
      </x:c>
    </x:row>
    <x:row r="241" ht="54" customHeight="1">
      <x:c r="A241" s="8" t="str">
        <x:v>gold-disease-d13a1be30f211f0e</x:v>
      </x:c>
      <x:c r="B241" s="8" t="str">
        <x:v>kdca-6266-8</x:v>
      </x:c>
      <x:c r="C241" s="8" t="str">
        <x:v>kdca-6266-8</x:v>
      </x:c>
      <x:c r="D241" s="8" t="str">
        <x:v>근거와 함께 답변</x:v>
      </x:c>
      <x:c r="E241" s="15" t="n">
        <x:v>239</x:v>
      </x:c>
      <x:c r="F241" s="8" t="str">
        <x:v>기존 검증 정답</x:v>
      </x:c>
      <x:c r="G241" s="8" t="str">
        <x:v>https://health.kdca.go.kr/healthinfo/biz/health/gnrlzHealthInfo/gnrlzHealthInfo/gnrlzHealthInfoMain.do</x:v>
      </x:c>
      <x:c r="H241" s="8" t="str">
        <x:v>{
  "disease": "웨스트나일열",
  "section": "증상",
  "category": "disease"
}</x:v>
      </x:c>
    </x:row>
    <x:row r="242" ht="54" customHeight="1">
      <x:c r="A242" s="8" t="str">
        <x:v>gold-disease-bb3afa59f290bcd6</x:v>
      </x:c>
      <x:c r="B242" s="8" t="str">
        <x:v>kdca-5540-6</x:v>
      </x:c>
      <x:c r="C242" s="8" t="str">
        <x:v>kdca-5540-6</x:v>
      </x:c>
      <x:c r="D242" s="8" t="str">
        <x:v>근거와 함께 답변</x:v>
      </x:c>
      <x:c r="E242" s="15" t="n">
        <x:v>240</x:v>
      </x:c>
      <x:c r="F242" s="8" t="str">
        <x:v>기존 검증 정답</x:v>
      </x:c>
      <x:c r="G242" s="8" t="str">
        <x:v>https://health.kdca.go.kr/healthinfo/biz/health/gnrlzHealthInfo/gnrlzHealthInfo/gnrlzHealthInfoMain.do</x:v>
      </x:c>
      <x:c r="H242" s="8" t="str">
        <x:v>{
  "disease": "퇴행슬관절염",
  "section": "진단 및 검사",
  "category": "disease"
}</x:v>
      </x:c>
    </x:row>
    <x:row r="243" ht="54" customHeight="1">
      <x:c r="A243" s="8" t="str">
        <x:v>gold-disease-0c42cb6409a45583</x:v>
      </x:c>
      <x:c r="B243" s="8" t="str">
        <x:v>kdca-5357-5</x:v>
      </x:c>
      <x:c r="C243" s="8" t="str">
        <x:v>kdca-5357-5</x:v>
      </x:c>
      <x:c r="D243" s="8" t="str">
        <x:v>근거와 함께 답변</x:v>
      </x:c>
      <x:c r="E243" s="15" t="n">
        <x:v>241</x:v>
      </x:c>
      <x:c r="F243" s="8" t="str">
        <x:v>VDB 원인·위험요인 청크 재선정</x:v>
      </x:c>
      <x:c r="G243" s="8" t="str">
        <x:v>https://health.kdca.go.kr/healthinfo/biz/health/gnrlzHealthInfo/gnrlzHealthInfo/gnrlzHealthInfoMain.do</x:v>
      </x:c>
      <x:c r="H243" s="8" t="str">
        <x:v>{
  "disease": "모소낭",
  "section": "원인",
  "category": "disease"
}</x:v>
      </x:c>
    </x:row>
    <x:row r="244" ht="54" customHeight="1">
      <x:c r="A244" s="8" t="str">
        <x:v>gold-disease-2ff4f424e798cc19</x:v>
      </x:c>
      <x:c r="B244" s="8" t="str">
        <x:v>kdca-6386-2</x:v>
      </x:c>
      <x:c r="C244" s="8" t="str">
        <x:v>kdca-6386-2</x:v>
      </x:c>
      <x:c r="D244" s="8" t="str">
        <x:v>근거와 함께 답변</x:v>
      </x:c>
      <x:c r="E244" s="15" t="n">
        <x:v>242</x:v>
      </x:c>
      <x:c r="F244" s="8" t="str">
        <x:v>VDB 원인·위험요인 청크 재선정</x:v>
      </x:c>
      <x:c r="G244" s="8" t="str">
        <x:v>https://health.kdca.go.kr/healthinfo/biz/health/gnrlzHealthInfo/gnrlzHealthInfo/gnrlzHealthInfoMain.do</x:v>
      </x:c>
      <x:c r="H244" s="8" t="str">
        <x:v>{
  "disease": "자궁샘근증",
  "section": "개요 / 원인",
  "category": "disease"
}</x:v>
      </x:c>
    </x:row>
    <x:row r="245" ht="54" customHeight="1">
      <x:c r="A245" s="8" t="str">
        <x:v>gold-disease-cd3d41fef09cb615</x:v>
      </x:c>
      <x:c r="B245" s="8" t="str">
        <x:v>kdca-6271-2</x:v>
      </x:c>
      <x:c r="C245" s="8" t="str">
        <x:v>kdca-6271-2</x:v>
      </x:c>
      <x:c r="D245" s="8" t="str">
        <x:v>근거와 함께 답변</x:v>
      </x:c>
      <x:c r="E245" s="15" t="n">
        <x:v>243</x:v>
      </x:c>
      <x:c r="F245" s="8" t="str">
        <x:v>VDB 후속 설명 보강</x:v>
      </x:c>
      <x:c r="G245" s="8" t="str">
        <x:v>https://health.kdca.go.kr/healthinfo/biz/health/gnrlzHealthInfo/gnrlzHealthInfo/gnrlzHealthInfoMain.do</x:v>
      </x:c>
      <x:c r="H245" s="8" t="str">
        <x:v>{
  "disease": "귀의 형태 이상(소이증)",
  "section": "역학 및 통계 / 증상",
  "category": "disease"
}</x:v>
      </x:c>
    </x:row>
    <x:row r="246" ht="54" customHeight="1">
      <x:c r="A246" s="8" t="str">
        <x:v>gold-disease-d740f07114aeb48b</x:v>
      </x:c>
      <x:c r="B246" s="8" t="str">
        <x:v>kdca-3348-10</x:v>
      </x:c>
      <x:c r="C246" s="8" t="str">
        <x:v>kdca-3348-10</x:v>
      </x:c>
      <x:c r="D246" s="8" t="str">
        <x:v>근거와 함께 답변</x:v>
      </x:c>
      <x:c r="E246" s="15" t="n">
        <x:v>244</x:v>
      </x:c>
      <x:c r="F246" s="8" t="str">
        <x:v>VDB 후속 설명 보강</x:v>
      </x:c>
      <x:c r="G246" s="8" t="str">
        <x:v>https://health.kdca.go.kr/healthinfo/biz/health/gnrlzHealthInfo/gnrlzHealthInfo/gnrlzHealthInfoMain.do</x:v>
      </x:c>
      <x:c r="H246" s="8" t="str">
        <x:v>{
  "disease": "추간판탈출증(디스크)",
  "section": "증상",
  "category": "disease"
}</x:v>
      </x:c>
    </x:row>
    <x:row r="247" ht="54" customHeight="1">
      <x:c r="A247" s="8" t="str">
        <x:v>gold-disease-b913911ba9ae63df</x:v>
      </x:c>
      <x:c r="B247" s="8" t="str">
        <x:v>kdca-5705-14</x:v>
      </x:c>
      <x:c r="C247" s="8" t="str">
        <x:v>kdca-5705-14</x:v>
      </x:c>
      <x:c r="D247" s="8" t="str">
        <x:v>근거와 함께 답변</x:v>
      </x:c>
      <x:c r="E247" s="15" t="n">
        <x:v>245</x:v>
      </x:c>
      <x:c r="F247" s="8" t="str">
        <x:v>기존 검증 정답</x:v>
      </x:c>
      <x:c r="G247" s="8" t="str">
        <x:v>https://health.kdca.go.kr/healthinfo/biz/health/gnrlzHealthInfo/gnrlzHealthInfo/gnrlzHealthInfoMain.do</x:v>
      </x:c>
      <x:c r="H247" s="8" t="str">
        <x:v>{
  "disease": "목쉼",
  "section": "진단 및 검사",
  "category": "symptom"
}</x:v>
      </x:c>
    </x:row>
    <x:row r="248" ht="54" customHeight="1">
      <x:c r="A248" s="8" t="str">
        <x:v>gold-disease-na-33a4e513dd91cff4</x:v>
      </x:c>
      <x:c r="B248" s="8" t="str"/>
      <x:c r="C248" s="8" t="str"/>
      <x:c r="D248" s="8" t="str">
        <x:v>답변 거부 또는 추가 확인 요청</x:v>
      </x:c>
      <x:c r="E248" s="15" t="n">
        <x:v>246</x:v>
      </x:c>
      <x:c r="F248" s="8" t="str">
        <x:v>답변 거부 기준 문구</x:v>
      </x:c>
      <x:c r="G248" s="8" t="str">
        <x:v>https://health.kdca.go.kr/healthinfo/biz/health/gnrlzHealthInfo/gnrlzHealthInfo/gnrlzHealthInfoMain.do</x:v>
      </x:c>
      <x:c r="H248" s="8" t="str">
        <x:v>{
  "disease": "발달성 고관절 이형성증 및 탈구",
  "section": "진단 및 검사 / 치료",
  "category": "disease"
}</x:v>
      </x:c>
    </x:row>
    <x:row r="249" ht="54" customHeight="1">
      <x:c r="A249" s="8" t="str">
        <x:v>gold-disease-34e0340289cfce44</x:v>
      </x:c>
      <x:c r="B249" s="8" t="str">
        <x:v>kdca-6769-5</x:v>
      </x:c>
      <x:c r="C249" s="8" t="str">
        <x:v>kdca-6769-5</x:v>
      </x:c>
      <x:c r="D249" s="8" t="str">
        <x:v>근거와 함께 답변</x:v>
      </x:c>
      <x:c r="E249" s="15" t="n">
        <x:v>247</x:v>
      </x:c>
      <x:c r="F249" s="8" t="str">
        <x:v>기존 검증 정답</x:v>
      </x:c>
      <x:c r="G249" s="8" t="str">
        <x:v>https://health.kdca.go.kr/healthinfo/biz/health/gnrlzHealthInfo/gnrlzHealthInfo/gnrlzHealthInfoMain.do</x:v>
      </x:c>
      <x:c r="H249" s="8" t="str">
        <x:v>{
  "disease": "시신경염",
  "section": "경과 및 예후 / 증상",
  "category": "disease"
}</x:v>
      </x:c>
    </x:row>
    <x:row r="250" ht="54" customHeight="1">
      <x:c r="A250" s="8" t="str">
        <x:v>gold-disease-47b0aec4f89f3a09</x:v>
      </x:c>
      <x:c r="B250" s="8" t="str">
        <x:v>kdca-6308-21</x:v>
      </x:c>
      <x:c r="C250" s="8" t="str">
        <x:v>kdca-6308-21</x:v>
      </x:c>
      <x:c r="D250" s="8" t="str">
        <x:v>근거와 함께 답변</x:v>
      </x:c>
      <x:c r="E250" s="15" t="n">
        <x:v>248</x:v>
      </x:c>
      <x:c r="F250" s="8" t="str">
        <x:v>기존 검증 정답</x:v>
      </x:c>
      <x:c r="G250" s="8" t="str">
        <x:v>https://health.kdca.go.kr/healthinfo/biz/health/gnrlzHealthInfo/gnrlzHealthInfo/gnrlzHealthInfoMain.do</x:v>
      </x:c>
      <x:c r="H250" s="8" t="str">
        <x:v>{
  "disease": "수면무호흡증",
  "section": "진단 및 검사",
  "category": "disease"
}</x:v>
      </x:c>
    </x:row>
    <x:row r="251" ht="54" customHeight="1">
      <x:c r="A251" s="8" t="str">
        <x:v>gold-disease-c02635952d4cbf00</x:v>
      </x:c>
      <x:c r="B251" s="8" t="str">
        <x:v>kdca-3789-4</x:v>
      </x:c>
      <x:c r="C251" s="8" t="str">
        <x:v>kdca-3789-4</x:v>
      </x:c>
      <x:c r="D251" s="8" t="str">
        <x:v>근거와 함께 답변</x:v>
      </x:c>
      <x:c r="E251" s="15" t="n">
        <x:v>249</x:v>
      </x:c>
      <x:c r="F251" s="8" t="str">
        <x:v>VDB 후속 설명 보강</x:v>
      </x:c>
      <x:c r="G251" s="8" t="str">
        <x:v>https://health.kdca.go.kr/healthinfo/biz/health/gnrlzHealthInfo/gnrlzHealthInfo/gnrlzHealthInfoMain.do</x:v>
      </x:c>
      <x:c r="H251" s="8" t="str">
        <x:v>{
  "disease": "얼굴마비(중추성 마비)",
  "section": "증상",
  "category": "disease"
}</x:v>
      </x:c>
    </x:row>
    <x:row r="252" ht="54" customHeight="1">
      <x:c r="A252" s="8" t="str">
        <x:v>gold-disease-b73f3c3487f97eac</x:v>
      </x:c>
      <x:c r="B252" s="8" t="str">
        <x:v>kdca-6535-49</x:v>
      </x:c>
      <x:c r="C252" s="8" t="str">
        <x:v>kdca-6535-49</x:v>
      </x:c>
      <x:c r="D252" s="8" t="str">
        <x:v>근거와 함께 답변</x:v>
      </x:c>
      <x:c r="E252" s="15" t="n">
        <x:v>250</x:v>
      </x:c>
      <x:c r="F252" s="8" t="str">
        <x:v>VDB 원인·위험요인 청크 재선정</x:v>
      </x:c>
      <x:c r="G252" s="8" t="str">
        <x:v>https://health.kdca.go.kr/healthinfo/biz/health/gnrlzHealthInfo/gnrlzHealthInfo/gnrlzHealthInfoMain.do</x:v>
      </x:c>
      <x:c r="H252" s="8" t="str">
        <x:v>{
  "disease": "다운증후군",
  "section": "위험요인 및 예방 / 생활습관 관리",
  "category": "disease"
}</x:v>
      </x:c>
    </x:row>
    <x:row r="253" ht="54" customHeight="1">
      <x:c r="A253" s="8" t="str">
        <x:v>gold-disease-08256e22115f1d21</x:v>
      </x:c>
      <x:c r="B253" s="8" t="str">
        <x:v>kdca-5238-3</x:v>
      </x:c>
      <x:c r="C253" s="8" t="str">
        <x:v>kdca-5238-3</x:v>
      </x:c>
      <x:c r="D253" s="8" t="str">
        <x:v>근거와 함께 답변</x:v>
      </x:c>
      <x:c r="E253" s="15" t="n">
        <x:v>251</x:v>
      </x:c>
      <x:c r="F253" s="8" t="str">
        <x:v>VDB 원인·위험요인 청크 재선정</x:v>
      </x:c>
      <x:c r="G253" s="8" t="str">
        <x:v>https://health.kdca.go.kr/healthinfo/biz/health/gnrlzHealthInfo/gnrlzHealthInfo/gnrlzHealthInfoMain.do</x:v>
      </x:c>
      <x:c r="H253" s="8" t="str">
        <x:v>{
  "disease": "연조직염(봉와직염)",
  "section": "원인",
  "category": "disease"
}</x:v>
      </x:c>
    </x:row>
    <x:row r="254" ht="54" customHeight="1">
      <x:c r="A254" s="8" t="str">
        <x:v>gold-disease-6b7a1ead875f778d</x:v>
      </x:c>
      <x:c r="B254" s="8" t="str">
        <x:v>kdca-5722-1</x:v>
      </x:c>
      <x:c r="C254" s="8" t="str">
        <x:v>kdca-5722-1</x:v>
      </x:c>
      <x:c r="D254" s="8" t="str">
        <x:v>근거와 함께 답변</x:v>
      </x:c>
      <x:c r="E254" s="15" t="n">
        <x:v>252</x:v>
      </x:c>
      <x:c r="F254" s="8" t="str">
        <x:v>기존 검증 정답</x:v>
      </x:c>
      <x:c r="G254" s="8" t="str">
        <x:v>https://health.kdca.go.kr/healthinfo/biz/health/gnrlzHealthInfo/gnrlzHealthInfo/gnrlzHealthInfoMain.do</x:v>
      </x:c>
      <x:c r="H254" s="8" t="str">
        <x:v>{
  "disease": "대변 이상",
  "section": "요약문 / 개요",
  "category": "symptom"
}</x:v>
      </x:c>
    </x:row>
    <x:row r="255" ht="54" customHeight="1">
      <x:c r="A255" s="8" t="str">
        <x:v>gold-disease-ac51ccf6f5da97bc</x:v>
      </x:c>
      <x:c r="B255" s="8" t="str">
        <x:v>kdca-5853-0</x:v>
      </x:c>
      <x:c r="C255" s="8" t="str">
        <x:v>kdca-5853-0</x:v>
      </x:c>
      <x:c r="D255" s="8" t="str">
        <x:v>근거와 함께 답변</x:v>
      </x:c>
      <x:c r="E255" s="15" t="n">
        <x:v>253</x:v>
      </x:c>
      <x:c r="F255" s="8" t="str">
        <x:v>기존 검증 정답</x:v>
      </x:c>
      <x:c r="G255" s="8" t="str">
        <x:v>https://health.kdca.go.kr/healthinfo/biz/health/gnrlzHealthInfo/gnrlzHealthInfo/gnrlzHealthInfoMain.do</x:v>
      </x:c>
      <x:c r="H255" s="8" t="str">
        <x:v>{
  "disease": "실신",
  "section": "요약문",
  "category": "symptom"
}</x:v>
      </x:c>
    </x:row>
    <x:row r="256" ht="54" customHeight="1">
      <x:c r="A256" s="8" t="str">
        <x:v>gold-disease-na-b145c1cb7c9da522</x:v>
      </x:c>
      <x:c r="B256" s="8" t="str"/>
      <x:c r="C256" s="8" t="str"/>
      <x:c r="D256" s="8" t="str">
        <x:v>답변 거부 또는 추가 확인 요청</x:v>
      </x:c>
      <x:c r="E256" s="15" t="n">
        <x:v>254</x:v>
      </x:c>
      <x:c r="F256" s="8" t="str">
        <x:v>답변 거부 기준 문구</x:v>
      </x:c>
      <x:c r="G256" s="8" t="str">
        <x:v>https://health.kdca.go.kr/healthinfo/biz/health/gnrlzHealthInfo/gnrlzHealthInfo/gnrlzHealthInfoMain.do</x:v>
      </x:c>
      <x:c r="H256" s="8" t="str">
        <x:v>{
  "disease": "성조숙증",
  "section": "요약문",
  "category": "disease"
}</x:v>
      </x:c>
    </x:row>
    <x:row r="257" ht="54" customHeight="1">
      <x:c r="A257" s="8" t="str">
        <x:v>gold-disease-b509bc206b39608e</x:v>
      </x:c>
      <x:c r="B257" s="8" t="str">
        <x:v>kdca-5462-3</x:v>
      </x:c>
      <x:c r="C257" s="8" t="str">
        <x:v>kdca-5462-3</x:v>
      </x:c>
      <x:c r="D257" s="8" t="str">
        <x:v>근거와 함께 답변</x:v>
      </x:c>
      <x:c r="E257" s="15" t="n">
        <x:v>255</x:v>
      </x:c>
      <x:c r="F257" s="8" t="str">
        <x:v>VDB 원인·위험요인 청크 재선정</x:v>
      </x:c>
      <x:c r="G257" s="8" t="str">
        <x:v>https://health.kdca.go.kr/healthinfo/biz/health/gnrlzHealthInfo/gnrlzHealthInfo/gnrlzHealthInfoMain.do</x:v>
      </x:c>
      <x:c r="H257" s="8" t="str">
        <x:v>{
  "disease": "황달",
  "section": "원인",
  "category": "disease"
}</x:v>
      </x:c>
    </x:row>
    <x:row r="258" ht="54" customHeight="1">
      <x:c r="A258" s="8" t="str">
        <x:v>gold-disease-c95fd5e408c317a7</x:v>
      </x:c>
      <x:c r="B258" s="8" t="str">
        <x:v>kdca-2969-3</x:v>
      </x:c>
      <x:c r="C258" s="8" t="str">
        <x:v>kdca-2969-3</x:v>
      </x:c>
      <x:c r="D258" s="8" t="str">
        <x:v>근거와 함께 답변</x:v>
      </x:c>
      <x:c r="E258" s="15" t="n">
        <x:v>256</x:v>
      </x:c>
      <x:c r="F258" s="8" t="str">
        <x:v>VDB 후속 설명 보강</x:v>
      </x:c>
      <x:c r="G258" s="8" t="str">
        <x:v>https://health.kdca.go.kr/healthinfo/biz/health/gnrlzHealthInfo/gnrlzHealthInfo/gnrlzHealthInfoMain.do</x:v>
      </x:c>
      <x:c r="H258" s="8" t="str">
        <x:v>{
  "disease": "심낭염(만성 심낭삼출)",
  "section": "증상 / 진단 및 검사",
  "category": "disease"
}</x:v>
      </x:c>
    </x:row>
    <x:row r="259" ht="54" customHeight="1">
      <x:c r="A259" s="8" t="str">
        <x:v>gold-disease-d2e0fe88548f3a27</x:v>
      </x:c>
      <x:c r="B259" s="8" t="str">
        <x:v>kdca-3467-3</x:v>
      </x:c>
      <x:c r="C259" s="8" t="str">
        <x:v>kdca-3467-3</x:v>
      </x:c>
      <x:c r="D259" s="8" t="str">
        <x:v>근거와 함께 답변</x:v>
      </x:c>
      <x:c r="E259" s="15" t="n">
        <x:v>257</x:v>
      </x:c>
      <x:c r="F259" s="8" t="str">
        <x:v>VDB 원인·위험요인 청크 재선정</x:v>
      </x:c>
      <x:c r="G259" s="8" t="str">
        <x:v>https://health.kdca.go.kr/healthinfo/biz/health/gnrlzHealthInfo/gnrlzHealthInfo/gnrlzHealthInfoMain.do</x:v>
      </x:c>
      <x:c r="H259" s="8" t="str">
        <x:v>{
  "disease": "대퇴골두 무혈성 괴사",
  "section": "원인 / 역학 및 통계",
  "category": "disease"
}</x:v>
      </x:c>
    </x:row>
    <x:row r="260" ht="54" customHeight="1">
      <x:c r="A260" s="8" t="str">
        <x:v>gold-disease-580b685ac2d0cdd3</x:v>
      </x:c>
      <x:c r="B260" s="8" t="str">
        <x:v>kdca-6154-25</x:v>
      </x:c>
      <x:c r="C260" s="8" t="str">
        <x:v>kdca-6154-25</x:v>
      </x:c>
      <x:c r="D260" s="8" t="str">
        <x:v>근거와 함께 답변</x:v>
      </x:c>
      <x:c r="E260" s="15" t="n">
        <x:v>258</x:v>
      </x:c>
      <x:c r="F260" s="8" t="str">
        <x:v>기존 검증 정답</x:v>
      </x:c>
      <x:c r="G260" s="8" t="str">
        <x:v>https://health.kdca.go.kr/healthinfo/biz/health/gnrlzHealthInfo/gnrlzHealthInfo/gnrlzHealthInfoMain.do</x:v>
      </x:c>
      <x:c r="H260" s="8" t="str">
        <x:v>{
  "disease": "입냄새",
  "section": "진단 및 검사",
  "category": "disease"
}</x:v>
      </x:c>
    </x:row>
    <x:row r="261" ht="54" customHeight="1">
      <x:c r="A261" s="8" t="str">
        <x:v>gold-disease-3457d87903cabd6d</x:v>
      </x:c>
      <x:c r="B261" s="8" t="str">
        <x:v>kdca-6585-11</x:v>
      </x:c>
      <x:c r="C261" s="8" t="str">
        <x:v>kdca-6585-11</x:v>
      </x:c>
      <x:c r="D261" s="8" t="str">
        <x:v>근거와 함께 답변</x:v>
      </x:c>
      <x:c r="E261" s="15" t="n">
        <x:v>259</x:v>
      </x:c>
      <x:c r="F261" s="8" t="str">
        <x:v>VDB 후속 설명 보강</x:v>
      </x:c>
      <x:c r="G261" s="8" t="str">
        <x:v>https://health.kdca.go.kr/healthinfo/biz/health/gnrlzHealthInfo/gnrlzHealthInfo/gnrlzHealthInfoMain.do</x:v>
      </x:c>
      <x:c r="H261" s="8" t="str">
        <x:v>{
  "disease": "독성 간 손상",
  "section": "증상",
  "category": "disease"
}</x:v>
      </x:c>
    </x:row>
    <x:row r="262" ht="54" customHeight="1">
      <x:c r="A262" s="8" t="str">
        <x:v>gold-disease-na-8d0e325e3ddde6be</x:v>
      </x:c>
      <x:c r="B262" s="8" t="str"/>
      <x:c r="C262" s="8" t="str"/>
      <x:c r="D262" s="8" t="str">
        <x:v>답변 거부 또는 추가 확인 요청</x:v>
      </x:c>
      <x:c r="E262" s="15" t="n">
        <x:v>260</x:v>
      </x:c>
      <x:c r="F262" s="8" t="str">
        <x:v>답변 거부 기준 문구</x:v>
      </x:c>
      <x:c r="G262" s="8" t="str">
        <x:v>https://health.kdca.go.kr/healthinfo/biz/health/gnrlzHealthInfo/gnrlzHealthInfo/gnrlzHealthInfoMain.do</x:v>
      </x:c>
      <x:c r="H262" s="8" t="str">
        <x:v>{
  "disease": "간의 양성종양(간선종)",
  "section": "개요 / 원인",
  "category": "disease"
}</x:v>
      </x:c>
    </x:row>
    <x:row r="263" ht="54" customHeight="1">
      <x:c r="A263" s="8" t="str">
        <x:v>gold-disease-720ce41bef127bed</x:v>
      </x:c>
      <x:c r="B263" s="8" t="str">
        <x:v>kdca-6566-20</x:v>
      </x:c>
      <x:c r="C263" s="8" t="str">
        <x:v>kdca-6566-20</x:v>
      </x:c>
      <x:c r="D263" s="8" t="str">
        <x:v>근거와 함께 답변</x:v>
      </x:c>
      <x:c r="E263" s="15" t="n">
        <x:v>261</x:v>
      </x:c>
      <x:c r="F263" s="8" t="str">
        <x:v>기존 검증 정답</x:v>
      </x:c>
      <x:c r="G263" s="8" t="str">
        <x:v>https://health.kdca.go.kr/healthinfo/biz/health/gnrlzHealthInfo/gnrlzHealthInfo/gnrlzHealthInfoMain.do</x:v>
      </x:c>
      <x:c r="H263" s="8" t="str">
        <x:v>{
  "disease": "협심증",
  "section": "증상",
  "category": "disease"
}</x:v>
      </x:c>
    </x:row>
    <x:row r="264" ht="54" customHeight="1">
      <x:c r="A264" s="8" t="str">
        <x:v>gold-disease-219e1f8a82e05b54</x:v>
      </x:c>
      <x:c r="B264" s="8" t="str">
        <x:v>kdca-6687-58</x:v>
      </x:c>
      <x:c r="C264" s="8" t="str">
        <x:v>kdca-6687-58</x:v>
      </x:c>
      <x:c r="D264" s="8" t="str">
        <x:v>근거와 함께 답변</x:v>
      </x:c>
      <x:c r="E264" s="15" t="n">
        <x:v>262</x:v>
      </x:c>
      <x:c r="F264" s="8" t="str">
        <x:v>기존 검증 정답</x:v>
      </x:c>
      <x:c r="G264" s="8" t="str">
        <x:v>https://health.kdca.go.kr/healthinfo/biz/health/gnrlzHealthInfo/gnrlzHealthInfo/gnrlzHealthInfoMain.do</x:v>
      </x:c>
      <x:c r="H264" s="8" t="str">
        <x:v>{
  "disease": "폐경기",
  "section": "자가 관리",
  "category": "disease"
}</x:v>
      </x:c>
    </x:row>
    <x:row r="265" ht="54" customHeight="1">
      <x:c r="A265" s="8" t="str">
        <x:v>gold-disease-1b130b36e265e38f</x:v>
      </x:c>
      <x:c r="B265" s="8" t="str">
        <x:v>kdca-5479-4</x:v>
      </x:c>
      <x:c r="C265" s="8" t="str">
        <x:v>kdca-5479-4</x:v>
      </x:c>
      <x:c r="D265" s="8" t="str">
        <x:v>근거와 함께 답변</x:v>
      </x:c>
      <x:c r="E265" s="15" t="n">
        <x:v>263</x:v>
      </x:c>
      <x:c r="F265" s="8" t="str">
        <x:v>VDB 원인·위험요인 청크 재선정</x:v>
      </x:c>
      <x:c r="G265" s="8" t="str">
        <x:v>https://health.kdca.go.kr/healthinfo/biz/health/gnrlzHealthInfo/gnrlzHealthInfo/gnrlzHealthInfoMain.do</x:v>
      </x:c>
      <x:c r="H265" s="8" t="str">
        <x:v>{
  "disease": "정계정맥류",
  "section": "원인 / 역학 및 통계",
  "category": "disease"
}</x:v>
      </x:c>
    </x:row>
    <x:row r="266" ht="54" customHeight="1">
      <x:c r="A266" s="8" t="str">
        <x:v>gold-disease-4dc2df89cebc7717</x:v>
      </x:c>
      <x:c r="B266" s="8" t="str">
        <x:v>kdca-1746-10</x:v>
      </x:c>
      <x:c r="C266" s="8" t="str">
        <x:v>kdca-1746-10</x:v>
      </x:c>
      <x:c r="D266" s="8" t="str">
        <x:v>근거와 함께 답변</x:v>
      </x:c>
      <x:c r="E266" s="15" t="n">
        <x:v>264</x:v>
      </x:c>
      <x:c r="F266" s="8" t="str">
        <x:v>VDB 후속 설명 보강</x:v>
      </x:c>
      <x:c r="G266" s="8" t="str">
        <x:v>https://health.kdca.go.kr/healthinfo/biz/health/gnrlzHealthInfo/gnrlzHealthInfo/gnrlzHealthInfoMain.do</x:v>
      </x:c>
      <x:c r="H266" s="8" t="str">
        <x:v>{
  "disease": "대동맥류",
  "section": "증상 / 진단 및 검사",
  "category": "disease"
}</x:v>
      </x:c>
    </x:row>
    <x:row r="267" ht="54" customHeight="1">
      <x:c r="A267" s="8" t="str">
        <x:v>gold-disease-013385903efbc97c</x:v>
      </x:c>
      <x:c r="B267" s="8" t="str">
        <x:v>kdca-1141-21</x:v>
      </x:c>
      <x:c r="C267" s="8" t="str">
        <x:v>kdca-1141-21</x:v>
      </x:c>
      <x:c r="D267" s="8" t="str">
        <x:v>근거와 함께 답변</x:v>
      </x:c>
      <x:c r="E267" s="15" t="n">
        <x:v>265</x:v>
      </x:c>
      <x:c r="F267" s="8" t="str">
        <x:v>VDB 후속 설명 보강</x:v>
      </x:c>
      <x:c r="G267" s="8" t="str">
        <x:v>https://health.kdca.go.kr/healthinfo/biz/health/gnrlzHealthInfo/gnrlzHealthInfo/gnrlzHealthInfoMain.do</x:v>
      </x:c>
      <x:c r="H267" s="8" t="str">
        <x:v>{
  "disease": "액취증",
  "section": "위험요인 및 예방",
  "category": "disease"
}</x:v>
      </x:c>
    </x:row>
    <x:row r="268" ht="54" customHeight="1">
      <x:c r="A268" s="8" t="str">
        <x:v>gold-disease-1c55cc7c1cdadcad</x:v>
      </x:c>
      <x:c r="B268" s="8" t="str">
        <x:v>kdca-5245-6</x:v>
      </x:c>
      <x:c r="C268" s="8" t="str">
        <x:v>kdca-5245-6</x:v>
      </x:c>
      <x:c r="D268" s="8" t="str">
        <x:v>근거와 함께 답변</x:v>
      </x:c>
      <x:c r="E268" s="15" t="n">
        <x:v>266</x:v>
      </x:c>
      <x:c r="F268" s="8" t="str">
        <x:v>기존 검증 정답</x:v>
      </x:c>
      <x:c r="G268" s="8" t="str">
        <x:v>https://health.kdca.go.kr/healthinfo/biz/health/gnrlzHealthInfo/gnrlzHealthInfo/gnrlzHealthInfoMain.do</x:v>
      </x:c>
      <x:c r="H268" s="8" t="str">
        <x:v>{
  "disease": "말라리아",
  "section": "병태생리 / 역학 및 통계",
  "category": "disease"
}</x:v>
      </x:c>
    </x:row>
    <x:row r="269" ht="54" customHeight="1">
      <x:c r="A269" s="8" t="str">
        <x:v>gold-disease-na-1c52bb0ce047e3df</x:v>
      </x:c>
      <x:c r="B269" s="8" t="str"/>
      <x:c r="C269" s="8" t="str"/>
      <x:c r="D269" s="8" t="str">
        <x:v>답변 거부 또는 추가 확인 요청</x:v>
      </x:c>
      <x:c r="E269" s="15" t="n">
        <x:v>267</x:v>
      </x:c>
      <x:c r="F269" s="8" t="str">
        <x:v>답변 거부 기준 문구</x:v>
      </x:c>
      <x:c r="G269" s="8" t="str">
        <x:v>https://health.kdca.go.kr/healthinfo/biz/health/gnrlzHealthInfo/gnrlzHealthInfo/gnrlzHealthInfoMain.do</x:v>
      </x:c>
      <x:c r="H269" s="8" t="str">
        <x:v>{
  "disease": "페스트",
  "section": "증상 / 진단 및 검사",
  "category": "disease"
}</x:v>
      </x:c>
    </x:row>
    <x:row r="270" ht="54" customHeight="1">
      <x:c r="A270" s="8" t="str">
        <x:v>gold-disease-f9f67d694469140e</x:v>
      </x:c>
      <x:c r="B270" s="8" t="str">
        <x:v>kdca-6537-0</x:v>
      </x:c>
      <x:c r="C270" s="8" t="str">
        <x:v>kdca-6537-0</x:v>
      </x:c>
      <x:c r="D270" s="8" t="str">
        <x:v>근거와 함께 답변</x:v>
      </x:c>
      <x:c r="E270" s="15" t="n">
        <x:v>268</x:v>
      </x:c>
      <x:c r="F270" s="8" t="str">
        <x:v>VDB 정의 문장 재선정</x:v>
      </x:c>
      <x:c r="G270" s="8" t="str">
        <x:v>https://health.kdca.go.kr/healthinfo/biz/health/gnrlzHealthInfo/gnrlzHealthInfo/gnrlzHealthInfoMain.do</x:v>
      </x:c>
      <x:c r="H270" s="8" t="str">
        <x:v>{
  "disease": "사마귀",
  "section": "요약문",
  "category": "disease"
}</x:v>
      </x:c>
    </x:row>
    <x:row r="271" ht="54" customHeight="1">
      <x:c r="A271" s="8" t="str">
        <x:v>gold-disease-c0d1876fbfb32b0b</x:v>
      </x:c>
      <x:c r="B271" s="8" t="str">
        <x:v>kdca-6302-5</x:v>
      </x:c>
      <x:c r="C271" s="8" t="str">
        <x:v>kdca-6302-5</x:v>
      </x:c>
      <x:c r="D271" s="8" t="str">
        <x:v>근거와 함께 답변</x:v>
      </x:c>
      <x:c r="E271" s="15" t="n">
        <x:v>269</x:v>
      </x:c>
      <x:c r="F271" s="8" t="str">
        <x:v>VDB 후속 설명 보강</x:v>
      </x:c>
      <x:c r="G271" s="8" t="str">
        <x:v>https://health.kdca.go.kr/healthinfo/biz/health/gnrlzHealthInfo/gnrlzHealthInfo/gnrlzHealthInfoMain.do</x:v>
      </x:c>
      <x:c r="H271" s="8" t="str">
        <x:v>{
  "disease": "유비저",
  "section": "증상",
  "category": "disease"
}</x:v>
      </x:c>
    </x:row>
    <x:row r="272" ht="54" customHeight="1">
      <x:c r="A272" s="8" t="str">
        <x:v>gold-disease-39cbfe2d7e8b1ed0</x:v>
      </x:c>
      <x:c r="B272" s="8" t="str">
        <x:v>kdca-5257-32</x:v>
      </x:c>
      <x:c r="C272" s="8" t="str">
        <x:v>kdca-5257-32</x:v>
      </x:c>
      <x:c r="D272" s="8" t="str">
        <x:v>근거와 함께 답변</x:v>
      </x:c>
      <x:c r="E272" s="15" t="n">
        <x:v>270</x:v>
      </x:c>
      <x:c r="F272" s="8" t="str">
        <x:v>VDB 후속 설명 보강</x:v>
      </x:c>
      <x:c r="G272" s="8" t="str">
        <x:v>https://health.kdca.go.kr/healthinfo/biz/health/gnrlzHealthInfo/gnrlzHealthInfo/gnrlzHealthInfoMain.do</x:v>
      </x:c>
      <x:c r="H272" s="8" t="str">
        <x:v>{
  "disease": "부신부전증",
  "section": "위험요인 및 예방",
  "category": "disease"
}</x:v>
      </x:c>
    </x:row>
    <x:row r="273" ht="54" customHeight="1">
      <x:c r="A273" s="8" t="str">
        <x:v>gold-disease-3ce0255ac7e7c982</x:v>
      </x:c>
      <x:c r="B273" s="8" t="str">
        <x:v>kdca-5249-3</x:v>
      </x:c>
      <x:c r="C273" s="8" t="str">
        <x:v>kdca-5249-3</x:v>
      </x:c>
      <x:c r="D273" s="8" t="str">
        <x:v>근거와 함께 답변</x:v>
      </x:c>
      <x:c r="E273" s="15" t="n">
        <x:v>271</x:v>
      </x:c>
      <x:c r="F273" s="8" t="str">
        <x:v>VDB 원인·위험요인 청크 재선정</x:v>
      </x:c>
      <x:c r="G273" s="8" t="str">
        <x:v>https://health.kdca.go.kr/healthinfo/biz/health/gnrlzHealthInfo/gnrlzHealthInfo/gnrlzHealthInfoMain.do</x:v>
      </x:c>
      <x:c r="H273" s="8" t="str">
        <x:v>{
  "disease": "폐렴(성인)",
  "section": "종류 / 원인",
  "category": "disease"
}</x:v>
      </x:c>
    </x:row>
    <x:row r="274" ht="54" customHeight="1">
      <x:c r="A274" s="8" t="str">
        <x:v>gold-disease-68d938425443d18c</x:v>
      </x:c>
      <x:c r="B274" s="8" t="str">
        <x:v>kdca-5727-14</x:v>
      </x:c>
      <x:c r="C274" s="8" t="str">
        <x:v>kdca-5727-14</x:v>
      </x:c>
      <x:c r="D274" s="8" t="str">
        <x:v>근거와 함께 답변</x:v>
      </x:c>
      <x:c r="E274" s="15" t="n">
        <x:v>272</x:v>
      </x:c>
      <x:c r="F274" s="8" t="str">
        <x:v>기존 검증 정답</x:v>
      </x:c>
      <x:c r="G274" s="8" t="str">
        <x:v>https://health.kdca.go.kr/healthinfo/biz/health/gnrlzHealthInfo/gnrlzHealthInfo/gnrlzHealthInfoMain.do</x:v>
      </x:c>
      <x:c r="H274" s="8" t="str">
        <x:v>{
  "disease": "크루프(후두염)",
  "section": "증상",
  "category": "disease"
}</x:v>
      </x:c>
    </x:row>
    <x:row r="275" ht="54" customHeight="1">
      <x:c r="A275" s="8" t="str">
        <x:v>gold-disease-na-b36bb786df8f2200</x:v>
      </x:c>
      <x:c r="B275" s="8" t="str"/>
      <x:c r="C275" s="8" t="str"/>
      <x:c r="D275" s="8" t="str">
        <x:v>답변 거부 또는 추가 확인 요청</x:v>
      </x:c>
      <x:c r="E275" s="15" t="n">
        <x:v>273</x:v>
      </x:c>
      <x:c r="F275" s="8" t="str">
        <x:v>답변 거부 기준 문구</x:v>
      </x:c>
      <x:c r="G275" s="8" t="str">
        <x:v>https://health.kdca.go.kr/healthinfo/biz/health/gnrlzHealthInfo/gnrlzHealthInfo/gnrlzHealthInfoMain.do</x:v>
      </x:c>
      <x:c r="H275" s="8" t="str">
        <x:v>{
  "disease": "치아맹출장애",
  "section": "원인",
  "category": "disease"
}</x:v>
      </x:c>
    </x:row>
    <x:row r="276" ht="54" customHeight="1">
      <x:c r="A276" s="8" t="str">
        <x:v>gold-disease-d03e349a6e9016a9</x:v>
      </x:c>
      <x:c r="B276" s="8" t="str">
        <x:v>kdca-6685-23</x:v>
      </x:c>
      <x:c r="C276" s="8" t="str">
        <x:v>kdca-6685-23</x:v>
      </x:c>
      <x:c r="D276" s="8" t="str">
        <x:v>근거와 함께 답변</x:v>
      </x:c>
      <x:c r="E276" s="15" t="n">
        <x:v>274</x:v>
      </x:c>
      <x:c r="F276" s="8" t="str">
        <x:v>기존 검증 정답</x:v>
      </x:c>
      <x:c r="G276" s="8" t="str">
        <x:v>https://health.kdca.go.kr/healthinfo/biz/health/gnrlzHealthInfo/gnrlzHealthInfo/gnrlzHealthInfoMain.do</x:v>
      </x:c>
      <x:c r="H276" s="8" t="str">
        <x:v>{
  "disease": "무월경",
  "section": "진단 및 검사",
  "category": "disease"
}</x:v>
      </x:c>
    </x:row>
    <x:row r="277" ht="54" customHeight="1">
      <x:c r="A277" s="8" t="str">
        <x:v>gold-disease-f1d7e0088a89089f</x:v>
      </x:c>
      <x:c r="B277" s="8" t="str">
        <x:v>kdca-5224-4</x:v>
      </x:c>
      <x:c r="C277" s="8" t="str">
        <x:v>kdca-5224-4</x:v>
      </x:c>
      <x:c r="D277" s="8" t="str">
        <x:v>근거와 함께 답변</x:v>
      </x:c>
      <x:c r="E277" s="15" t="n">
        <x:v>275</x:v>
      </x:c>
      <x:c r="F277" s="8" t="str">
        <x:v>VDB 원인·위험요인 청크 재선정</x:v>
      </x:c>
      <x:c r="G277" s="8" t="str">
        <x:v>https://health.kdca.go.kr/healthinfo/biz/health/gnrlzHealthInfo/gnrlzHealthInfo/gnrlzHealthInfoMain.do</x:v>
      </x:c>
      <x:c r="H277" s="8" t="str">
        <x:v>{
  "disease": "저시력",
  "section": "원인",
  "category": "disease"
}</x:v>
      </x:c>
    </x:row>
    <x:row r="278" ht="54" customHeight="1">
      <x:c r="A278" s="8" t="str">
        <x:v>gold-disease-8d9c38347ec21dc2</x:v>
      </x:c>
      <x:c r="B278" s="8" t="str">
        <x:v>kdca-5415-7</x:v>
      </x:c>
      <x:c r="C278" s="8" t="str">
        <x:v>kdca-5415-7</x:v>
      </x:c>
      <x:c r="D278" s="8" t="str">
        <x:v>근거와 함께 답변</x:v>
      </x:c>
      <x:c r="E278" s="15" t="n">
        <x:v>276</x:v>
      </x:c>
      <x:c r="F278" s="8" t="str">
        <x:v>VDB 원인·위험요인 청크 재선정</x:v>
      </x:c>
      <x:c r="G278" s="8" t="str">
        <x:v>https://health.kdca.go.kr/healthinfo/biz/health/gnrlzHealthInfo/gnrlzHealthInfo/gnrlzHealthInfoMain.do</x:v>
      </x:c>
      <x:c r="H278" s="8" t="str">
        <x:v>{
  "disease": "저신장",
  "section": "원인",
  "category": "disease"
}</x:v>
      </x:c>
    </x:row>
    <x:row r="279" ht="54" customHeight="1">
      <x:c r="A279" s="8" t="str">
        <x:v>gold-disease-2c2e5c12d1ce51e8</x:v>
      </x:c>
      <x:c r="B279" s="8" t="str">
        <x:v>kdca-5716-28</x:v>
      </x:c>
      <x:c r="C279" s="8" t="str">
        <x:v>kdca-5716-28</x:v>
      </x:c>
      <x:c r="D279" s="8" t="str">
        <x:v>근거와 함께 답변</x:v>
      </x:c>
      <x:c r="E279" s="15" t="n">
        <x:v>277</x:v>
      </x:c>
      <x:c r="F279" s="8" t="str">
        <x:v>VDB 후속 설명 보강</x:v>
      </x:c>
      <x:c r="G279" s="8" t="str">
        <x:v>https://health.kdca.go.kr/healthinfo/biz/health/gnrlzHealthInfo/gnrlzHealthInfo/gnrlzHealthInfoMain.do</x:v>
      </x:c>
      <x:c r="H279" s="8" t="str">
        <x:v>{
  "disease": "잇몸병(치주질환)",
  "section": "자가 관리",
  "category": "disease"
}</x:v>
      </x:c>
    </x:row>
    <x:row r="280" ht="54" customHeight="1">
      <x:c r="A280" s="8" t="str">
        <x:v>gold-disease-3fb2e0d115ffbaf5</x:v>
      </x:c>
      <x:c r="B280" s="8" t="str">
        <x:v>kdca-6252-15</x:v>
      </x:c>
      <x:c r="C280" s="8" t="str">
        <x:v>kdca-6252-15</x:v>
      </x:c>
      <x:c r="D280" s="8" t="str">
        <x:v>근거와 함께 답변</x:v>
      </x:c>
      <x:c r="E280" s="15" t="n">
        <x:v>278</x:v>
      </x:c>
      <x:c r="F280" s="8" t="str">
        <x:v>기존 검증 정답</x:v>
      </x:c>
      <x:c r="G280" s="8" t="str">
        <x:v>https://health.kdca.go.kr/healthinfo/biz/health/gnrlzHealthInfo/gnrlzHealthInfo/gnrlzHealthInfoMain.do</x:v>
      </x:c>
      <x:c r="H280" s="8" t="str">
        <x:v>{
  "disease": "딸꾹질",
  "section": "진단 및 검사",
  "category": "symptom"
}</x:v>
      </x:c>
    </x:row>
    <x:row r="281" ht="54" customHeight="1">
      <x:c r="A281" s="8" t="str">
        <x:v>gold-disease-na-ae645714b7bd0c18</x:v>
      </x:c>
      <x:c r="B281" s="8" t="str"/>
      <x:c r="C281" s="8" t="str"/>
      <x:c r="D281" s="8" t="str">
        <x:v>답변 거부 또는 추가 확인 요청</x:v>
      </x:c>
      <x:c r="E281" s="15" t="n">
        <x:v>279</x:v>
      </x:c>
      <x:c r="F281" s="8" t="str">
        <x:v>답변 거부 기준 문구</x:v>
      </x:c>
      <x:c r="G281" s="8" t="str">
        <x:v>https://health.kdca.go.kr/healthinfo/biz/health/gnrlzHealthInfo/gnrlzHealthInfo/gnrlzHealthInfoMain.do</x:v>
      </x:c>
      <x:c r="H281" s="8" t="str">
        <x:v>{
  "disease": "구내염",
  "section": "위험요인 및 예방 / 참고문헌",
  "category": "disease"
}</x:v>
      </x:c>
    </x:row>
    <x:row r="282" ht="54" customHeight="1">
      <x:c r="A282" s="8" t="str">
        <x:v>gold-disease-551e12fa6360ec1e</x:v>
      </x:c>
      <x:c r="B282" s="8" t="str">
        <x:v>kdca-5820-18</x:v>
      </x:c>
      <x:c r="C282" s="8" t="str">
        <x:v>kdca-5820-18</x:v>
      </x:c>
      <x:c r="D282" s="8" t="str">
        <x:v>근거와 함께 답변</x:v>
      </x:c>
      <x:c r="E282" s="15" t="n">
        <x:v>280</x:v>
      </x:c>
      <x:c r="F282" s="8" t="str">
        <x:v>기존 검증 정답</x:v>
      </x:c>
      <x:c r="G282" s="8" t="str">
        <x:v>https://health.kdca.go.kr/healthinfo/biz/health/gnrlzHealthInfo/gnrlzHealthInfo/gnrlzHealthInfoMain.do</x:v>
      </x:c>
      <x:c r="H282" s="8" t="str">
        <x:v>{
  "disease": "담낭염",
  "section": "진단 및 검사",
  "category": "disease"
}</x:v>
      </x:c>
    </x:row>
    <x:row r="283" ht="54" customHeight="1">
      <x:c r="A283" s="8" t="str">
        <x:v>gold-disease-af20d4d200f481e5</x:v>
      </x:c>
      <x:c r="B283" s="8" t="str">
        <x:v>kdca-3329-5</x:v>
      </x:c>
      <x:c r="C283" s="8" t="str">
        <x:v>kdca-3329-5</x:v>
      </x:c>
      <x:c r="D283" s="8" t="str">
        <x:v>근거와 함께 답변</x:v>
      </x:c>
      <x:c r="E283" s="15" t="n">
        <x:v>281</x:v>
      </x:c>
      <x:c r="F283" s="8" t="str">
        <x:v>기존 검증 정답</x:v>
      </x:c>
      <x:c r="G283" s="8" t="str">
        <x:v>https://health.kdca.go.kr/healthinfo/biz/health/gnrlzHealthInfo/gnrlzHealthInfo/gnrlzHealthInfoMain.do</x:v>
      </x:c>
      <x:c r="H283" s="8" t="str">
        <x:v>{
  "disease": "임신고혈압과 전자간증(임신중독증)",
  "section": "원인 / 증상",
  "category": "disease"
}</x:v>
      </x:c>
    </x:row>
    <x:row r="284" ht="54" customHeight="1">
      <x:c r="A284" s="8" t="str">
        <x:v>gold-disease-451a2677bb7444ab</x:v>
      </x:c>
      <x:c r="B284" s="8" t="str">
        <x:v>kdca-6680-16</x:v>
      </x:c>
      <x:c r="C284" s="8" t="str">
        <x:v>kdca-6680-16</x:v>
      </x:c>
      <x:c r="D284" s="8" t="str">
        <x:v>근거와 함께 답변</x:v>
      </x:c>
      <x:c r="E284" s="15" t="n">
        <x:v>282</x:v>
      </x:c>
      <x:c r="F284" s="8" t="str">
        <x:v>VDB 후속 설명 보강</x:v>
      </x:c>
      <x:c r="G284" s="8" t="str">
        <x:v>https://health.kdca.go.kr/healthinfo/biz/health/gnrlzHealthInfo/gnrlzHealthInfo/gnrlzHealthInfoMain.do</x:v>
      </x:c>
      <x:c r="H284" s="8" t="str">
        <x:v>{
  "disease": "급성호흡기바이러스감염증",
  "section": "치료",
  "category": "disease"
}</x:v>
      </x:c>
    </x:row>
    <x:row r="285" ht="54" customHeight="1">
      <x:c r="A285" s="8" t="str">
        <x:v>gold-disease-d1fa1aef2c0fcba7</x:v>
      </x:c>
      <x:c r="B285" s="8" t="str">
        <x:v>kdca-6298-13</x:v>
      </x:c>
      <x:c r="C285" s="8" t="str">
        <x:v>kdca-6298-13</x:v>
      </x:c>
      <x:c r="D285" s="8" t="str">
        <x:v>근거와 함께 답변</x:v>
      </x:c>
      <x:c r="E285" s="15" t="n">
        <x:v>283</x:v>
      </x:c>
      <x:c r="F285" s="8" t="str">
        <x:v>기존 검증 정답</x:v>
      </x:c>
      <x:c r="G285" s="8" t="str">
        <x:v>https://health.kdca.go.kr/healthinfo/biz/health/gnrlzHealthInfo/gnrlzHealthInfo/gnrlzHealthInfoMain.do</x:v>
      </x:c>
      <x:c r="H285" s="8" t="str">
        <x:v>{
  "disease": "담낭 용종",
  "section": "자주하는 질문",
  "category": "disease"
}</x:v>
      </x:c>
    </x:row>
    <x:row r="286" ht="54" customHeight="1">
      <x:c r="A286" s="8" t="str">
        <x:v>gold-disease-02339b599ba0733f</x:v>
      </x:c>
      <x:c r="B286" s="8" t="str">
        <x:v>kdca-5697-6</x:v>
      </x:c>
      <x:c r="C286" s="8" t="str">
        <x:v>kdca-5697-6</x:v>
      </x:c>
      <x:c r="D286" s="8" t="str">
        <x:v>근거와 함께 답변</x:v>
      </x:c>
      <x:c r="E286" s="15" t="n">
        <x:v>284</x:v>
      </x:c>
      <x:c r="F286" s="8" t="str">
        <x:v>VDB 후속 설명 보강</x:v>
      </x:c>
      <x:c r="G286" s="8" t="str">
        <x:v>https://health.kdca.go.kr/healthinfo/biz/health/gnrlzHealthInfo/gnrlzHealthInfo/gnrlzHealthInfoMain.do</x:v>
      </x:c>
      <x:c r="H286" s="8" t="str">
        <x:v>{
  "disease": "난소 양성 종양",
  "section": "증상 / 진단 및 검사",
  "category": "disease"
}</x:v>
      </x:c>
    </x:row>
    <x:row r="287" ht="54" customHeight="1">
      <x:c r="A287" s="8" t="str">
        <x:v>gold-disease-eb5be180436f670a</x:v>
      </x:c>
      <x:c r="B287" s="8" t="str">
        <x:v>kdca-5972-8</x:v>
      </x:c>
      <x:c r="C287" s="8" t="str">
        <x:v>kdca-5972-8</x:v>
      </x:c>
      <x:c r="D287" s="8" t="str">
        <x:v>근거와 함께 답변</x:v>
      </x:c>
      <x:c r="E287" s="15" t="n">
        <x:v>285</x:v>
      </x:c>
      <x:c r="F287" s="8" t="str">
        <x:v>VDB 후속 설명 보강</x:v>
      </x:c>
      <x:c r="G287" s="8" t="str">
        <x:v>https://health.kdca.go.kr/healthinfo/biz/health/gnrlzHealthInfo/gnrlzHealthInfo/gnrlzHealthInfoMain.do</x:v>
      </x:c>
      <x:c r="H287" s="8" t="str">
        <x:v>{
  "disease": "일자목(거북목)증후군",
  "section": "비약물 치료",
  "category": "disease"
}</x:v>
      </x:c>
    </x:row>
    <x:row r="288" ht="54" customHeight="1">
      <x:c r="A288" s="8" t="str">
        <x:v>gold-disease-331bf20ea06b178e</x:v>
      </x:c>
      <x:c r="B288" s="8" t="str">
        <x:v>kdca-6490-6</x:v>
      </x:c>
      <x:c r="C288" s="8" t="str">
        <x:v>kdca-6490-6</x:v>
      </x:c>
      <x:c r="D288" s="8" t="str">
        <x:v>근거와 함께 답변</x:v>
      </x:c>
      <x:c r="E288" s="15" t="n">
        <x:v>286</x:v>
      </x:c>
      <x:c r="F288" s="8" t="str">
        <x:v>기존 검증 정답</x:v>
      </x:c>
      <x:c r="G288" s="8" t="str">
        <x:v>https://health.kdca.go.kr/healthinfo/biz/health/gnrlzHealthInfo/gnrlzHealthInfo/gnrlzHealthInfoMain.do</x:v>
      </x:c>
      <x:c r="H288" s="8" t="str">
        <x:v>{
  "disease": "건막염(류마치스 건막염)",
  "section": "치료 / 비약물 치료",
  "category": "disease"
}</x:v>
      </x:c>
    </x:row>
    <x:row r="289" ht="54" customHeight="1">
      <x:c r="A289" s="8" t="str">
        <x:v>gold-disease-2d48e6cfd609e2be</x:v>
      </x:c>
      <x:c r="B289" s="8" t="str">
        <x:v>kdca-6537-7</x:v>
      </x:c>
      <x:c r="C289" s="8" t="str">
        <x:v>kdca-6537-7</x:v>
      </x:c>
      <x:c r="D289" s="8" t="str">
        <x:v>근거와 함께 답변</x:v>
      </x:c>
      <x:c r="E289" s="15" t="n">
        <x:v>287</x:v>
      </x:c>
      <x:c r="F289" s="8" t="str">
        <x:v>VDB 후속 설명 보강</x:v>
      </x:c>
      <x:c r="G289" s="8" t="str">
        <x:v>https://health.kdca.go.kr/healthinfo/biz/health/gnrlzHealthInfo/gnrlzHealthInfo/gnrlzHealthInfoMain.do</x:v>
      </x:c>
      <x:c r="H289" s="8" t="str">
        <x:v>{
  "disease": "사마귀",
  "section": "증상 / 진단 및 검사",
  "category": "disease"
}</x:v>
      </x:c>
    </x:row>
    <x:row r="290" ht="54" customHeight="1">
      <x:c r="A290" s="8" t="str">
        <x:v>gold-disease-03b8548e6dfb43f1</x:v>
      </x:c>
      <x:c r="B290" s="8" t="str">
        <x:v>kdca-5806-13</x:v>
      </x:c>
      <x:c r="C290" s="8" t="str">
        <x:v>kdca-5806-13</x:v>
      </x:c>
      <x:c r="D290" s="8" t="str">
        <x:v>근거와 함께 답변</x:v>
      </x:c>
      <x:c r="E290" s="15" t="n">
        <x:v>288</x:v>
      </x:c>
      <x:c r="F290" s="8" t="str">
        <x:v>기존 검증 정답</x:v>
      </x:c>
      <x:c r="G290" s="8" t="str">
        <x:v>https://health.kdca.go.kr/healthinfo/biz/health/gnrlzHealthInfo/gnrlzHealthInfo/gnrlzHealthInfoMain.do</x:v>
      </x:c>
      <x:c r="H290" s="8" t="str">
        <x:v>{
  "disease": "알레르기",
  "section": "진단 및 검사 / 관련 질환",
  "category": "disease"
}</x:v>
      </x:c>
    </x:row>
    <x:row r="291" ht="54" customHeight="1">
      <x:c r="A291" s="8" t="str">
        <x:v>gold-disease-d6c10f1ea01763b0</x:v>
      </x:c>
      <x:c r="B291" s="8" t="str">
        <x:v>kdca-5707-1</x:v>
      </x:c>
      <x:c r="C291" s="8" t="str">
        <x:v>kdca-5707-1</x:v>
      </x:c>
      <x:c r="D291" s="8" t="str">
        <x:v>근거와 함께 답변</x:v>
      </x:c>
      <x:c r="E291" s="15" t="n">
        <x:v>289</x:v>
      </x:c>
      <x:c r="F291" s="8" t="str">
        <x:v>기존 검증 정답</x:v>
      </x:c>
      <x:c r="G291" s="8" t="str">
        <x:v>https://health.kdca.go.kr/healthinfo/biz/health/gnrlzHealthInfo/gnrlzHealthInfo/gnrlzHealthInfoMain.do</x:v>
      </x:c>
      <x:c r="H291" s="8" t="str">
        <x:v>{
  "disease": "편도염",
  "section": "요약문",
  "category": "disease"
}</x:v>
      </x:c>
    </x:row>
    <x:row r="292" ht="54" customHeight="1">
      <x:c r="A292" s="8" t="str">
        <x:v>gold-disease-20a3aea29c13bbc8</x:v>
      </x:c>
      <x:c r="B292" s="8" t="str">
        <x:v>kdca-6745-3</x:v>
      </x:c>
      <x:c r="C292" s="8" t="str">
        <x:v>kdca-6745-3</x:v>
      </x:c>
      <x:c r="D292" s="8" t="str">
        <x:v>근거와 함께 답변</x:v>
      </x:c>
      <x:c r="E292" s="15" t="n">
        <x:v>290</x:v>
      </x:c>
      <x:c r="F292" s="8" t="str">
        <x:v>기존 검증 정답</x:v>
      </x:c>
      <x:c r="G292" s="8" t="str">
        <x:v>https://health.kdca.go.kr/healthinfo/biz/health/gnrlzHealthInfo/gnrlzHealthInfo/gnrlzHealthInfoMain.do</x:v>
      </x:c>
      <x:c r="H292" s="8" t="str">
        <x:v>{
  "disease": "무릎 관절 주위의 골절",
  "section": "치료",
  "category": "disease"
}</x:v>
      </x:c>
    </x:row>
    <x:row r="293" ht="54" customHeight="1">
      <x:c r="A293" s="8" t="str">
        <x:v>gold-disease-e20272f463acb857</x:v>
      </x:c>
      <x:c r="B293" s="8" t="str">
        <x:v>kdca-5302-12</x:v>
      </x:c>
      <x:c r="C293" s="8" t="str">
        <x:v>kdca-5302-12</x:v>
      </x:c>
      <x:c r="D293" s="8" t="str">
        <x:v>근거와 함께 답변</x:v>
      </x:c>
      <x:c r="E293" s="15" t="n">
        <x:v>291</x:v>
      </x:c>
      <x:c r="F293" s="8" t="str">
        <x:v>기존 검증 정답</x:v>
      </x:c>
      <x:c r="G293" s="8" t="str">
        <x:v>https://health.kdca.go.kr/healthinfo/biz/health/gnrlzHealthInfo/gnrlzHealthInfo/gnrlzHealthInfoMain.do</x:v>
      </x:c>
      <x:c r="H293" s="8" t="str">
        <x:v>{
  "disease": "고혈압심장질환",
  "section": "병태생리 / 증상",
  "category": "disease"
}</x:v>
      </x:c>
    </x:row>
    <x:row r="294" ht="54" customHeight="1">
      <x:c r="A294" s="8" t="str">
        <x:v>gold-disease-2a835bf735c4866a</x:v>
      </x:c>
      <x:c r="B294" s="8" t="str">
        <x:v>kdca-3193-40</x:v>
      </x:c>
      <x:c r="C294" s="8" t="str">
        <x:v>kdca-3193-40</x:v>
      </x:c>
      <x:c r="D294" s="8" t="str">
        <x:v>근거와 함께 답변</x:v>
      </x:c>
      <x:c r="E294" s="15" t="n">
        <x:v>292</x:v>
      </x:c>
      <x:c r="F294" s="8" t="str">
        <x:v>VDB 후속 설명 보강</x:v>
      </x:c>
      <x:c r="G294" s="8" t="str">
        <x:v>https://health.kdca.go.kr/healthinfo/biz/health/gnrlzHealthInfo/gnrlzHealthInfo/gnrlzHealthInfoMain.do</x:v>
      </x:c>
      <x:c r="H294" s="8" t="str">
        <x:v>{
  "disease": "전립선비대증",
  "section": "자주하는 질문",
  "category": "disease"
}</x:v>
      </x:c>
    </x:row>
    <x:row r="295" ht="54" customHeight="1">
      <x:c r="A295" s="8" t="str">
        <x:v>gold-disease-320c09510976acad</x:v>
      </x:c>
      <x:c r="B295" s="8" t="str">
        <x:v>kdca-5963-11</x:v>
      </x:c>
      <x:c r="C295" s="8" t="str">
        <x:v>kdca-5963-11</x:v>
      </x:c>
      <x:c r="D295" s="8" t="str">
        <x:v>근거와 함께 답변</x:v>
      </x:c>
      <x:c r="E295" s="15" t="n">
        <x:v>293</x:v>
      </x:c>
      <x:c r="F295" s="8" t="str">
        <x:v>기존 검증 정답</x:v>
      </x:c>
      <x:c r="G295" s="8" t="str">
        <x:v>https://health.kdca.go.kr/healthinfo/biz/health/gnrlzHealthInfo/gnrlzHealthInfo/gnrlzHealthInfoMain.do</x:v>
      </x:c>
      <x:c r="H295" s="8" t="str">
        <x:v>{
  "disease": "뇌동맥류",
  "section": "증상",
  "category": "disease"
}</x:v>
      </x:c>
    </x:row>
    <x:row r="296" ht="54" customHeight="1">
      <x:c r="A296" s="8" t="str">
        <x:v>gold-disease-8e18ad3399fc9075</x:v>
      </x:c>
      <x:c r="B296" s="8" t="str">
        <x:v>kdca-5499-13</x:v>
      </x:c>
      <x:c r="C296" s="8" t="str">
        <x:v>kdca-5499-13</x:v>
      </x:c>
      <x:c r="D296" s="8" t="str">
        <x:v>근거와 함께 답변</x:v>
      </x:c>
      <x:c r="E296" s="15" t="n">
        <x:v>294</x:v>
      </x:c>
      <x:c r="F296" s="8" t="str">
        <x:v>기존 검증 정답</x:v>
      </x:c>
      <x:c r="G296" s="8" t="str">
        <x:v>https://health.kdca.go.kr/healthinfo/biz/health/gnrlzHealthInfo/gnrlzHealthInfo/gnrlzHealthInfoMain.do</x:v>
      </x:c>
      <x:c r="H296" s="8" t="str">
        <x:v>{
  "disease": "모호한 외부생식기 및 성 발달 이상",
  "section": "역학 및 통계 / 증상",
  "category": "disease"
}</x:v>
      </x:c>
    </x:row>
    <x:row r="297" ht="54" customHeight="1">
      <x:c r="A297" s="8" t="str">
        <x:v>gold-disease-a57fa514dc03ac2e</x:v>
      </x:c>
      <x:c r="B297" s="8" t="str">
        <x:v>kdca-3430-26</x:v>
      </x:c>
      <x:c r="C297" s="8" t="str">
        <x:v>kdca-3430-26</x:v>
      </x:c>
      <x:c r="D297" s="8" t="str">
        <x:v>근거와 함께 답변</x:v>
      </x:c>
      <x:c r="E297" s="15" t="n">
        <x:v>295</x:v>
      </x:c>
      <x:c r="F297" s="8" t="str">
        <x:v>기존 검증 정답</x:v>
      </x:c>
      <x:c r="G297" s="8" t="str">
        <x:v>https://health.kdca.go.kr/healthinfo/biz/health/gnrlzHealthInfo/gnrlzHealthInfo/gnrlzHealthInfoMain.do</x:v>
      </x:c>
      <x:c r="H297" s="8" t="str">
        <x:v>{
  "disease": "심실중격결손증",
  "section": "비약물 치료",
  "category": "disease"
}</x:v>
      </x:c>
    </x:row>
    <x:row r="298" ht="54" customHeight="1">
      <x:c r="A298" s="8" t="str">
        <x:v>gold-disease-7b946d27ff5f734e</x:v>
      </x:c>
      <x:c r="B298" s="8" t="str">
        <x:v>kdca-6726-0</x:v>
      </x:c>
      <x:c r="C298" s="8" t="str">
        <x:v>kdca-6726-0</x:v>
      </x:c>
      <x:c r="D298" s="8" t="str">
        <x:v>근거와 함께 답변</x:v>
      </x:c>
      <x:c r="E298" s="15" t="n">
        <x:v>296</x:v>
      </x:c>
      <x:c r="F298" s="8" t="str">
        <x:v>기존 검증 정답</x:v>
      </x:c>
      <x:c r="G298" s="8" t="str">
        <x:v>https://health.kdca.go.kr/healthinfo/biz/health/gnrlzHealthInfo/gnrlzHealthInfo/gnrlzHealthInfoMain.do</x:v>
      </x:c>
      <x:c r="H298" s="8" t="str">
        <x:v>{
  "disease": "노인기능평가",
  "section": "요약문",
  "category": "disease"
}</x:v>
      </x:c>
    </x:row>
    <x:row r="299" ht="54" customHeight="1">
      <x:c r="A299" s="8" t="str">
        <x:v>gold-disease-e5a1ee742b9d3552</x:v>
      </x:c>
      <x:c r="B299" s="8" t="str">
        <x:v>kdca-6749-25</x:v>
      </x:c>
      <x:c r="C299" s="8" t="str">
        <x:v>kdca-6749-25</x:v>
      </x:c>
      <x:c r="D299" s="8" t="str">
        <x:v>근거와 함께 답변</x:v>
      </x:c>
      <x:c r="E299" s="15" t="n">
        <x:v>297</x:v>
      </x:c>
      <x:c r="F299" s="8" t="str">
        <x:v>기존 검증 정답</x:v>
      </x:c>
      <x:c r="G299" s="8" t="str">
        <x:v>https://health.kdca.go.kr/healthinfo/biz/health/gnrlzHealthInfo/gnrlzHealthInfo/gnrlzHealthInfoMain.do</x:v>
      </x:c>
      <x:c r="H299" s="8" t="str">
        <x:v>{
  "disease": "변실금",
  "section": "진단 및 검사 / 관련 질환",
  "category": "disease"
}</x:v>
      </x:c>
    </x:row>
    <x:row r="300" ht="54" customHeight="1">
      <x:c r="A300" s="8" t="str">
        <x:v>gold-disease-63c40c8b4193061e</x:v>
      </x:c>
      <x:c r="B300" s="8" t="str">
        <x:v>kdca-5782-24</x:v>
      </x:c>
      <x:c r="C300" s="8" t="str">
        <x:v>kdca-5782-24</x:v>
      </x:c>
      <x:c r="D300" s="8" t="str">
        <x:v>근거와 함께 답변</x:v>
      </x:c>
      <x:c r="E300" s="15" t="n">
        <x:v>298</x:v>
      </x:c>
      <x:c r="F300" s="8" t="str">
        <x:v>VDB 후속 설명 보강</x:v>
      </x:c>
      <x:c r="G300" s="8" t="str">
        <x:v>https://health.kdca.go.kr/healthinfo/biz/health/gnrlzHealthInfo/gnrlzHealthInfo/gnrlzHealthInfoMain.do</x:v>
      </x:c>
      <x:c r="H300" s="8" t="str">
        <x:v>{
  "disease": "급성 간부전",
  "section": "치료",
  "category": "disease"
}</x:v>
      </x:c>
    </x:row>
    <x:row r="301" ht="54" customHeight="1">
      <x:c r="A301" s="8" t="str">
        <x:v>gold-disease-328fe03f78d1ba4e</x:v>
      </x:c>
      <x:c r="B301" s="8" t="str">
        <x:v>kdca-5800-12</x:v>
      </x:c>
      <x:c r="C301" s="8" t="str">
        <x:v>kdca-5800-12</x:v>
      </x:c>
      <x:c r="D301" s="8" t="str">
        <x:v>근거와 함께 답변</x:v>
      </x:c>
      <x:c r="E301" s="15" t="n">
        <x:v>299</x:v>
      </x:c>
      <x:c r="F301" s="8" t="str">
        <x:v>기존 검증 정답</x:v>
      </x:c>
      <x:c r="G301" s="8" t="str">
        <x:v>https://health.kdca.go.kr/healthinfo/biz/health/gnrlzHealthInfo/gnrlzHealthInfo/gnrlzHealthInfoMain.do</x:v>
      </x:c>
      <x:c r="H301" s="8" t="str">
        <x:v>{
  "disease": "궤양대장염(궤양결장염)",
  "section": "증상",
  "category": "disease"
}</x:v>
      </x:c>
    </x:row>
    <x:row r="302" ht="54" customHeight="1">
      <x:c r="A302" s="8" t="str">
        <x:v>gold-disease-d7711ef6328da784</x:v>
      </x:c>
      <x:c r="B302" s="8" t="str">
        <x:v>kdca-6527-10</x:v>
      </x:c>
      <x:c r="C302" s="8" t="str">
        <x:v>kdca-6527-10</x:v>
      </x:c>
      <x:c r="D302" s="8" t="str">
        <x:v>근거와 함께 답변</x:v>
      </x:c>
      <x:c r="E302" s="15" t="n">
        <x:v>300</x:v>
      </x:c>
      <x:c r="F302" s="8" t="str">
        <x:v>VDB 후속 설명 보강</x:v>
      </x:c>
      <x:c r="G302" s="8" t="str">
        <x:v>https://health.kdca.go.kr/healthinfo/biz/health/gnrlzHealthInfo/gnrlzHealthInfo/gnrlzHealthInfoMain.do</x:v>
      </x:c>
      <x:c r="H302" s="8" t="str">
        <x:v>{
  "disease": "직업성 호흡기질환(직업성 천식)",
  "section": "치료",
  "category": "disease"
}</x:v>
      </x:c>
    </x:row>
    <x:row r="303" ht="54" customHeight="1">
      <x:c r="A303" s="8" t="str">
        <x:v>gold-disease-08cb5f38a1200e61</x:v>
      </x:c>
      <x:c r="B303" s="8" t="str">
        <x:v>kdca-6549-39</x:v>
      </x:c>
      <x:c r="C303" s="8" t="str">
        <x:v>kdca-6549-39</x:v>
      </x:c>
      <x:c r="D303" s="8" t="str">
        <x:v>근거와 함께 답변</x:v>
      </x:c>
      <x:c r="E303" s="15" t="n">
        <x:v>301</x:v>
      </x:c>
      <x:c r="F303" s="8" t="str">
        <x:v>VDB 후속 설명 보강</x:v>
      </x:c>
      <x:c r="G303" s="8" t="str">
        <x:v>https://health.kdca.go.kr/healthinfo/biz/health/gnrlzHealthInfo/gnrlzHealthInfo/gnrlzHealthInfoMain.do</x:v>
      </x:c>
      <x:c r="H303" s="8" t="str">
        <x:v>{
  "disease": "만성피로증후군",
  "section": "위험요인 및 예방",
  "category": "disease"
}</x:v>
      </x:c>
    </x:row>
    <x:row r="304" ht="54" customHeight="1">
      <x:c r="A304" s="8" t="str">
        <x:v>gold-disease-d19adcbe366bf7d7</x:v>
      </x:c>
      <x:c r="B304" s="8" t="str">
        <x:v>kdca-5856-19</x:v>
      </x:c>
      <x:c r="C304" s="8" t="str">
        <x:v>kdca-5856-19</x:v>
      </x:c>
      <x:c r="D304" s="8" t="str">
        <x:v>근거와 함께 답변</x:v>
      </x:c>
      <x:c r="E304" s="15" t="n">
        <x:v>302</x:v>
      </x:c>
      <x:c r="F304" s="8" t="str">
        <x:v>VDB 후속 설명 보강</x:v>
      </x:c>
      <x:c r="G304" s="8" t="str">
        <x:v>https://health.kdca.go.kr/healthinfo/biz/health/gnrlzHealthInfo/gnrlzHealthInfo/gnrlzHealthInfoMain.do</x:v>
      </x:c>
      <x:c r="H304" s="8" t="str">
        <x:v>{
  "disease": "대동맥 박리",
  "section": "치료",
  "category": "disease"
}</x:v>
      </x:c>
    </x:row>
    <x:row r="305" ht="54" customHeight="1">
      <x:c r="A305" s="8" t="str">
        <x:v>gold-disease-f33cee38cd21204a</x:v>
      </x:c>
      <x:c r="B305" s="8" t="str">
        <x:v>kdca-6246-13</x:v>
      </x:c>
      <x:c r="C305" s="8" t="str">
        <x:v>kdca-6246-13</x:v>
      </x:c>
      <x:c r="D305" s="8" t="str">
        <x:v>근거와 함께 답변</x:v>
      </x:c>
      <x:c r="E305" s="15" t="n">
        <x:v>303</x:v>
      </x:c>
      <x:c r="F305" s="8" t="str">
        <x:v>기존 검증 정답</x:v>
      </x:c>
      <x:c r="G305" s="8" t="str">
        <x:v>https://health.kdca.go.kr/healthinfo/biz/health/gnrlzHealthInfo/gnrlzHealthInfo/gnrlzHealthInfoMain.do</x:v>
      </x:c>
      <x:c r="H305" s="8" t="str">
        <x:v>{
  "disease": "폴리오",
  "section": "예방 및 예방접종 / 치료",
  "category": "disease"
}</x:v>
      </x:c>
    </x:row>
    <x:row r="306" ht="54" customHeight="1">
      <x:c r="A306" s="8" t="str">
        <x:v>gold-disease-773ea2bfcbd3f8f9</x:v>
      </x:c>
      <x:c r="B306" s="8" t="str">
        <x:v>kdca-5527-7</x:v>
      </x:c>
      <x:c r="C306" s="8" t="str">
        <x:v>kdca-5527-7</x:v>
      </x:c>
      <x:c r="D306" s="8" t="str">
        <x:v>근거와 함께 답변</x:v>
      </x:c>
      <x:c r="E306" s="15" t="n">
        <x:v>304</x:v>
      </x:c>
      <x:c r="F306" s="8" t="str">
        <x:v>기존 검증 정답</x:v>
      </x:c>
      <x:c r="G306" s="8" t="str">
        <x:v>https://health.kdca.go.kr/healthinfo/biz/health/gnrlzHealthInfo/gnrlzHealthInfo/gnrlzHealthInfoMain.do</x:v>
      </x:c>
      <x:c r="H306" s="8" t="str">
        <x:v>{
  "disease": "악구충증",
  "section": "진단 및 검사",
  "category": "disease"
}</x:v>
      </x:c>
    </x:row>
    <x:row r="307" ht="54" customHeight="1">
      <x:c r="A307" s="8" t="str">
        <x:v>gold-disease-7c027fd1e9e35c45</x:v>
      </x:c>
      <x:c r="B307" s="8" t="str">
        <x:v>kdca-5290-15</x:v>
      </x:c>
      <x:c r="C307" s="8" t="str">
        <x:v>kdca-5290-15</x:v>
      </x:c>
      <x:c r="D307" s="8" t="str">
        <x:v>근거와 함께 답변</x:v>
      </x:c>
      <x:c r="E307" s="15" t="n">
        <x:v>305</x:v>
      </x:c>
      <x:c r="F307" s="8" t="str">
        <x:v>VDB 후속 설명 보강</x:v>
      </x:c>
      <x:c r="G307" s="8" t="str">
        <x:v>https://health.kdca.go.kr/healthinfo/biz/health/gnrlzHealthInfo/gnrlzHealthInfo/gnrlzHealthInfoMain.do</x:v>
      </x:c>
      <x:c r="H307" s="8" t="str">
        <x:v>{
  "disease": "골수염",
  "section": "비약물 치료 / 참고문헌",
  "category": "disease"
}</x:v>
      </x:c>
    </x:row>
    <x:row r="308" ht="54" customHeight="1">
      <x:c r="A308" s="8" t="str">
        <x:v>gold-disease-03b389916056b3b9</x:v>
      </x:c>
      <x:c r="B308" s="8" t="str">
        <x:v>kdca-6582-66</x:v>
      </x:c>
      <x:c r="C308" s="8" t="str">
        <x:v>kdca-6582-66</x:v>
      </x:c>
      <x:c r="D308" s="8" t="str">
        <x:v>근거와 함께 답변</x:v>
      </x:c>
      <x:c r="E308" s="15" t="n">
        <x:v>306</x:v>
      </x:c>
      <x:c r="F308" s="8" t="str">
        <x:v>VDB 후속 설명 보강</x:v>
      </x:c>
      <x:c r="G308" s="8" t="str">
        <x:v>https://health.kdca.go.kr/healthinfo/biz/health/gnrlzHealthInfo/gnrlzHealthInfo/gnrlzHealthInfoMain.do</x:v>
      </x:c>
      <x:c r="H308" s="8" t="str">
        <x:v>{
  "disease": "아토피피부염",
  "section": "위험요인 및 예방",
  "category": "disease"
}</x:v>
      </x:c>
    </x:row>
    <x:row r="309" ht="54" customHeight="1">
      <x:c r="A309" s="8" t="str">
        <x:v>gold-disease-49025c3850548d8f</x:v>
      </x:c>
      <x:c r="B309" s="8" t="str">
        <x:v>kdca-3329-23</x:v>
      </x:c>
      <x:c r="C309" s="8" t="str">
        <x:v>kdca-3329-23</x:v>
      </x:c>
      <x:c r="D309" s="8" t="str">
        <x:v>근거와 함께 답변</x:v>
      </x:c>
      <x:c r="E309" s="15" t="n">
        <x:v>307</x:v>
      </x:c>
      <x:c r="F309" s="8" t="str">
        <x:v>기존 검증 정답</x:v>
      </x:c>
      <x:c r="G309" s="8" t="str">
        <x:v>https://health.kdca.go.kr/healthinfo/biz/health/gnrlzHealthInfo/gnrlzHealthInfo/gnrlzHealthInfoMain.do</x:v>
      </x:c>
      <x:c r="H309" s="8" t="str">
        <x:v>{
  "disease": "임신고혈압과 전자간증(임신중독증)",
  "section": "치료 / 합병증",
  "category": "disease"
}</x:v>
      </x:c>
    </x:row>
    <x:row r="310" ht="54" customHeight="1">
      <x:c r="A310" s="8" t="str">
        <x:v>gold-disease-05c7bf2d90cb9871</x:v>
      </x:c>
      <x:c r="B310" s="8" t="str">
        <x:v>kdca-5217-16</x:v>
      </x:c>
      <x:c r="C310" s="8" t="str">
        <x:v>kdca-5217-16</x:v>
      </x:c>
      <x:c r="D310" s="8" t="str">
        <x:v>근거와 함께 답변</x:v>
      </x:c>
      <x:c r="E310" s="15" t="n">
        <x:v>308</x:v>
      </x:c>
      <x:c r="F310" s="8" t="str">
        <x:v>VDB 후속 설명 보강</x:v>
      </x:c>
      <x:c r="G310" s="8" t="str">
        <x:v>https://health.kdca.go.kr/healthinfo/biz/health/gnrlzHealthInfo/gnrlzHealthInfo/gnrlzHealthInfoMain.do</x:v>
      </x:c>
      <x:c r="H310" s="8" t="str">
        <x:v>{
  "disease": "굴절이상(근시, 원시, 난시)",
  "section": "증상",
  "category": "disease"
}</x:v>
      </x:c>
    </x:row>
    <x:row r="311" ht="54" customHeight="1">
      <x:c r="A311" s="8" t="str">
        <x:v>gold-disease-06263119eb176edf</x:v>
      </x:c>
      <x:c r="B311" s="8" t="str">
        <x:v>kdca-5840-6</x:v>
      </x:c>
      <x:c r="C311" s="8" t="str">
        <x:v>kdca-5840-6</x:v>
      </x:c>
      <x:c r="D311" s="8" t="str">
        <x:v>근거와 함께 답변</x:v>
      </x:c>
      <x:c r="E311" s="15" t="n">
        <x:v>309</x:v>
      </x:c>
      <x:c r="F311" s="8" t="str">
        <x:v>기존 검증 정답</x:v>
      </x:c>
      <x:c r="G311" s="8" t="str">
        <x:v>https://health.kdca.go.kr/healthinfo/biz/health/gnrlzHealthInfo/gnrlzHealthInfo/gnrlzHealthInfoMain.do</x:v>
      </x:c>
      <x:c r="H311" s="8" t="str">
        <x:v>{
  "disease": "평발(편평족)",
  "section": "경과 및 예후",
  "category": "disease"
}</x:v>
      </x:c>
    </x:row>
    <x:row r="312" ht="54" customHeight="1">
      <x:c r="A312" s="8" t="str">
        <x:v>gold-disease-na-3784b9fb5aba9f99</x:v>
      </x:c>
      <x:c r="B312" s="8" t="str"/>
      <x:c r="C312" s="8" t="str"/>
      <x:c r="D312" s="8" t="str">
        <x:v>답변 거부 또는 추가 확인 요청</x:v>
      </x:c>
      <x:c r="E312" s="15" t="n">
        <x:v>310</x:v>
      </x:c>
      <x:c r="F312" s="8" t="str">
        <x:v>답변 거부 기준 문구</x:v>
      </x:c>
      <x:c r="G312" s="8" t="str">
        <x:v>https://health.kdca.go.kr/healthinfo/biz/health/gnrlzHealthInfo/gnrlzHealthInfo/gnrlzHealthInfoMain.do</x:v>
      </x:c>
      <x:c r="H312" s="8" t="str">
        <x:v>{
  "disease": "건막염(통풍성 건막염)",
  "section": "역학 및 통계 / 증상",
  "category": "disease"
}</x:v>
      </x:c>
    </x:row>
    <x:row r="313" ht="54" customHeight="1">
      <x:c r="A313" s="8" t="str">
        <x:v>gold-disease-f284fe0e27ace002</x:v>
      </x:c>
      <x:c r="B313" s="8" t="str">
        <x:v>kdca-6686-48</x:v>
      </x:c>
      <x:c r="C313" s="8" t="str">
        <x:v>kdca-6686-48</x:v>
      </x:c>
      <x:c r="D313" s="8" t="str">
        <x:v>근거와 함께 답변</x:v>
      </x:c>
      <x:c r="E313" s="15" t="n">
        <x:v>311</x:v>
      </x:c>
      <x:c r="F313" s="8" t="str">
        <x:v>VDB 후속 설명 보강</x:v>
      </x:c>
      <x:c r="G313" s="8" t="str">
        <x:v>https://health.kdca.go.kr/healthinfo/biz/health/gnrlzHealthInfo/gnrlzHealthInfo/gnrlzHealthInfoMain.do</x:v>
      </x:c>
      <x:c r="H313" s="8" t="str">
        <x:v>{
  "disease": "자연유산",
  "section": "자주하는 질문",
  "category": "disease"
}</x:v>
      </x:c>
    </x:row>
    <x:row r="314" ht="54" customHeight="1">
      <x:c r="A314" s="8" t="str">
        <x:v>gold-disease-c4efe5890cb5f309</x:v>
      </x:c>
      <x:c r="B314" s="8" t="str">
        <x:v>kdca-6748-8</x:v>
      </x:c>
      <x:c r="C314" s="8" t="str">
        <x:v>kdca-6748-8</x:v>
      </x:c>
      <x:c r="D314" s="8" t="str">
        <x:v>근거와 함께 답변</x:v>
      </x:c>
      <x:c r="E314" s="15" t="n">
        <x:v>312</x:v>
      </x:c>
      <x:c r="F314" s="8" t="str">
        <x:v>VDB 후속 설명 보강</x:v>
      </x:c>
      <x:c r="G314" s="8" t="str">
        <x:v>https://health.kdca.go.kr/healthinfo/biz/health/gnrlzHealthInfo/gnrlzHealthInfo/gnrlzHealthInfoMain.do</x:v>
      </x:c>
      <x:c r="H314" s="8" t="str">
        <x:v>{
  "disease": "반월상 연골판 손상",
  "section": "치료",
  "category": "disease"
}</x:v>
      </x:c>
    </x:row>
    <x:row r="315" ht="54" customHeight="1">
      <x:c r="A315" s="8" t="str">
        <x:v>gold-disease-na-6672de5b0bb1a92b</x:v>
      </x:c>
      <x:c r="B315" s="8" t="str"/>
      <x:c r="C315" s="8" t="str"/>
      <x:c r="D315" s="8" t="str">
        <x:v>답변 거부 또는 추가 확인 요청</x:v>
      </x:c>
      <x:c r="E315" s="15" t="n">
        <x:v>313</x:v>
      </x:c>
      <x:c r="F315" s="8" t="str">
        <x:v>답변 거부 기준 문구</x:v>
      </x:c>
      <x:c r="G315" s="8" t="str">
        <x:v>https://health.kdca.go.kr/healthinfo/biz/health/gnrlzHealthInfo/gnrlzHealthInfo/gnrlzHealthInfoMain.do</x:v>
      </x:c>
      <x:c r="H315" s="8" t="str">
        <x:v>{
  "disease": "말라리아",
  "section": "역학 및 통계 / 증상",
  "category": "disease"
}</x:v>
      </x:c>
    </x:row>
    <x:row r="316" ht="54" customHeight="1">
      <x:c r="A316" s="8" t="str">
        <x:v>gold-disease-ab806505b68c38a2</x:v>
      </x:c>
      <x:c r="B316" s="8" t="str">
        <x:v>kdca-6553-14</x:v>
      </x:c>
      <x:c r="C316" s="8" t="str">
        <x:v>kdca-6553-14</x:v>
      </x:c>
      <x:c r="D316" s="8" t="str">
        <x:v>근거와 함께 답변</x:v>
      </x:c>
      <x:c r="E316" s="15" t="n">
        <x:v>314</x:v>
      </x:c>
      <x:c r="F316" s="8" t="str">
        <x:v>기존 검증 정답</x:v>
      </x:c>
      <x:c r="G316" s="8" t="str">
        <x:v>https://health.kdca.go.kr/healthinfo/biz/health/gnrlzHealthInfo/gnrlzHealthInfo/gnrlzHealthInfoMain.do</x:v>
      </x:c>
      <x:c r="H316" s="8" t="str">
        <x:v>{
  "disease": "바이러스성 간염",
  "section": "경과 및 예후",
  "category": "disease"
}</x:v>
      </x:c>
    </x:row>
    <x:row r="317" ht="54" customHeight="1">
      <x:c r="A317" s="8" t="str">
        <x:v>gold-disease-na-8a61e97547e6277c</x:v>
      </x:c>
      <x:c r="B317" s="8" t="str"/>
      <x:c r="C317" s="8" t="str"/>
      <x:c r="D317" s="8" t="str">
        <x:v>답변 거부 또는 추가 확인 요청</x:v>
      </x:c>
      <x:c r="E317" s="15" t="n">
        <x:v>315</x:v>
      </x:c>
      <x:c r="F317" s="8" t="str">
        <x:v>답변 거부 기준 문구</x:v>
      </x:c>
      <x:c r="G317" s="8" t="str">
        <x:v>https://health.kdca.go.kr/healthinfo/biz/health/gnrlzHealthInfo/gnrlzHealthInfo/gnrlzHealthInfoMain.do</x:v>
      </x:c>
      <x:c r="H317" s="8" t="str">
        <x:v>{
  "disease": "독극물 섭취",
  "section": "개요 / 종류",
  "category": "disease"
}</x:v>
      </x:c>
    </x:row>
    <x:row r="318" ht="54" customHeight="1">
      <x:c r="A318" s="8" t="str">
        <x:v>gold-disease-612aed806377cb08</x:v>
      </x:c>
      <x:c r="B318" s="8" t="str">
        <x:v>kdca-3509-6</x:v>
      </x:c>
      <x:c r="C318" s="8" t="str">
        <x:v>kdca-3509-6</x:v>
      </x:c>
      <x:c r="D318" s="8" t="str">
        <x:v>근거와 함께 답변</x:v>
      </x:c>
      <x:c r="E318" s="15" t="n">
        <x:v>316</x:v>
      </x:c>
      <x:c r="F318" s="8" t="str">
        <x:v>VDB 정의 문장 재선정</x:v>
      </x:c>
      <x:c r="G318" s="8" t="str">
        <x:v>https://health.kdca.go.kr/healthinfo/biz/health/gnrlzHealthInfo/gnrlzHealthInfo/gnrlzHealthInfoMain.do</x:v>
      </x:c>
      <x:c r="H318" s="8" t="str">
        <x:v>{
  "disease": "조갑감입(파고드는 발톱_감입발톱)",
  "section": "원인",
  "category": "disease"
}</x:v>
      </x:c>
    </x:row>
    <x:row r="319" ht="54" customHeight="1">
      <x:c r="A319" s="8" t="str">
        <x:v>gold-disease-f37cd3c9655d12e1</x:v>
      </x:c>
      <x:c r="B319" s="8" t="str">
        <x:v>kdca-6775-22</x:v>
      </x:c>
      <x:c r="C319" s="8" t="str">
        <x:v>kdca-6775-22</x:v>
      </x:c>
      <x:c r="D319" s="8" t="str">
        <x:v>근거와 함께 답변</x:v>
      </x:c>
      <x:c r="E319" s="15" t="n">
        <x:v>317</x:v>
      </x:c>
      <x:c r="F319" s="8" t="str">
        <x:v>기존 검증 정답</x:v>
      </x:c>
      <x:c r="G319" s="8" t="str">
        <x:v>https://health.kdca.go.kr/healthinfo/biz/health/gnrlzHealthInfo/gnrlzHealthInfo/gnrlzHealthInfoMain.do</x:v>
      </x:c>
      <x:c r="H319" s="8" t="str">
        <x:v>{
  "disease": "폐색성죽상동맥경화증",
  "section": "치료",
  "category": "disease"
}</x:v>
      </x:c>
    </x:row>
    <x:row r="320" ht="54" customHeight="1">
      <x:c r="A320" s="8" t="str">
        <x:v>gold-disease-na-1f8aa9c874a037b2</x:v>
      </x:c>
      <x:c r="B320" s="8" t="str"/>
      <x:c r="C320" s="8" t="str"/>
      <x:c r="D320" s="8" t="str">
        <x:v>답변 거부 또는 추가 확인 요청</x:v>
      </x:c>
      <x:c r="E320" s="15" t="n">
        <x:v>318</x:v>
      </x:c>
      <x:c r="F320" s="8" t="str">
        <x:v>답변 거부 기준 문구</x:v>
      </x:c>
      <x:c r="G320" s="8" t="str">
        <x:v>https://health.kdca.go.kr/healthinfo/biz/health/gnrlzHealthInfo/gnrlzHealthInfo/gnrlzHealthInfoMain.do</x:v>
      </x:c>
      <x:c r="H320" s="8" t="str">
        <x:v>{
  "disease": "자연분만과정",
  "section": "자가 관리",
  "category": "disease"
}</x:v>
      </x:c>
    </x:row>
    <x:row r="321" ht="54" customHeight="1">
      <x:c r="A321" s="8" t="str">
        <x:v>gold-disease-na-347e74db43a6f76f</x:v>
      </x:c>
      <x:c r="B321" s="8" t="str"/>
      <x:c r="C321" s="8" t="str"/>
      <x:c r="D321" s="8" t="str">
        <x:v>답변 거부 또는 추가 확인 요청</x:v>
      </x:c>
      <x:c r="E321" s="15" t="n">
        <x:v>319</x:v>
      </x:c>
      <x:c r="F321" s="8" t="str">
        <x:v>답변 거부 기준 문구</x:v>
      </x:c>
      <x:c r="G321" s="8" t="str">
        <x:v>https://health.kdca.go.kr/healthinfo/biz/health/gnrlzHealthInfo/gnrlzHealthInfo/gnrlzHealthInfoMain.do</x:v>
      </x:c>
      <x:c r="H321" s="8" t="str">
        <x:v>{
  "disease": "노인 어지럼증",
  "section": "개요",
  "category": "symptom"
}</x:v>
      </x:c>
    </x:row>
    <x:row r="322" ht="54" customHeight="1">
      <x:c r="A322" s="8" t="str">
        <x:v>gold-disease-e232887ea87739dd</x:v>
      </x:c>
      <x:c r="B322" s="8" t="str">
        <x:v>kdca-5304-7</x:v>
      </x:c>
      <x:c r="C322" s="8" t="str">
        <x:v>kdca-5304-7</x:v>
      </x:c>
      <x:c r="D322" s="8" t="str">
        <x:v>근거와 함께 답변</x:v>
      </x:c>
      <x:c r="E322" s="15" t="n">
        <x:v>320</x:v>
      </x:c>
      <x:c r="F322" s="8" t="str">
        <x:v>기존 검증 정답</x:v>
      </x:c>
      <x:c r="G322" s="8" t="str">
        <x:v>https://health.kdca.go.kr/healthinfo/biz/health/gnrlzHealthInfo/gnrlzHealthInfo/gnrlzHealthInfoMain.do</x:v>
      </x:c>
      <x:c r="H322" s="8" t="str">
        <x:v>{
  "disease": "고혈당",
  "section": "진단 및 검사",
  "category": "symptom"
}</x:v>
      </x:c>
    </x:row>
    <x:row r="323" ht="54" customHeight="1">
      <x:c r="A323" s="8" t="str">
        <x:v>gold-disease-na-8c806f95469f660c</x:v>
      </x:c>
      <x:c r="B323" s="8" t="str"/>
      <x:c r="C323" s="8" t="str"/>
      <x:c r="D323" s="8" t="str">
        <x:v>답변 거부 또는 추가 확인 요청</x:v>
      </x:c>
      <x:c r="E323" s="15" t="n">
        <x:v>321</x:v>
      </x:c>
      <x:c r="F323" s="8" t="str">
        <x:v>답변 거부 기준 문구</x:v>
      </x:c>
      <x:c r="G323" s="8" t="str">
        <x:v>https://health.kdca.go.kr/healthinfo/biz/health/gnrlzHealthInfo/gnrlzHealthInfo/gnrlzHealthInfoMain.do</x:v>
      </x:c>
      <x:c r="H323" s="8" t="str">
        <x:v>{
  "disease": "대퇴골두 무혈성 괴사",
  "section": "원인 / 역학 및 통계",
  "category": "disease"
}</x:v>
      </x:c>
    </x:row>
    <x:row r="324" ht="54" customHeight="1">
      <x:c r="A324" s="8" t="str">
        <x:v>gold-disease-69836df507b3f7ac</x:v>
      </x:c>
      <x:c r="B324" s="8" t="str">
        <x:v>kdca-6759-19</x:v>
      </x:c>
      <x:c r="C324" s="8" t="str">
        <x:v>kdca-6759-19</x:v>
      </x:c>
      <x:c r="D324" s="8" t="str">
        <x:v>근거와 함께 답변</x:v>
      </x:c>
      <x:c r="E324" s="15" t="n">
        <x:v>322</x:v>
      </x:c>
      <x:c r="F324" s="8" t="str">
        <x:v>VDB 원인·위험요인 청크 재선정</x:v>
      </x:c>
      <x:c r="G324" s="8" t="str">
        <x:v>https://health.kdca.go.kr/healthinfo/biz/health/gnrlzHealthInfo/gnrlzHealthInfo/gnrlzHealthInfoMain.do</x:v>
      </x:c>
      <x:c r="H324" s="8" t="str">
        <x:v>{
  "disease": "사람면역결핍바이러스",
  "section": "원인 및 감염경로",
  "category": "disease"
}</x:v>
      </x:c>
    </x:row>
    <x:row r="325" ht="54" customHeight="1">
      <x:c r="A325" s="8" t="str">
        <x:v>gold-disease-98aadcec0346a756</x:v>
      </x:c>
      <x:c r="B325" s="8" t="str">
        <x:v>kdca-6712-16</x:v>
      </x:c>
      <x:c r="C325" s="8" t="str">
        <x:v>kdca-6712-16</x:v>
      </x:c>
      <x:c r="D325" s="8" t="str">
        <x:v>근거와 함께 답변</x:v>
      </x:c>
      <x:c r="E325" s="15" t="n">
        <x:v>323</x:v>
      </x:c>
      <x:c r="F325" s="8" t="str">
        <x:v>기존 검증 정답</x:v>
      </x:c>
      <x:c r="G325" s="8" t="str">
        <x:v>https://health.kdca.go.kr/healthinfo/biz/health/gnrlzHealthInfo/gnrlzHealthInfo/gnrlzHealthInfoMain.do</x:v>
      </x:c>
      <x:c r="H325" s="8" t="str">
        <x:v>{
  "disease": "소변이상(혈뇨)",
  "section": "연관 증상",
  "category": "symptom"
}</x:v>
      </x:c>
    </x:row>
    <x:row r="326" ht="54" customHeight="1">
      <x:c r="A326" s="8" t="str">
        <x:v>gold-disease-768051900dbac518</x:v>
      </x:c>
      <x:c r="B326" s="8" t="str">
        <x:v>kdca-6765-14</x:v>
      </x:c>
      <x:c r="C326" s="8" t="str">
        <x:v>kdca-6765-14</x:v>
      </x:c>
      <x:c r="D326" s="8" t="str">
        <x:v>근거와 함께 답변</x:v>
      </x:c>
      <x:c r="E326" s="15" t="n">
        <x:v>324</x:v>
      </x:c>
      <x:c r="F326" s="8" t="str">
        <x:v>기존 검증 정답</x:v>
      </x:c>
      <x:c r="G326" s="8" t="str">
        <x:v>https://health.kdca.go.kr/healthinfo/biz/health/gnrlzHealthInfo/gnrlzHealthInfo/gnrlzHealthInfoMain.do</x:v>
      </x:c>
      <x:c r="H326" s="8" t="str">
        <x:v>{
  "disease": "고혈압",
  "section": "역학 및 통계 / 증상",
  "category": "disease"
}</x:v>
      </x:c>
    </x:row>
    <x:row r="327" ht="54" customHeight="1">
      <x:c r="A327" s="8" t="str">
        <x:v>gold-disease-1db3177d55ba5e30</x:v>
      </x:c>
      <x:c r="B327" s="8" t="str">
        <x:v>kdca-1587-13</x:v>
      </x:c>
      <x:c r="C327" s="8" t="str">
        <x:v>kdca-1587-13</x:v>
      </x:c>
      <x:c r="D327" s="8" t="str">
        <x:v>근거와 함께 답변</x:v>
      </x:c>
      <x:c r="E327" s="15" t="n">
        <x:v>325</x:v>
      </x:c>
      <x:c r="F327" s="8" t="str">
        <x:v>기존 검증 정답</x:v>
      </x:c>
      <x:c r="G327" s="8" t="str">
        <x:v>https://health.kdca.go.kr/healthinfo/biz/health/gnrlzHealthInfo/gnrlzHealthInfo/gnrlzHealthInfoMain.do</x:v>
      </x:c>
      <x:c r="H327" s="8" t="str">
        <x:v>{
  "disease": "외이도염",
  "section": "진단 및 검사 / 치료",
  "category": "disease"
}</x:v>
      </x:c>
    </x:row>
    <x:row r="328" ht="54" customHeight="1">
      <x:c r="A328" s="8" t="str">
        <x:v>gold-disease-c5ad02f11010d2d7</x:v>
      </x:c>
      <x:c r="B328" s="8" t="str">
        <x:v>kdca-5850-4</x:v>
      </x:c>
      <x:c r="C328" s="8" t="str">
        <x:v>kdca-5850-4</x:v>
      </x:c>
      <x:c r="D328" s="8" t="str">
        <x:v>근거와 함께 답변</x:v>
      </x:c>
      <x:c r="E328" s="15" t="n">
        <x:v>326</x:v>
      </x:c>
      <x:c r="F328" s="8" t="str">
        <x:v>VDB 원인·위험요인 청크 재선정</x:v>
      </x:c>
      <x:c r="G328" s="8" t="str">
        <x:v>https://health.kdca.go.kr/healthinfo/biz/health/gnrlzHealthInfo/gnrlzHealthInfo/gnrlzHealthInfoMain.do</x:v>
      </x:c>
      <x:c r="H328" s="8" t="str">
        <x:v>{
  "disease": "외상성 척수손상",
  "section": "발생원/원인",
  "category": "disease"
}</x:v>
      </x:c>
    </x:row>
    <x:row r="329" ht="54" customHeight="1">
      <x:c r="A329" s="8" t="str">
        <x:v>gold-disease-8fcfbe4e5abbe6af</x:v>
      </x:c>
      <x:c r="B329" s="8" t="str">
        <x:v>kdca-5821-9</x:v>
      </x:c>
      <x:c r="C329" s="8" t="str">
        <x:v>kdca-5821-9</x:v>
      </x:c>
      <x:c r="D329" s="8" t="str">
        <x:v>근거와 함께 답변</x:v>
      </x:c>
      <x:c r="E329" s="15" t="n">
        <x:v>327</x:v>
      </x:c>
      <x:c r="F329" s="8" t="str">
        <x:v>VDB 후속 설명 보강</x:v>
      </x:c>
      <x:c r="G329" s="8" t="str">
        <x:v>https://health.kdca.go.kr/healthinfo/biz/health/gnrlzHealthInfo/gnrlzHealthInfo/gnrlzHealthInfoMain.do</x:v>
      </x:c>
      <x:c r="H329" s="8" t="str">
        <x:v>{
  "disease": "담관염",
  "section": "증상",
  "category": "disease"
}</x:v>
      </x:c>
    </x:row>
    <x:row r="330" ht="54" customHeight="1">
      <x:c r="A330" s="8" t="str">
        <x:v>gold-disease-c02b1261950b8ab9</x:v>
      </x:c>
      <x:c r="B330" s="8" t="str">
        <x:v>kdca-6807-5</x:v>
      </x:c>
      <x:c r="C330" s="8" t="str">
        <x:v>kdca-6807-5</x:v>
      </x:c>
      <x:c r="D330" s="8" t="str">
        <x:v>근거와 함께 답변</x:v>
      </x:c>
      <x:c r="E330" s="15" t="n">
        <x:v>328</x:v>
      </x:c>
      <x:c r="F330" s="8" t="str">
        <x:v>기존 검증 정답</x:v>
      </x:c>
      <x:c r="G330" s="8" t="str">
        <x:v>https://health.kdca.go.kr/healthinfo/biz/health/gnrlzHealthInfo/gnrlzHealthInfo/gnrlzHealthInfoMain.do</x:v>
      </x:c>
      <x:c r="H330" s="8" t="str">
        <x:v>{
  "disease": "전해질 이상(저칼륨혈증)",
  "section": "치료",
  "category": "disease"
}</x:v>
      </x:c>
    </x:row>
    <x:row r="331" ht="54" customHeight="1">
      <x:c r="A331" s="8" t="str">
        <x:v>gold-disease-62a14ae183159972</x:v>
      </x:c>
      <x:c r="B331" s="8" t="str">
        <x:v>kdca-5490-31</x:v>
      </x:c>
      <x:c r="C331" s="8" t="str">
        <x:v>kdca-5490-31</x:v>
      </x:c>
      <x:c r="D331" s="8" t="str">
        <x:v>근거와 함께 답변</x:v>
      </x:c>
      <x:c r="E331" s="15" t="n">
        <x:v>329</x:v>
      </x:c>
      <x:c r="F331" s="8" t="str">
        <x:v>VDB 후속 설명 보강</x:v>
      </x:c>
      <x:c r="G331" s="8" t="str">
        <x:v>https://health.kdca.go.kr/healthinfo/biz/health/gnrlzHealthInfo/gnrlzHealthInfo/gnrlzHealthInfoMain.do</x:v>
      </x:c>
      <x:c r="H331" s="8" t="str">
        <x:v>{
  "disease": "거부반응과 면역억제제",
  "section": "치료",
  "category": "disease"
}</x:v>
      </x:c>
    </x:row>
    <x:row r="332" ht="54" customHeight="1">
      <x:c r="A332" s="8" t="str">
        <x:v>gold-disease-2dad4b6d442b0e7d</x:v>
      </x:c>
      <x:c r="B332" s="8" t="str">
        <x:v>kdca-5242-30</x:v>
      </x:c>
      <x:c r="C332" s="8" t="str">
        <x:v>kdca-5242-30</x:v>
      </x:c>
      <x:c r="D332" s="8" t="str">
        <x:v>근거와 함께 답변</x:v>
      </x:c>
      <x:c r="E332" s="15" t="n">
        <x:v>330</x:v>
      </x:c>
      <x:c r="F332" s="8" t="str">
        <x:v>VDB 후속 설명 보강</x:v>
      </x:c>
      <x:c r="G332" s="8" t="str">
        <x:v>https://health.kdca.go.kr/healthinfo/biz/health/gnrlzHealthInfo/gnrlzHealthInfo/gnrlzHealthInfoMain.do</x:v>
      </x:c>
      <x:c r="H332" s="8" t="str">
        <x:v>{
  "disease": "고칼슘혈증",
  "section": "치료",
  "category": "disease"
}</x:v>
      </x:c>
    </x:row>
    <x:row r="333" ht="54" customHeight="1">
      <x:c r="A333" s="8" t="str">
        <x:v>gold-disease-f250fb777dd39c76</x:v>
      </x:c>
      <x:c r="B333" s="8" t="str">
        <x:v>kdca-5408-10</x:v>
      </x:c>
      <x:c r="C333" s="8" t="str">
        <x:v>kdca-5408-10</x:v>
      </x:c>
      <x:c r="D333" s="8" t="str">
        <x:v>근거와 함께 답변</x:v>
      </x:c>
      <x:c r="E333" s="15" t="n">
        <x:v>331</x:v>
      </x:c>
      <x:c r="F333" s="8" t="str">
        <x:v>VDB 후속 설명 보강</x:v>
      </x:c>
      <x:c r="G333" s="8" t="str">
        <x:v>https://health.kdca.go.kr/healthinfo/biz/health/gnrlzHealthInfo/gnrlzHealthInfo/gnrlzHealthInfoMain.do</x:v>
      </x:c>
      <x:c r="H333" s="8" t="str">
        <x:v>{
  "disease": "요도하열(소아)",
  "section": "치료",
  "category": "disease"
}</x:v>
      </x:c>
    </x:row>
    <x:row r="334" ht="54" customHeight="1">
      <x:c r="A334" s="8" t="str">
        <x:v>gold-disease-84eb6ef66d9eedd5</x:v>
      </x:c>
      <x:c r="B334" s="8" t="str">
        <x:v>kdca-5804-12</x:v>
      </x:c>
      <x:c r="C334" s="8" t="str">
        <x:v>kdca-5804-12</x:v>
      </x:c>
      <x:c r="D334" s="8" t="str">
        <x:v>근거와 함께 답변</x:v>
      </x:c>
      <x:c r="E334" s="15" t="n">
        <x:v>332</x:v>
      </x:c>
      <x:c r="F334" s="8" t="str">
        <x:v>기존 검증 정답</x:v>
      </x:c>
      <x:c r="G334" s="8" t="str">
        <x:v>https://health.kdca.go.kr/healthinfo/biz/health/gnrlzHealthInfo/gnrlzHealthInfo/gnrlzHealthInfoMain.do</x:v>
      </x:c>
      <x:c r="H334" s="8" t="str">
        <x:v>{
  "disease": "구역질과 구토",
  "section": "진단 및 검사",
  "category": "symptom"
}</x:v>
      </x:c>
    </x:row>
    <x:row r="335" ht="54" customHeight="1">
      <x:c r="A335" s="8" t="str">
        <x:v>gold-disease-352faf10315b6a83</x:v>
      </x:c>
      <x:c r="B335" s="8" t="str">
        <x:v>kdca-5704-8</x:v>
      </x:c>
      <x:c r="C335" s="8" t="str">
        <x:v>kdca-5704-8</x:v>
      </x:c>
      <x:c r="D335" s="8" t="str">
        <x:v>근거와 함께 답변</x:v>
      </x:c>
      <x:c r="E335" s="15" t="n">
        <x:v>333</x:v>
      </x:c>
      <x:c r="F335" s="8" t="str">
        <x:v>VDB 원인·위험요인 청크 재선정</x:v>
      </x:c>
      <x:c r="G335" s="8" t="str">
        <x:v>https://health.kdca.go.kr/healthinfo/biz/health/gnrlzHealthInfo/gnrlzHealthInfo/gnrlzHealthInfoMain.do</x:v>
      </x:c>
      <x:c r="H335" s="8" t="str">
        <x:v>{
  "disease": "구강건조증",
  "section": "원인",
  "category": "disease"
}</x:v>
      </x:c>
    </x:row>
    <x:row r="336" ht="54" customHeight="1">
      <x:c r="A336" s="8" t="str">
        <x:v>gold-disease-16c57b5d44b677ee</x:v>
      </x:c>
      <x:c r="B336" s="8" t="str">
        <x:v>kdca-3568-56</x:v>
      </x:c>
      <x:c r="C336" s="8" t="str">
        <x:v>kdca-3568-56</x:v>
      </x:c>
      <x:c r="D336" s="8" t="str">
        <x:v>근거와 함께 답변</x:v>
      </x:c>
      <x:c r="E336" s="15" t="n">
        <x:v>334</x:v>
      </x:c>
      <x:c r="F336" s="8" t="str">
        <x:v>VDB 후속 설명 보강</x:v>
      </x:c>
      <x:c r="G336" s="8" t="str">
        <x:v>https://health.kdca.go.kr/healthinfo/biz/health/gnrlzHealthInfo/gnrlzHealthInfo/gnrlzHealthInfoMain.do</x:v>
      </x:c>
      <x:c r="H336" s="8" t="str">
        <x:v>{
  "disease": "중이염",
  "section": "위험요인 및 예방",
  "category": "disease"
}</x:v>
      </x:c>
    </x:row>
    <x:row r="337" ht="54" customHeight="1">
      <x:c r="A337" s="8" t="str">
        <x:v>gold-disease-76c961449879c25f</x:v>
      </x:c>
      <x:c r="B337" s="8" t="str">
        <x:v>kdca-6279-1</x:v>
      </x:c>
      <x:c r="C337" s="8" t="str">
        <x:v>kdca-6279-1</x:v>
      </x:c>
      <x:c r="D337" s="8" t="str">
        <x:v>근거와 함께 답변</x:v>
      </x:c>
      <x:c r="E337" s="15" t="n">
        <x:v>335</x:v>
      </x:c>
      <x:c r="F337" s="8" t="str">
        <x:v>기존 검증 정답</x:v>
      </x:c>
      <x:c r="G337" s="8" t="str">
        <x:v>https://health.kdca.go.kr/healthinfo/biz/health/gnrlzHealthInfo/gnrlzHealthInfo/gnrlzHealthInfoMain.do</x:v>
      </x:c>
      <x:c r="H337" s="8" t="str">
        <x:v>{
  "disease": "약시(소아)",
  "section": "요약문 / 정의",
  "category": "disease"
}</x:v>
      </x:c>
    </x:row>
    <x:row r="338" ht="54" customHeight="1">
      <x:c r="A338" s="8" t="str">
        <x:v>gold-disease-e960bdafae17877e</x:v>
      </x:c>
      <x:c r="B338" s="8" t="str">
        <x:v>kdca-5803-14</x:v>
      </x:c>
      <x:c r="C338" s="8" t="str">
        <x:v>kdca-5803-14</x:v>
      </x:c>
      <x:c r="D338" s="8" t="str">
        <x:v>근거와 함께 답변</x:v>
      </x:c>
      <x:c r="E338" s="15" t="n">
        <x:v>336</x:v>
      </x:c>
      <x:c r="F338" s="8" t="str">
        <x:v>기존 검증 정답</x:v>
      </x:c>
      <x:c r="G338" s="8" t="str">
        <x:v>https://health.kdca.go.kr/healthinfo/biz/health/gnrlzHealthInfo/gnrlzHealthInfo/gnrlzHealthInfoMain.do</x:v>
      </x:c>
      <x:c r="H338" s="8" t="str">
        <x:v>{
  "disease": "급성호흡곤란증후군",
  "section": "증상",
  "category": "disease"
}</x:v>
      </x:c>
    </x:row>
    <x:row r="339" ht="54" customHeight="1">
      <x:c r="A339" s="8" t="str">
        <x:v>gold-disease-c8fdfd9ffcb97c98</x:v>
      </x:c>
      <x:c r="B339" s="8" t="str">
        <x:v>kdca-1382-3</x:v>
      </x:c>
      <x:c r="C339" s="8" t="str">
        <x:v>kdca-1382-3</x:v>
      </x:c>
      <x:c r="D339" s="8" t="str">
        <x:v>근거와 함께 답변</x:v>
      </x:c>
      <x:c r="E339" s="15" t="n">
        <x:v>337</x:v>
      </x:c>
      <x:c r="F339" s="8" t="str">
        <x:v>VDB 후속 설명 보강</x:v>
      </x:c>
      <x:c r="G339" s="8" t="str">
        <x:v>https://health.kdca.go.kr/healthinfo/biz/health/gnrlzHealthInfo/gnrlzHealthInfo/gnrlzHealthInfoMain.do</x:v>
      </x:c>
      <x:c r="H339" s="8" t="str">
        <x:v>{
  "disease": "안외상(안와골절)",
  "section": "증상 / 진단 및 검사",
  "category": "disease"
}</x:v>
      </x:c>
    </x:row>
    <x:row r="340" ht="54" customHeight="1">
      <x:c r="A340" s="8" t="str">
        <x:v>gold-disease-1e2b6884465b58a0</x:v>
      </x:c>
      <x:c r="B340" s="8" t="str">
        <x:v>kdca-1746-9</x:v>
      </x:c>
      <x:c r="C340" s="8" t="str">
        <x:v>kdca-1746-9</x:v>
      </x:c>
      <x:c r="D340" s="8" t="str">
        <x:v>근거와 함께 답변</x:v>
      </x:c>
      <x:c r="E340" s="15" t="n">
        <x:v>338</x:v>
      </x:c>
      <x:c r="F340" s="8" t="str">
        <x:v>기존 검증 정답</x:v>
      </x:c>
      <x:c r="G340" s="8" t="str">
        <x:v>https://health.kdca.go.kr/healthinfo/biz/health/gnrlzHealthInfo/gnrlzHealthInfo/gnrlzHealthInfoMain.do</x:v>
      </x:c>
      <x:c r="H340" s="8" t="str">
        <x:v>{
  "disease": "대동맥류",
  "section": "증상",
  "category": "disease"
}</x:v>
      </x:c>
    </x:row>
    <x:row r="341" ht="54" customHeight="1">
      <x:c r="A341" s="8" t="str">
        <x:v>gold-disease-338b9c98c406aa67</x:v>
      </x:c>
      <x:c r="B341" s="8" t="str">
        <x:v>kdca-5286-7</x:v>
      </x:c>
      <x:c r="C341" s="8" t="str">
        <x:v>kdca-5286-7</x:v>
      </x:c>
      <x:c r="D341" s="8" t="str">
        <x:v>근거와 함께 답변</x:v>
      </x:c>
      <x:c r="E341" s="15" t="n">
        <x:v>339</x:v>
      </x:c>
      <x:c r="F341" s="8" t="str">
        <x:v>VDB 후속 설명 보강</x:v>
      </x:c>
      <x:c r="G341" s="8" t="str">
        <x:v>https://health.kdca.go.kr/healthinfo/biz/health/gnrlzHealthInfo/gnrlzHealthInfo/gnrlzHealthInfoMain.do</x:v>
      </x:c>
      <x:c r="H341" s="8" t="str">
        <x:v>{
  "disease": "헤르페스감염증(단순포진)",
  "section": "증상",
  "category": "disease"
}</x:v>
      </x:c>
    </x:row>
    <x:row r="342" ht="54" customHeight="1">
      <x:c r="A342" s="8" t="str">
        <x:v>gold-disease-abfacbe28d81aa17</x:v>
      </x:c>
      <x:c r="B342" s="8" t="str">
        <x:v>kdca-5843-15</x:v>
      </x:c>
      <x:c r="C342" s="8" t="str">
        <x:v>kdca-5843-15</x:v>
      </x:c>
      <x:c r="D342" s="8" t="str">
        <x:v>근거와 함께 답변</x:v>
      </x:c>
      <x:c r="E342" s="15" t="n">
        <x:v>340</x:v>
      </x:c>
      <x:c r="F342" s="8" t="str">
        <x:v>VDB 후속 설명 보강</x:v>
      </x:c>
      <x:c r="G342" s="8" t="str">
        <x:v>https://health.kdca.go.kr/healthinfo/biz/health/gnrlzHealthInfo/gnrlzHealthInfo/gnrlzHealthInfoMain.do</x:v>
      </x:c>
      <x:c r="H342" s="8" t="str">
        <x:v>{
  "disease": "엔테로바이러스 감염증",
  "section": "예방 및 예방접종 / 치료",
  "category": "disease"
}</x:v>
      </x:c>
    </x:row>
    <x:row r="343" ht="54" customHeight="1">
      <x:c r="A343" s="8" t="str">
        <x:v>gold-disease-266648cd32aca24b</x:v>
      </x:c>
      <x:c r="B343" s="8" t="str">
        <x:v>kdca-6551-1</x:v>
      </x:c>
      <x:c r="C343" s="8" t="str">
        <x:v>kdca-6551-1</x:v>
      </x:c>
      <x:c r="D343" s="8" t="str">
        <x:v>근거와 함께 답변</x:v>
      </x:c>
      <x:c r="E343" s="15" t="n">
        <x:v>341</x:v>
      </x:c>
      <x:c r="F343" s="8" t="str">
        <x:v>기존 검증 정답</x:v>
      </x:c>
      <x:c r="G343" s="8" t="str">
        <x:v>https://health.kdca.go.kr/healthinfo/biz/health/gnrlzHealthInfo/gnrlzHealthInfo/gnrlzHealthInfoMain.do</x:v>
      </x:c>
      <x:c r="H343" s="8" t="str">
        <x:v>{
  "disease": "탈수",
  "section": "요약문",
  "category": "disease"
}</x:v>
      </x:c>
    </x:row>
    <x:row r="344" ht="54" customHeight="1">
      <x:c r="A344" s="8" t="str">
        <x:v>gold-disease-775c3ffea7f76ab4</x:v>
      </x:c>
      <x:c r="B344" s="8" t="str">
        <x:v>kdca-1081-0</x:v>
      </x:c>
      <x:c r="C344" s="8" t="str">
        <x:v>kdca-1081-0</x:v>
      </x:c>
      <x:c r="D344" s="8" t="str">
        <x:v>근거와 함께 답변</x:v>
      </x:c>
      <x:c r="E344" s="15" t="n">
        <x:v>342</x:v>
      </x:c>
      <x:c r="F344" s="8" t="str">
        <x:v>기존 검증 정답</x:v>
      </x:c>
      <x:c r="G344" s="8" t="str">
        <x:v>https://health.kdca.go.kr/healthinfo/biz/health/gnrlzHealthInfo/gnrlzHealthInfo/gnrlzHealthInfoMain.do</x:v>
      </x:c>
      <x:c r="H344" s="8" t="str">
        <x:v>{
  "disease": "복통",
  "section": "개요",
  "category": "symptom"
}</x:v>
      </x:c>
    </x:row>
    <x:row r="345" ht="54" customHeight="1">
      <x:c r="A345" s="8" t="str">
        <x:v>gold-disease-afbb7f329aa39e9f</x:v>
      </x:c>
      <x:c r="B345" s="8" t="str">
        <x:v>kdca-5972-2</x:v>
      </x:c>
      <x:c r="C345" s="8" t="str">
        <x:v>kdca-5972-2</x:v>
      </x:c>
      <x:c r="D345" s="8" t="str">
        <x:v>근거와 함께 답변</x:v>
      </x:c>
      <x:c r="E345" s="15" t="n">
        <x:v>343</x:v>
      </x:c>
      <x:c r="F345" s="8" t="str">
        <x:v>VDB 원인·위험요인 청크 재선정</x:v>
      </x:c>
      <x:c r="G345" s="8" t="str">
        <x:v>https://health.kdca.go.kr/healthinfo/biz/health/gnrlzHealthInfo/gnrlzHealthInfo/gnrlzHealthInfoMain.do</x:v>
      </x:c>
      <x:c r="H345" s="8" t="str">
        <x:v>{
  "disease": "일자목(거북목)증후군",
  "section": "정의 / 원인",
  "category": "disease"
}</x:v>
      </x:c>
    </x:row>
    <x:row r="346" ht="54" customHeight="1">
      <x:c r="A346" s="8" t="str">
        <x:v>gold-disease-0a3f7d18ce3b2e18</x:v>
      </x:c>
      <x:c r="B346" s="8" t="str">
        <x:v>kdca-5535-17</x:v>
      </x:c>
      <x:c r="C346" s="8" t="str">
        <x:v>kdca-5535-17</x:v>
      </x:c>
      <x:c r="D346" s="8" t="str">
        <x:v>근거와 함께 답변</x:v>
      </x:c>
      <x:c r="E346" s="15" t="n">
        <x:v>344</x:v>
      </x:c>
      <x:c r="F346" s="8" t="str">
        <x:v>기존 검증 정답</x:v>
      </x:c>
      <x:c r="G346" s="8" t="str">
        <x:v>https://health.kdca.go.kr/healthinfo/biz/health/gnrlzHealthInfo/gnrlzHealthInfo/gnrlzHealthInfoMain.do</x:v>
      </x:c>
      <x:c r="H346" s="8" t="str">
        <x:v>{
  "disease": "심방중격결손증",
  "section": "진단 및 검사",
  "category": "disease"
}</x:v>
      </x:c>
    </x:row>
    <x:row r="347" ht="54" customHeight="1">
      <x:c r="A347" s="8" t="str">
        <x:v>gold-disease-52186a3ce304c439</x:v>
      </x:c>
      <x:c r="B347" s="8" t="str">
        <x:v>kdca-6549-25</x:v>
      </x:c>
      <x:c r="C347" s="8" t="str">
        <x:v>kdca-6549-25</x:v>
      </x:c>
      <x:c r="D347" s="8" t="str">
        <x:v>근거와 함께 답변</x:v>
      </x:c>
      <x:c r="E347" s="15" t="n">
        <x:v>345</x:v>
      </x:c>
      <x:c r="F347" s="8" t="str">
        <x:v>VDB 후속 설명 보강</x:v>
      </x:c>
      <x:c r="G347" s="8" t="str">
        <x:v>https://health.kdca.go.kr/healthinfo/biz/health/gnrlzHealthInfo/gnrlzHealthInfo/gnrlzHealthInfoMain.do</x:v>
      </x:c>
      <x:c r="H347" s="8" t="str">
        <x:v>{
  "disease": "만성피로증후군",
  "section": "치료",
  "category": "disease"
}</x:v>
      </x:c>
    </x:row>
    <x:row r="348" ht="54" customHeight="1">
      <x:c r="A348" s="8" t="str">
        <x:v>gold-disease-ae2088e09db2c02b</x:v>
      </x:c>
      <x:c r="B348" s="8" t="str">
        <x:v>kdca-5261-3</x:v>
      </x:c>
      <x:c r="C348" s="8" t="str">
        <x:v>kdca-5261-3</x:v>
      </x:c>
      <x:c r="D348" s="8" t="str">
        <x:v>근거와 함께 답변</x:v>
      </x:c>
      <x:c r="E348" s="15" t="n">
        <x:v>346</x:v>
      </x:c>
      <x:c r="F348" s="8" t="str">
        <x:v>VDB 원인·위험요인 청크 재선정</x:v>
      </x:c>
      <x:c r="G348" s="8" t="str">
        <x:v>https://health.kdca.go.kr/healthinfo/biz/health/gnrlzHealthInfo/gnrlzHealthInfo/gnrlzHealthInfoMain.do</x:v>
      </x:c>
      <x:c r="H348" s="8" t="str">
        <x:v>{
  "disease": "쯔쯔가무시증",
  "section": "원인 및 감염경로 / 역학 및 통계",
  "category": "disease"
}</x:v>
      </x:c>
    </x:row>
    <x:row r="349" ht="54" customHeight="1">
      <x:c r="A349" s="8" t="str">
        <x:v>gold-disease-na-4978daa83483aecf</x:v>
      </x:c>
      <x:c r="B349" s="8" t="str"/>
      <x:c r="C349" s="8" t="str"/>
      <x:c r="D349" s="8" t="str">
        <x:v>답변 거부 또는 추가 확인 요청</x:v>
      </x:c>
      <x:c r="E349" s="15" t="n">
        <x:v>347</x:v>
      </x:c>
      <x:c r="F349" s="8" t="str">
        <x:v>답변 거부 기준 문구</x:v>
      </x:c>
      <x:c r="G349" s="8" t="str">
        <x:v>https://health.kdca.go.kr/healthinfo/biz/health/gnrlzHealthInfo/gnrlzHealthInfo/gnrlzHealthInfoMain.do</x:v>
      </x:c>
      <x:c r="H349" s="8" t="str">
        <x:v>{
  "disease": "전립선비대증",
  "section": "약물 치료",
  "category": "disease"
}</x:v>
      </x:c>
    </x:row>
    <x:row r="350" ht="54" customHeight="1">
      <x:c r="A350" s="8" t="str">
        <x:v>gold-disease-ac5f71a33fc937bd</x:v>
      </x:c>
      <x:c r="B350" s="8" t="str">
        <x:v>kdca-6561-32</x:v>
      </x:c>
      <x:c r="C350" s="8" t="str">
        <x:v>kdca-6561-32</x:v>
      </x:c>
      <x:c r="D350" s="8" t="str">
        <x:v>근거와 함께 답변</x:v>
      </x:c>
      <x:c r="E350" s="15" t="n">
        <x:v>348</x:v>
      </x:c>
      <x:c r="F350" s="8" t="str">
        <x:v>VDB 후속 설명 보강</x:v>
      </x:c>
      <x:c r="G350" s="8" t="str">
        <x:v>https://health.kdca.go.kr/healthinfo/biz/health/gnrlzHealthInfo/gnrlzHealthInfo/gnrlzHealthInfoMain.do</x:v>
      </x:c>
      <x:c r="H350" s="8" t="str">
        <x:v>{
  "disease": "결핵",
  "section": "치료",
  "category": "disease"
}</x:v>
      </x:c>
    </x:row>
    <x:row r="351" ht="54" customHeight="1">
      <x:c r="A351" s="8" t="str">
        <x:v>gold-disease-c755536a67d582af</x:v>
      </x:c>
      <x:c r="B351" s="8" t="str">
        <x:v>kdca-6677-22</x:v>
      </x:c>
      <x:c r="C351" s="8" t="str">
        <x:v>kdca-6677-22</x:v>
      </x:c>
      <x:c r="D351" s="8" t="str">
        <x:v>근거와 함께 답변</x:v>
      </x:c>
      <x:c r="E351" s="15" t="n">
        <x:v>349</x:v>
      </x:c>
      <x:c r="F351" s="8" t="str">
        <x:v>기존 검증 정답</x:v>
      </x:c>
      <x:c r="G351" s="8" t="str">
        <x:v>https://health.kdca.go.kr/healthinfo/biz/health/gnrlzHealthInfo/gnrlzHealthInfo/gnrlzHealthInfoMain.do</x:v>
      </x:c>
      <x:c r="H351" s="8" t="str">
        <x:v>{
  "disease": "코로나바이러스감염증-19",
  "section": "역학 및 통계",
  "category": "disease"
}</x:v>
      </x:c>
    </x:row>
    <x:row r="352" ht="54" customHeight="1">
      <x:c r="A352" s="8" t="str">
        <x:v>gold-disease-6069f17af6466db6</x:v>
      </x:c>
      <x:c r="B352" s="8" t="str">
        <x:v>kdca-5852-13</x:v>
      </x:c>
      <x:c r="C352" s="8" t="str">
        <x:v>kdca-5852-13</x:v>
      </x:c>
      <x:c r="D352" s="8" t="str">
        <x:v>근거와 함께 답변</x:v>
      </x:c>
      <x:c r="E352" s="15" t="n">
        <x:v>350</x:v>
      </x:c>
      <x:c r="F352" s="8" t="str">
        <x:v>VDB 후속 설명 보강</x:v>
      </x:c>
      <x:c r="G352" s="8" t="str">
        <x:v>https://health.kdca.go.kr/healthinfo/biz/health/gnrlzHealthInfo/gnrlzHealthInfo/gnrlzHealthInfoMain.do</x:v>
      </x:c>
      <x:c r="H352" s="8" t="str">
        <x:v>{
  "disease": "직장염",
  "section": "치료",
  "category": "disease"
}</x:v>
      </x:c>
    </x:row>
    <x:row r="353" ht="54" customHeight="1">
      <x:c r="A353" s="8" t="str">
        <x:v>gold-disease-eb4112e593e56524</x:v>
      </x:c>
      <x:c r="B353" s="8" t="str">
        <x:v>kdca-6756-26</x:v>
      </x:c>
      <x:c r="C353" s="8" t="str">
        <x:v>kdca-6756-26</x:v>
      </x:c>
      <x:c r="D353" s="8" t="str">
        <x:v>근거와 함께 답변</x:v>
      </x:c>
      <x:c r="E353" s="15" t="n">
        <x:v>351</x:v>
      </x:c>
      <x:c r="F353" s="8" t="str">
        <x:v>VDB 후속 설명 보강</x:v>
      </x:c>
      <x:c r="G353" s="8" t="str">
        <x:v>https://health.kdca.go.kr/healthinfo/biz/health/gnrlzHealthInfo/gnrlzHealthInfo/gnrlzHealthInfoMain.do</x:v>
      </x:c>
      <x:c r="H353" s="8" t="str">
        <x:v>{
  "disease": "급성 바이러스 위장관염",
  "section": "예방 및 예방접종",
  "category": "disease"
}</x:v>
      </x:c>
    </x:row>
    <x:row r="354" ht="54" customHeight="1">
      <x:c r="A354" s="8" t="str">
        <x:v>gold-disease-na-11e93a0edb028f1a</x:v>
      </x:c>
      <x:c r="B354" s="8" t="str"/>
      <x:c r="C354" s="8" t="str"/>
      <x:c r="D354" s="8" t="str">
        <x:v>답변 거부 또는 추가 확인 요청</x:v>
      </x:c>
      <x:c r="E354" s="15" t="n">
        <x:v>352</x:v>
      </x:c>
      <x:c r="F354" s="8" t="str">
        <x:v>답변 거부 기준 문구</x:v>
      </x:c>
      <x:c r="G354" s="8" t="str">
        <x:v>https://health.kdca.go.kr/healthinfo/biz/health/gnrlzHealthInfo/gnrlzHealthInfo/gnrlzHealthInfoMain.do</x:v>
      </x:c>
      <x:c r="H354" s="8" t="str">
        <x:v>{
  "disease": "경부 종괴",
  "section": "진단 및 검사",
  "category": "disease"
}</x:v>
      </x:c>
    </x:row>
    <x:row r="355" ht="54" customHeight="1">
      <x:c r="A355" s="8" t="str">
        <x:v>gold-disease-4b8a0d23058a9bc6</x:v>
      </x:c>
      <x:c r="B355" s="8" t="str">
        <x:v>kdca-6613-4</x:v>
      </x:c>
      <x:c r="C355" s="8" t="str">
        <x:v>kdca-6613-4</x:v>
      </x:c>
      <x:c r="D355" s="8" t="str">
        <x:v>근거와 함께 답변</x:v>
      </x:c>
      <x:c r="E355" s="15" t="n">
        <x:v>353</x:v>
      </x:c>
      <x:c r="F355" s="8" t="str">
        <x:v>VDB 원인·위험요인 청크 재선정</x:v>
      </x:c>
      <x:c r="G355" s="8" t="str">
        <x:v>https://health.kdca.go.kr/healthinfo/biz/health/gnrlzHealthInfo/gnrlzHealthInfo/gnrlzHealthInfoMain.do</x:v>
      </x:c>
      <x:c r="H355" s="8" t="str">
        <x:v>{
  "disease": "불규칙한 월경주기와 월경전증후군",
  "section": "개요",
  "category": "disease"
}</x:v>
      </x:c>
    </x:row>
    <x:row r="356" ht="54" customHeight="1">
      <x:c r="A356" s="8" t="str">
        <x:v>gold-disease-d5810c4b3c7dd4f8</x:v>
      </x:c>
      <x:c r="B356" s="8" t="str">
        <x:v>kdca-6684-17</x:v>
      </x:c>
      <x:c r="C356" s="8" t="str">
        <x:v>kdca-6684-17</x:v>
      </x:c>
      <x:c r="D356" s="8" t="str">
        <x:v>근거와 함께 답변</x:v>
      </x:c>
      <x:c r="E356" s="15" t="n">
        <x:v>354</x:v>
      </x:c>
      <x:c r="F356" s="8" t="str">
        <x:v>VDB 후속 설명 보강</x:v>
      </x:c>
      <x:c r="G356" s="8" t="str">
        <x:v>https://health.kdca.go.kr/healthinfo/biz/health/gnrlzHealthInfo/gnrlzHealthInfo/gnrlzHealthInfoMain.do</x:v>
      </x:c>
      <x:c r="H356" s="8" t="str">
        <x:v>{
  "disease": "아나필락시스",
  "section": "연관 증상 / 치료",
  "category": "disease"
}</x:v>
      </x:c>
    </x:row>
    <x:row r="357" ht="54" customHeight="1">
      <x:c r="A357" s="8" t="str">
        <x:v>gold-disease-f4ee07fea835f6d0</x:v>
      </x:c>
      <x:c r="B357" s="8" t="str">
        <x:v>kdca-5237-18</x:v>
      </x:c>
      <x:c r="C357" s="8" t="str">
        <x:v>kdca-5237-18</x:v>
      </x:c>
      <x:c r="D357" s="8" t="str">
        <x:v>근거와 함께 답변</x:v>
      </x:c>
      <x:c r="E357" s="15" t="n">
        <x:v>355</x:v>
      </x:c>
      <x:c r="F357" s="8" t="str">
        <x:v>기존 검증 정답</x:v>
      </x:c>
      <x:c r="G357" s="8" t="str">
        <x:v>https://health.kdca.go.kr/healthinfo/biz/health/gnrlzHealthInfo/gnrlzHealthInfo/gnrlzHealthInfoMain.do</x:v>
      </x:c>
      <x:c r="H357" s="8" t="str">
        <x:v>{
  "disease": "감염심내막염",
  "section": "진단 및 검사",
  "category": "disease"
}</x:v>
      </x:c>
    </x:row>
    <x:row r="358" ht="54" customHeight="1">
      <x:c r="A358" s="8" t="str">
        <x:v>gold-disease-3abf605af4319fa5</x:v>
      </x:c>
      <x:c r="B358" s="8" t="str">
        <x:v>kdca-5693-1</x:v>
      </x:c>
      <x:c r="C358" s="8" t="str">
        <x:v>kdca-5693-1</x:v>
      </x:c>
      <x:c r="D358" s="8" t="str">
        <x:v>근거와 함께 답변</x:v>
      </x:c>
      <x:c r="E358" s="15" t="n">
        <x:v>356</x:v>
      </x:c>
      <x:c r="F358" s="8" t="str">
        <x:v>기존 검증 정답</x:v>
      </x:c>
      <x:c r="G358" s="8" t="str">
        <x:v>https://health.kdca.go.kr/healthinfo/biz/health/gnrlzHealthInfo/gnrlzHealthInfo/gnrlzHealthInfoMain.do</x:v>
      </x:c>
      <x:c r="H358" s="8" t="str">
        <x:v>{
  "disease": "발 백선(무좀)",
  "section": "요약문 / 개요",
  "category": "disease"
}</x:v>
      </x:c>
    </x:row>
    <x:row r="359" ht="54" customHeight="1">
      <x:c r="A359" s="8" t="str">
        <x:v>gold-disease-bb7ce312b7e07a57</x:v>
      </x:c>
      <x:c r="B359" s="8" t="str">
        <x:v>kdca-5487-14</x:v>
      </x:c>
      <x:c r="C359" s="8" t="str">
        <x:v>kdca-5487-14</x:v>
      </x:c>
      <x:c r="D359" s="8" t="str">
        <x:v>근거와 함께 답변</x:v>
      </x:c>
      <x:c r="E359" s="15" t="n">
        <x:v>357</x:v>
      </x:c>
      <x:c r="F359" s="8" t="str">
        <x:v>VDB 후속 설명 보강</x:v>
      </x:c>
      <x:c r="G359" s="8" t="str">
        <x:v>https://health.kdca.go.kr/healthinfo/biz/health/gnrlzHealthInfo/gnrlzHealthInfo/gnrlzHealthInfoMain.do</x:v>
      </x:c>
      <x:c r="H359" s="8" t="str">
        <x:v>{
  "disease": "외상성 고막 천공",
  "section": "치료",
  "category": "disease"
}</x:v>
      </x:c>
    </x:row>
    <x:row r="360" ht="54" customHeight="1">
      <x:c r="A360" s="8" t="str">
        <x:v>gold-disease-fb89397d00f039d4</x:v>
      </x:c>
      <x:c r="B360" s="8" t="str">
        <x:v>kdca-5540-0</x:v>
      </x:c>
      <x:c r="C360" s="8" t="str">
        <x:v>kdca-5540-0</x:v>
      </x:c>
      <x:c r="D360" s="8" t="str">
        <x:v>근거와 함께 답변</x:v>
      </x:c>
      <x:c r="E360" s="15" t="n">
        <x:v>358</x:v>
      </x:c>
      <x:c r="F360" s="8" t="str">
        <x:v>기존 검증 정답</x:v>
      </x:c>
      <x:c r="G360" s="8" t="str">
        <x:v>https://health.kdca.go.kr/healthinfo/biz/health/gnrlzHealthInfo/gnrlzHealthInfo/gnrlzHealthInfoMain.do</x:v>
      </x:c>
      <x:c r="H360" s="8" t="str">
        <x:v>{
  "disease": "퇴행슬관절염",
  "section": "요약문",
  "category": "disease"
}</x:v>
      </x:c>
    </x:row>
    <x:row r="361" ht="54" customHeight="1">
      <x:c r="A361" s="8" t="str">
        <x:v>gold-disease-na-afbc2345ce454a0d</x:v>
      </x:c>
      <x:c r="B361" s="8" t="str"/>
      <x:c r="C361" s="8" t="str"/>
      <x:c r="D361" s="8" t="str">
        <x:v>답변 거부 또는 추가 확인 요청</x:v>
      </x:c>
      <x:c r="E361" s="15" t="n">
        <x:v>359</x:v>
      </x:c>
      <x:c r="F361" s="8" t="str">
        <x:v>답변 거부 기준 문구</x:v>
      </x:c>
      <x:c r="G361" s="8" t="str">
        <x:v>https://health.kdca.go.kr/healthinfo/biz/health/gnrlzHealthInfo/gnrlzHealthInfo/gnrlzHealthInfoMain.do</x:v>
      </x:c>
      <x:c r="H361" s="8" t="str">
        <x:v>{
  "disease": "갑상선염",
  "section": "증상",
  "category": "disease"
}</x:v>
      </x:c>
    </x:row>
    <x:row r="362" ht="54" customHeight="1">
      <x:c r="A362" s="8" t="str">
        <x:v>gold-disease-429595b107653e26</x:v>
      </x:c>
      <x:c r="B362" s="8" t="str">
        <x:v>kdca-1265-1</x:v>
      </x:c>
      <x:c r="C362" s="8" t="str">
        <x:v>kdca-1265-1</x:v>
      </x:c>
      <x:c r="D362" s="8" t="str">
        <x:v>근거와 함께 답변</x:v>
      </x:c>
      <x:c r="E362" s="15" t="n">
        <x:v>360</x:v>
      </x:c>
      <x:c r="F362" s="8" t="str">
        <x:v>기존 검증 정답</x:v>
      </x:c>
      <x:c r="G362" s="8" t="str">
        <x:v>https://health.kdca.go.kr/healthinfo/biz/health/gnrlzHealthInfo/gnrlzHealthInfo/gnrlzHealthInfoMain.do</x:v>
      </x:c>
      <x:c r="H362" s="8" t="str">
        <x:v>{
  "disease": "간의 양성종양(국소결절증식증)",
  "section": "증상 / 진단 및 검사",
  "category": "disease"
}</x:v>
      </x:c>
    </x:row>
    <x:row r="363" ht="54" customHeight="1">
      <x:c r="A363" s="8" t="str">
        <x:v>gold-disease-1450fa07c3741d22</x:v>
      </x:c>
      <x:c r="B363" s="8" t="str">
        <x:v>kdca-3430-15</x:v>
      </x:c>
      <x:c r="C363" s="8" t="str">
        <x:v>kdca-3430-15</x:v>
      </x:c>
      <x:c r="D363" s="8" t="str">
        <x:v>근거와 함께 답변</x:v>
      </x:c>
      <x:c r="E363" s="15" t="n">
        <x:v>361</x:v>
      </x:c>
      <x:c r="F363" s="8" t="str">
        <x:v>기존 검증 정답</x:v>
      </x:c>
      <x:c r="G363" s="8" t="str">
        <x:v>https://health.kdca.go.kr/healthinfo/biz/health/gnrlzHealthInfo/gnrlzHealthInfo/gnrlzHealthInfoMain.do</x:v>
      </x:c>
      <x:c r="H363" s="8" t="str">
        <x:v>{
  "disease": "심실중격결손증",
  "section": "증상 / 진단 및 검사",
  "category": "disease"
}</x:v>
      </x:c>
    </x:row>
    <x:row r="364" ht="54" customHeight="1">
      <x:c r="A364" s="8" t="str">
        <x:v>gold-disease-35f954a9e7e1a04e</x:v>
      </x:c>
      <x:c r="B364" s="8" t="str">
        <x:v>kdca-6578-5</x:v>
      </x:c>
      <x:c r="C364" s="8" t="str">
        <x:v>kdca-6578-5</x:v>
      </x:c>
      <x:c r="D364" s="8" t="str">
        <x:v>근거와 함께 답변</x:v>
      </x:c>
      <x:c r="E364" s="15" t="n">
        <x:v>362</x:v>
      </x:c>
      <x:c r="F364" s="8" t="str">
        <x:v>VDB 원인·위험요인 청크 재선정</x:v>
      </x:c>
      <x:c r="G364" s="8" t="str">
        <x:v>https://health.kdca.go.kr/healthinfo/biz/health/gnrlzHealthInfo/gnrlzHealthInfo/gnrlzHealthInfoMain.do</x:v>
      </x:c>
      <x:c r="H364" s="8" t="str">
        <x:v>{
  "disease": "늘어지는 영아증후군",
  "section": "종류 / 경과 및 예후 / 병태생리 / 역학 및 통계",
  "category": "disease"
}</x:v>
      </x:c>
    </x:row>
    <x:row r="365" ht="54" customHeight="1">
      <x:c r="A365" s="8" t="str">
        <x:v>gold-disease-a6d9f8cf596ed3ed</x:v>
      </x:c>
      <x:c r="B365" s="8" t="str">
        <x:v>kdca-5679-12</x:v>
      </x:c>
      <x:c r="C365" s="8" t="str">
        <x:v>kdca-5679-12</x:v>
      </x:c>
      <x:c r="D365" s="8" t="str">
        <x:v>근거와 함께 답변</x:v>
      </x:c>
      <x:c r="E365" s="15" t="n">
        <x:v>363</x:v>
      </x:c>
      <x:c r="F365" s="8" t="str">
        <x:v>VDB 후속 설명 보강</x:v>
      </x:c>
      <x:c r="G365" s="8" t="str">
        <x:v>https://health.kdca.go.kr/healthinfo/biz/health/gnrlzHealthInfo/gnrlzHealthInfo/gnrlzHealthInfoMain.do</x:v>
      </x:c>
      <x:c r="H365" s="8" t="str">
        <x:v>{
  "disease": "열상",
  "section": "예방 및 대처",
  "category": "disease"
}</x:v>
      </x:c>
    </x:row>
    <x:row r="366" ht="54" customHeight="1">
      <x:c r="A366" s="8" t="str">
        <x:v>gold-disease-2b0d3bdbd504f22d</x:v>
      </x:c>
      <x:c r="B366" s="8" t="str">
        <x:v>kdca-5818-16</x:v>
      </x:c>
      <x:c r="C366" s="8" t="str">
        <x:v>kdca-5818-16</x:v>
      </x:c>
      <x:c r="D366" s="8" t="str">
        <x:v>근거와 함께 답변</x:v>
      </x:c>
      <x:c r="E366" s="15" t="n">
        <x:v>364</x:v>
      </x:c>
      <x:c r="F366" s="8" t="str">
        <x:v>기존 검증 정답</x:v>
      </x:c>
      <x:c r="G366" s="8" t="str">
        <x:v>https://health.kdca.go.kr/healthinfo/biz/health/gnrlzHealthInfo/gnrlzHealthInfo/gnrlzHealthInfoMain.do</x:v>
      </x:c>
      <x:c r="H366" s="8" t="str">
        <x:v>{
  "disease": "치핵",
  "section": "진단 및 검사",
  "category": "disease"
}</x:v>
      </x:c>
    </x:row>
    <x:row r="367" ht="54" customHeight="1">
      <x:c r="A367" s="8" t="str">
        <x:v>gold-disease-60c87fd0f8419610</x:v>
      </x:c>
      <x:c r="B367" s="8" t="str">
        <x:v>kdca-5499-0</x:v>
      </x:c>
      <x:c r="C367" s="8" t="str">
        <x:v>kdca-5499-0</x:v>
      </x:c>
      <x:c r="D367" s="8" t="str">
        <x:v>근거와 함께 답변</x:v>
      </x:c>
      <x:c r="E367" s="15" t="n">
        <x:v>365</x:v>
      </x:c>
      <x:c r="F367" s="8" t="str">
        <x:v>기존 검증 정답</x:v>
      </x:c>
      <x:c r="G367" s="8" t="str">
        <x:v>https://health.kdca.go.kr/healthinfo/biz/health/gnrlzHealthInfo/gnrlzHealthInfo/gnrlzHealthInfoMain.do</x:v>
      </x:c>
      <x:c r="H367" s="8" t="str">
        <x:v>{
  "disease": "모호한 외부생식기 및 성 발달 이상",
  "section": "요약문",
  "category": "disease"
}</x:v>
      </x:c>
    </x:row>
    <x:row r="368" ht="54" customHeight="1">
      <x:c r="A368" s="8" t="str">
        <x:v>gold-disease-ca235e555626d1ad</x:v>
      </x:c>
      <x:c r="B368" s="8" t="str">
        <x:v>kdca-5971-12</x:v>
      </x:c>
      <x:c r="C368" s="8" t="str">
        <x:v>kdca-5971-12</x:v>
      </x:c>
      <x:c r="D368" s="8" t="str">
        <x:v>근거와 함께 답변</x:v>
      </x:c>
      <x:c r="E368" s="15" t="n">
        <x:v>366</x:v>
      </x:c>
      <x:c r="F368" s="8" t="str">
        <x:v>VDB 후속 설명 보강</x:v>
      </x:c>
      <x:c r="G368" s="8" t="str">
        <x:v>https://health.kdca.go.kr/healthinfo/biz/health/gnrlzHealthInfo/gnrlzHealthInfo/gnrlzHealthInfoMain.do</x:v>
      </x:c>
      <x:c r="H368" s="8" t="str">
        <x:v>{
  "disease": "다낭성 난소 증후군",
  "section": "치료",
  "category": "disease"
}</x:v>
      </x:c>
    </x:row>
    <x:row r="369" ht="54" customHeight="1">
      <x:c r="A369" s="8" t="str">
        <x:v>gold-disease-47dcd848d4a0f046</x:v>
      </x:c>
      <x:c r="B369" s="8" t="str">
        <x:v>kdca-6313-9</x:v>
      </x:c>
      <x:c r="C369" s="8" t="str">
        <x:v>kdca-6313-9</x:v>
      </x:c>
      <x:c r="D369" s="8" t="str">
        <x:v>근거와 함께 답변</x:v>
      </x:c>
      <x:c r="E369" s="15" t="n">
        <x:v>367</x:v>
      </x:c>
      <x:c r="F369" s="8" t="str">
        <x:v>VDB 후속 설명 보강</x:v>
      </x:c>
      <x:c r="G369" s="8" t="str">
        <x:v>https://health.kdca.go.kr/healthinfo/biz/health/gnrlzHealthInfo/gnrlzHealthInfo/gnrlzHealthInfoMain.do</x:v>
      </x:c>
      <x:c r="H369" s="8" t="str">
        <x:v>{
  "disease": "야토병",
  "section": "치료",
  "category": "disease"
}</x:v>
      </x:c>
    </x:row>
    <x:row r="370" ht="54" customHeight="1">
      <x:c r="A370" s="8" t="str">
        <x:v>gold-disease-47addec16559dc6d</x:v>
      </x:c>
      <x:c r="B370" s="8" t="str">
        <x:v>kdca-6480-2</x:v>
      </x:c>
      <x:c r="C370" s="8" t="str">
        <x:v>kdca-6480-2</x:v>
      </x:c>
      <x:c r="D370" s="8" t="str">
        <x:v>근거와 함께 답변</x:v>
      </x:c>
      <x:c r="E370" s="15" t="n">
        <x:v>368</x:v>
      </x:c>
      <x:c r="F370" s="8" t="str">
        <x:v>VDB 원인·위험요인 청크 재선정</x:v>
      </x:c>
      <x:c r="G370" s="8" t="str">
        <x:v>https://health.kdca.go.kr/healthinfo/biz/health/gnrlzHealthInfo/gnrlzHealthInfo/gnrlzHealthInfoMain.do</x:v>
      </x:c>
      <x:c r="H370" s="8" t="str">
        <x:v>{
  "disease": "기저귀피부염",
  "section": "원인",
  "category": "disease"
}</x:v>
      </x:c>
    </x:row>
    <x:row r="371" ht="54" customHeight="1">
      <x:c r="A371" s="8" t="str">
        <x:v>gold-disease-52382b9107dfa0dd</x:v>
      </x:c>
      <x:c r="B371" s="8" t="str">
        <x:v>kdca-1831-26</x:v>
      </x:c>
      <x:c r="C371" s="8" t="str">
        <x:v>kdca-1831-26</x:v>
      </x:c>
      <x:c r="D371" s="8" t="str">
        <x:v>근거와 함께 답변</x:v>
      </x:c>
      <x:c r="E371" s="15" t="n">
        <x:v>369</x:v>
      </x:c>
      <x:c r="F371" s="8" t="str">
        <x:v>기존 검증 정답</x:v>
      </x:c>
      <x:c r="G371" s="8" t="str">
        <x:v>https://health.kdca.go.kr/healthinfo/biz/health/gnrlzHealthInfo/gnrlzHealthInfo/gnrlzHealthInfoMain.do</x:v>
      </x:c>
      <x:c r="H371" s="8" t="str">
        <x:v>{
  "disease": "갑상선기능항진증",
  "section": "진단 및 검사",
  "category": "disease"
}</x:v>
      </x:c>
    </x:row>
    <x:row r="372" ht="54" customHeight="1">
      <x:c r="A372" s="8" t="str">
        <x:v>gold-disease-b0812a036ed7d2a3</x:v>
      </x:c>
      <x:c r="B372" s="8" t="str">
        <x:v>kdca-5494-13</x:v>
      </x:c>
      <x:c r="C372" s="8" t="str">
        <x:v>kdca-5494-13</x:v>
      </x:c>
      <x:c r="D372" s="8" t="str">
        <x:v>근거와 함께 답변</x:v>
      </x:c>
      <x:c r="E372" s="15" t="n">
        <x:v>370</x:v>
      </x:c>
      <x:c r="F372" s="8" t="str">
        <x:v>VDB 후속 설명 보강</x:v>
      </x:c>
      <x:c r="G372" s="8" t="str">
        <x:v>https://health.kdca.go.kr/healthinfo/biz/health/gnrlzHealthInfo/gnrlzHealthInfo/gnrlzHealthInfoMain.do</x:v>
      </x:c>
      <x:c r="H372" s="8" t="str">
        <x:v>{
  "disease": "흉곽기형(오목가슴, 함몰흉, 누두흉)",
  "section": "치료 / 자주하는 질문",
  "category": "disease"
}</x:v>
      </x:c>
    </x:row>
    <x:row r="373" ht="54" customHeight="1">
      <x:c r="A373" s="8" t="str">
        <x:v>gold-disease-bb988ba8fc6b6a4c</x:v>
      </x:c>
      <x:c r="B373" s="8" t="str">
        <x:v>kdca-5221-13</x:v>
      </x:c>
      <x:c r="C373" s="8" t="str">
        <x:v>kdca-5221-13</x:v>
      </x:c>
      <x:c r="D373" s="8" t="str">
        <x:v>근거와 함께 답변</x:v>
      </x:c>
      <x:c r="E373" s="15" t="n">
        <x:v>371</x:v>
      </x:c>
      <x:c r="F373" s="8" t="str">
        <x:v>기존 검증 정답</x:v>
      </x:c>
      <x:c r="G373" s="8" t="str">
        <x:v>https://health.kdca.go.kr/healthinfo/biz/health/gnrlzHealthInfo/gnrlzHealthInfo/gnrlzHealthInfoMain.do</x:v>
      </x:c>
      <x:c r="H373" s="8" t="str">
        <x:v>{
  "disease": "당뇨망막병증",
  "section": "역학 및 통계 / 증상",
  "category": "disease"
}</x:v>
      </x:c>
    </x:row>
    <x:row r="374" ht="54" customHeight="1">
      <x:c r="A374" s="8" t="str">
        <x:v>gold-disease-a42a08e35d4600b0</x:v>
      </x:c>
      <x:c r="B374" s="8" t="str">
        <x:v>kdca-6272-28</x:v>
      </x:c>
      <x:c r="C374" s="8" t="str">
        <x:v>kdca-6272-28</x:v>
      </x:c>
      <x:c r="D374" s="8" t="str">
        <x:v>근거와 함께 답변</x:v>
      </x:c>
      <x:c r="E374" s="15" t="n">
        <x:v>372</x:v>
      </x:c>
      <x:c r="F374" s="8" t="str">
        <x:v>기존 검증 정답</x:v>
      </x:c>
      <x:c r="G374" s="8" t="str">
        <x:v>https://health.kdca.go.kr/healthinfo/biz/health/gnrlzHealthInfo/gnrlzHealthInfo/gnrlzHealthInfoMain.do</x:v>
      </x:c>
      <x:c r="H374" s="8" t="str">
        <x:v>{
  "disease": "배뇨 관련 증상 또는 이상",
  "section": "역학 및 통계 / 증상",
  "category": "disease"
}</x:v>
      </x:c>
    </x:row>
    <x:row r="375" ht="54" customHeight="1">
      <x:c r="A375" s="8" t="str">
        <x:v>gold-disease-na-6273b7d88e51d518</x:v>
      </x:c>
      <x:c r="B375" s="8" t="str"/>
      <x:c r="C375" s="8" t="str"/>
      <x:c r="D375" s="8" t="str">
        <x:v>답변 거부 또는 추가 확인 요청</x:v>
      </x:c>
      <x:c r="E375" s="15" t="n">
        <x:v>373</x:v>
      </x:c>
      <x:c r="F375" s="8" t="str">
        <x:v>답변 거부 기준 문구</x:v>
      </x:c>
      <x:c r="G375" s="8" t="str">
        <x:v>https://health.kdca.go.kr/healthinfo/biz/health/gnrlzHealthInfo/gnrlzHealthInfo/gnrlzHealthInfoMain.do</x:v>
      </x:c>
      <x:c r="H375" s="8" t="str">
        <x:v>{
  "disease": "피임",
  "section": "요약문",
  "category": "disease"
}</x:v>
      </x:c>
    </x:row>
    <x:row r="376" ht="54" customHeight="1">
      <x:c r="A376" s="8" t="str">
        <x:v>gold-disease-na-846c80e95d5a1036</x:v>
      </x:c>
      <x:c r="B376" s="8" t="str"/>
      <x:c r="C376" s="8" t="str"/>
      <x:c r="D376" s="8" t="str">
        <x:v>답변 거부 또는 추가 확인 요청</x:v>
      </x:c>
      <x:c r="E376" s="15" t="n">
        <x:v>374</x:v>
      </x:c>
      <x:c r="F376" s="8" t="str">
        <x:v>답변 거부 기준 문구</x:v>
      </x:c>
      <x:c r="G376" s="8" t="str">
        <x:v>https://health.kdca.go.kr/healthinfo/biz/health/gnrlzHealthInfo/gnrlzHealthInfo/gnrlzHealthInfoMain.do</x:v>
      </x:c>
      <x:c r="H376" s="8" t="str">
        <x:v>{
  "disease": "가려움증",
  "section": "요약문",
  "category": "disease"
}</x:v>
      </x:c>
    </x:row>
    <x:row r="377" ht="54" customHeight="1">
      <x:c r="A377" s="8" t="str">
        <x:v>gold-disease-77b878015c93654d</x:v>
      </x:c>
      <x:c r="B377" s="8" t="str">
        <x:v>kdca-5291-0</x:v>
      </x:c>
      <x:c r="C377" s="8" t="str">
        <x:v>kdca-5291-0</x:v>
      </x:c>
      <x:c r="D377" s="8" t="str">
        <x:v>근거와 함께 답변</x:v>
      </x:c>
      <x:c r="E377" s="15" t="n">
        <x:v>375</x:v>
      </x:c>
      <x:c r="F377" s="8" t="str">
        <x:v>VDB 정의 문장 재선정</x:v>
      </x:c>
      <x:c r="G377" s="8" t="str">
        <x:v>https://health.kdca.go.kr/healthinfo/biz/health/gnrlzHealthInfo/gnrlzHealthInfo/gnrlzHealthInfoMain.do</x:v>
      </x:c>
      <x:c r="H377" s="8" t="str">
        <x:v>{
  "disease": "디프테리아",
  "section": "요약문",
  "category": "disease"
}</x:v>
      </x:c>
    </x:row>
    <x:row r="378" ht="54" customHeight="1">
      <x:c r="A378" s="8" t="str">
        <x:v>gold-disease-43c30cdcbbd0db72</x:v>
      </x:c>
      <x:c r="B378" s="8" t="str">
        <x:v>kdca-5284-5</x:v>
      </x:c>
      <x:c r="C378" s="8" t="str">
        <x:v>kdca-5284-5</x:v>
      </x:c>
      <x:c r="D378" s="8" t="str">
        <x:v>근거와 함께 답변</x:v>
      </x:c>
      <x:c r="E378" s="15" t="n">
        <x:v>376</x:v>
      </x:c>
      <x:c r="F378" s="8" t="str">
        <x:v>VDB 원인·위험요인 청크 재선정</x:v>
      </x:c>
      <x:c r="G378" s="8" t="str">
        <x:v>https://health.kdca.go.kr/healthinfo/biz/health/gnrlzHealthInfo/gnrlzHealthInfo/gnrlzHealthInfoMain.do</x:v>
      </x:c>
      <x:c r="H378" s="8" t="str">
        <x:v>{
  "disease": "뇌수막염",
  "section": "원인 및 감염경로",
  "category": "disease"
}</x:v>
      </x:c>
    </x:row>
    <x:row r="379" ht="54" customHeight="1">
      <x:c r="A379" s="8" t="str">
        <x:v>gold-disease-f15924fe11f6819a</x:v>
      </x:c>
      <x:c r="B379" s="8" t="str">
        <x:v>kdca-5248-65</x:v>
      </x:c>
      <x:c r="C379" s="8" t="str">
        <x:v>kdca-5248-65</x:v>
      </x:c>
      <x:c r="D379" s="8" t="str">
        <x:v>근거와 함께 답변</x:v>
      </x:c>
      <x:c r="E379" s="15" t="n">
        <x:v>377</x:v>
      </x:c>
      <x:c r="F379" s="8" t="str">
        <x:v>VDB 원인·위험요인 청크 재선정</x:v>
      </x:c>
      <x:c r="G379" s="8" t="str">
        <x:v>https://health.kdca.go.kr/healthinfo/biz/health/gnrlzHealthInfo/gnrlzHealthInfo/gnrlzHealthInfoMain.do</x:v>
      </x:c>
      <x:c r="H379" s="8" t="str">
        <x:v>{
  "disease": "췌장염",
  "section": "위험요인 및 예방 / 생활습관 관리",
  "category": "disease"
}</x:v>
      </x:c>
    </x:row>
    <x:row r="380" ht="54" customHeight="1">
      <x:c r="A380" s="8" t="str">
        <x:v>gold-disease-na-5a083ff1e7e6395c</x:v>
      </x:c>
      <x:c r="B380" s="8" t="str"/>
      <x:c r="C380" s="8" t="str"/>
      <x:c r="D380" s="8" t="str">
        <x:v>답변 거부 또는 추가 확인 요청</x:v>
      </x:c>
      <x:c r="E380" s="15" t="n">
        <x:v>378</x:v>
      </x:c>
      <x:c r="F380" s="8" t="str">
        <x:v>답변 거부 기준 문구</x:v>
      </x:c>
      <x:c r="G380" s="8" t="str">
        <x:v>https://health.kdca.go.kr/healthinfo/biz/health/gnrlzHealthInfo/gnrlzHealthInfo/gnrlzHealthInfoMain.do</x:v>
      </x:c>
      <x:c r="H380" s="8" t="str">
        <x:v>{
  "disease": "귀의 형태 이상(기타)",
  "section": "종류",
  "category": "disease"
}</x:v>
      </x:c>
    </x:row>
    <x:row r="381" ht="54" customHeight="1">
      <x:c r="A381" s="8" t="str">
        <x:v>gold-disease-54d043c3831a5d55</x:v>
      </x:c>
      <x:c r="B381" s="8" t="str">
        <x:v>kdca-6736-9</x:v>
      </x:c>
      <x:c r="C381" s="8" t="str">
        <x:v>kdca-6736-9</x:v>
      </x:c>
      <x:c r="D381" s="8" t="str">
        <x:v>근거와 함께 답변</x:v>
      </x:c>
      <x:c r="E381" s="15" t="n">
        <x:v>379</x:v>
      </x:c>
      <x:c r="F381" s="8" t="str">
        <x:v>기존 검증 정답</x:v>
      </x:c>
      <x:c r="G381" s="8" t="str">
        <x:v>https://health.kdca.go.kr/healthinfo/biz/health/gnrlzHealthInfo/gnrlzHealthInfo/gnrlzHealthInfoMain.do</x:v>
      </x:c>
      <x:c r="H381" s="8" t="str">
        <x:v>{
  "disease": "세기관지염",
  "section": "증상",
  "category": "disease"
}</x:v>
      </x:c>
    </x:row>
    <x:row r="382" ht="54" customHeight="1">
      <x:c r="A382" s="8" t="str">
        <x:v>gold-disease-bec86ecc41c08928</x:v>
      </x:c>
      <x:c r="B382" s="8" t="str">
        <x:v>kdca-5827-26</x:v>
      </x:c>
      <x:c r="C382" s="8" t="str">
        <x:v>kdca-5827-26</x:v>
      </x:c>
      <x:c r="D382" s="8" t="str">
        <x:v>근거와 함께 답변</x:v>
      </x:c>
      <x:c r="E382" s="15" t="n">
        <x:v>380</x:v>
      </x:c>
      <x:c r="F382" s="8" t="str">
        <x:v>VDB 후속 설명 보강</x:v>
      </x:c>
      <x:c r="G382" s="8" t="str">
        <x:v>https://health.kdca.go.kr/healthinfo/biz/health/gnrlzHealthInfo/gnrlzHealthInfo/gnrlzHealthInfoMain.do</x:v>
      </x:c>
      <x:c r="H382" s="8" t="str">
        <x:v>{
  "disease": "변비",
  "section": "연관 증상 / 치료",
  "category": "disease"
}</x:v>
      </x:c>
    </x:row>
    <x:row r="383" ht="54" customHeight="1">
      <x:c r="A383" s="8" t="str">
        <x:v>gold-disease-1772b58a65008dbd</x:v>
      </x:c>
      <x:c r="B383" s="8" t="str">
        <x:v>kdca-5720-9</x:v>
      </x:c>
      <x:c r="C383" s="8" t="str">
        <x:v>kdca-5720-9</x:v>
      </x:c>
      <x:c r="D383" s="8" t="str">
        <x:v>근거와 함께 답변</x:v>
      </x:c>
      <x:c r="E383" s="15" t="n">
        <x:v>381</x:v>
      </x:c>
      <x:c r="F383" s="8" t="str">
        <x:v>기존 검증 정답</x:v>
      </x:c>
      <x:c r="G383" s="8" t="str">
        <x:v>https://health.kdca.go.kr/healthinfo/biz/health/gnrlzHealthInfo/gnrlzHealthInfo/gnrlzHealthInfoMain.do</x:v>
      </x:c>
      <x:c r="H383" s="8" t="str">
        <x:v>{
  "disease": "창자겹침증",
  "section": "치료",
  "category": "disease"
}</x:v>
      </x:c>
    </x:row>
    <x:row r="384" ht="54" customHeight="1">
      <x:c r="A384" s="8" t="str">
        <x:v>gold-disease-51488bdc72aede68</x:v>
      </x:c>
      <x:c r="B384" s="8" t="str">
        <x:v>kdca-1402-3</x:v>
      </x:c>
      <x:c r="C384" s="8" t="str">
        <x:v>kdca-1402-3</x:v>
      </x:c>
      <x:c r="D384" s="8" t="str">
        <x:v>근거와 함께 답변</x:v>
      </x:c>
      <x:c r="E384" s="15" t="n">
        <x:v>382</x:v>
      </x:c>
      <x:c r="F384" s="8" t="str">
        <x:v>기존 검증 정답</x:v>
      </x:c>
      <x:c r="G384" s="8" t="str">
        <x:v>https://health.kdca.go.kr/healthinfo/biz/health/gnrlzHealthInfo/gnrlzHealthInfo/gnrlzHealthInfoMain.do</x:v>
      </x:c>
      <x:c r="H384" s="8" t="str">
        <x:v>{
  "disease": "안외상(외상성 망막박리)",
  "section": "진단 및 검사 / 치료",
  "category": "disease"
}</x:v>
      </x:c>
    </x:row>
    <x:row r="385" ht="54" customHeight="1">
      <x:c r="A385" s="8" t="str">
        <x:v>gold-disease-183ed3953ca8fa74</x:v>
      </x:c>
      <x:c r="B385" s="8" t="str">
        <x:v>kdca-6585-0</x:v>
      </x:c>
      <x:c r="C385" s="8" t="str">
        <x:v>kdca-6585-0</x:v>
      </x:c>
      <x:c r="D385" s="8" t="str">
        <x:v>근거와 함께 답변</x:v>
      </x:c>
      <x:c r="E385" s="15" t="n">
        <x:v>383</x:v>
      </x:c>
      <x:c r="F385" s="8" t="str">
        <x:v>VDB 정의 문장 재선정</x:v>
      </x:c>
      <x:c r="G385" s="8" t="str">
        <x:v>https://health.kdca.go.kr/healthinfo/biz/health/gnrlzHealthInfo/gnrlzHealthInfo/gnrlzHealthInfoMain.do</x:v>
      </x:c>
      <x:c r="H385" s="8" t="str">
        <x:v>{
  "disease": "독성 간 손상",
  "section": "요약문",
  "category": "disease"
}</x:v>
      </x:c>
    </x:row>
    <x:row r="386" ht="54" customHeight="1">
      <x:c r="A386" s="8" t="str">
        <x:v>gold-disease-0a2d65aba638451a</x:v>
      </x:c>
      <x:c r="B386" s="8" t="str">
        <x:v>kdca-5529-7</x:v>
      </x:c>
      <x:c r="C386" s="8" t="str">
        <x:v>kdca-5529-7</x:v>
      </x:c>
      <x:c r="D386" s="8" t="str">
        <x:v>근거와 함께 답변</x:v>
      </x:c>
      <x:c r="E386" s="15" t="n">
        <x:v>384</x:v>
      </x:c>
      <x:c r="F386" s="8" t="str">
        <x:v>기존 검증 정답</x:v>
      </x:c>
      <x:c r="G386" s="8" t="str">
        <x:v>https://health.kdca.go.kr/healthinfo/biz/health/gnrlzHealthInfo/gnrlzHealthInfo/gnrlzHealthInfoMain.do</x:v>
      </x:c>
      <x:c r="H386" s="8" t="str">
        <x:v>{
  "disease": "포충증",
  "section": "증상 / 진단 및 검사",
  "category": "disease"
}</x:v>
      </x:c>
    </x:row>
    <x:row r="387" ht="54" customHeight="1">
      <x:c r="A387" s="8" t="str">
        <x:v>gold-disease-09e8dd2034b39303</x:v>
      </x:c>
      <x:c r="B387" s="8" t="str">
        <x:v>kdca-5334-5</x:v>
      </x:c>
      <x:c r="C387" s="8" t="str">
        <x:v>kdca-5334-5</x:v>
      </x:c>
      <x:c r="D387" s="8" t="str">
        <x:v>근거와 함께 답변</x:v>
      </x:c>
      <x:c r="E387" s="15" t="n">
        <x:v>385</x:v>
      </x:c>
      <x:c r="F387" s="8" t="str">
        <x:v>기존 검증 정답</x:v>
      </x:c>
      <x:c r="G387" s="8" t="str">
        <x:v>https://health.kdca.go.kr/healthinfo/biz/health/gnrlzHealthInfo/gnrlzHealthInfo/gnrlzHealthInfoMain.do</x:v>
      </x:c>
      <x:c r="H387" s="8" t="str">
        <x:v>{
  "disease": "사람 브루셀라증",
  "section": "원인 및 감염경로",
  "category": "disease"
}</x:v>
      </x:c>
    </x:row>
    <x:row r="388" ht="54" customHeight="1">
      <x:c r="A388" s="8" t="str">
        <x:v>gold-disease-na-56cdb475777751d8</x:v>
      </x:c>
      <x:c r="B388" s="8" t="str"/>
      <x:c r="C388" s="8" t="str"/>
      <x:c r="D388" s="8" t="str">
        <x:v>답변 거부 또는 추가 확인 요청</x:v>
      </x:c>
      <x:c r="E388" s="15" t="n">
        <x:v>386</x:v>
      </x:c>
      <x:c r="F388" s="8" t="str">
        <x:v>답변 거부 기준 문구</x:v>
      </x:c>
      <x:c r="G388" s="8" t="str">
        <x:v>https://health.kdca.go.kr/healthinfo/biz/health/gnrlzHealthInfo/gnrlzHealthInfo/gnrlzHealthInfoMain.do</x:v>
      </x:c>
      <x:c r="H388" s="8" t="str">
        <x:v>{
  "disease": "부신부전증",
  "section": "요약문",
  "category": "disease"
}</x:v>
      </x:c>
    </x:row>
    <x:row r="389" ht="54" customHeight="1">
      <x:c r="A389" s="8" t="str">
        <x:v>gold-disease-4afecf4deb08ee56</x:v>
      </x:c>
      <x:c r="B389" s="8" t="str">
        <x:v>kdca-5413-1</x:v>
      </x:c>
      <x:c r="C389" s="8" t="str">
        <x:v>kdca-5413-1</x:v>
      </x:c>
      <x:c r="D389" s="8" t="str">
        <x:v>근거와 함께 답변</x:v>
      </x:c>
      <x:c r="E389" s="15" t="n">
        <x:v>387</x:v>
      </x:c>
      <x:c r="F389" s="8" t="str">
        <x:v>VDB 정의 문장 재선정</x:v>
      </x:c>
      <x:c r="G389" s="8" t="str">
        <x:v>https://health.kdca.go.kr/healthinfo/biz/health/gnrlzHealthInfo/gnrlzHealthInfo/gnrlzHealthInfoMain.do</x:v>
      </x:c>
      <x:c r="H389" s="8" t="str">
        <x:v>{
  "disease": "조기난소부전",
  "section": "요약문 / 정의",
  "category": "disease"
}</x:v>
      </x:c>
    </x:row>
    <x:row r="390" ht="54" customHeight="1">
      <x:c r="A390" s="8" t="str">
        <x:v>gold-disease-b786bff9124304c5</x:v>
      </x:c>
      <x:c r="B390" s="8" t="str">
        <x:v>kdca-6263-16</x:v>
      </x:c>
      <x:c r="C390" s="8" t="str">
        <x:v>kdca-6263-16</x:v>
      </x:c>
      <x:c r="D390" s="8" t="str">
        <x:v>근거와 함께 답변</x:v>
      </x:c>
      <x:c r="E390" s="15" t="n">
        <x:v>388</x:v>
      </x:c>
      <x:c r="F390" s="8" t="str">
        <x:v>기존 검증 정답</x:v>
      </x:c>
      <x:c r="G390" s="8" t="str">
        <x:v>https://health.kdca.go.kr/healthinfo/biz/health/gnrlzHealthInfo/gnrlzHealthInfo/gnrlzHealthInfoMain.do</x:v>
      </x:c>
      <x:c r="H390" s="8" t="str">
        <x:v>{
  "disease": "소화불량",
  "section": "진단 및 검사",
  "category": "disease"
}</x:v>
      </x:c>
    </x:row>
    <x:row r="391" ht="54" customHeight="1">
      <x:c r="A391" s="8" t="str">
        <x:v>gold-disease-na-d93b050185b27b03</x:v>
      </x:c>
      <x:c r="B391" s="8" t="str"/>
      <x:c r="C391" s="8" t="str"/>
      <x:c r="D391" s="8" t="str">
        <x:v>답변 거부 또는 추가 확인 요청</x:v>
      </x:c>
      <x:c r="E391" s="15" t="n">
        <x:v>389</x:v>
      </x:c>
      <x:c r="F391" s="8" t="str">
        <x:v>답변 거부 기준 문구</x:v>
      </x:c>
      <x:c r="G391" s="8" t="str">
        <x:v>https://health.kdca.go.kr/healthinfo/biz/health/gnrlzHealthInfo/gnrlzHealthInfo/gnrlzHealthInfoMain.do</x:v>
      </x:c>
      <x:c r="H391" s="8" t="str">
        <x:v>{
  "disease": "폐 색전증",
  "section": "합병증",
  "category": "disease"
}</x:v>
      </x:c>
    </x:row>
    <x:row r="392" ht="54" customHeight="1">
      <x:c r="A392" s="8" t="str">
        <x:v>gold-disease-b2d9436b4cafc5f2</x:v>
      </x:c>
      <x:c r="B392" s="8" t="str">
        <x:v>kdca-3790-16</x:v>
      </x:c>
      <x:c r="C392" s="8" t="str">
        <x:v>kdca-3790-16</x:v>
      </x:c>
      <x:c r="D392" s="8" t="str">
        <x:v>근거와 함께 답변</x:v>
      </x:c>
      <x:c r="E392" s="15" t="n">
        <x:v>390</x:v>
      </x:c>
      <x:c r="F392" s="8" t="str">
        <x:v>기존 검증 정답</x:v>
      </x:c>
      <x:c r="G392" s="8" t="str">
        <x:v>https://health.kdca.go.kr/healthinfo/biz/health/gnrlzHealthInfo/gnrlzHealthInfo/gnrlzHealthInfoMain.do</x:v>
      </x:c>
      <x:c r="H392" s="8" t="str">
        <x:v>{
  "disease": "얼굴마비(말초성 마비)",
  "section": "약물 치료",
  "category": "disease"
}</x:v>
      </x:c>
    </x:row>
    <x:row r="393" ht="54" customHeight="1">
      <x:c r="A393" s="8" t="str">
        <x:v>gold-disease-eac5898f3ab8eb77</x:v>
      </x:c>
      <x:c r="B393" s="8" t="str">
        <x:v>kdca-2348-3</x:v>
      </x:c>
      <x:c r="C393" s="8" t="str">
        <x:v>kdca-2348-3</x:v>
      </x:c>
      <x:c r="D393" s="8" t="str">
        <x:v>근거와 함께 답변</x:v>
      </x:c>
      <x:c r="E393" s="15" t="n">
        <x:v>391</x:v>
      </x:c>
      <x:c r="F393" s="8" t="str">
        <x:v>기존 검증 정답</x:v>
      </x:c>
      <x:c r="G393" s="8" t="str">
        <x:v>https://health.kdca.go.kr/healthinfo/biz/health/gnrlzHealthInfo/gnrlzHealthInfo/gnrlzHealthInfoMain.do</x:v>
      </x:c>
      <x:c r="H393" s="8" t="str">
        <x:v>{
  "disease": "당뇨병 합병증(급성 합병증_당뇨병케토산증, 고혈당고삼투질상태)",
  "section": "증상 / 진단 및 검사",
  "category": "disease"
}</x:v>
      </x:c>
    </x:row>
    <x:row r="394" ht="54" customHeight="1">
      <x:c r="A394" s="8" t="str">
        <x:v>gold-disease-575b0540ddc4ee19</x:v>
      </x:c>
      <x:c r="B394" s="8" t="str">
        <x:v>kdca-6270-15</x:v>
      </x:c>
      <x:c r="C394" s="8" t="str">
        <x:v>kdca-6270-15</x:v>
      </x:c>
      <x:c r="D394" s="8" t="str">
        <x:v>근거와 함께 답변</x:v>
      </x:c>
      <x:c r="E394" s="15" t="n">
        <x:v>392</x:v>
      </x:c>
      <x:c r="F394" s="8" t="str">
        <x:v>VDB 후속 설명 보강</x:v>
      </x:c>
      <x:c r="G394" s="8" t="str">
        <x:v>https://health.kdca.go.kr/healthinfo/biz/health/gnrlzHealthInfo/gnrlzHealthInfo/gnrlzHealthInfoMain.do</x:v>
      </x:c>
      <x:c r="H394" s="8" t="str">
        <x:v>{
  "disease": "귀의 형태 이상",
  "section": "역학 및 통계 / 증상",
  "category": "disease"
}</x:v>
      </x:c>
    </x:row>
    <x:row r="395" ht="54" customHeight="1">
      <x:c r="A395" s="8" t="str">
        <x:v>gold-disease-ea0938cfe0988244</x:v>
      </x:c>
      <x:c r="B395" s="8" t="str">
        <x:v>kdca-6685-22</x:v>
      </x:c>
      <x:c r="C395" s="8" t="str">
        <x:v>kdca-6685-22</x:v>
      </x:c>
      <x:c r="D395" s="8" t="str">
        <x:v>근거와 함께 답변</x:v>
      </x:c>
      <x:c r="E395" s="15" t="n">
        <x:v>393</x:v>
      </x:c>
      <x:c r="F395" s="8" t="str">
        <x:v>기존 검증 정답</x:v>
      </x:c>
      <x:c r="G395" s="8" t="str">
        <x:v>https://health.kdca.go.kr/healthinfo/biz/health/gnrlzHealthInfo/gnrlzHealthInfo/gnrlzHealthInfoMain.do</x:v>
      </x:c>
      <x:c r="H395" s="8" t="str">
        <x:v>{
  "disease": "무월경",
  "section": "원인",
  "category": "disease"
}</x:v>
      </x:c>
    </x:row>
    <x:row r="396" ht="54" customHeight="1">
      <x:c r="A396" s="8" t="str">
        <x:v>gold-disease-0454623aef77f9a1</x:v>
      </x:c>
      <x:c r="B396" s="8" t="str">
        <x:v>kdca-6613-6</x:v>
      </x:c>
      <x:c r="C396" s="8" t="str">
        <x:v>kdca-6613-6</x:v>
      </x:c>
      <x:c r="D396" s="8" t="str">
        <x:v>근거와 함께 답변</x:v>
      </x:c>
      <x:c r="E396" s="15" t="n">
        <x:v>394</x:v>
      </x:c>
      <x:c r="F396" s="8" t="str">
        <x:v>기존 검증 정답</x:v>
      </x:c>
      <x:c r="G396" s="8" t="str">
        <x:v>https://health.kdca.go.kr/healthinfo/biz/health/gnrlzHealthInfo/gnrlzHealthInfo/gnrlzHealthInfoMain.do</x:v>
      </x:c>
      <x:c r="H396" s="8" t="str">
        <x:v>{
  "disease": "불규칙한 월경주기와 월경전증후군",
  "section": "개요",
  "category": "disease"
}</x:v>
      </x:c>
    </x:row>
    <x:row r="397" ht="54" customHeight="1">
      <x:c r="A397" s="8" t="str">
        <x:v>gold-disease-b6f4fe6ddc66c366</x:v>
      </x:c>
      <x:c r="B397" s="8" t="str">
        <x:v>kdca-5683-4</x:v>
      </x:c>
      <x:c r="C397" s="8" t="str">
        <x:v>kdca-5683-4</x:v>
      </x:c>
      <x:c r="D397" s="8" t="str">
        <x:v>근거와 함께 답변</x:v>
      </x:c>
      <x:c r="E397" s="15" t="n">
        <x:v>395</x:v>
      </x:c>
      <x:c r="F397" s="8" t="str">
        <x:v>VDB 정의 문장 재선정</x:v>
      </x:c>
      <x:c r="G397" s="8" t="str">
        <x:v>https://health.kdca.go.kr/healthinfo/biz/health/gnrlzHealthInfo/gnrlzHealthInfo/gnrlzHealthInfoMain.do</x:v>
      </x:c>
      <x:c r="H397" s="8" t="str">
        <x:v>{
  "disease": "유방통",
  "section": "개요 / 정의",
  "category": "disease"
}</x:v>
      </x:c>
    </x:row>
    <x:row r="398" ht="54" customHeight="1">
      <x:c r="A398" s="8" t="str">
        <x:v>gold-disease-41836bb692a7b7fc</x:v>
      </x:c>
      <x:c r="B398" s="8" t="str">
        <x:v>kdca-5230-26</x:v>
      </x:c>
      <x:c r="C398" s="8" t="str">
        <x:v>kdca-5230-26</x:v>
      </x:c>
      <x:c r="D398" s="8" t="str">
        <x:v>근거와 함께 답변</x:v>
      </x:c>
      <x:c r="E398" s="15" t="n">
        <x:v>396</x:v>
      </x:c>
      <x:c r="F398" s="8" t="str">
        <x:v>VDB 후속 설명 보강</x:v>
      </x:c>
      <x:c r="G398" s="8" t="str">
        <x:v>https://health.kdca.go.kr/healthinfo/biz/health/gnrlzHealthInfo/gnrlzHealthInfo/gnrlzHealthInfoMain.do</x:v>
      </x:c>
      <x:c r="H398" s="8" t="str">
        <x:v>{
  "disease": "뎅기열, 치쿤구니야열",
  "section": "예방 및 예방접종",
  "category": "disease"
}</x:v>
      </x:c>
    </x:row>
    <x:row r="399" ht="54" customHeight="1">
      <x:c r="A399" s="8" t="str">
        <x:v>gold-disease-beab8b35f5ba83af</x:v>
      </x:c>
      <x:c r="B399" s="8" t="str">
        <x:v>kdca-5221-14</x:v>
      </x:c>
      <x:c r="C399" s="8" t="str">
        <x:v>kdca-5221-14</x:v>
      </x:c>
      <x:c r="D399" s="8" t="str">
        <x:v>근거와 함께 답변</x:v>
      </x:c>
      <x:c r="E399" s="15" t="n">
        <x:v>397</x:v>
      </x:c>
      <x:c r="F399" s="8" t="str">
        <x:v>기존 검증 정답</x:v>
      </x:c>
      <x:c r="G399" s="8" t="str">
        <x:v>https://health.kdca.go.kr/healthinfo/biz/health/gnrlzHealthInfo/gnrlzHealthInfo/gnrlzHealthInfoMain.do</x:v>
      </x:c>
      <x:c r="H399" s="8" t="str">
        <x:v>{
  "disease": "당뇨망막병증",
  "section": "증상",
  "category": "disease"
}</x:v>
      </x:c>
    </x:row>
    <x:row r="400" ht="54" customHeight="1">
      <x:c r="A400" s="8" t="str">
        <x:v>gold-disease-ba152b5a4b933ad1</x:v>
      </x:c>
      <x:c r="B400" s="8" t="str">
        <x:v>kdca-5250-0</x:v>
      </x:c>
      <x:c r="C400" s="8" t="str">
        <x:v>kdca-5250-0</x:v>
      </x:c>
      <x:c r="D400" s="8" t="str">
        <x:v>근거와 함께 답변</x:v>
      </x:c>
      <x:c r="E400" s="15" t="n">
        <x:v>398</x:v>
      </x:c>
      <x:c r="F400" s="8" t="str">
        <x:v>VDB 정의 문장 재선정</x:v>
      </x:c>
      <x:c r="G400" s="8" t="str">
        <x:v>https://health.kdca.go.kr/healthinfo/biz/health/gnrlzHealthInfo/gnrlzHealthInfo/gnrlzHealthInfoMain.do</x:v>
      </x:c>
      <x:c r="H400" s="8" t="str">
        <x:v>{
  "disease": "과민성장증후군",
  "section": "요약문",
  "category": "disease"
}</x:v>
      </x:c>
    </x:row>
    <x:row r="401" ht="54" customHeight="1">
      <x:c r="A401" s="8" t="str">
        <x:v>gold-disease-167f8e2502369717</x:v>
      </x:c>
      <x:c r="B401" s="8" t="str">
        <x:v>kdca-5852-8</x:v>
      </x:c>
      <x:c r="C401" s="8" t="str">
        <x:v>kdca-5852-8</x:v>
      </x:c>
      <x:c r="D401" s="8" t="str">
        <x:v>근거와 함께 답변</x:v>
      </x:c>
      <x:c r="E401" s="15" t="n">
        <x:v>399</x:v>
      </x:c>
      <x:c r="F401" s="8" t="str">
        <x:v>VDB 원인·위험요인 청크 재선정</x:v>
      </x:c>
      <x:c r="G401" s="8" t="str">
        <x:v>https://health.kdca.go.kr/healthinfo/biz/health/gnrlzHealthInfo/gnrlzHealthInfo/gnrlzHealthInfoMain.do</x:v>
      </x:c>
      <x:c r="H401" s="8" t="str">
        <x:v>{
  "disease": "직장염",
  "section": "원인 / 병태생리",
  "category": "disease"
}</x:v>
      </x:c>
    </x:row>
    <x:row r="402" ht="54" customHeight="1">
      <x:c r="A402" s="8" t="str">
        <x:v>gold-disease-0429c218155c1a0d</x:v>
      </x:c>
      <x:c r="B402" s="8" t="str">
        <x:v>kdca-6306-46</x:v>
      </x:c>
      <x:c r="C402" s="8" t="str">
        <x:v>kdca-6306-46</x:v>
      </x:c>
      <x:c r="D402" s="8" t="str">
        <x:v>근거와 함께 답변</x:v>
      </x:c>
      <x:c r="E402" s="15" t="n">
        <x:v>400</x:v>
      </x:c>
      <x:c r="F402" s="8" t="str">
        <x:v>VDB 후속 설명 보강</x:v>
      </x:c>
      <x:c r="G402" s="8" t="str">
        <x:v>https://health.kdca.go.kr/healthinfo/biz/health/gnrlzHealthInfo/gnrlzHealthInfo/gnrlzHealthInfoMain.do</x:v>
      </x:c>
      <x:c r="H402" s="8" t="str">
        <x:v>{
  "disease": "안구건조증",
  "section": "약물 치료",
  "category": "disease"
}</x:v>
      </x:c>
    </x:row>
    <x:row r="403" ht="54" customHeight="1">
      <x:c r="A403" s="8" t="str">
        <x:v>gold-disease-3a24573fcc4ac64e</x:v>
      </x:c>
      <x:c r="B403" s="8" t="str">
        <x:v>kdca-5800-26</x:v>
      </x:c>
      <x:c r="C403" s="8" t="str">
        <x:v>kdca-5800-26</x:v>
      </x:c>
      <x:c r="D403" s="8" t="str">
        <x:v>근거와 함께 답변</x:v>
      </x:c>
      <x:c r="E403" s="15" t="n">
        <x:v>401</x:v>
      </x:c>
      <x:c r="F403" s="8" t="str">
        <x:v>VDB 후속 설명 보강</x:v>
      </x:c>
      <x:c r="G403" s="8" t="str">
        <x:v>https://health.kdca.go.kr/healthinfo/biz/health/gnrlzHealthInfo/gnrlzHealthInfo/gnrlzHealthInfoMain.do</x:v>
      </x:c>
      <x:c r="H403" s="8" t="str">
        <x:v>{
  "disease": "궤양대장염(궤양결장염)",
  "section": "치료",
  "category": "disease"
}</x:v>
      </x:c>
    </x:row>
    <x:row r="404" ht="54" customHeight="1">
      <x:c r="A404" s="8" t="str">
        <x:v>gold-disease-3a93a2a8136b733e</x:v>
      </x:c>
      <x:c r="B404" s="8" t="str">
        <x:v>kdca-3690-21</x:v>
      </x:c>
      <x:c r="C404" s="8" t="str">
        <x:v>kdca-3690-21</x:v>
      </x:c>
      <x:c r="D404" s="8" t="str">
        <x:v>근거와 함께 답변</x:v>
      </x:c>
      <x:c r="E404" s="15" t="n">
        <x:v>402</x:v>
      </x:c>
      <x:c r="F404" s="8" t="str">
        <x:v>기존 검증 정답</x:v>
      </x:c>
      <x:c r="G404" s="8" t="str">
        <x:v>https://health.kdca.go.kr/healthinfo/biz/health/gnrlzHealthInfo/gnrlzHealthInfo/gnrlzHealthInfoMain.do</x:v>
      </x:c>
      <x:c r="H404" s="8" t="str">
        <x:v>{
  "disease": "저체온증",
  "section": "자주하는 질문",
  "category": "disease"
}</x:v>
      </x:c>
    </x:row>
    <x:row r="405" ht="54" customHeight="1">
      <x:c r="A405" s="8" t="str">
        <x:v>gold-disease-6d630158ef263460</x:v>
      </x:c>
      <x:c r="B405" s="8" t="str">
        <x:v>kdca-5975-23</x:v>
      </x:c>
      <x:c r="C405" s="8" t="str">
        <x:v>kdca-5975-23</x:v>
      </x:c>
      <x:c r="D405" s="8" t="str">
        <x:v>근거와 함께 답변</x:v>
      </x:c>
      <x:c r="E405" s="15" t="n">
        <x:v>403</x:v>
      </x:c>
      <x:c r="F405" s="8" t="str">
        <x:v>기존 검증 정답</x:v>
      </x:c>
      <x:c r="G405" s="8" t="str">
        <x:v>https://health.kdca.go.kr/healthinfo/biz/health/gnrlzHealthInfo/gnrlzHealthInfo/gnrlzHealthInfoMain.do</x:v>
      </x:c>
      <x:c r="H405" s="8" t="str">
        <x:v>{
  "disease": "족저근막염",
  "section": "합병증 / 생활습관 관리",
  "category": "disease"
}</x:v>
      </x:c>
    </x:row>
    <x:row r="406" ht="54" customHeight="1">
      <x:c r="A406" s="8" t="str">
        <x:v>gold-disease-347fca2618b1da37</x:v>
      </x:c>
      <x:c r="B406" s="8" t="str">
        <x:v>kdca-1266-1</x:v>
      </x:c>
      <x:c r="C406" s="8" t="str">
        <x:v>kdca-1266-1</x:v>
      </x:c>
      <x:c r="D406" s="8" t="str">
        <x:v>근거와 함께 답변</x:v>
      </x:c>
      <x:c r="E406" s="15" t="n">
        <x:v>404</x:v>
      </x:c>
      <x:c r="F406" s="8" t="str">
        <x:v>VDB 후속 설명 보강</x:v>
      </x:c>
      <x:c r="G406" s="8" t="str">
        <x:v>https://health.kdca.go.kr/healthinfo/biz/health/gnrlzHealthInfo/gnrlzHealthInfo/gnrlzHealthInfoMain.do</x:v>
      </x:c>
      <x:c r="H406" s="8" t="str">
        <x:v>{
  "disease": "간의 양성종양(담관낭선종)",
  "section": "증상 / 진단 및 검사",
  "category": "disease"
}</x:v>
      </x:c>
    </x:row>
    <x:row r="407" ht="54" customHeight="1">
      <x:c r="A407" s="8" t="str">
        <x:v>gold-disease-88d19c67579ca0f5</x:v>
      </x:c>
      <x:c r="B407" s="8" t="str">
        <x:v>kdca-6698-8</x:v>
      </x:c>
      <x:c r="C407" s="8" t="str">
        <x:v>kdca-6698-8</x:v>
      </x:c>
      <x:c r="D407" s="8" t="str">
        <x:v>근거와 함께 답변</x:v>
      </x:c>
      <x:c r="E407" s="15" t="n">
        <x:v>405</x:v>
      </x:c>
      <x:c r="F407" s="8" t="str">
        <x:v>VDB 원인·위험요인 청크 재선정</x:v>
      </x:c>
      <x:c r="G407" s="8" t="str">
        <x:v>https://health.kdca.go.kr/healthinfo/biz/health/gnrlzHealthInfo/gnrlzHealthInfo/gnrlzHealthInfoMain.do</x:v>
      </x:c>
      <x:c r="H407" s="8" t="str">
        <x:v>{
  "disease": "노인 고혈압",
  "section": "종류 / 원인",
  "category": "disease"
}</x:v>
      </x:c>
    </x:row>
    <x:row r="408" ht="54" customHeight="1">
      <x:c r="A408" s="8" t="str">
        <x:v>gold-disease-885607b5ee72bde7</x:v>
      </x:c>
      <x:c r="B408" s="8" t="str">
        <x:v>kdca-3690-8</x:v>
      </x:c>
      <x:c r="C408" s="8" t="str">
        <x:v>kdca-3690-8</x:v>
      </x:c>
      <x:c r="D408" s="8" t="str">
        <x:v>근거와 함께 답변</x:v>
      </x:c>
      <x:c r="E408" s="15" t="n">
        <x:v>406</x:v>
      </x:c>
      <x:c r="F408" s="8" t="str">
        <x:v>기존 검증 정답</x:v>
      </x:c>
      <x:c r="G408" s="8" t="str">
        <x:v>https://health.kdca.go.kr/healthinfo/biz/health/gnrlzHealthInfo/gnrlzHealthInfo/gnrlzHealthInfoMain.do</x:v>
      </x:c>
      <x:c r="H408" s="8" t="str">
        <x:v>{
  "disease": "저체온증",
  "section": "정의",
  "category": "disease"
}</x:v>
      </x:c>
    </x:row>
    <x:row r="409" ht="54" customHeight="1">
      <x:c r="A409" s="8" t="str">
        <x:v>gold-disease-da5faae5719a65a9</x:v>
      </x:c>
      <x:c r="B409" s="8" t="str">
        <x:v>kdca-5270-14</x:v>
      </x:c>
      <x:c r="C409" s="8" t="str">
        <x:v>kdca-5270-14</x:v>
      </x:c>
      <x:c r="D409" s="8" t="str">
        <x:v>근거와 함께 답변</x:v>
      </x:c>
      <x:c r="E409" s="15" t="n">
        <x:v>407</x:v>
      </x:c>
      <x:c r="F409" s="8" t="str">
        <x:v>기존 검증 정답</x:v>
      </x:c>
      <x:c r="G409" s="8" t="str">
        <x:v>https://health.kdca.go.kr/healthinfo/biz/health/gnrlzHealthInfo/gnrlzHealthInfo/gnrlzHealthInfoMain.do</x:v>
      </x:c>
      <x:c r="H409" s="8" t="str">
        <x:v>{
  "disease": "유행각결막염",
  "section": "진단 및 검사",
  "category": "disease"
}</x:v>
      </x:c>
    </x:row>
    <x:row r="410" ht="54" customHeight="1">
      <x:c r="A410" s="8" t="str">
        <x:v>gold-disease-bc87408c70c18004</x:v>
      </x:c>
      <x:c r="B410" s="8" t="str">
        <x:v>kdca-6695-24</x:v>
      </x:c>
      <x:c r="C410" s="8" t="str">
        <x:v>kdca-6695-24</x:v>
      </x:c>
      <x:c r="D410" s="8" t="str">
        <x:v>근거와 함께 답변</x:v>
      </x:c>
      <x:c r="E410" s="15" t="n">
        <x:v>408</x:v>
      </x:c>
      <x:c r="F410" s="8" t="str">
        <x:v>VDB 후속 설명 보강</x:v>
      </x:c>
      <x:c r="G410" s="8" t="str">
        <x:v>https://health.kdca.go.kr/healthinfo/biz/health/gnrlzHealthInfo/gnrlzHealthInfo/gnrlzHealthInfoMain.do</x:v>
      </x:c>
      <x:c r="H410" s="8" t="str">
        <x:v>{
  "disease": "노인 보행장애",
  "section": "치료 / 약물 치료",
  "category": "disease"
}</x:v>
      </x:c>
    </x:row>
    <x:row r="411" ht="54" customHeight="1">
      <x:c r="A411" s="8" t="str">
        <x:v>gold-disease-16a3f5651c136fd6</x:v>
      </x:c>
      <x:c r="B411" s="8" t="str">
        <x:v>kdca-6279-13</x:v>
      </x:c>
      <x:c r="C411" s="8" t="str">
        <x:v>kdca-6279-13</x:v>
      </x:c>
      <x:c r="D411" s="8" t="str">
        <x:v>근거와 함께 답변</x:v>
      </x:c>
      <x:c r="E411" s="15" t="n">
        <x:v>409</x:v>
      </x:c>
      <x:c r="F411" s="8" t="str">
        <x:v>기존 검증 정답</x:v>
      </x:c>
      <x:c r="G411" s="8" t="str">
        <x:v>https://health.kdca.go.kr/healthinfo/biz/health/gnrlzHealthInfo/gnrlzHealthInfo/gnrlzHealthInfoMain.do</x:v>
      </x:c>
      <x:c r="H411" s="8" t="str">
        <x:v>{
  "disease": "약시(소아)",
  "section": "치료",
  "category": "disease"
}</x:v>
      </x:c>
    </x:row>
    <x:row r="412" ht="54" customHeight="1">
      <x:c r="A412" s="8" t="str">
        <x:v>gold-disease-77a3e5054767aa02</x:v>
      </x:c>
      <x:c r="B412" s="8" t="str">
        <x:v>kdca-6543-43</x:v>
      </x:c>
      <x:c r="C412" s="8" t="str">
        <x:v>kdca-6543-43</x:v>
      </x:c>
      <x:c r="D412" s="8" t="str">
        <x:v>근거와 함께 답변</x:v>
      </x:c>
      <x:c r="E412" s="15" t="n">
        <x:v>410</x:v>
      </x:c>
      <x:c r="F412" s="8" t="str">
        <x:v>기존 검증 정답</x:v>
      </x:c>
      <x:c r="G412" s="8" t="str">
        <x:v>https://health.kdca.go.kr/healthinfo/biz/health/gnrlzHealthInfo/gnrlzHealthInfo/gnrlzHealthInfoMain.do</x:v>
      </x:c>
      <x:c r="H412" s="8" t="str">
        <x:v>{
  "disease": "객혈",
  "section": "자주하는 질문",
  "category": "symptom"
}</x:v>
      </x:c>
    </x:row>
    <x:row r="413" ht="54" customHeight="1">
      <x:c r="A413" s="8" t="str">
        <x:v>gold-disease-ff667612076a5ada</x:v>
      </x:c>
      <x:c r="B413" s="8" t="str">
        <x:v>kdca-6311-21</x:v>
      </x:c>
      <x:c r="C413" s="8" t="str">
        <x:v>kdca-6311-21</x:v>
      </x:c>
      <x:c r="D413" s="8" t="str">
        <x:v>근거와 함께 답변</x:v>
      </x:c>
      <x:c r="E413" s="15" t="n">
        <x:v>411</x:v>
      </x:c>
      <x:c r="F413" s="8" t="str">
        <x:v>VDB 후속 설명 보강</x:v>
      </x:c>
      <x:c r="G413" s="8" t="str">
        <x:v>https://health.kdca.go.kr/healthinfo/biz/health/gnrlzHealthInfo/gnrlzHealthInfo/gnrlzHealthInfoMain.do</x:v>
      </x:c>
      <x:c r="H413" s="8" t="str">
        <x:v>{
  "disease": "스포츠 손상과 안전(견관절(어깨 관절) 손상)",
  "section": "자주하는 질문",
  "category": "disease"
}</x:v>
      </x:c>
    </x:row>
    <x:row r="414" ht="54" customHeight="1">
      <x:c r="A414" s="8" t="str">
        <x:v>gold-disease-9d88e64848b435ed</x:v>
      </x:c>
      <x:c r="B414" s="8" t="str">
        <x:v>kdca-6721-7</x:v>
      </x:c>
      <x:c r="C414" s="8" t="str">
        <x:v>kdca-6721-7</x:v>
      </x:c>
      <x:c r="D414" s="8" t="str">
        <x:v>근거와 함께 답변</x:v>
      </x:c>
      <x:c r="E414" s="15" t="n">
        <x:v>412</x:v>
      </x:c>
      <x:c r="F414" s="8" t="str">
        <x:v>기존 검증 정답</x:v>
      </x:c>
      <x:c r="G414" s="8" t="str">
        <x:v>https://health.kdca.go.kr/healthinfo/biz/health/gnrlzHealthInfo/gnrlzHealthInfo/gnrlzHealthInfoMain.do</x:v>
      </x:c>
      <x:c r="H414" s="8" t="str">
        <x:v>{
  "disease": "소변이상(당뇨)",
  "section": "자주하는 질문",
  "category": "symptom"
}</x:v>
      </x:c>
    </x:row>
    <x:row r="415" ht="54" customHeight="1">
      <x:c r="A415" s="8" t="str">
        <x:v>gold-disease-b734398764e5e5ea</x:v>
      </x:c>
      <x:c r="B415" s="8" t="str">
        <x:v>kdca-5408-8</x:v>
      </x:c>
      <x:c r="C415" s="8" t="str">
        <x:v>kdca-5408-8</x:v>
      </x:c>
      <x:c r="D415" s="8" t="str">
        <x:v>근거와 함께 답변</x:v>
      </x:c>
      <x:c r="E415" s="15" t="n">
        <x:v>413</x:v>
      </x:c>
      <x:c r="F415" s="8" t="str">
        <x:v>기존 검증 정답</x:v>
      </x:c>
      <x:c r="G415" s="8" t="str">
        <x:v>https://health.kdca.go.kr/healthinfo/biz/health/gnrlzHealthInfo/gnrlzHealthInfo/gnrlzHealthInfoMain.do</x:v>
      </x:c>
      <x:c r="H415" s="8" t="str">
        <x:v>{
  "disease": "요도하열(소아)",
  "section": "진단 및 검사",
  "category": "disease"
}</x:v>
      </x:c>
    </x:row>
    <x:row r="416" ht="54" customHeight="1">
      <x:c r="A416" s="8" t="str">
        <x:v>gold-disease-cff92170e4fe7f20</x:v>
      </x:c>
      <x:c r="B416" s="8" t="str">
        <x:v>kdca-5727-20</x:v>
      </x:c>
      <x:c r="C416" s="8" t="str">
        <x:v>kdca-5727-20</x:v>
      </x:c>
      <x:c r="D416" s="8" t="str">
        <x:v>근거와 함께 답변</x:v>
      </x:c>
      <x:c r="E416" s="15" t="n">
        <x:v>414</x:v>
      </x:c>
      <x:c r="F416" s="8" t="str">
        <x:v>VDB 후속 설명 보강</x:v>
      </x:c>
      <x:c r="G416" s="8" t="str">
        <x:v>https://health.kdca.go.kr/healthinfo/biz/health/gnrlzHealthInfo/gnrlzHealthInfo/gnrlzHealthInfoMain.do</x:v>
      </x:c>
      <x:c r="H416" s="8" t="str">
        <x:v>{
  "disease": "크루프(후두염)",
  "section": "약물 치료",
  "category": "disease"
}</x:v>
      </x:c>
    </x:row>
    <x:row r="417" ht="54" customHeight="1">
      <x:c r="A417" s="8" t="str">
        <x:v>gold-disease-ba22ca223db80534</x:v>
      </x:c>
      <x:c r="B417" s="8" t="str">
        <x:v>kdca-6672-17</x:v>
      </x:c>
      <x:c r="C417" s="8" t="str">
        <x:v>kdca-6672-17</x:v>
      </x:c>
      <x:c r="D417" s="8" t="str">
        <x:v>근거와 함께 답변</x:v>
      </x:c>
      <x:c r="E417" s="15" t="n">
        <x:v>415</x:v>
      </x:c>
      <x:c r="F417" s="8" t="str">
        <x:v>기존 검증 정답</x:v>
      </x:c>
      <x:c r="G417" s="8" t="str">
        <x:v>https://health.kdca.go.kr/healthinfo/biz/health/gnrlzHealthInfo/gnrlzHealthInfo/gnrlzHealthInfoMain.do</x:v>
      </x:c>
      <x:c r="H417" s="8" t="str">
        <x:v>{
  "disease": "B형간염",
  "section": "예방 및 예방접종 / 치료",
  "category": "disease"
}</x:v>
      </x:c>
    </x:row>
    <x:row r="418" ht="54" customHeight="1">
      <x:c r="A418" s="8" t="str">
        <x:v>gold-disease-9e237cc505e7a3f4</x:v>
      </x:c>
      <x:c r="B418" s="8" t="str">
        <x:v>kdca-6250-0</x:v>
      </x:c>
      <x:c r="C418" s="8" t="str">
        <x:v>kdca-6250-0</x:v>
      </x:c>
      <x:c r="D418" s="8" t="str">
        <x:v>근거와 함께 답변</x:v>
      </x:c>
      <x:c r="E418" s="15" t="n">
        <x:v>416</x:v>
      </x:c>
      <x:c r="F418" s="8" t="str">
        <x:v>VDB 정의 문장 재선정</x:v>
      </x:c>
      <x:c r="G418" s="8" t="str">
        <x:v>https://health.kdca.go.kr/healthinfo/biz/health/gnrlzHealthInfo/gnrlzHealthInfo/gnrlzHealthInfoMain.do</x:v>
      </x:c>
      <x:c r="H418" s="8" t="str">
        <x:v>{
  "disease": "태변흡입증후군",
  "section": "요약문",
  "category": "disease"
}</x:v>
      </x:c>
    </x:row>
    <x:row r="419" ht="54" customHeight="1">
      <x:c r="A419" s="8" t="str">
        <x:v>gold-disease-291166cc3f02dece</x:v>
      </x:c>
      <x:c r="B419" s="8" t="str">
        <x:v>kdca-5441-38</x:v>
      </x:c>
      <x:c r="C419" s="8" t="str">
        <x:v>kdca-5441-38</x:v>
      </x:c>
      <x:c r="D419" s="8" t="str">
        <x:v>근거와 함께 답변</x:v>
      </x:c>
      <x:c r="E419" s="15" t="n">
        <x:v>417</x:v>
      </x:c>
      <x:c r="F419" s="8" t="str">
        <x:v>기존 검증 정답</x:v>
      </x:c>
      <x:c r="G419" s="8" t="str">
        <x:v>https://health.kdca.go.kr/healthinfo/biz/health/gnrlzHealthInfo/gnrlzHealthInfo/gnrlzHealthInfoMain.do</x:v>
      </x:c>
      <x:c r="H419" s="8" t="str">
        <x:v>{
  "disease": "염좌",
  "section": "대상별 맞춤 정보",
  "category": "disease"
}</x:v>
      </x:c>
    </x:row>
    <x:row r="420" ht="54" customHeight="1">
      <x:c r="A420" s="8" t="str">
        <x:v>gold-disease-1b518303bb94a089</x:v>
      </x:c>
      <x:c r="B420" s="8" t="str">
        <x:v>kdca-6684-0</x:v>
      </x:c>
      <x:c r="C420" s="8" t="str">
        <x:v>kdca-6684-0</x:v>
      </x:c>
      <x:c r="D420" s="8" t="str">
        <x:v>근거와 함께 답변</x:v>
      </x:c>
      <x:c r="E420" s="15" t="n">
        <x:v>418</x:v>
      </x:c>
      <x:c r="F420" s="8" t="str">
        <x:v>기존 검증 정답</x:v>
      </x:c>
      <x:c r="G420" s="8" t="str">
        <x:v>https://health.kdca.go.kr/healthinfo/biz/health/gnrlzHealthInfo/gnrlzHealthInfo/gnrlzHealthInfoMain.do</x:v>
      </x:c>
      <x:c r="H420" s="8" t="str">
        <x:v>{
  "disease": "아나필락시스",
  "section": "요약문",
  "category": "disease"
}</x:v>
      </x:c>
    </x:row>
    <x:row r="421" ht="54" customHeight="1">
      <x:c r="A421" s="8" t="str">
        <x:v>gold-disease-a1a3863279c91160</x:v>
      </x:c>
      <x:c r="B421" s="8" t="str">
        <x:v>kdca-5849-0</x:v>
      </x:c>
      <x:c r="C421" s="8" t="str">
        <x:v>kdca-5849-0</x:v>
      </x:c>
      <x:c r="D421" s="8" t="str">
        <x:v>근거와 함께 답변</x:v>
      </x:c>
      <x:c r="E421" s="15" t="n">
        <x:v>419</x:v>
      </x:c>
      <x:c r="F421" s="8" t="str">
        <x:v>기존 검증 정답</x:v>
      </x:c>
      <x:c r="G421" s="8" t="str">
        <x:v>https://health.kdca.go.kr/healthinfo/biz/health/gnrlzHealthInfo/gnrlzHealthInfo/gnrlzHealthInfoMain.do</x:v>
      </x:c>
      <x:c r="H421" s="8" t="str">
        <x:v>{
  "disease": "외상성 척추손상",
  "section": "요약문",
  "category": "disease"
}</x:v>
      </x:c>
    </x:row>
    <x:row r="422" ht="54" customHeight="1">
      <x:c r="A422" s="8" t="str">
        <x:v>gold-disease-5e8e55998b274a8c</x:v>
      </x:c>
      <x:c r="B422" s="8" t="str">
        <x:v>kdca-6544-14</x:v>
      </x:c>
      <x:c r="C422" s="8" t="str">
        <x:v>kdca-6544-14</x:v>
      </x:c>
      <x:c r="D422" s="8" t="str">
        <x:v>근거와 함께 답변</x:v>
      </x:c>
      <x:c r="E422" s="15" t="n">
        <x:v>420</x:v>
      </x:c>
      <x:c r="F422" s="8" t="str">
        <x:v>기존 검증 정답</x:v>
      </x:c>
      <x:c r="G422" s="8" t="str">
        <x:v>https://health.kdca.go.kr/healthinfo/biz/health/gnrlzHealthInfo/gnrlzHealthInfo/gnrlzHealthInfoMain.do</x:v>
      </x:c>
      <x:c r="H422" s="8" t="str">
        <x:v>{
  "disease": "부종",
  "section": "원인 / 역학 및 통계",
  "category": "symptom"
}</x:v>
      </x:c>
    </x:row>
    <x:row r="423" ht="54" customHeight="1">
      <x:c r="A423" s="8" t="str">
        <x:v>gold-disease-na-d40a86b476416202</x:v>
      </x:c>
      <x:c r="B423" s="8" t="str"/>
      <x:c r="C423" s="8" t="str"/>
      <x:c r="D423" s="8" t="str">
        <x:v>답변 거부 또는 추가 확인 요청</x:v>
      </x:c>
      <x:c r="E423" s="15" t="n">
        <x:v>421</x:v>
      </x:c>
      <x:c r="F423" s="8" t="str">
        <x:v>답변 거부 기준 문구</x:v>
      </x:c>
      <x:c r="G423" s="8" t="str">
        <x:v>https://health.kdca.go.kr/healthinfo/biz/health/gnrlzHealthInfo/gnrlzHealthInfo/gnrlzHealthInfoMain.do</x:v>
      </x:c>
      <x:c r="H423" s="8" t="str">
        <x:v>{
  "disease": "창자겹침증",
  "section": "요약문",
  "category": "disease"
}</x:v>
      </x:c>
    </x:row>
    <x:row r="424" ht="54" customHeight="1">
      <x:c r="A424" s="8" t="str">
        <x:v>gold-disease-bcd81a8f1c9c8839</x:v>
      </x:c>
      <x:c r="B424" s="8" t="str">
        <x:v>kdca-5695-14</x:v>
      </x:c>
      <x:c r="C424" s="8" t="str">
        <x:v>kdca-5695-14</x:v>
      </x:c>
      <x:c r="D424" s="8" t="str">
        <x:v>근거와 함께 답변</x:v>
      </x:c>
      <x:c r="E424" s="15" t="n">
        <x:v>422</x:v>
      </x:c>
      <x:c r="F424" s="8" t="str">
        <x:v>VDB 후속 설명 보강</x:v>
      </x:c>
      <x:c r="G424" s="8" t="str">
        <x:v>https://health.kdca.go.kr/healthinfo/biz/health/gnrlzHealthInfo/gnrlzHealthInfo/gnrlzHealthInfoMain.do</x:v>
      </x:c>
      <x:c r="H424" s="8" t="str">
        <x:v>{
  "disease": "가려움증",
  "section": "치료",
  "category": "disease"
}</x:v>
      </x:c>
    </x:row>
    <x:row r="425" ht="54" customHeight="1">
      <x:c r="A425" s="8" t="str">
        <x:v>gold-disease-f56d0134a33c0be4</x:v>
      </x:c>
      <x:c r="B425" s="8" t="str">
        <x:v>kdca-5971-6</x:v>
      </x:c>
      <x:c r="C425" s="8" t="str">
        <x:v>kdca-5971-6</x:v>
      </x:c>
      <x:c r="D425" s="8" t="str">
        <x:v>근거와 함께 답변</x:v>
      </x:c>
      <x:c r="E425" s="15" t="n">
        <x:v>423</x:v>
      </x:c>
      <x:c r="F425" s="8" t="str">
        <x:v>기존 검증 정답</x:v>
      </x:c>
      <x:c r="G425" s="8" t="str">
        <x:v>https://health.kdca.go.kr/healthinfo/biz/health/gnrlzHealthInfo/gnrlzHealthInfo/gnrlzHealthInfoMain.do</x:v>
      </x:c>
      <x:c r="H425" s="8" t="str">
        <x:v>{
  "disease": "다낭성 난소 증후군",
  "section": "역학 및 통계 / 증상",
  "category": "disease"
}</x:v>
      </x:c>
    </x:row>
    <x:row r="426" ht="54" customHeight="1">
      <x:c r="A426" s="8" t="str">
        <x:v>gold-disease-d9716dd01b1a76bf</x:v>
      </x:c>
      <x:c r="B426" s="8" t="str">
        <x:v>kdca-2607-8</x:v>
      </x:c>
      <x:c r="C426" s="8" t="str">
        <x:v>kdca-2607-8</x:v>
      </x:c>
      <x:c r="D426" s="8" t="str">
        <x:v>근거와 함께 답변</x:v>
      </x:c>
      <x:c r="E426" s="15" t="n">
        <x:v>424</x:v>
      </x:c>
      <x:c r="F426" s="8" t="str">
        <x:v>VDB 원인·위험요인 청크 재선정</x:v>
      </x:c>
      <x:c r="G426" s="8" t="str">
        <x:v>https://health.kdca.go.kr/healthinfo/biz/health/gnrlzHealthInfo/gnrlzHealthInfo/gnrlzHealthInfoMain.do</x:v>
      </x:c>
      <x:c r="H426" s="8" t="str">
        <x:v>{
  "disease": "일과성 허혈 발작",
  "section": "원인",
  "category": "disease"
}</x:v>
      </x:c>
    </x:row>
    <x:row r="427" ht="54" customHeight="1">
      <x:c r="A427" s="8" t="str">
        <x:v>gold-disease-f9fd3062e1a4e604</x:v>
      </x:c>
      <x:c r="B427" s="8" t="str">
        <x:v>kdca-6689-0</x:v>
      </x:c>
      <x:c r="C427" s="8" t="str">
        <x:v>kdca-6689-0</x:v>
      </x:c>
      <x:c r="D427" s="8" t="str">
        <x:v>근거와 함께 답변</x:v>
      </x:c>
      <x:c r="E427" s="15" t="n">
        <x:v>425</x:v>
      </x:c>
      <x:c r="F427" s="8" t="str">
        <x:v>VDB 정의 문장 재선정</x:v>
      </x:c>
      <x:c r="G427" s="8" t="str">
        <x:v>https://health.kdca.go.kr/healthinfo/biz/health/gnrlzHealthInfo/gnrlzHealthInfo/gnrlzHealthInfoMain.do</x:v>
      </x:c>
      <x:c r="H427" s="8" t="str">
        <x:v>{
  "disease": "백내장",
  "section": "요약문",
  "category": "disease"
}</x:v>
      </x:c>
    </x:row>
    <x:row r="428" ht="54" customHeight="1">
      <x:c r="A428" s="8" t="str">
        <x:v>gold-disease-eab9cfdc2bedd88d</x:v>
      </x:c>
      <x:c r="B428" s="8" t="str">
        <x:v>kdca-5826-13</x:v>
      </x:c>
      <x:c r="C428" s="8" t="str">
        <x:v>kdca-5826-13</x:v>
      </x:c>
      <x:c r="D428" s="8" t="str">
        <x:v>근거와 함께 답변</x:v>
      </x:c>
      <x:c r="E428" s="15" t="n">
        <x:v>426</x:v>
      </x:c>
      <x:c r="F428" s="8" t="str">
        <x:v>기존 검증 정답</x:v>
      </x:c>
      <x:c r="G428" s="8" t="str">
        <x:v>https://health.kdca.go.kr/healthinfo/biz/health/gnrlzHealthInfo/gnrlzHealthInfo/gnrlzHealthInfoMain.do</x:v>
      </x:c>
      <x:c r="H428" s="8" t="str">
        <x:v>{
  "disease": "섬유근육통",
  "section": "증상",
  "category": "disease"
}</x:v>
      </x:c>
    </x:row>
    <x:row r="429" ht="54" customHeight="1">
      <x:c r="A429" s="8" t="str">
        <x:v>gold-disease-a82f5b0729644f92</x:v>
      </x:c>
      <x:c r="B429" s="8" t="str">
        <x:v>kdca-5853-19</x:v>
      </x:c>
      <x:c r="C429" s="8" t="str">
        <x:v>kdca-5853-19</x:v>
      </x:c>
      <x:c r="D429" s="8" t="str">
        <x:v>근거와 함께 답변</x:v>
      </x:c>
      <x:c r="E429" s="15" t="n">
        <x:v>427</x:v>
      </x:c>
      <x:c r="F429" s="8" t="str">
        <x:v>VDB 원인·위험요인 청크 재선정</x:v>
      </x:c>
      <x:c r="G429" s="8" t="str">
        <x:v>https://health.kdca.go.kr/healthinfo/biz/health/gnrlzHealthInfo/gnrlzHealthInfo/gnrlzHealthInfoMain.do</x:v>
      </x:c>
      <x:c r="H429" s="8" t="str">
        <x:v>{
  "disease": "실신",
  "section": "원인",
  "category": "symptom"
}</x:v>
      </x:c>
    </x:row>
    <x:row r="430" ht="54" customHeight="1">
      <x:c r="A430" s="8" t="str">
        <x:v>gold-disease-ac3a0940096da202</x:v>
      </x:c>
      <x:c r="B430" s="8" t="str">
        <x:v>kdca-5338-7</x:v>
      </x:c>
      <x:c r="C430" s="8" t="str">
        <x:v>kdca-5338-7</x:v>
      </x:c>
      <x:c r="D430" s="8" t="str">
        <x:v>근거와 함께 답변</x:v>
      </x:c>
      <x:c r="E430" s="15" t="n">
        <x:v>428</x:v>
      </x:c>
      <x:c r="F430" s="8" t="str">
        <x:v>기존 검증 정답</x:v>
      </x:c>
      <x:c r="G430" s="8" t="str">
        <x:v>https://health.kdca.go.kr/healthinfo/biz/health/gnrlzHealthInfo/gnrlzHealthInfo/gnrlzHealthInfoMain.do</x:v>
      </x:c>
      <x:c r="H430" s="8" t="str">
        <x:v>{
  "disease": "회충증",
  "section": "진단 및 검사 / 예방 및 예방접종 / 약물 치료",
  "category": "disease"
}</x:v>
      </x:c>
    </x:row>
    <x:row r="431" ht="54" customHeight="1">
      <x:c r="A431" s="8" t="str">
        <x:v>gold-disease-75fc47d0542b4e4b</x:v>
      </x:c>
      <x:c r="B431" s="8" t="str">
        <x:v>kdca-1751-11</x:v>
      </x:c>
      <x:c r="C431" s="8" t="str">
        <x:v>kdca-1751-11</x:v>
      </x:c>
      <x:c r="D431" s="8" t="str">
        <x:v>근거와 함께 답변</x:v>
      </x:c>
      <x:c r="E431" s="15" t="n">
        <x:v>429</x:v>
      </x:c>
      <x:c r="F431" s="8" t="str">
        <x:v>기존 검증 정답</x:v>
      </x:c>
      <x:c r="G431" s="8" t="str">
        <x:v>https://health.kdca.go.kr/healthinfo/biz/health/gnrlzHealthInfo/gnrlzHealthInfo/gnrlzHealthInfoMain.do</x:v>
      </x:c>
      <x:c r="H431" s="8" t="str">
        <x:v>{
  "disease": "방광요관역류(소아)",
  "section": "증상 / 진단 및 검사",
  "category": "disease"
}</x:v>
      </x:c>
    </x:row>
    <x:row r="432" ht="54" customHeight="1">
      <x:c r="A432" s="8" t="str">
        <x:v>gold-disease-50a2c9964cfff576</x:v>
      </x:c>
      <x:c r="B432" s="8" t="str">
        <x:v>kdca-5525-7</x:v>
      </x:c>
      <x:c r="C432" s="8" t="str">
        <x:v>kdca-5525-7</x:v>
      </x:c>
      <x:c r="D432" s="8" t="str">
        <x:v>근거와 함께 답변</x:v>
      </x:c>
      <x:c r="E432" s="15" t="n">
        <x:v>430</x:v>
      </x:c>
      <x:c r="F432" s="8" t="str">
        <x:v>기존 검증 정답</x:v>
      </x:c>
      <x:c r="G432" s="8" t="str">
        <x:v>https://health.kdca.go.kr/healthinfo/biz/health/gnrlzHealthInfo/gnrlzHealthInfo/gnrlzHealthInfoMain.do</x:v>
      </x:c>
      <x:c r="H432" s="8" t="str">
        <x:v>{
  "disease": "샤가스병",
  "section": "진단 및 검사",
  "category": "disease"
}</x:v>
      </x:c>
    </x:row>
    <x:row r="433" ht="54" customHeight="1">
      <x:c r="A433" s="8" t="str">
        <x:v>gold-disease-43385073d5b55540</x:v>
      </x:c>
      <x:c r="B433" s="8" t="str">
        <x:v>kdca-5960-24</x:v>
      </x:c>
      <x:c r="C433" s="8" t="str">
        <x:v>kdca-5960-24</x:v>
      </x:c>
      <x:c r="D433" s="8" t="str">
        <x:v>근거와 함께 답변</x:v>
      </x:c>
      <x:c r="E433" s="15" t="n">
        <x:v>431</x:v>
      </x:c>
      <x:c r="F433" s="8" t="str">
        <x:v>VDB 후속 설명 보강</x:v>
      </x:c>
      <x:c r="G433" s="8" t="str">
        <x:v>https://health.kdca.go.kr/healthinfo/biz/health/gnrlzHealthInfo/gnrlzHealthInfo/gnrlzHealthInfoMain.do</x:v>
      </x:c>
      <x:c r="H433" s="8" t="str">
        <x:v>{
  "disease": "질염",
  "section": "치료",
  "category": "disease"
}</x:v>
      </x:c>
    </x:row>
    <x:row r="434" ht="54" customHeight="1">
      <x:c r="A434" s="8" t="str">
        <x:v>gold-disease-636106816c5823c0</x:v>
      </x:c>
      <x:c r="B434" s="8" t="str">
        <x:v>kdca-5843-3</x:v>
      </x:c>
      <x:c r="C434" s="8" t="str">
        <x:v>kdca-5843-3</x:v>
      </x:c>
      <x:c r="D434" s="8" t="str">
        <x:v>근거와 함께 답변</x:v>
      </x:c>
      <x:c r="E434" s="15" t="n">
        <x:v>432</x:v>
      </x:c>
      <x:c r="F434" s="8" t="str">
        <x:v>기존 검증 정답</x:v>
      </x:c>
      <x:c r="G434" s="8" t="str">
        <x:v>https://health.kdca.go.kr/healthinfo/biz/health/gnrlzHealthInfo/gnrlzHealthInfo/gnrlzHealthInfoMain.do</x:v>
      </x:c>
      <x:c r="H434" s="8" t="str">
        <x:v>{
  "disease": "엔테로바이러스 감염증",
  "section": "개요 / 신고 대상 및 방법",
  "category": "disease"
}</x:v>
      </x:c>
    </x:row>
    <x:row r="435" ht="54" customHeight="1">
      <x:c r="A435" s="8" t="str">
        <x:v>gold-disease-19819af60947296c</x:v>
      </x:c>
      <x:c r="B435" s="8" t="str">
        <x:v>kdca-6550-20</x:v>
      </x:c>
      <x:c r="C435" s="8" t="str">
        <x:v>kdca-6550-20</x:v>
      </x:c>
      <x:c r="D435" s="8" t="str">
        <x:v>근거와 함께 답변</x:v>
      </x:c>
      <x:c r="E435" s="15" t="n">
        <x:v>433</x:v>
      </x:c>
      <x:c r="F435" s="8" t="str">
        <x:v>기존 검증 정답</x:v>
      </x:c>
      <x:c r="G435" s="8" t="str">
        <x:v>https://health.kdca.go.kr/healthinfo/biz/health/gnrlzHealthInfo/gnrlzHealthInfo/gnrlzHealthInfoMain.do</x:v>
      </x:c>
      <x:c r="H435" s="8" t="str">
        <x:v>{
  "disease": "어지럼",
  "section": "관련 질환",
  "category": "symptom"
}</x:v>
      </x:c>
    </x:row>
    <x:row r="436" ht="54" customHeight="1">
      <x:c r="A436" s="8" t="str">
        <x:v>gold-disease-6e0285f5c6995170</x:v>
      </x:c>
      <x:c r="B436" s="8" t="str">
        <x:v>kdca-1667-29</x:v>
      </x:c>
      <x:c r="C436" s="8" t="str">
        <x:v>kdca-1667-29</x:v>
      </x:c>
      <x:c r="D436" s="8" t="str">
        <x:v>근거와 함께 답변</x:v>
      </x:c>
      <x:c r="E436" s="15" t="n">
        <x:v>434</x:v>
      </x:c>
      <x:c r="F436" s="8" t="str">
        <x:v>VDB 후속 설명 보강</x:v>
      </x:c>
      <x:c r="G436" s="8" t="str">
        <x:v>https://health.kdca.go.kr/healthinfo/biz/health/gnrlzHealthInfo/gnrlzHealthInfo/gnrlzHealthInfoMain.do</x:v>
      </x:c>
      <x:c r="H436" s="8" t="str">
        <x:v>{
  "disease": "설사",
  "section": "약물 치료 / 비약물 치료",
  "category": "disease"
}</x:v>
      </x:c>
    </x:row>
    <x:row r="437" ht="54" customHeight="1">
      <x:c r="A437" s="8" t="str">
        <x:v>gold-disease-a4fb423ca06b5db7</x:v>
      </x:c>
      <x:c r="B437" s="8" t="str">
        <x:v>kdca-5703-37</x:v>
      </x:c>
      <x:c r="C437" s="8" t="str">
        <x:v>kdca-5703-37</x:v>
      </x:c>
      <x:c r="D437" s="8" t="str">
        <x:v>근거와 함께 답변</x:v>
      </x:c>
      <x:c r="E437" s="15" t="n">
        <x:v>435</x:v>
      </x:c>
      <x:c r="F437" s="8" t="str">
        <x:v>기존 검증 정답</x:v>
      </x:c>
      <x:c r="G437" s="8" t="str">
        <x:v>https://health.kdca.go.kr/healthinfo/biz/health/gnrlzHealthInfo/gnrlzHealthInfo/gnrlzHealthInfoMain.do</x:v>
      </x:c>
      <x:c r="H437" s="8" t="str">
        <x:v>{
  "disease": "만성비염",
  "section": "증상 / 진단 및 검사",
  "category": "disease"
}</x:v>
      </x:c>
    </x:row>
    <x:row r="438" ht="54" customHeight="1">
      <x:c r="A438" s="8" t="str">
        <x:v>gold-disease-031db28731a1a77a</x:v>
      </x:c>
      <x:c r="B438" s="8" t="str">
        <x:v>kdca-5362-17</x:v>
      </x:c>
      <x:c r="C438" s="8" t="str">
        <x:v>kdca-5362-17</x:v>
      </x:c>
      <x:c r="D438" s="8" t="str">
        <x:v>근거와 함께 답변</x:v>
      </x:c>
      <x:c r="E438" s="15" t="n">
        <x:v>436</x:v>
      </x:c>
      <x:c r="F438" s="8" t="str">
        <x:v>VDB 후속 설명 보강</x:v>
      </x:c>
      <x:c r="G438" s="8" t="str">
        <x:v>https://health.kdca.go.kr/healthinfo/biz/health/gnrlzHealthInfo/gnrlzHealthInfo/gnrlzHealthInfoMain.do</x:v>
      </x:c>
      <x:c r="H438" s="8" t="str">
        <x:v>{
  "disease": "코골이",
  "section": "관련 질환 / 치료",
  "category": "disease"
}</x:v>
      </x:c>
    </x:row>
    <x:row r="439" ht="54" customHeight="1">
      <x:c r="A439" s="8" t="str">
        <x:v>gold-disease-9f32e15a22ed0f62</x:v>
      </x:c>
      <x:c r="B439" s="8" t="str">
        <x:v>kdca-1741-2</x:v>
      </x:c>
      <x:c r="C439" s="8" t="str">
        <x:v>kdca-1741-2</x:v>
      </x:c>
      <x:c r="D439" s="8" t="str">
        <x:v>근거와 함께 답변</x:v>
      </x:c>
      <x:c r="E439" s="15" t="n">
        <x:v>437</x:v>
      </x:c>
      <x:c r="F439" s="8" t="str">
        <x:v>기존 검증 정답</x:v>
      </x:c>
      <x:c r="G439" s="8" t="str">
        <x:v>https://health.kdca.go.kr/healthinfo/biz/health/gnrlzHealthInfo/gnrlzHealthInfo/gnrlzHealthInfoMain.do</x:v>
      </x:c>
      <x:c r="H439" s="8" t="str">
        <x:v>{
  "disease": "급성고환염",
  "section": "개요 / 원인",
  "category": "disease"
}</x:v>
      </x:c>
    </x:row>
    <x:row r="440" ht="54" customHeight="1">
      <x:c r="A440" s="8" t="str">
        <x:v>gold-disease-ade95a19a84e7cbc</x:v>
      </x:c>
      <x:c r="B440" s="8" t="str">
        <x:v>kdca-6776-2</x:v>
      </x:c>
      <x:c r="C440" s="8" t="str">
        <x:v>kdca-6776-2</x:v>
      </x:c>
      <x:c r="D440" s="8" t="str">
        <x:v>근거와 함께 답변</x:v>
      </x:c>
      <x:c r="E440" s="15" t="n">
        <x:v>438</x:v>
      </x:c>
      <x:c r="F440" s="8" t="str">
        <x:v>VDB 원인·위험요인 청크 재선정</x:v>
      </x:c>
      <x:c r="G440" s="8" t="str">
        <x:v>https://health.kdca.go.kr/healthinfo/biz/health/gnrlzHealthInfo/gnrlzHealthInfo/gnrlzHealthInfoMain.do</x:v>
      </x:c>
      <x:c r="H440" s="8" t="str">
        <x:v>{
  "disease": "파상풍",
  "section": "신고 대상 및 방법 / 원인 및 감염경로",
  "category": "disease"
}</x:v>
      </x:c>
    </x:row>
    <x:row r="441" ht="54" customHeight="1">
      <x:c r="A441" s="8" t="str">
        <x:v>gold-disease-na-2a6696bf14b48904</x:v>
      </x:c>
      <x:c r="B441" s="8" t="str"/>
      <x:c r="C441" s="8" t="str"/>
      <x:c r="D441" s="8" t="str">
        <x:v>답변 거부 또는 추가 확인 요청</x:v>
      </x:c>
      <x:c r="E441" s="15" t="n">
        <x:v>439</x:v>
      </x:c>
      <x:c r="F441" s="8" t="str">
        <x:v>답변 거부 기준 문구</x:v>
      </x:c>
      <x:c r="G441" s="8" t="str">
        <x:v>https://health.kdca.go.kr/healthinfo/biz/health/gnrlzHealthInfo/gnrlzHealthInfo/gnrlzHealthInfoMain.do</x:v>
      </x:c>
      <x:c r="H441" s="8" t="str">
        <x:v>{
  "disease": "성홍열",
  "section": "진단 및 검사",
  "category": "disease"
}</x:v>
      </x:c>
    </x:row>
    <x:row r="442" ht="54" customHeight="1">
      <x:c r="A442" s="8" t="str">
        <x:v>gold-disease-cbeadbb4fe574f32</x:v>
      </x:c>
      <x:c r="B442" s="8" t="str">
        <x:v>kdca-5714-13</x:v>
      </x:c>
      <x:c r="C442" s="8" t="str">
        <x:v>kdca-5714-13</x:v>
      </x:c>
      <x:c r="D442" s="8" t="str">
        <x:v>근거와 함께 답변</x:v>
      </x:c>
      <x:c r="E442" s="15" t="n">
        <x:v>440</x:v>
      </x:c>
      <x:c r="F442" s="8" t="str">
        <x:v>기존 검증 정답</x:v>
      </x:c>
      <x:c r="G442" s="8" t="str">
        <x:v>https://health.kdca.go.kr/healthinfo/biz/health/gnrlzHealthInfo/gnrlzHealthInfo/gnrlzHealthInfoMain.do</x:v>
      </x:c>
      <x:c r="H442" s="8" t="str">
        <x:v>{
  "disease": "사랑니",
  "section": "진단 및 검사",
  "category": "disease"
}</x:v>
      </x:c>
    </x:row>
    <x:row r="443" ht="54" customHeight="1">
      <x:c r="A443" s="8" t="str">
        <x:v>gold-disease-d49953a7656535b3</x:v>
      </x:c>
      <x:c r="B443" s="8" t="str">
        <x:v>kdca-4047-29</x:v>
      </x:c>
      <x:c r="C443" s="8" t="str">
        <x:v>kdca-4047-29</x:v>
      </x:c>
      <x:c r="D443" s="8" t="str">
        <x:v>근거와 함께 답변</x:v>
      </x:c>
      <x:c r="E443" s="15" t="n">
        <x:v>441</x:v>
      </x:c>
      <x:c r="F443" s="8" t="str">
        <x:v>기존 검증 정답</x:v>
      </x:c>
      <x:c r="G443" s="8" t="str">
        <x:v>https://health.kdca.go.kr/healthinfo/biz/health/gnrlzHealthInfo/gnrlzHealthInfo/gnrlzHealthInfoMain.do</x:v>
      </x:c>
      <x:c r="H443" s="8" t="str">
        <x:v>{
  "disease": "척추관 협착증",
  "section": "진단 및 검사",
  "category": "disease"
}</x:v>
      </x:c>
    </x:row>
    <x:row r="444" ht="54" customHeight="1">
      <x:c r="A444" s="8" t="str">
        <x:v>gold-disease-9e2d0b895c55148f</x:v>
      </x:c>
      <x:c r="B444" s="8" t="str">
        <x:v>kdca-1101-14</x:v>
      </x:c>
      <x:c r="C444" s="8" t="str">
        <x:v>kdca-1101-14</x:v>
      </x:c>
      <x:c r="D444" s="8" t="str">
        <x:v>근거와 함께 답변</x:v>
      </x:c>
      <x:c r="E444" s="15" t="n">
        <x:v>442</x:v>
      </x:c>
      <x:c r="F444" s="8" t="str">
        <x:v>기존 검증 정답</x:v>
      </x:c>
      <x:c r="G444" s="8" t="str">
        <x:v>https://health.kdca.go.kr/healthinfo/biz/health/gnrlzHealthInfo/gnrlzHealthInfo/gnrlzHealthInfoMain.do</x:v>
      </x:c>
      <x:c r="H444" s="8" t="str">
        <x:v>{
  "disease": "비부비동염",
  "section": "진단 및 검사",
  "category": "disease"
}</x:v>
      </x:c>
    </x:row>
    <x:row r="445" ht="54" customHeight="1">
      <x:c r="A445" s="8" t="str">
        <x:v>gold-disease-7b7bf73f54d82b76</x:v>
      </x:c>
      <x:c r="B445" s="8" t="str">
        <x:v>kdca-5286-22</x:v>
      </x:c>
      <x:c r="C445" s="8" t="str">
        <x:v>kdca-5286-22</x:v>
      </x:c>
      <x:c r="D445" s="8" t="str">
        <x:v>근거와 함께 답변</x:v>
      </x:c>
      <x:c r="E445" s="15" t="n">
        <x:v>443</x:v>
      </x:c>
      <x:c r="F445" s="8" t="str">
        <x:v>VDB 후속 설명 보강</x:v>
      </x:c>
      <x:c r="G445" s="8" t="str">
        <x:v>https://health.kdca.go.kr/healthinfo/biz/health/gnrlzHealthInfo/gnrlzHealthInfo/gnrlzHealthInfoMain.do</x:v>
      </x:c>
      <x:c r="H445" s="8" t="str">
        <x:v>{
  "disease": "헤르페스감염증(단순포진)",
  "section": "위험요인 및 예방",
  "category": "disease"
}</x:v>
      </x:c>
    </x:row>
    <x:row r="446" ht="54" customHeight="1">
      <x:c r="A446" s="8" t="str">
        <x:v>gold-disease-495dba622315fdde</x:v>
      </x:c>
      <x:c r="B446" s="8" t="str">
        <x:v>kdca-5824-22</x:v>
      </x:c>
      <x:c r="C446" s="8" t="str">
        <x:v>kdca-5824-22</x:v>
      </x:c>
      <x:c r="D446" s="8" t="str">
        <x:v>근거와 함께 답변</x:v>
      </x:c>
      <x:c r="E446" s="15" t="n">
        <x:v>444</x:v>
      </x:c>
      <x:c r="F446" s="8" t="str">
        <x:v>기존 검증 정답</x:v>
      </x:c>
      <x:c r="G446" s="8" t="str">
        <x:v>https://health.kdca.go.kr/healthinfo/biz/health/gnrlzHealthInfo/gnrlzHealthInfo/gnrlzHealthInfoMain.do</x:v>
      </x:c>
      <x:c r="H446" s="8" t="str">
        <x:v>{
  "disease": "발기부전",
  "section": "약물 치료",
  "category": "disease"
}</x:v>
      </x:c>
    </x:row>
    <x:row r="447" ht="54" customHeight="1">
      <x:c r="A447" s="8" t="str">
        <x:v>gold-disease-229aaa14c7b824fe</x:v>
      </x:c>
      <x:c r="B447" s="8" t="str">
        <x:v>kdca-5314-11</x:v>
      </x:c>
      <x:c r="C447" s="8" t="str">
        <x:v>kdca-5314-11</x:v>
      </x:c>
      <x:c r="D447" s="8" t="str">
        <x:v>근거와 함께 답변</x:v>
      </x:c>
      <x:c r="E447" s="15" t="n">
        <x:v>445</x:v>
      </x:c>
      <x:c r="F447" s="8" t="str">
        <x:v>VDB 후속 설명 보강</x:v>
      </x:c>
      <x:c r="G447" s="8" t="str">
        <x:v>https://health.kdca.go.kr/healthinfo/biz/health/gnrlzHealthInfo/gnrlzHealthInfo/gnrlzHealthInfoMain.do</x:v>
      </x:c>
      <x:c r="H447" s="8" t="str">
        <x:v>{
  "disease": "노인 삼킴장애",
  "section": "증상",
  "category": "disease"
}</x:v>
      </x:c>
    </x:row>
    <x:row r="448" ht="54" customHeight="1">
      <x:c r="A448" s="8" t="str">
        <x:v>gold-disease-380330aea4d70254</x:v>
      </x:c>
      <x:c r="B448" s="8" t="str">
        <x:v>kdca-5264-6</x:v>
      </x:c>
      <x:c r="C448" s="8" t="str">
        <x:v>kdca-5264-6</x:v>
      </x:c>
      <x:c r="D448" s="8" t="str">
        <x:v>근거와 함께 답변</x:v>
      </x:c>
      <x:c r="E448" s="15" t="n">
        <x:v>446</x:v>
      </x:c>
      <x:c r="F448" s="8" t="str">
        <x:v>VDB 후속 설명 보강</x:v>
      </x:c>
      <x:c r="G448" s="8" t="str">
        <x:v>https://health.kdca.go.kr/healthinfo/biz/health/gnrlzHealthInfo/gnrlzHealthInfo/gnrlzHealthInfoMain.do</x:v>
      </x:c>
      <x:c r="H448" s="8" t="str">
        <x:v>{
  "disease": "눈꺼풀속말림과 겉말림",
  "section": "종류 / 증상",
  "category": "disease"
}</x:v>
      </x:c>
    </x:row>
    <x:row r="449" ht="54" customHeight="1">
      <x:c r="A449" s="8" t="str">
        <x:v>gold-disease-2c611f0eee47a082</x:v>
      </x:c>
      <x:c r="B449" s="8" t="str">
        <x:v>kdca-6765-26</x:v>
      </x:c>
      <x:c r="C449" s="8" t="str">
        <x:v>kdca-6765-26</x:v>
      </x:c>
      <x:c r="D449" s="8" t="str">
        <x:v>근거와 함께 답변</x:v>
      </x:c>
      <x:c r="E449" s="15" t="n">
        <x:v>447</x:v>
      </x:c>
      <x:c r="F449" s="8" t="str">
        <x:v>VDB 후속 설명 보강</x:v>
      </x:c>
      <x:c r="G449" s="8" t="str">
        <x:v>https://health.kdca.go.kr/healthinfo/biz/health/gnrlzHealthInfo/gnrlzHealthInfo/gnrlzHealthInfoMain.do</x:v>
      </x:c>
      <x:c r="H449" s="8" t="str">
        <x:v>{
  "disease": "고혈압",
  "section": "위험요인 및 예방",
  "category": "disease"
}</x:v>
      </x:c>
    </x:row>
    <x:row r="450" ht="54" customHeight="1">
      <x:c r="A450" s="8" t="str">
        <x:v>gold-disease-5fef49bc8e066678</x:v>
      </x:c>
      <x:c r="B450" s="8" t="str">
        <x:v>kdca-5857-15</x:v>
      </x:c>
      <x:c r="C450" s="8" t="str">
        <x:v>kdca-5857-15</x:v>
      </x:c>
      <x:c r="D450" s="8" t="str">
        <x:v>근거와 함께 답변</x:v>
      </x:c>
      <x:c r="E450" s="15" t="n">
        <x:v>448</x:v>
      </x:c>
      <x:c r="F450" s="8" t="str">
        <x:v>기존 검증 정답</x:v>
      </x:c>
      <x:c r="G450" s="8" t="str">
        <x:v>https://health.kdca.go.kr/healthinfo/biz/health/gnrlzHealthInfo/gnrlzHealthInfo/gnrlzHealthInfoMain.do</x:v>
      </x:c>
      <x:c r="H450" s="8" t="str">
        <x:v>{
  "disease": "안면홍조",
  "section": "진단 및 검사",
  "category": "disease"
}</x:v>
      </x:c>
    </x:row>
    <x:row r="451" ht="54" customHeight="1">
      <x:c r="A451" s="8" t="str">
        <x:v>gold-disease-4172ca2778e08a50</x:v>
      </x:c>
      <x:c r="B451" s="8" t="str">
        <x:v>kdca-1469-33</x:v>
      </x:c>
      <x:c r="C451" s="8" t="str">
        <x:v>kdca-1469-33</x:v>
      </x:c>
      <x:c r="D451" s="8" t="str">
        <x:v>근거와 함께 답변</x:v>
      </x:c>
      <x:c r="E451" s="15" t="n">
        <x:v>449</x:v>
      </x:c>
      <x:c r="F451" s="8" t="str">
        <x:v>VDB 후속 설명 보강</x:v>
      </x:c>
      <x:c r="G451" s="8" t="str">
        <x:v>https://health.kdca.go.kr/healthinfo/biz/health/gnrlzHealthInfo/gnrlzHealthInfo/gnrlzHealthInfoMain.do</x:v>
      </x:c>
      <x:c r="H451" s="8" t="str">
        <x:v>{
  "disease": "색각이상(색맹)",
  "section": "치료",
  "category": "disease"
}</x:v>
      </x:c>
    </x:row>
    <x:row r="452" ht="54" customHeight="1">
      <x:c r="A452" s="8" t="str">
        <x:v>gold-disease-60bad3534edc266b</x:v>
      </x:c>
      <x:c r="B452" s="8" t="str">
        <x:v>kdca-5708-21</x:v>
      </x:c>
      <x:c r="C452" s="8" t="str">
        <x:v>kdca-5708-21</x:v>
      </x:c>
      <x:c r="D452" s="8" t="str">
        <x:v>근거와 함께 답변</x:v>
      </x:c>
      <x:c r="E452" s="15" t="n">
        <x:v>450</x:v>
      </x:c>
      <x:c r="F452" s="8" t="str">
        <x:v>VDB 후속 설명 보강</x:v>
      </x:c>
      <x:c r="G452" s="8" t="str">
        <x:v>https://health.kdca.go.kr/healthinfo/biz/health/gnrlzHealthInfo/gnrlzHealthInfo/gnrlzHealthInfoMain.do</x:v>
      </x:c>
      <x:c r="H452" s="8" t="str">
        <x:v>{
  "disease": "귀의 통증 및 분비물",
  "section": "자주하는 질문",
  "category": "symptom"
}</x:v>
      </x:c>
    </x:row>
    <x:row r="453" ht="54" customHeight="1">
      <x:c r="A453" s="8" t="str">
        <x:v>gold-disease-97824cce44f3cdbb</x:v>
      </x:c>
      <x:c r="B453" s="8" t="str">
        <x:v>kdca-6699-10</x:v>
      </x:c>
      <x:c r="C453" s="8" t="str">
        <x:v>kdca-6699-10</x:v>
      </x:c>
      <x:c r="D453" s="8" t="str">
        <x:v>근거와 함께 답변</x:v>
      </x:c>
      <x:c r="E453" s="15" t="n">
        <x:v>451</x:v>
      </x:c>
      <x:c r="F453" s="8" t="str">
        <x:v>VDB 후속 설명 보강</x:v>
      </x:c>
      <x:c r="G453" s="8" t="str">
        <x:v>https://health.kdca.go.kr/healthinfo/biz/health/gnrlzHealthInfo/gnrlzHealthInfo/gnrlzHealthInfoMain.do</x:v>
      </x:c>
      <x:c r="H453" s="8" t="str">
        <x:v>{
  "disease": "백반증",
  "section": "증상",
  "category": "disease"
}</x:v>
      </x:c>
    </x:row>
    <x:row r="454" ht="54" customHeight="1">
      <x:c r="A454" s="8" t="str">
        <x:v>gold-disease-579b362d8405b4bd</x:v>
      </x:c>
      <x:c r="B454" s="8" t="str">
        <x:v>kdca-6776-20</x:v>
      </x:c>
      <x:c r="C454" s="8" t="str">
        <x:v>kdca-6776-20</x:v>
      </x:c>
      <x:c r="D454" s="8" t="str">
        <x:v>근거와 함께 답변</x:v>
      </x:c>
      <x:c r="E454" s="15" t="n">
        <x:v>452</x:v>
      </x:c>
      <x:c r="F454" s="8" t="str">
        <x:v>VDB 후속 설명 보강</x:v>
      </x:c>
      <x:c r="G454" s="8" t="str">
        <x:v>https://health.kdca.go.kr/healthinfo/biz/health/gnrlzHealthInfo/gnrlzHealthInfo/gnrlzHealthInfoMain.do</x:v>
      </x:c>
      <x:c r="H454" s="8" t="str">
        <x:v>{
  "disease": "파상풍",
  "section": "자주하는 질문 / 참고문헌",
  "category": "disease"
}</x:v>
      </x:c>
    </x:row>
    <x:row r="455" ht="54" customHeight="1">
      <x:c r="A455" s="8" t="str">
        <x:v>gold-disease-na-12ced2e8a3073ac6</x:v>
      </x:c>
      <x:c r="B455" s="8" t="str"/>
      <x:c r="C455" s="8" t="str"/>
      <x:c r="D455" s="8" t="str">
        <x:v>답변 거부 또는 추가 확인 요청</x:v>
      </x:c>
      <x:c r="E455" s="15" t="n">
        <x:v>453</x:v>
      </x:c>
      <x:c r="F455" s="8" t="str">
        <x:v>답변 거부 기준 문구</x:v>
      </x:c>
      <x:c r="G455" s="8" t="str">
        <x:v>https://health.kdca.go.kr/healthinfo/biz/health/gnrlzHealthInfo/gnrlzHealthInfo/gnrlzHealthInfoMain.do</x:v>
      </x:c>
      <x:c r="H455" s="8" t="str">
        <x:v>{
  "disease": "유비저",
  "section": "역학 및 통계 / 증상",
  "category": "disease"
}</x:v>
      </x:c>
    </x:row>
    <x:row r="456" ht="54" customHeight="1">
      <x:c r="A456" s="8" t="str">
        <x:v>gold-disease-83226828f747d363</x:v>
      </x:c>
      <x:c r="B456" s="8" t="str">
        <x:v>kdca-3447-31</x:v>
      </x:c>
      <x:c r="C456" s="8" t="str">
        <x:v>kdca-3447-31</x:v>
      </x:c>
      <x:c r="D456" s="8" t="str">
        <x:v>근거와 함께 답변</x:v>
      </x:c>
      <x:c r="E456" s="15" t="n">
        <x:v>454</x:v>
      </x:c>
      <x:c r="F456" s="8" t="str">
        <x:v>기존 검증 정답</x:v>
      </x:c>
      <x:c r="G456" s="8" t="str">
        <x:v>https://health.kdca.go.kr/healthinfo/biz/health/gnrlzHealthInfo/gnrlzHealthInfo/gnrlzHealthInfoMain.do</x:v>
      </x:c>
      <x:c r="H456" s="8" t="str">
        <x:v>{
  "disease": "대장게실증",
  "section": "합병증",
  "category": "disease"
}</x:v>
      </x:c>
    </x:row>
    <x:row r="457" ht="54" customHeight="1">
      <x:c r="A457" s="8" t="str">
        <x:v>gold-disease-e0efcdbf2c546aee</x:v>
      </x:c>
      <x:c r="B457" s="8" t="str">
        <x:v>kdca-6676-12</x:v>
      </x:c>
      <x:c r="C457" s="8" t="str">
        <x:v>kdca-6676-12</x:v>
      </x:c>
      <x:c r="D457" s="8" t="str">
        <x:v>근거와 함께 답변</x:v>
      </x:c>
      <x:c r="E457" s="15" t="n">
        <x:v>455</x:v>
      </x:c>
      <x:c r="F457" s="8" t="str">
        <x:v>기존 검증 정답</x:v>
      </x:c>
      <x:c r="G457" s="8" t="str">
        <x:v>https://health.kdca.go.kr/healthinfo/biz/health/gnrlzHealthInfo/gnrlzHealthInfo/gnrlzHealthInfoMain.do</x:v>
      </x:c>
      <x:c r="H457" s="8" t="str">
        <x:v>{
  "disease": "백일해",
  "section": "증상 / 진단 및 검사",
  "category": "disease"
}</x:v>
      </x:c>
    </x:row>
    <x:row r="458" ht="54" customHeight="1">
      <x:c r="A458" s="8" t="str">
        <x:v>gold-disease-7df7d1c1f284fb4b</x:v>
      </x:c>
      <x:c r="B458" s="8" t="str">
        <x:v>kdca-3749-11</x:v>
      </x:c>
      <x:c r="C458" s="8" t="str">
        <x:v>kdca-3749-11</x:v>
      </x:c>
      <x:c r="D458" s="8" t="str">
        <x:v>근거와 함께 답변</x:v>
      </x:c>
      <x:c r="E458" s="15" t="n">
        <x:v>456</x:v>
      </x:c>
      <x:c r="F458" s="8" t="str">
        <x:v>VDB 후속 설명 보강</x:v>
      </x:c>
      <x:c r="G458" s="8" t="str">
        <x:v>https://health.kdca.go.kr/healthinfo/biz/health/gnrlzHealthInfo/gnrlzHealthInfo/gnrlzHealthInfoMain.do</x:v>
      </x:c>
      <x:c r="H458" s="8" t="str">
        <x:v>{
  "disease": "켈로이드",
  "section": "증상",
  "category": "disease"
}</x:v>
      </x:c>
    </x:row>
    <x:row r="459" ht="54" customHeight="1">
      <x:c r="A459" s="8" t="str">
        <x:v>gold-disease-fa6b27a41c30aa15</x:v>
      </x:c>
      <x:c r="B459" s="8" t="str">
        <x:v>kdca-6526-1</x:v>
      </x:c>
      <x:c r="C459" s="8" t="str">
        <x:v>kdca-6526-1</x:v>
      </x:c>
      <x:c r="D459" s="8" t="str">
        <x:v>근거와 함께 답변</x:v>
      </x:c>
      <x:c r="E459" s="15" t="n">
        <x:v>457</x:v>
      </x:c>
      <x:c r="F459" s="8" t="str">
        <x:v>기존 검증 정답</x:v>
      </x:c>
      <x:c r="G459" s="8" t="str">
        <x:v>https://health.kdca.go.kr/healthinfo/biz/health/gnrlzHealthInfo/gnrlzHealthInfo/gnrlzHealthInfoMain.do</x:v>
      </x:c>
      <x:c r="H459" s="8" t="str">
        <x:v>{
  "disease": "직업성 호흡기질환(직업성 만성폐쇄성폐질환)",
  "section": "정의 / 원인",
  "category": "disease"
}</x:v>
      </x:c>
    </x:row>
    <x:row r="460" ht="54" customHeight="1">
      <x:c r="A460" s="8" t="str">
        <x:v>gold-disease-092f185bcd353446</x:v>
      </x:c>
      <x:c r="B460" s="8" t="str">
        <x:v>kdca-6699-4</x:v>
      </x:c>
      <x:c r="C460" s="8" t="str">
        <x:v>kdca-6699-4</x:v>
      </x:c>
      <x:c r="D460" s="8" t="str">
        <x:v>근거와 함께 답변</x:v>
      </x:c>
      <x:c r="E460" s="15" t="n">
        <x:v>458</x:v>
      </x:c>
      <x:c r="F460" s="8" t="str">
        <x:v>VDB 원인·위험요인 청크 재선정</x:v>
      </x:c>
      <x:c r="G460" s="8" t="str">
        <x:v>https://health.kdca.go.kr/healthinfo/biz/health/gnrlzHealthInfo/gnrlzHealthInfo/gnrlzHealthInfoMain.do</x:v>
      </x:c>
      <x:c r="H460" s="8" t="str">
        <x:v>{
  "disease": "백반증",
  "section": "원인",
  "category": "disease"
}</x:v>
      </x:c>
    </x:row>
    <x:row r="461" ht="54" customHeight="1">
      <x:c r="A461" s="8" t="str">
        <x:v>gold-disease-58d7ac6ac4ffd7c4</x:v>
      </x:c>
      <x:c r="B461" s="8" t="str">
        <x:v>kdca-6188-7</x:v>
      </x:c>
      <x:c r="C461" s="8" t="str">
        <x:v>kdca-6188-7</x:v>
      </x:c>
      <x:c r="D461" s="8" t="str">
        <x:v>근거와 함께 답변</x:v>
      </x:c>
      <x:c r="E461" s="15" t="n">
        <x:v>459</x:v>
      </x:c>
      <x:c r="F461" s="8" t="str">
        <x:v>기존 검증 정답</x:v>
      </x:c>
      <x:c r="G461" s="8" t="str">
        <x:v>https://health.kdca.go.kr/healthinfo/biz/health/gnrlzHealthInfo/gnrlzHealthInfo/gnrlzHealthInfoMain.do</x:v>
      </x:c>
      <x:c r="H461" s="8" t="str">
        <x:v>{
  "disease": "언어장애(아동 언어장애의 진단과 치료)",
  "section": "종류",
  "category": "disease"
}</x:v>
      </x:c>
    </x:row>
    <x:row r="462" ht="54" customHeight="1">
      <x:c r="A462" s="8" t="str">
        <x:v>gold-disease-41f3b89cb676e146</x:v>
      </x:c>
      <x:c r="B462" s="8" t="str">
        <x:v>kdca-5804-8</x:v>
      </x:c>
      <x:c r="C462" s="8" t="str">
        <x:v>kdca-5804-8</x:v>
      </x:c>
      <x:c r="D462" s="8" t="str">
        <x:v>근거와 함께 답변</x:v>
      </x:c>
      <x:c r="E462" s="15" t="n">
        <x:v>460</x:v>
      </x:c>
      <x:c r="F462" s="8" t="str">
        <x:v>기존 검증 정답</x:v>
      </x:c>
      <x:c r="G462" s="8" t="str">
        <x:v>https://health.kdca.go.kr/healthinfo/biz/health/gnrlzHealthInfo/gnrlzHealthInfo/gnrlzHealthInfoMain.do</x:v>
      </x:c>
      <x:c r="H462" s="8" t="str">
        <x:v>{
  "disease": "구역질과 구토",
  "section": "경과 및 예후",
  "category": "symptom"
}</x:v>
      </x:c>
    </x:row>
    <x:row r="463" ht="54" customHeight="1">
      <x:c r="A463" s="8" t="str">
        <x:v>gold-disease-c08778ccab620145</x:v>
      </x:c>
      <x:c r="B463" s="8" t="str">
        <x:v>kdca-6531-24</x:v>
      </x:c>
      <x:c r="C463" s="8" t="str">
        <x:v>kdca-6531-24</x:v>
      </x:c>
      <x:c r="D463" s="8" t="str">
        <x:v>근거와 함께 답변</x:v>
      </x:c>
      <x:c r="E463" s="15" t="n">
        <x:v>461</x:v>
      </x:c>
      <x:c r="F463" s="8" t="str">
        <x:v>기존 검증 정답</x:v>
      </x:c>
      <x:c r="G463" s="8" t="str">
        <x:v>https://health.kdca.go.kr/healthinfo/biz/health/gnrlzHealthInfo/gnrlzHealthInfo/gnrlzHealthInfoMain.do</x:v>
      </x:c>
      <x:c r="H463" s="8" t="str">
        <x:v>{
  "disease": "대장용종",
  "section": "증상 / 진단 및 검사",
  "category": "disease"
}</x:v>
      </x:c>
    </x:row>
    <x:row r="464" ht="54" customHeight="1">
      <x:c r="A464" s="8" t="str">
        <x:v>gold-disease-1d0d92f637324273</x:v>
      </x:c>
      <x:c r="B464" s="8" t="str">
        <x:v>kdca-4047-33</x:v>
      </x:c>
      <x:c r="C464" s="8" t="str">
        <x:v>kdca-4047-33</x:v>
      </x:c>
      <x:c r="D464" s="8" t="str">
        <x:v>근거와 함께 답변</x:v>
      </x:c>
      <x:c r="E464" s="15" t="n">
        <x:v>462</x:v>
      </x:c>
      <x:c r="F464" s="8" t="str">
        <x:v>VDB 후속 설명 보강</x:v>
      </x:c>
      <x:c r="G464" s="8" t="str">
        <x:v>https://health.kdca.go.kr/healthinfo/biz/health/gnrlzHealthInfo/gnrlzHealthInfo/gnrlzHealthInfoMain.do</x:v>
      </x:c>
      <x:c r="H464" s="8" t="str">
        <x:v>{
  "disease": "척추관 협착증",
  "section": "치료",
  "category": "disease"
}</x:v>
      </x:c>
    </x:row>
    <x:row r="465" ht="54" customHeight="1">
      <x:c r="A465" s="8" t="str">
        <x:v>gold-disease-8dcac01eb8d51d50</x:v>
      </x:c>
      <x:c r="B465" s="8" t="str">
        <x:v>kdca-5692-0</x:v>
      </x:c>
      <x:c r="C465" s="8" t="str">
        <x:v>kdca-5692-0</x:v>
      </x:c>
      <x:c r="D465" s="8" t="str">
        <x:v>근거와 함께 답변</x:v>
      </x:c>
      <x:c r="E465" s="15" t="n">
        <x:v>463</x:v>
      </x:c>
      <x:c r="F465" s="8" t="str">
        <x:v>VDB 정의 문장 재선정</x:v>
      </x:c>
      <x:c r="G465" s="8" t="str">
        <x:v>https://health.kdca.go.kr/healthinfo/biz/health/gnrlzHealthInfo/gnrlzHealthInfo/gnrlzHealthInfoMain.do</x:v>
      </x:c>
      <x:c r="H465" s="8" t="str">
        <x:v>{
  "disease": "모반(점)",
  "section": "요약문",
  "category": "disease"
}</x:v>
      </x:c>
    </x:row>
    <x:row r="466" ht="54" customHeight="1">
      <x:c r="A466" s="8" t="str">
        <x:v>gold-disease-86bd40ec61b78113</x:v>
      </x:c>
      <x:c r="B466" s="8" t="str">
        <x:v>kdca-6711-0</x:v>
      </x:c>
      <x:c r="C466" s="8" t="str">
        <x:v>kdca-6711-0</x:v>
      </x:c>
      <x:c r="D466" s="8" t="str">
        <x:v>근거와 함께 답변</x:v>
      </x:c>
      <x:c r="E466" s="15" t="n">
        <x:v>464</x:v>
      </x:c>
      <x:c r="F466" s="8" t="str">
        <x:v>기존 검증 정답</x:v>
      </x:c>
      <x:c r="G466" s="8" t="str">
        <x:v>https://health.kdca.go.kr/healthinfo/biz/health/gnrlzHealthInfo/gnrlzHealthInfo/gnrlzHealthInfoMain.do</x:v>
      </x:c>
      <x:c r="H466" s="8" t="str">
        <x:v>{
  "disease": "소변이상(단백뇨)",
  "section": "요약문 / 정의",
  "category": "symptom"
}</x:v>
      </x:c>
    </x:row>
    <x:row r="467" ht="54" customHeight="1">
      <x:c r="A467" s="8" t="str">
        <x:v>gold-disease-2aad6a5cdbc7896d</x:v>
      </x:c>
      <x:c r="B467" s="8" t="str">
        <x:v>kdca-1738-8</x:v>
      </x:c>
      <x:c r="C467" s="8" t="str">
        <x:v>kdca-1738-8</x:v>
      </x:c>
      <x:c r="D467" s="8" t="str">
        <x:v>근거와 함께 답변</x:v>
      </x:c>
      <x:c r="E467" s="15" t="n">
        <x:v>465</x:v>
      </x:c>
      <x:c r="F467" s="8" t="str">
        <x:v>기존 검증 정답</x:v>
      </x:c>
      <x:c r="G467" s="8" t="str">
        <x:v>https://health.kdca.go.kr/healthinfo/biz/health/gnrlzHealthInfo/gnrlzHealthInfo/gnrlzHealthInfoMain.do</x:v>
      </x:c>
      <x:c r="H467" s="8" t="str">
        <x:v>{
  "disease": "골감소증",
  "section": "역학 및 통계 / 증상",
  "category": "disease"
}</x:v>
      </x:c>
    </x:row>
    <x:row r="468" ht="54" customHeight="1">
      <x:c r="A468" s="8" t="str">
        <x:v>gold-disease-c13bdefc8de4c7a9</x:v>
      </x:c>
      <x:c r="B468" s="8" t="str">
        <x:v>kdca-4027-3</x:v>
      </x:c>
      <x:c r="C468" s="8" t="str">
        <x:v>kdca-4027-3</x:v>
      </x:c>
      <x:c r="D468" s="8" t="str">
        <x:v>근거와 함께 답변</x:v>
      </x:c>
      <x:c r="E468" s="15" t="n">
        <x:v>466</x:v>
      </x:c>
      <x:c r="F468" s="8" t="str">
        <x:v>기존 검증 정답</x:v>
      </x:c>
      <x:c r="G468" s="8" t="str">
        <x:v>https://health.kdca.go.kr/healthinfo/biz/health/gnrlzHealthInfo/gnrlzHealthInfo/gnrlzHealthInfoMain.do</x:v>
      </x:c>
      <x:c r="H468" s="8" t="str">
        <x:v>{
  "disease": "언어장애",
  "section": "개요",
  "category": "disease"
}</x:v>
      </x:c>
    </x:row>
    <x:row r="469" ht="54" customHeight="1">
      <x:c r="A469" s="8" t="str">
        <x:v>gold-disease-9befd68c84322f2d</x:v>
      </x:c>
      <x:c r="B469" s="8" t="str">
        <x:v>kdca-5338-5</x:v>
      </x:c>
      <x:c r="C469" s="8" t="str">
        <x:v>kdca-5338-5</x:v>
      </x:c>
      <x:c r="D469" s="8" t="str">
        <x:v>근거와 함께 답변</x:v>
      </x:c>
      <x:c r="E469" s="15" t="n">
        <x:v>467</x:v>
      </x:c>
      <x:c r="F469" s="8" t="str">
        <x:v>VDB 후속 설명 보강</x:v>
      </x:c>
      <x:c r="G469" s="8" t="str">
        <x:v>https://health.kdca.go.kr/healthinfo/biz/health/gnrlzHealthInfo/gnrlzHealthInfo/gnrlzHealthInfoMain.do</x:v>
      </x:c>
      <x:c r="H469" s="8" t="str">
        <x:v>{
  "disease": "회충증",
  "section": "증상",
  "category": "disease"
}</x:v>
      </x:c>
    </x:row>
    <x:row r="470" ht="54" customHeight="1">
      <x:c r="A470" s="8" t="str">
        <x:v>gold-disease-159ccc4245b0b38c</x:v>
      </x:c>
      <x:c r="B470" s="8" t="str">
        <x:v>kdca-5535-10</x:v>
      </x:c>
      <x:c r="C470" s="8" t="str">
        <x:v>kdca-5535-10</x:v>
      </x:c>
      <x:c r="D470" s="8" t="str">
        <x:v>근거와 함께 답변</x:v>
      </x:c>
      <x:c r="E470" s="15" t="n">
        <x:v>468</x:v>
      </x:c>
      <x:c r="F470" s="8" t="str">
        <x:v>기존 검증 정답</x:v>
      </x:c>
      <x:c r="G470" s="8" t="str">
        <x:v>https://health.kdca.go.kr/healthinfo/biz/health/gnrlzHealthInfo/gnrlzHealthInfo/gnrlzHealthInfoMain.do</x:v>
      </x:c>
      <x:c r="H470" s="8" t="str">
        <x:v>{
  "disease": "심방중격결손증",
  "section": "경과 및 예후",
  "category": "disease"
}</x:v>
      </x:c>
    </x:row>
    <x:row r="471" ht="54" customHeight="1">
      <x:c r="A471" s="8" t="str">
        <x:v>gold-disease-c8c73e8903c273e5</x:v>
      </x:c>
      <x:c r="B471" s="8" t="str">
        <x:v>kdca-6252-20</x:v>
      </x:c>
      <x:c r="C471" s="8" t="str">
        <x:v>kdca-6252-20</x:v>
      </x:c>
      <x:c r="D471" s="8" t="str">
        <x:v>근거와 함께 답변</x:v>
      </x:c>
      <x:c r="E471" s="15" t="n">
        <x:v>469</x:v>
      </x:c>
      <x:c r="F471" s="8" t="str">
        <x:v>VDB 후속 설명 보강</x:v>
      </x:c>
      <x:c r="G471" s="8" t="str">
        <x:v>https://health.kdca.go.kr/healthinfo/biz/health/gnrlzHealthInfo/gnrlzHealthInfo/gnrlzHealthInfoMain.do</x:v>
      </x:c>
      <x:c r="H471" s="8" t="str">
        <x:v>{
  "disease": "딸꾹질",
  "section": "치료",
  "category": "symptom"
}</x:v>
      </x:c>
    </x:row>
    <x:row r="472" ht="54" customHeight="1">
      <x:c r="A472" s="8" t="str">
        <x:v>gold-disease-2fa912e2aa1eef23</x:v>
      </x:c>
      <x:c r="B472" s="8" t="str">
        <x:v>kdca-6292-5</x:v>
      </x:c>
      <x:c r="C472" s="8" t="str">
        <x:v>kdca-6292-5</x:v>
      </x:c>
      <x:c r="D472" s="8" t="str">
        <x:v>근거와 함께 답변</x:v>
      </x:c>
      <x:c r="E472" s="15" t="n">
        <x:v>470</x:v>
      </x:c>
      <x:c r="F472" s="8" t="str">
        <x:v>VDB 원인·위험요인 청크 재선정</x:v>
      </x:c>
      <x:c r="G472" s="8" t="str">
        <x:v>https://health.kdca.go.kr/healthinfo/biz/health/gnrlzHealthInfo/gnrlzHealthInfo/gnrlzHealthInfoMain.do</x:v>
      </x:c>
      <x:c r="H472" s="8" t="str">
        <x:v>{
  "disease": "수근굴(수근관) 증후군",
  "section": "원인 / 병태생리",
  "category": "disease"
}</x:v>
      </x:c>
    </x:row>
    <x:row r="473" ht="54" customHeight="1">
      <x:c r="A473" s="8" t="str">
        <x:v>gold-disease-na-c540a8274aac1687</x:v>
      </x:c>
      <x:c r="B473" s="8" t="str"/>
      <x:c r="C473" s="8" t="str"/>
      <x:c r="D473" s="8" t="str">
        <x:v>답변 거부 또는 추가 확인 요청</x:v>
      </x:c>
      <x:c r="E473" s="15" t="n">
        <x:v>471</x:v>
      </x:c>
      <x:c r="F473" s="8" t="str">
        <x:v>답변 거부 기준 문구</x:v>
      </x:c>
      <x:c r="G473" s="8" t="str">
        <x:v>https://health.kdca.go.kr/healthinfo/biz/health/gnrlzHealthInfo/gnrlzHealthInfo/gnrlzHealthInfoMain.do</x:v>
      </x:c>
      <x:c r="H473" s="8" t="str">
        <x:v>{
  "disease": "자궁근종",
  "section": "치료",
  "category": "disease"
}</x:v>
      </x:c>
    </x:row>
    <x:row r="474" ht="54" customHeight="1">
      <x:c r="A474" s="8" t="str">
        <x:v>gold-disease-d9431d5e9f79fa71</x:v>
      </x:c>
      <x:c r="B474" s="8" t="str">
        <x:v>kdca-6735-8</x:v>
      </x:c>
      <x:c r="C474" s="8" t="str">
        <x:v>kdca-6735-8</x:v>
      </x:c>
      <x:c r="D474" s="8" t="str">
        <x:v>근거와 함께 답변</x:v>
      </x:c>
      <x:c r="E474" s="15" t="n">
        <x:v>472</x:v>
      </x:c>
      <x:c r="F474" s="8" t="str">
        <x:v>기존 검증 정답</x:v>
      </x:c>
      <x:c r="G474" s="8" t="str">
        <x:v>https://health.kdca.go.kr/healthinfo/biz/health/gnrlzHealthInfo/gnrlzHealthInfo/gnrlzHealthInfoMain.do</x:v>
      </x:c>
      <x:c r="H474" s="8" t="str">
        <x:v>{
  "disease": "담석증",
  "section": "증상",
  "category": "disease"
}</x:v>
      </x:c>
    </x:row>
    <x:row r="475" ht="54" customHeight="1">
      <x:c r="A475" s="8" t="str">
        <x:v>gold-disease-92834154f2f8fc7e</x:v>
      </x:c>
      <x:c r="B475" s="8" t="str">
        <x:v>kdca-5318-4</x:v>
      </x:c>
      <x:c r="C475" s="8" t="str">
        <x:v>kdca-5318-4</x:v>
      </x:c>
      <x:c r="D475" s="8" t="str">
        <x:v>근거와 함께 답변</x:v>
      </x:c>
      <x:c r="E475" s="15" t="n">
        <x:v>473</x:v>
      </x:c>
      <x:c r="F475" s="8" t="str">
        <x:v>VDB 원인·위험요인 청크 재선정</x:v>
      </x:c>
      <x:c r="G475" s="8" t="str">
        <x:v>https://health.kdca.go.kr/healthinfo/biz/health/gnrlzHealthInfo/gnrlzHealthInfo/gnrlzHealthInfoMain.do</x:v>
      </x:c>
      <x:c r="H475" s="8" t="str">
        <x:v>{
  "disease": "급성 충수염",
  "section": "개요 / 원인",
  "category": "disease"
}</x:v>
      </x:c>
    </x:row>
    <x:row r="476" ht="54" customHeight="1">
      <x:c r="A476" s="8" t="str">
        <x:v>gold-disease-4a1a8a275c5ca33c</x:v>
      </x:c>
      <x:c r="B476" s="8" t="str">
        <x:v>kdca-6689-41</x:v>
      </x:c>
      <x:c r="C476" s="8" t="str">
        <x:v>kdca-6689-41</x:v>
      </x:c>
      <x:c r="D476" s="8" t="str">
        <x:v>근거와 함께 답변</x:v>
      </x:c>
      <x:c r="E476" s="15" t="n">
        <x:v>474</x:v>
      </x:c>
      <x:c r="F476" s="8" t="str">
        <x:v>VDB 후속 설명 보강</x:v>
      </x:c>
      <x:c r="G476" s="8" t="str">
        <x:v>https://health.kdca.go.kr/healthinfo/biz/health/gnrlzHealthInfo/gnrlzHealthInfo/gnrlzHealthInfoMain.do</x:v>
      </x:c>
      <x:c r="H476" s="8" t="str">
        <x:v>{
  "disease": "백내장",
  "section": "자주하는 질문",
  "category": "disease"
}</x:v>
      </x:c>
    </x:row>
    <x:row r="477" ht="54" customHeight="1">
      <x:c r="A477" s="8" t="str">
        <x:v>gold-disease-58838a83b6eab9e0</x:v>
      </x:c>
      <x:c r="B477" s="8" t="str">
        <x:v>kdca-5248-45</x:v>
      </x:c>
      <x:c r="C477" s="8" t="str">
        <x:v>kdca-5248-45</x:v>
      </x:c>
      <x:c r="D477" s="8" t="str">
        <x:v>근거와 함께 답변</x:v>
      </x:c>
      <x:c r="E477" s="15" t="n">
        <x:v>475</x:v>
      </x:c>
      <x:c r="F477" s="8" t="str">
        <x:v>기존 검증 정답</x:v>
      </x:c>
      <x:c r="G477" s="8" t="str">
        <x:v>https://health.kdca.go.kr/healthinfo/biz/health/gnrlzHealthInfo/gnrlzHealthInfo/gnrlzHealthInfoMain.do</x:v>
      </x:c>
      <x:c r="H477" s="8" t="str">
        <x:v>{
  "disease": "췌장염",
  "section": "진단 및 검사",
  "category": "disease"
}</x:v>
      </x:c>
    </x:row>
    <x:row r="478" ht="54" customHeight="1">
      <x:c r="A478" s="8" t="str">
        <x:v>gold-disease-248687894f49e7bd</x:v>
      </x:c>
      <x:c r="B478" s="8" t="str">
        <x:v>kdca-5521-7</x:v>
      </x:c>
      <x:c r="C478" s="8" t="str">
        <x:v>kdca-5521-7</x:v>
      </x:c>
      <x:c r="D478" s="8" t="str">
        <x:v>근거와 함께 답변</x:v>
      </x:c>
      <x:c r="E478" s="15" t="n">
        <x:v>476</x:v>
      </x:c>
      <x:c r="F478" s="8" t="str">
        <x:v>VDB 후속 설명 보강</x:v>
      </x:c>
      <x:c r="G478" s="8" t="str">
        <x:v>https://health.kdca.go.kr/healthinfo/biz/health/gnrlzHealthInfo/gnrlzHealthInfo/gnrlzHealthInfoMain.do</x:v>
      </x:c>
      <x:c r="H478" s="8" t="str">
        <x:v>{
  "disease": "리슈만편모충증",
  "section": "증상",
  "category": "disease"
}</x:v>
      </x:c>
    </x:row>
    <x:row r="479" ht="54" customHeight="1">
      <x:c r="A479" s="8" t="str">
        <x:v>gold-disease-fddac618330a80cf</x:v>
      </x:c>
      <x:c r="B479" s="8" t="str">
        <x:v>kdca-5523-5</x:v>
      </x:c>
      <x:c r="C479" s="8" t="str">
        <x:v>kdca-5523-5</x:v>
      </x:c>
      <x:c r="D479" s="8" t="str">
        <x:v>근거와 함께 답변</x:v>
      </x:c>
      <x:c r="E479" s="15" t="n">
        <x:v>477</x:v>
      </x:c>
      <x:c r="F479" s="8" t="str">
        <x:v>기존 검증 정답</x:v>
      </x:c>
      <x:c r="G479" s="8" t="str">
        <x:v>https://health.kdca.go.kr/healthinfo/biz/health/gnrlzHealthInfo/gnrlzHealthInfo/gnrlzHealthInfoMain.do</x:v>
      </x:c>
      <x:c r="H479" s="8" t="str">
        <x:v>{
  "disease": "아프리카수면병",
  "section": "역학 및 통계 / 증상",
  "category": "disease"
}</x:v>
      </x:c>
    </x:row>
    <x:row r="480" ht="54" customHeight="1">
      <x:c r="A480" s="8" t="str">
        <x:v>gold-disease-46b726622a869d9a</x:v>
      </x:c>
      <x:c r="B480" s="8" t="str">
        <x:v>kdca-3789-4</x:v>
      </x:c>
      <x:c r="C480" s="8" t="str">
        <x:v>kdca-3789-4</x:v>
      </x:c>
      <x:c r="D480" s="8" t="str">
        <x:v>근거와 함께 답변</x:v>
      </x:c>
      <x:c r="E480" s="15" t="n">
        <x:v>478</x:v>
      </x:c>
      <x:c r="F480" s="8" t="str">
        <x:v>기존 검증 정답</x:v>
      </x:c>
      <x:c r="G480" s="8" t="str">
        <x:v>https://health.kdca.go.kr/healthinfo/biz/health/gnrlzHealthInfo/gnrlzHealthInfo/gnrlzHealthInfoMain.do</x:v>
      </x:c>
      <x:c r="H480" s="8" t="str">
        <x:v>{
  "disease": "얼굴마비(중추성 마비)",
  "section": "증상",
  "category": "disease"
}</x:v>
      </x:c>
    </x:row>
    <x:row r="481" ht="54" customHeight="1">
      <x:c r="A481" s="8" t="str">
        <x:v>gold-disease-c36d7d3b6e95d044</x:v>
      </x:c>
      <x:c r="B481" s="8" t="str">
        <x:v>kdca-5284-8</x:v>
      </x:c>
      <x:c r="C481" s="8" t="str">
        <x:v>kdca-5284-8</x:v>
      </x:c>
      <x:c r="D481" s="8" t="str">
        <x:v>근거와 함께 답변</x:v>
      </x:c>
      <x:c r="E481" s="15" t="n">
        <x:v>479</x:v>
      </x:c>
      <x:c r="F481" s="8" t="str">
        <x:v>VDB 후속 설명 보강</x:v>
      </x:c>
      <x:c r="G481" s="8" t="str">
        <x:v>https://health.kdca.go.kr/healthinfo/biz/health/gnrlzHealthInfo/gnrlzHealthInfo/gnrlzHealthInfoMain.do</x:v>
      </x:c>
      <x:c r="H481" s="8" t="str">
        <x:v>{
  "disease": "뇌수막염",
  "section": "증상",
  "category": "disease"
}</x:v>
      </x:c>
    </x:row>
    <x:row r="482" ht="54" customHeight="1">
      <x:c r="A482" s="8" t="str">
        <x:v>gold-disease-51f90f95a7bded14</x:v>
      </x:c>
      <x:c r="B482" s="8" t="str">
        <x:v>kdca-5961-42</x:v>
      </x:c>
      <x:c r="C482" s="8" t="str">
        <x:v>kdca-5961-42</x:v>
      </x:c>
      <x:c r="D482" s="8" t="str">
        <x:v>근거와 함께 답변</x:v>
      </x:c>
      <x:c r="E482" s="15" t="n">
        <x:v>480</x:v>
      </x:c>
      <x:c r="F482" s="8" t="str">
        <x:v>VDB 후속 설명 보강</x:v>
      </x:c>
      <x:c r="G482" s="8" t="str">
        <x:v>https://health.kdca.go.kr/healthinfo/biz/health/gnrlzHealthInfo/gnrlzHealthInfo/gnrlzHealthInfoMain.do</x:v>
      </x:c>
      <x:c r="H482" s="8" t="str">
        <x:v>{
  "disease": "뇌전증",
  "section": "위험요인 및 예방",
  "category": "disease"
}</x:v>
      </x:c>
    </x:row>
    <x:row r="483" ht="54" customHeight="1">
      <x:c r="A483" s="8" t="str">
        <x:v>gold-disease-0a984276cf2fc208</x:v>
      </x:c>
      <x:c r="B483" s="8" t="str">
        <x:v>kdca-6756-20</x:v>
      </x:c>
      <x:c r="C483" s="8" t="str">
        <x:v>kdca-6756-20</x:v>
      </x:c>
      <x:c r="D483" s="8" t="str">
        <x:v>근거와 함께 답변</x:v>
      </x:c>
      <x:c r="E483" s="15" t="n">
        <x:v>481</x:v>
      </x:c>
      <x:c r="F483" s="8" t="str">
        <x:v>기존 검증 정답</x:v>
      </x:c>
      <x:c r="G483" s="8" t="str">
        <x:v>https://health.kdca.go.kr/healthinfo/biz/health/gnrlzHealthInfo/gnrlzHealthInfo/gnrlzHealthInfoMain.do</x:v>
      </x:c>
      <x:c r="H483" s="8" t="str">
        <x:v>{
  "disease": "급성 바이러스 위장관염",
  "section": "역학 및 통계 / 증상",
  "category": "disease"
}</x:v>
      </x:c>
    </x:row>
    <x:row r="484" ht="54" customHeight="1">
      <x:c r="A484" s="8" t="str">
        <x:v>gold-disease-na-a0288cdfb84877dc</x:v>
      </x:c>
      <x:c r="B484" s="8" t="str"/>
      <x:c r="C484" s="8" t="str"/>
      <x:c r="D484" s="8" t="str">
        <x:v>답변 거부 또는 추가 확인 요청</x:v>
      </x:c>
      <x:c r="E484" s="15" t="n">
        <x:v>482</x:v>
      </x:c>
      <x:c r="F484" s="8" t="str">
        <x:v>답변 거부 기준 문구</x:v>
      </x:c>
      <x:c r="G484" s="8" t="str">
        <x:v>https://health.kdca.go.kr/healthinfo/biz/health/gnrlzHealthInfo/gnrlzHealthInfo/gnrlzHealthInfoMain.do</x:v>
      </x:c>
      <x:c r="H484" s="8" t="str">
        <x:v>{
  "disease": "두드러기",
  "section": "치료",
  "category": "disease"
}</x:v>
      </x:c>
    </x:row>
    <x:row r="485" ht="54" customHeight="1">
      <x:c r="A485" s="8" t="str">
        <x:v>gold-disease-0491c62af0b4d86f</x:v>
      </x:c>
      <x:c r="B485" s="8" t="str">
        <x:v>kdca-6540-3</x:v>
      </x:c>
      <x:c r="C485" s="8" t="str">
        <x:v>kdca-6540-3</x:v>
      </x:c>
      <x:c r="D485" s="8" t="str">
        <x:v>근거와 함께 답변</x:v>
      </x:c>
      <x:c r="E485" s="15" t="n">
        <x:v>483</x:v>
      </x:c>
      <x:c r="F485" s="8" t="str">
        <x:v>기존 검증 정답</x:v>
      </x:c>
      <x:c r="G485" s="8" t="str">
        <x:v>https://health.kdca.go.kr/healthinfo/biz/health/gnrlzHealthInfo/gnrlzHealthInfo/gnrlzHealthInfoMain.do</x:v>
      </x:c>
      <x:c r="H485" s="8" t="str">
        <x:v>{
  "disease": "폐 색전증",
  "section": "정의",
  "category": "disease"
}</x:v>
      </x:c>
    </x:row>
    <x:row r="486" ht="54" customHeight="1">
      <x:c r="A486" s="8" t="str">
        <x:v>gold-disease-4164d0507cfb4910</x:v>
      </x:c>
      <x:c r="B486" s="8" t="str">
        <x:v>kdca-1831-15</x:v>
      </x:c>
      <x:c r="C486" s="8" t="str">
        <x:v>kdca-1831-15</x:v>
      </x:c>
      <x:c r="D486" s="8" t="str">
        <x:v>근거와 함께 답변</x:v>
      </x:c>
      <x:c r="E486" s="15" t="n">
        <x:v>484</x:v>
      </x:c>
      <x:c r="F486" s="8" t="str">
        <x:v>기존 검증 정답</x:v>
      </x:c>
      <x:c r="G486" s="8" t="str">
        <x:v>https://health.kdca.go.kr/healthinfo/biz/health/gnrlzHealthInfo/gnrlzHealthInfo/gnrlzHealthInfoMain.do</x:v>
      </x:c>
      <x:c r="H486" s="8" t="str">
        <x:v>{
  "disease": "갑상선기능항진증",
  "section": "종류 / 원인",
  "category": "disease"
}</x:v>
      </x:c>
    </x:row>
    <x:row r="487" ht="54" customHeight="1">
      <x:c r="A487" s="8" t="str">
        <x:v>gold-disease-na-a2730b3f004bb4a5</x:v>
      </x:c>
      <x:c r="B487" s="8" t="str"/>
      <x:c r="C487" s="8" t="str"/>
      <x:c r="D487" s="8" t="str">
        <x:v>답변 거부 또는 추가 확인 요청</x:v>
      </x:c>
      <x:c r="E487" s="15" t="n">
        <x:v>485</x:v>
      </x:c>
      <x:c r="F487" s="8" t="str">
        <x:v>답변 거부 기준 문구</x:v>
      </x:c>
      <x:c r="G487" s="8" t="str">
        <x:v>https://health.kdca.go.kr/healthinfo/biz/health/gnrlzHealthInfo/gnrlzHealthInfo/gnrlzHealthInfoMain.do</x:v>
      </x:c>
      <x:c r="H487" s="8" t="str">
        <x:v>{
  "disease": "유루증",
  "section": "대상별 맞춤 정보",
  "category": "disease"
}</x:v>
      </x:c>
    </x:row>
    <x:row r="488" ht="54" customHeight="1">
      <x:c r="A488" s="8" t="str">
        <x:v>gold-disease-7ce92cca1c30bc27</x:v>
      </x:c>
      <x:c r="B488" s="8" t="str">
        <x:v>kdca-6311-18</x:v>
      </x:c>
      <x:c r="C488" s="8" t="str">
        <x:v>kdca-6311-18</x:v>
      </x:c>
      <x:c r="D488" s="8" t="str">
        <x:v>근거와 함께 답변</x:v>
      </x:c>
      <x:c r="E488" s="15" t="n">
        <x:v>486</x:v>
      </x:c>
      <x:c r="F488" s="8" t="str">
        <x:v>기존 검증 정답</x:v>
      </x:c>
      <x:c r="G488" s="8" t="str">
        <x:v>https://health.kdca.go.kr/healthinfo/biz/health/gnrlzHealthInfo/gnrlzHealthInfo/gnrlzHealthInfoMain.do</x:v>
      </x:c>
      <x:c r="H488" s="8" t="str">
        <x:v>{
  "disease": "스포츠 손상과 안전(견관절(어깨 관절) 손상)",
  "section": "종류 / 예방 및 대처",
  "category": "disease"
}</x:v>
      </x:c>
    </x:row>
    <x:row r="489" ht="54" customHeight="1">
      <x:c r="A489" s="8" t="str">
        <x:v>gold-disease-1ef68089106f1307</x:v>
      </x:c>
      <x:c r="B489" s="8" t="str">
        <x:v>kdca-5463-11</x:v>
      </x:c>
      <x:c r="C489" s="8" t="str">
        <x:v>kdca-5463-11</x:v>
      </x:c>
      <x:c r="D489" s="8" t="str">
        <x:v>근거와 함께 답변</x:v>
      </x:c>
      <x:c r="E489" s="15" t="n">
        <x:v>487</x:v>
      </x:c>
      <x:c r="F489" s="8" t="str">
        <x:v>기존 검증 정답</x:v>
      </x:c>
      <x:c r="G489" s="8" t="str">
        <x:v>https://health.kdca.go.kr/healthinfo/biz/health/gnrlzHealthInfo/gnrlzHealthInfo/gnrlzHealthInfoMain.do</x:v>
      </x:c>
      <x:c r="H489" s="8" t="str">
        <x:v>{
  "disease": "골절",
  "section": "진단 및 검사 / 치료",
  "category": "disease"
}</x:v>
      </x:c>
    </x:row>
    <x:row r="490" ht="54" customHeight="1">
      <x:c r="A490" s="8" t="str">
        <x:v>gold-disease-88a4b0cdc44f4430</x:v>
      </x:c>
      <x:c r="B490" s="8" t="str">
        <x:v>kdca-5238-7</x:v>
      </x:c>
      <x:c r="C490" s="8" t="str">
        <x:v>kdca-5238-7</x:v>
      </x:c>
      <x:c r="D490" s="8" t="str">
        <x:v>근거와 함께 답변</x:v>
      </x:c>
      <x:c r="E490" s="15" t="n">
        <x:v>488</x:v>
      </x:c>
      <x:c r="F490" s="8" t="str">
        <x:v>기존 검증 정답</x:v>
      </x:c>
      <x:c r="G490" s="8" t="str">
        <x:v>https://health.kdca.go.kr/healthinfo/biz/health/gnrlzHealthInfo/gnrlzHealthInfo/gnrlzHealthInfoMain.do</x:v>
      </x:c>
      <x:c r="H490" s="8" t="str">
        <x:v>{
  "disease": "연조직염(봉와직염)",
  "section": "치료",
  "category": "disease"
}</x:v>
      </x:c>
    </x:row>
    <x:row r="491" ht="54" customHeight="1">
      <x:c r="A491" s="8" t="str">
        <x:v>gold-disease-3d1fdff1ae84428e</x:v>
      </x:c>
      <x:c r="B491" s="8" t="str">
        <x:v>kdca-6275-10</x:v>
      </x:c>
      <x:c r="C491" s="8" t="str">
        <x:v>kdca-6275-10</x:v>
      </x:c>
      <x:c r="D491" s="8" t="str">
        <x:v>근거와 함께 답변</x:v>
      </x:c>
      <x:c r="E491" s="15" t="n">
        <x:v>489</x:v>
      </x:c>
      <x:c r="F491" s="8" t="str">
        <x:v>VDB 후속 설명 보강</x:v>
      </x:c>
      <x:c r="G491" s="8" t="str">
        <x:v>https://health.kdca.go.kr/healthinfo/biz/health/gnrlzHealthInfo/gnrlzHealthInfo/gnrlzHealthInfoMain.do</x:v>
      </x:c>
      <x:c r="H491" s="8" t="str">
        <x:v>{
  "disease": "얼굴떨림(얼굴연축_눈꺼풀연축)",
  "section": "연관 증상",
  "category": "disease"
}</x:v>
      </x:c>
    </x:row>
    <x:row r="492" ht="54" customHeight="1">
      <x:c r="A492" s="8" t="str">
        <x:v>gold-disease-c967b68c2b483a57</x:v>
      </x:c>
      <x:c r="B492" s="8" t="str">
        <x:v>kdca-5488-14</x:v>
      </x:c>
      <x:c r="C492" s="8" t="str">
        <x:v>kdca-5488-14</x:v>
      </x:c>
      <x:c r="D492" s="8" t="str">
        <x:v>근거와 함께 답변</x:v>
      </x:c>
      <x:c r="E492" s="15" t="n">
        <x:v>490</x:v>
      </x:c>
      <x:c r="F492" s="8" t="str">
        <x:v>기존 검증 정답</x:v>
      </x:c>
      <x:c r="G492" s="8" t="str">
        <x:v>https://health.kdca.go.kr/healthinfo/biz/health/gnrlzHealthInfo/gnrlzHealthInfo/gnrlzHealthInfoMain.do</x:v>
      </x:c>
      <x:c r="H492" s="8" t="str">
        <x:v>{
  "disease": "코뼈 골절",
  "section": "증상",
  "category": "disease"
}</x:v>
      </x:c>
    </x:row>
    <x:row r="493" ht="54" customHeight="1">
      <x:c r="A493" s="8" t="str">
        <x:v>gold-disease-670e90e6cef9d03c</x:v>
      </x:c>
      <x:c r="B493" s="8" t="str">
        <x:v>kdca-1322-4</x:v>
      </x:c>
      <x:c r="C493" s="8" t="str">
        <x:v>kdca-1322-4</x:v>
      </x:c>
      <x:c r="D493" s="8" t="str">
        <x:v>근거와 함께 답변</x:v>
      </x:c>
      <x:c r="E493" s="15" t="n">
        <x:v>491</x:v>
      </x:c>
      <x:c r="F493" s="8" t="str">
        <x:v>VDB 후속 설명 보강</x:v>
      </x:c>
      <x:c r="G493" s="8" t="str">
        <x:v>https://health.kdca.go.kr/healthinfo/biz/health/gnrlzHealthInfo/gnrlzHealthInfo/gnrlzHealthInfoMain.do</x:v>
      </x:c>
      <x:c r="H493" s="8" t="str">
        <x:v>{
  "disease": "갑상선염",
  "section": "증상",
  "category": "disease"
}</x:v>
      </x:c>
    </x:row>
    <x:row r="494" ht="54" customHeight="1">
      <x:c r="A494" s="8" t="str">
        <x:v>gold-disease-d02d1a1eded8ca64</x:v>
      </x:c>
      <x:c r="B494" s="8" t="str">
        <x:v>kdca-6254-13</x:v>
      </x:c>
      <x:c r="C494" s="8" t="str">
        <x:v>kdca-6254-13</x:v>
      </x:c>
      <x:c r="D494" s="8" t="str">
        <x:v>근거와 함께 답변</x:v>
      </x:c>
      <x:c r="E494" s="15" t="n">
        <x:v>492</x:v>
      </x:c>
      <x:c r="F494" s="8" t="str">
        <x:v>기존 검증 정답</x:v>
      </x:c>
      <x:c r="G494" s="8" t="str">
        <x:v>https://health.kdca.go.kr/healthinfo/biz/health/gnrlzHealthInfo/gnrlzHealthInfo/gnrlzHealthInfoMain.do</x:v>
      </x:c>
      <x:c r="H494" s="8" t="str">
        <x:v>{
  "disease": "고혈압과 눈(고혈압망막병증)",
  "section": "합병증 / 지원체계 / 자주하는 질문",
  "category": "disease"
}</x:v>
      </x:c>
    </x:row>
    <x:row r="495" ht="54" customHeight="1">
      <x:c r="A495" s="8" t="str">
        <x:v>gold-disease-e129c05bd3cf6eb7</x:v>
      </x:c>
      <x:c r="B495" s="8" t="str">
        <x:v>kdca-6581-3</x:v>
      </x:c>
      <x:c r="C495" s="8" t="str">
        <x:v>kdca-6581-3</x:v>
      </x:c>
      <x:c r="D495" s="8" t="str">
        <x:v>근거와 함께 답변</x:v>
      </x:c>
      <x:c r="E495" s="15" t="n">
        <x:v>493</x:v>
      </x:c>
      <x:c r="F495" s="8" t="str">
        <x:v>기존 검증 정답</x:v>
      </x:c>
      <x:c r="G495" s="8" t="str">
        <x:v>https://health.kdca.go.kr/healthinfo/biz/health/gnrlzHealthInfo/gnrlzHealthInfo/gnrlzHealthInfoMain.do</x:v>
      </x:c>
      <x:c r="H495" s="8" t="str">
        <x:v>{
  "disease": "두드러기",
  "section": "개요",
  "category": "disease"
}</x:v>
      </x:c>
    </x:row>
    <x:row r="496" ht="54" customHeight="1">
      <x:c r="A496" s="8" t="str">
        <x:v>gold-disease-ef7e77be48999aee</x:v>
      </x:c>
      <x:c r="B496" s="8" t="str">
        <x:v>kdca-5233-13</x:v>
      </x:c>
      <x:c r="C496" s="8" t="str">
        <x:v>kdca-5233-13</x:v>
      </x:c>
      <x:c r="D496" s="8" t="str">
        <x:v>근거와 함께 답변</x:v>
      </x:c>
      <x:c r="E496" s="15" t="n">
        <x:v>494</x:v>
      </x:c>
      <x:c r="F496" s="8" t="str">
        <x:v>VDB 후속 설명 보강</x:v>
      </x:c>
      <x:c r="G496" s="8" t="str">
        <x:v>https://health.kdca.go.kr/healthinfo/biz/health/gnrlzHealthInfo/gnrlzHealthInfo/gnrlzHealthInfoMain.do</x:v>
      </x:c>
      <x:c r="H496" s="8" t="str">
        <x:v>{
  "disease": "중증열성혈소판감소증후군(SFTS)",
  "section": "예방 및 예방접종",
  "category": "disease"
}</x:v>
      </x:c>
    </x:row>
    <x:row r="497" ht="54" customHeight="1">
      <x:c r="A497" s="8" t="str">
        <x:v>gold-disease-62d41533f9da3d6f</x:v>
      </x:c>
      <x:c r="B497" s="8" t="str">
        <x:v>kdca-6250-12</x:v>
      </x:c>
      <x:c r="C497" s="8" t="str">
        <x:v>kdca-6250-12</x:v>
      </x:c>
      <x:c r="D497" s="8" t="str">
        <x:v>근거와 함께 답변</x:v>
      </x:c>
      <x:c r="E497" s="15" t="n">
        <x:v>495</x:v>
      </x:c>
      <x:c r="F497" s="8" t="str">
        <x:v>기존 검증 정답</x:v>
      </x:c>
      <x:c r="G497" s="8" t="str">
        <x:v>https://health.kdca.go.kr/healthinfo/biz/health/gnrlzHealthInfo/gnrlzHealthInfo/gnrlzHealthInfoMain.do</x:v>
      </x:c>
      <x:c r="H497" s="8" t="str">
        <x:v>{
  "disease": "태변흡입증후군",
  "section": "증상",
  "category": "disease"
}</x:v>
      </x:c>
    </x:row>
    <x:row r="498" ht="54" customHeight="1">
      <x:c r="A498" s="8" t="str">
        <x:v>gold-disease-55537d519ce868ac</x:v>
      </x:c>
      <x:c r="B498" s="8" t="str">
        <x:v>kdca-2970-3</x:v>
      </x:c>
      <x:c r="C498" s="8" t="str">
        <x:v>kdca-2970-3</x:v>
      </x:c>
      <x:c r="D498" s="8" t="str">
        <x:v>근거와 함께 답변</x:v>
      </x:c>
      <x:c r="E498" s="15" t="n">
        <x:v>496</x:v>
      </x:c>
      <x:c r="F498" s="8" t="str">
        <x:v>기존 검증 정답</x:v>
      </x:c>
      <x:c r="G498" s="8" t="str">
        <x:v>https://health.kdca.go.kr/healthinfo/biz/health/gnrlzHealthInfo/gnrlzHealthInfo/gnrlzHealthInfoMain.do</x:v>
      </x:c>
      <x:c r="H498" s="8" t="str">
        <x:v>{
  "disease": "심낭염(심장눌림증)",
  "section": "증상 / 진단 및 검사",
  "category": "disease"
}</x:v>
      </x:c>
    </x:row>
    <x:row r="499" ht="54" customHeight="1">
      <x:c r="A499" s="8" t="str">
        <x:v>gold-disease-4d16ad4e8c8a38d3</x:v>
      </x:c>
      <x:c r="B499" s="8" t="str">
        <x:v>kdca-5827-28</x:v>
      </x:c>
      <x:c r="C499" s="8" t="str">
        <x:v>kdca-5827-28</x:v>
      </x:c>
      <x:c r="D499" s="8" t="str">
        <x:v>근거와 함께 답변</x:v>
      </x:c>
      <x:c r="E499" s="15" t="n">
        <x:v>497</x:v>
      </x:c>
      <x:c r="F499" s="8" t="str">
        <x:v>VDB 후속 설명 보강</x:v>
      </x:c>
      <x:c r="G499" s="8" t="str">
        <x:v>https://health.kdca.go.kr/healthinfo/biz/health/gnrlzHealthInfo/gnrlzHealthInfo/gnrlzHealthInfoMain.do</x:v>
      </x:c>
      <x:c r="H499" s="8" t="str">
        <x:v>{
  "disease": "변비",
  "section": "치료",
  "category": "disease"
}</x:v>
      </x:c>
    </x:row>
    <x:row r="500" ht="54" customHeight="1">
      <x:c r="A500" s="8" t="str">
        <x:v>gold-disease-8a39cfdc1f812d11</x:v>
      </x:c>
      <x:c r="B500" s="8" t="str">
        <x:v>kdca-5850-2</x:v>
      </x:c>
      <x:c r="C500" s="8" t="str">
        <x:v>kdca-5850-2</x:v>
      </x:c>
      <x:c r="D500" s="8" t="str">
        <x:v>근거와 함께 답변</x:v>
      </x:c>
      <x:c r="E500" s="15" t="n">
        <x:v>498</x:v>
      </x:c>
      <x:c r="F500" s="8" t="str">
        <x:v>기존 검증 정답</x:v>
      </x:c>
      <x:c r="G500" s="8" t="str">
        <x:v>https://health.kdca.go.kr/healthinfo/biz/health/gnrlzHealthInfo/gnrlzHealthInfo/gnrlzHealthInfoMain.do</x:v>
      </x:c>
      <x:c r="H500" s="8" t="str">
        <x:v>{
  "disease": "외상성 척수손상",
  "section": "개요",
  "category": "disease"
}</x:v>
      </x:c>
    </x:row>
    <x:row r="501" ht="54" customHeight="1">
      <x:c r="A501" s="8" t="str">
        <x:v>gold-disease-400829c047f30168</x:v>
      </x:c>
      <x:c r="B501" s="8" t="str">
        <x:v>kdca-5261-0</x:v>
      </x:c>
      <x:c r="C501" s="8" t="str">
        <x:v>kdca-5261-0</x:v>
      </x:c>
      <x:c r="D501" s="8" t="str">
        <x:v>근거와 함께 답변</x:v>
      </x:c>
      <x:c r="E501" s="15" t="n">
        <x:v>499</x:v>
      </x:c>
      <x:c r="F501" s="8" t="str">
        <x:v>VDB 정의 문장 재선정</x:v>
      </x:c>
      <x:c r="G501" s="8" t="str">
        <x:v>https://health.kdca.go.kr/healthinfo/biz/health/gnrlzHealthInfo/gnrlzHealthInfo/gnrlzHealthInfoMain.do</x:v>
      </x:c>
      <x:c r="H501" s="8" t="str">
        <x:v>{
  "disease": "쯔쯔가무시증",
  "section": "요약문",
  "category": "disease"
}</x:v>
      </x:c>
    </x:row>
    <x:row r="502" ht="54" customHeight="1">
      <x:c r="A502" s="8" t="str">
        <x:v>gold-disease-04bec798fbf3a15c</x:v>
      </x:c>
      <x:c r="B502" s="8" t="str">
        <x:v>kdca-6288-11</x:v>
      </x:c>
      <x:c r="C502" s="8" t="str">
        <x:v>kdca-6288-11</x:v>
      </x:c>
      <x:c r="D502" s="8" t="str">
        <x:v>근거와 함께 답변</x:v>
      </x:c>
      <x:c r="E502" s="15" t="n">
        <x:v>500</x:v>
      </x:c>
      <x:c r="F502" s="8" t="str">
        <x:v>기존 검증 정답</x:v>
      </x:c>
      <x:c r="G502" s="8" t="str">
        <x:v>https://health.kdca.go.kr/healthinfo/biz/health/gnrlzHealthInfo/gnrlzHealthInfo/gnrlzHealthInfoMain.do</x:v>
      </x:c>
      <x:c r="H502" s="8" t="str">
        <x:v>{
  "disease": "충치",
  "section": "역학 및 통계 / 증상",
  "category": "disease"
}</x:v>
      </x:c>
    </x:row>
    <x:row r="503" ht="54" customHeight="1">
      <x:c r="A503" s="8" t="str">
        <x:v>gold-disease-c45771d4a9915a3b</x:v>
      </x:c>
      <x:c r="B503" s="8" t="str">
        <x:v>kdca-6543-35</x:v>
      </x:c>
      <x:c r="C503" s="8" t="str">
        <x:v>kdca-6543-35</x:v>
      </x:c>
      <x:c r="D503" s="8" t="str">
        <x:v>근거와 함께 답변</x:v>
      </x:c>
      <x:c r="E503" s="15" t="n">
        <x:v>501</x:v>
      </x:c>
      <x:c r="F503" s="8" t="str">
        <x:v>VDB 후속 설명 보강</x:v>
      </x:c>
      <x:c r="G503" s="8" t="str">
        <x:v>https://health.kdca.go.kr/healthinfo/biz/health/gnrlzHealthInfo/gnrlzHealthInfo/gnrlzHealthInfoMain.do</x:v>
      </x:c>
      <x:c r="H503" s="8" t="str">
        <x:v>{
  "disease": "객혈",
  "section": "비약물 치료 / 예방",
  "category": "symptom"
}</x:v>
      </x:c>
    </x:row>
    <x:row r="504" ht="54" customHeight="1">
      <x:c r="A504" s="8" t="str">
        <x:v>gold-disease-46c2fa5a99e2eeb3</x:v>
      </x:c>
      <x:c r="B504" s="8" t="str">
        <x:v>kdca-5488-43</x:v>
      </x:c>
      <x:c r="C504" s="8" t="str">
        <x:v>kdca-5488-43</x:v>
      </x:c>
      <x:c r="D504" s="8" t="str">
        <x:v>근거와 함께 답변</x:v>
      </x:c>
      <x:c r="E504" s="15" t="n">
        <x:v>502</x:v>
      </x:c>
      <x:c r="F504" s="8" t="str">
        <x:v>기존 검증 정답</x:v>
      </x:c>
      <x:c r="G504" s="8" t="str">
        <x:v>https://health.kdca.go.kr/healthinfo/biz/health/gnrlzHealthInfo/gnrlzHealthInfo/gnrlzHealthInfoMain.do</x:v>
      </x:c>
      <x:c r="H504" s="8" t="str">
        <x:v>{
  "disease": "코뼈 골절",
  "section": "대상별 맞춤 정보",
  "category": "disease"
}</x:v>
      </x:c>
    </x:row>
    <x:row r="505" ht="54" customHeight="1">
      <x:c r="A505" s="8" t="str">
        <x:v>gold-disease-6ec6da3273460a16</x:v>
      </x:c>
      <x:c r="B505" s="8" t="str">
        <x:v>kdca-6677-25</x:v>
      </x:c>
      <x:c r="C505" s="8" t="str">
        <x:v>kdca-6677-25</x:v>
      </x:c>
      <x:c r="D505" s="8" t="str">
        <x:v>근거와 함께 답변</x:v>
      </x:c>
      <x:c r="E505" s="15" t="n">
        <x:v>503</x:v>
      </x:c>
      <x:c r="F505" s="8" t="str">
        <x:v>기존 검증 정답</x:v>
      </x:c>
      <x:c r="G505" s="8" t="str">
        <x:v>https://health.kdca.go.kr/healthinfo/biz/health/gnrlzHealthInfo/gnrlzHealthInfo/gnrlzHealthInfoMain.do</x:v>
      </x:c>
      <x:c r="H505" s="8" t="str">
        <x:v>{
  "disease": "코로나바이러스감염증-19",
  "section": "증상",
  "category": "disease"
}</x:v>
      </x:c>
    </x:row>
    <x:row r="506" ht="54" customHeight="1">
      <x:c r="A506" s="8" t="str">
        <x:v>gold-disease-580b2c41915f7d65</x:v>
      </x:c>
      <x:c r="B506" s="8" t="str">
        <x:v>kdca-5865-35</x:v>
      </x:c>
      <x:c r="C506" s="8" t="str">
        <x:v>kdca-5865-35</x:v>
      </x:c>
      <x:c r="D506" s="8" t="str">
        <x:v>근거와 함께 답변</x:v>
      </x:c>
      <x:c r="E506" s="15" t="n">
        <x:v>504</x:v>
      </x:c>
      <x:c r="F506" s="8" t="str">
        <x:v>VDB 후속 설명 보강</x:v>
      </x:c>
      <x:c r="G506" s="8" t="str">
        <x:v>https://health.kdca.go.kr/healthinfo/biz/health/gnrlzHealthInfo/gnrlzHealthInfo/gnrlzHealthInfoMain.do</x:v>
      </x:c>
      <x:c r="H506" s="8" t="str">
        <x:v>{
  "disease": "림프절 종대",
  "section": "증상 / 진단 및 검사",
  "category": "disease"
}</x:v>
      </x:c>
    </x:row>
    <x:row r="507" ht="54" customHeight="1">
      <x:c r="A507" s="8" t="str">
        <x:v>gold-disease-b4af0f0d02709f58</x:v>
      </x:c>
      <x:c r="B507" s="8" t="str">
        <x:v>kdca-5526-3</x:v>
      </x:c>
      <x:c r="C507" s="8" t="str">
        <x:v>kdca-5526-3</x:v>
      </x:c>
      <x:c r="D507" s="8" t="str">
        <x:v>근거와 함께 답변</x:v>
      </x:c>
      <x:c r="E507" s="15" t="n">
        <x:v>505</x:v>
      </x:c>
      <x:c r="F507" s="8" t="str">
        <x:v>VDB 원인·위험요인 청크 재선정</x:v>
      </x:c>
      <x:c r="G507" s="8" t="str">
        <x:v>https://health.kdca.go.kr/healthinfo/biz/health/gnrlzHealthInfo/gnrlzHealthInfo/gnrlzHealthInfoMain.do</x:v>
      </x:c>
      <x:c r="H507" s="8" t="str">
        <x:v>{
  "disease": "광동주혈선충증",
  "section": "원인 및 감염경로 / 역학 및 통계",
  "category": "disease"
}</x:v>
      </x:c>
    </x:row>
    <x:row r="508" ht="54" customHeight="1">
      <x:c r="A508" s="8" t="str">
        <x:v>gold-disease-ff9b95b81b17074b</x:v>
      </x:c>
      <x:c r="B508" s="8" t="str">
        <x:v>kdca-6320-0</x:v>
      </x:c>
      <x:c r="C508" s="8" t="str">
        <x:v>kdca-6320-0</x:v>
      </x:c>
      <x:c r="D508" s="8" t="str">
        <x:v>근거와 함께 답변</x:v>
      </x:c>
      <x:c r="E508" s="15" t="n">
        <x:v>506</x:v>
      </x:c>
      <x:c r="F508" s="8" t="str">
        <x:v>기존 검증 정답</x:v>
      </x:c>
      <x:c r="G508" s="8" t="str">
        <x:v>https://health.kdca.go.kr/healthinfo/biz/health/gnrlzHealthInfo/gnrlzHealthInfo/gnrlzHealthInfoMain.do</x:v>
      </x:c>
      <x:c r="H508" s="8" t="str">
        <x:v>{
  "disease": "치통 및 만성 통증(치통)",
  "section": "요약문",
  "category": "symptom"
}</x:v>
      </x:c>
    </x:row>
    <x:row r="509" ht="54" customHeight="1">
      <x:c r="A509" s="8" t="str">
        <x:v>gold-disease-93c4c2940961e9e4</x:v>
      </x:c>
      <x:c r="B509" s="8" t="str">
        <x:v>kdca-6788-38</x:v>
      </x:c>
      <x:c r="C509" s="8" t="str">
        <x:v>kdca-6788-38</x:v>
      </x:c>
      <x:c r="D509" s="8" t="str">
        <x:v>근거와 함께 답변</x:v>
      </x:c>
      <x:c r="E509" s="15" t="n">
        <x:v>507</x:v>
      </x:c>
      <x:c r="F509" s="8" t="str">
        <x:v>기존 검증 정답</x:v>
      </x:c>
      <x:c r="G509" s="8" t="str">
        <x:v>https://health.kdca.go.kr/healthinfo/biz/health/gnrlzHealthInfo/gnrlzHealthInfo/gnrlzHealthInfoMain.do</x:v>
      </x:c>
      <x:c r="H509" s="8" t="str">
        <x:v>{
  "disease": "우울감",
  "section": "증상 / 자가 평가",
  "category": "disease"
}</x:v>
      </x:c>
    </x:row>
    <x:row r="510" ht="54" customHeight="1">
      <x:c r="A510" s="8" t="str">
        <x:v>gold-disease-35204d7bbfbca4ed</x:v>
      </x:c>
      <x:c r="B510" s="8" t="str">
        <x:v>kdca-6305-17</x:v>
      </x:c>
      <x:c r="C510" s="8" t="str">
        <x:v>kdca-6305-17</x:v>
      </x:c>
      <x:c r="D510" s="8" t="str">
        <x:v>근거와 함께 답변</x:v>
      </x:c>
      <x:c r="E510" s="15" t="n">
        <x:v>508</x:v>
      </x:c>
      <x:c r="F510" s="8" t="str">
        <x:v>기존 검증 정답</x:v>
      </x:c>
      <x:c r="G510" s="8" t="str">
        <x:v>https://health.kdca.go.kr/healthinfo/biz/health/gnrlzHealthInfo/gnrlzHealthInfo/gnrlzHealthInfoMain.do</x:v>
      </x:c>
      <x:c r="H510" s="8" t="str">
        <x:v>{
  "disease": "수두증(소아)",
  "section": "비약물 치료 / 정기 진찰 / 합병증",
  "category": "disease"
}</x:v>
      </x:c>
    </x:row>
    <x:row r="511" ht="54" customHeight="1">
      <x:c r="A511" s="8" t="str">
        <x:v>gold-disease-2bc0a85e554245d0</x:v>
      </x:c>
      <x:c r="B511" s="8" t="str">
        <x:v>kdca-5223-14</x:v>
      </x:c>
      <x:c r="C511" s="8" t="str">
        <x:v>kdca-5223-14</x:v>
      </x:c>
      <x:c r="D511" s="8" t="str">
        <x:v>근거와 함께 답변</x:v>
      </x:c>
      <x:c r="E511" s="15" t="n">
        <x:v>509</x:v>
      </x:c>
      <x:c r="F511" s="8" t="str">
        <x:v>VDB 후속 설명 보강</x:v>
      </x:c>
      <x:c r="G511" s="8" t="str">
        <x:v>https://health.kdca.go.kr/healthinfo/biz/health/gnrlzHealthInfo/gnrlzHealthInfo/gnrlzHealthInfoMain.do</x:v>
      </x:c>
      <x:c r="H511" s="8" t="str">
        <x:v>{
  "disease": "비문증(날파리증)",
  "section": "증상",
  "category": "disease"
}</x:v>
      </x:c>
    </x:row>
    <x:row r="512" ht="54" customHeight="1">
      <x:c r="A512" s="8" t="str">
        <x:v>gold-disease-4926f06264c7f0e4</x:v>
      </x:c>
      <x:c r="B512" s="8" t="str">
        <x:v>kdca-5479-5</x:v>
      </x:c>
      <x:c r="C512" s="8" t="str">
        <x:v>kdca-5479-5</x:v>
      </x:c>
      <x:c r="D512" s="8" t="str">
        <x:v>근거와 함께 답변</x:v>
      </x:c>
      <x:c r="E512" s="15" t="n">
        <x:v>510</x:v>
      </x:c>
      <x:c r="F512" s="8" t="str">
        <x:v>VDB 후속 설명 보강</x:v>
      </x:c>
      <x:c r="G512" s="8" t="str">
        <x:v>https://health.kdca.go.kr/healthinfo/biz/health/gnrlzHealthInfo/gnrlzHealthInfo/gnrlzHealthInfoMain.do</x:v>
      </x:c>
      <x:c r="H512" s="8" t="str">
        <x:v>{
  "disease": "정계정맥류",
  "section": "증상",
  "category": "disease"
}</x:v>
      </x:c>
    </x:row>
    <x:row r="513" ht="54" customHeight="1">
      <x:c r="A513" s="8" t="str">
        <x:v>gold-disease-61aabf91c1f7eca6</x:v>
      </x:c>
      <x:c r="B513" s="8" t="str">
        <x:v>kdca-6580-8</x:v>
      </x:c>
      <x:c r="C513" s="8" t="str">
        <x:v>kdca-6580-8</x:v>
      </x:c>
      <x:c r="D513" s="8" t="str">
        <x:v>근거와 함께 답변</x:v>
      </x:c>
      <x:c r="E513" s="15" t="n">
        <x:v>511</x:v>
      </x:c>
      <x:c r="F513" s="8" t="str">
        <x:v>VDB 원인·위험요인 청크 재선정</x:v>
      </x:c>
      <x:c r="G513" s="8" t="str">
        <x:v>https://health.kdca.go.kr/healthinfo/biz/health/gnrlzHealthInfo/gnrlzHealthInfo/gnrlzHealthInfoMain.do</x:v>
      </x:c>
      <x:c r="H513" s="8" t="str">
        <x:v>{
  "disease": "동맥관 개존증",
  "section": "정의 / 원인 / 경과 및 예후",
  "category": "disease"
}</x:v>
      </x:c>
    </x:row>
    <x:row r="514" ht="54" customHeight="1">
      <x:c r="A514" s="8" t="str">
        <x:v>gold-disease-988851efd42dfbf5</x:v>
      </x:c>
      <x:c r="B514" s="8" t="str">
        <x:v>kdca-6247-9</x:v>
      </x:c>
      <x:c r="C514" s="8" t="str">
        <x:v>kdca-6247-9</x:v>
      </x:c>
      <x:c r="D514" s="8" t="str">
        <x:v>근거와 함께 답변</x:v>
      </x:c>
      <x:c r="E514" s="15" t="n">
        <x:v>512</x:v>
      </x:c>
      <x:c r="F514" s="8" t="str">
        <x:v>기존 검증 정답</x:v>
      </x:c>
      <x:c r="G514" s="8" t="str">
        <x:v>https://health.kdca.go.kr/healthinfo/biz/health/gnrlzHealthInfo/gnrlzHealthInfo/gnrlzHealthInfoMain.do</x:v>
      </x:c>
      <x:c r="H514" s="8" t="str">
        <x:v>{
  "disease": "일본뇌염",
  "section": "증상",
  "category": "disease"
}</x:v>
      </x:c>
    </x:row>
    <x:row r="515" ht="54" customHeight="1">
      <x:c r="A515" s="8" t="str">
        <x:v>gold-disease-7f980c3ce690b852</x:v>
      </x:c>
      <x:c r="B515" s="8" t="str">
        <x:v>kdca-5809-55</x:v>
      </x:c>
      <x:c r="C515" s="8" t="str">
        <x:v>kdca-5809-55</x:v>
      </x:c>
      <x:c r="D515" s="8" t="str">
        <x:v>근거와 함께 답변</x:v>
      </x:c>
      <x:c r="E515" s="15" t="n">
        <x:v>513</x:v>
      </x:c>
      <x:c r="F515" s="8" t="str">
        <x:v>VDB 후속 설명 보강</x:v>
      </x:c>
      <x:c r="G515" s="8" t="str">
        <x:v>https://health.kdca.go.kr/healthinfo/biz/health/gnrlzHealthInfo/gnrlzHealthInfo/gnrlzHealthInfoMain.do</x:v>
      </x:c>
      <x:c r="H515" s="8" t="str">
        <x:v>{
  "disease": "파킨슨병",
  "section": "약물 치료",
  "category": "disease"
}</x:v>
      </x:c>
    </x:row>
    <x:row r="516" ht="54" customHeight="1">
      <x:c r="A516" s="8" t="str">
        <x:v>gold-disease-d717145482ba139f</x:v>
      </x:c>
      <x:c r="B516" s="8" t="str">
        <x:v>kdca-5691-0</x:v>
      </x:c>
      <x:c r="C516" s="8" t="str">
        <x:v>kdca-5691-0</x:v>
      </x:c>
      <x:c r="D516" s="8" t="str">
        <x:v>근거와 함께 답변</x:v>
      </x:c>
      <x:c r="E516" s="15" t="n">
        <x:v>514</x:v>
      </x:c>
      <x:c r="F516" s="8" t="str">
        <x:v>VDB 정의 문장 재선정</x:v>
      </x:c>
      <x:c r="G516" s="8" t="str">
        <x:v>https://health.kdca.go.kr/healthinfo/biz/health/gnrlzHealthInfo/gnrlzHealthInfo/gnrlzHealthInfoMain.do</x:v>
      </x:c>
      <x:c r="H516" s="8" t="str">
        <x:v>{
  "disease": "굳은살과 티눈",
  "section": "요약문",
  "category": "disease"
}</x:v>
      </x:c>
    </x:row>
    <x:row r="517" ht="54" customHeight="1">
      <x:c r="A517" s="8" t="str">
        <x:v>gold-disease-4b343479defcca29</x:v>
      </x:c>
      <x:c r="B517" s="8" t="str">
        <x:v>kdca-6252-29</x:v>
      </x:c>
      <x:c r="C517" s="8" t="str">
        <x:v>kdca-6252-29</x:v>
      </x:c>
      <x:c r="D517" s="8" t="str">
        <x:v>근거와 함께 답변</x:v>
      </x:c>
      <x:c r="E517" s="15" t="n">
        <x:v>515</x:v>
      </x:c>
      <x:c r="F517" s="8" t="str">
        <x:v>VDB 후속 설명 보강</x:v>
      </x:c>
      <x:c r="G517" s="8" t="str">
        <x:v>https://health.kdca.go.kr/healthinfo/biz/health/gnrlzHealthInfo/gnrlzHealthInfo/gnrlzHealthInfoMain.do</x:v>
      </x:c>
      <x:c r="H517" s="8" t="str">
        <x:v>{
  "disease": "딸꾹질",
  "section": "예방 / 자가 관리",
  "category": "symptom"
}</x:v>
      </x:c>
    </x:row>
    <x:row r="518" ht="54" customHeight="1">
      <x:c r="A518" s="8" t="str">
        <x:v>gold-disease-8fc0293eab882ed8</x:v>
      </x:c>
      <x:c r="B518" s="8" t="str">
        <x:v>kdca-6554-19</x:v>
      </x:c>
      <x:c r="C518" s="8" t="str">
        <x:v>kdca-6554-19</x:v>
      </x:c>
      <x:c r="D518" s="8" t="str">
        <x:v>근거와 함께 답변</x:v>
      </x:c>
      <x:c r="E518" s="15" t="n">
        <x:v>516</x:v>
      </x:c>
      <x:c r="F518" s="8" t="str">
        <x:v>VDB 후속 설명 보강</x:v>
      </x:c>
      <x:c r="G518" s="8" t="str">
        <x:v>https://health.kdca.go.kr/healthinfo/biz/health/gnrlzHealthInfo/gnrlzHealthInfo/gnrlzHealthInfoMain.do</x:v>
      </x:c>
      <x:c r="H518" s="8" t="str">
        <x:v>{
  "disease": "기관지확장증",
  "section": "증상",
  "category": "disease"
}</x:v>
      </x:c>
    </x:row>
    <x:row r="519" ht="54" customHeight="1">
      <x:c r="A519" s="8" t="str">
        <x:v>gold-disease-43d899459c2ece1b</x:v>
      </x:c>
      <x:c r="B519" s="8" t="str">
        <x:v>kdca-5259-6</x:v>
      </x:c>
      <x:c r="C519" s="8" t="str">
        <x:v>kdca-5259-6</x:v>
      </x:c>
      <x:c r="D519" s="8" t="str">
        <x:v>근거와 함께 답변</x:v>
      </x:c>
      <x:c r="E519" s="15" t="n">
        <x:v>517</x:v>
      </x:c>
      <x:c r="F519" s="8" t="str">
        <x:v>기존 검증 정답</x:v>
      </x:c>
      <x:c r="G519" s="8" t="str">
        <x:v>https://health.kdca.go.kr/healthinfo/biz/health/gnrlzHealthInfo/gnrlzHealthInfo/gnrlzHealthInfoMain.do</x:v>
      </x:c>
      <x:c r="H519" s="8" t="str">
        <x:v>{
  "disease": "저혈압",
  "section": "정의",
  "category": "disease"
}</x:v>
      </x:c>
    </x:row>
    <x:row r="520" ht="54" customHeight="1">
      <x:c r="A520" s="8" t="str">
        <x:v>gold-disease-d529700932873c2e</x:v>
      </x:c>
      <x:c r="B520" s="8" t="str">
        <x:v>kdca-6276-2</x:v>
      </x:c>
      <x:c r="C520" s="8" t="str">
        <x:v>kdca-6276-2</x:v>
      </x:c>
      <x:c r="D520" s="8" t="str">
        <x:v>근거와 함께 답변</x:v>
      </x:c>
      <x:c r="E520" s="15" t="n">
        <x:v>518</x:v>
      </x:c>
      <x:c r="F520" s="8" t="str">
        <x:v>VDB 원인·위험요인 청크 재선정</x:v>
      </x:c>
      <x:c r="G520" s="8" t="str">
        <x:v>https://health.kdca.go.kr/healthinfo/biz/health/gnrlzHealthInfo/gnrlzHealthInfo/gnrlzHealthInfoMain.do</x:v>
      </x:c>
      <x:c r="H520" s="8" t="str">
        <x:v>{
  "disease": "얼굴떨림(얼굴연축_반얼굴연축)",
  "section": "원인",
  "category": "disease"
}</x:v>
      </x:c>
    </x:row>
    <x:row r="521" ht="54" customHeight="1">
      <x:c r="A521" s="8" t="str">
        <x:v>gold-disease-61613c2c8870c799</x:v>
      </x:c>
      <x:c r="B521" s="8" t="str">
        <x:v>kdca-6561-29</x:v>
      </x:c>
      <x:c r="C521" s="8" t="str">
        <x:v>kdca-6561-29</x:v>
      </x:c>
      <x:c r="D521" s="8" t="str">
        <x:v>근거와 함께 답변</x:v>
      </x:c>
      <x:c r="E521" s="15" t="n">
        <x:v>519</x:v>
      </x:c>
      <x:c r="F521" s="8" t="str">
        <x:v>VDB 후속 설명 보강</x:v>
      </x:c>
      <x:c r="G521" s="8" t="str">
        <x:v>https://health.kdca.go.kr/healthinfo/biz/health/gnrlzHealthInfo/gnrlzHealthInfo/gnrlzHealthInfoMain.do</x:v>
      </x:c>
      <x:c r="H521" s="8" t="str">
        <x:v>{
  "disease": "결핵",
  "section": "예방 및 예방접종",
  "category": "disease"
}</x:v>
      </x:c>
    </x:row>
    <x:row r="522" ht="54" customHeight="1">
      <x:c r="A522" s="8" t="str">
        <x:v>gold-disease-00fef59dee5f3f69</x:v>
      </x:c>
      <x:c r="B522" s="8" t="str">
        <x:v>kdca-1382-2</x:v>
      </x:c>
      <x:c r="C522" s="8" t="str">
        <x:v>kdca-1382-2</x:v>
      </x:c>
      <x:c r="D522" s="8" t="str">
        <x:v>근거와 함께 답변</x:v>
      </x:c>
      <x:c r="E522" s="15" t="n">
        <x:v>520</x:v>
      </x:c>
      <x:c r="F522" s="8" t="str">
        <x:v>기존 검증 정답</x:v>
      </x:c>
      <x:c r="G522" s="8" t="str">
        <x:v>https://health.kdca.go.kr/healthinfo/biz/health/gnrlzHealthInfo/gnrlzHealthInfo/gnrlzHealthInfoMain.do</x:v>
      </x:c>
      <x:c r="H522" s="8" t="str">
        <x:v>{
  "disease": "안외상(안와골절)",
  "section": "개요 / 증상",
  "category": "disease"
}</x:v>
      </x:c>
    </x:row>
    <x:row r="523" ht="54" customHeight="1">
      <x:c r="A523" s="8" t="str">
        <x:v>gold-disease-36063ed0678384bf</x:v>
      </x:c>
      <x:c r="B523" s="8" t="str">
        <x:v>kdca-6770-10</x:v>
      </x:c>
      <x:c r="C523" s="8" t="str">
        <x:v>kdca-6770-10</x:v>
      </x:c>
      <x:c r="D523" s="8" t="str">
        <x:v>근거와 함께 답변</x:v>
      </x:c>
      <x:c r="E523" s="15" t="n">
        <x:v>521</x:v>
      </x:c>
      <x:c r="F523" s="8" t="str">
        <x:v>기존 검증 정답</x:v>
      </x:c>
      <x:c r="G523" s="8" t="str">
        <x:v>https://health.kdca.go.kr/healthinfo/biz/health/gnrlzHealthInfo/gnrlzHealthInfo/gnrlzHealthInfoMain.do</x:v>
      </x:c>
      <x:c r="H523" s="8" t="str">
        <x:v>{
  "disease": "급성 심근경색증",
  "section": "역학 및 통계 / 증상",
  "category": "disease"
}</x:v>
      </x:c>
    </x:row>
    <x:row r="524" ht="54" customHeight="1">
      <x:c r="A524" s="8" t="str">
        <x:v>gold-disease-a71fe6bcd9bb6d77</x:v>
      </x:c>
      <x:c r="B524" s="8" t="str">
        <x:v>kdca-5685-10</x:v>
      </x:c>
      <x:c r="C524" s="8" t="str">
        <x:v>kdca-5685-10</x:v>
      </x:c>
      <x:c r="D524" s="8" t="str">
        <x:v>근거와 함께 답변</x:v>
      </x:c>
      <x:c r="E524" s="15" t="n">
        <x:v>522</x:v>
      </x:c>
      <x:c r="F524" s="8" t="str">
        <x:v>VDB 후속 설명 보강</x:v>
      </x:c>
      <x:c r="G524" s="8" t="str">
        <x:v>https://health.kdca.go.kr/healthinfo/biz/health/gnrlzHealthInfo/gnrlzHealthInfo/gnrlzHealthInfoMain.do</x:v>
      </x:c>
      <x:c r="H524" s="8" t="str">
        <x:v>{
  "disease": "유두분비",
  "section": "연관 증상 / 치료",
  "category": "symptom"
}</x:v>
      </x:c>
    </x:row>
    <x:row r="525" ht="54" customHeight="1">
      <x:c r="A525" s="8" t="str">
        <x:v>gold-disease-5bc11fa3286f5f4c</x:v>
      </x:c>
      <x:c r="B525" s="8" t="str">
        <x:v>kdca-5372-17</x:v>
      </x:c>
      <x:c r="C525" s="8" t="str">
        <x:v>kdca-5372-17</x:v>
      </x:c>
      <x:c r="D525" s="8" t="str">
        <x:v>근거와 함께 답변</x:v>
      </x:c>
      <x:c r="E525" s="15" t="n">
        <x:v>523</x:v>
      </x:c>
      <x:c r="F525" s="8" t="str">
        <x:v>기존 검증 정답</x:v>
      </x:c>
      <x:c r="G525" s="8" t="str">
        <x:v>https://health.kdca.go.kr/healthinfo/biz/health/gnrlzHealthInfo/gnrlzHealthInfo/gnrlzHealthInfoMain.do</x:v>
      </x:c>
      <x:c r="H525" s="8" t="str">
        <x:v>{
  "disease": "비브리오 패혈증",
  "section": "예방 및 예방접종",
  "category": "disease"
}</x:v>
      </x:c>
    </x:row>
    <x:row r="526" ht="54" customHeight="1">
      <x:c r="A526" s="8" t="str">
        <x:v>gold-disease-na-ecfb40919af161db</x:v>
      </x:c>
      <x:c r="B526" s="8" t="str"/>
      <x:c r="C526" s="8" t="str"/>
      <x:c r="D526" s="8" t="str">
        <x:v>답변 거부 또는 추가 확인 요청</x:v>
      </x:c>
      <x:c r="E526" s="15" t="n">
        <x:v>524</x:v>
      </x:c>
      <x:c r="F526" s="8" t="str">
        <x:v>답변 거부 기준 문구</x:v>
      </x:c>
      <x:c r="G526" s="8" t="str">
        <x:v>https://health.kdca.go.kr/healthinfo/biz/health/gnrlzHealthInfo/gnrlzHealthInfo/gnrlzHealthInfoMain.do</x:v>
      </x:c>
      <x:c r="H526" s="8" t="str">
        <x:v>{
  "disease": "폴리오",
  "section": "예방 및 예방접종",
  "category": "disease"
}</x:v>
      </x:c>
    </x:row>
    <x:row r="527" ht="54" customHeight="1">
      <x:c r="A527" s="8" t="str">
        <x:v>gold-disease-eb09fc5a0c22833b</x:v>
      </x:c>
      <x:c r="B527" s="8" t="str">
        <x:v>kdca-6807-3</x:v>
      </x:c>
      <x:c r="C527" s="8" t="str">
        <x:v>kdca-6807-3</x:v>
      </x:c>
      <x:c r="D527" s="8" t="str">
        <x:v>근거와 함께 답변</x:v>
      </x:c>
      <x:c r="E527" s="15" t="n">
        <x:v>525</x:v>
      </x:c>
      <x:c r="F527" s="8" t="str">
        <x:v>기존 검증 정답</x:v>
      </x:c>
      <x:c r="G527" s="8" t="str">
        <x:v>https://health.kdca.go.kr/healthinfo/biz/health/gnrlzHealthInfo/gnrlzHealthInfo/gnrlzHealthInfoMain.do</x:v>
      </x:c>
      <x:c r="H527" s="8" t="str">
        <x:v>{
  "disease": "전해질 이상(저칼륨혈증)",
  "section": "원인 / 증상",
  "category": "disease"
}</x:v>
      </x:c>
    </x:row>
    <x:row r="528" ht="54" customHeight="1">
      <x:c r="A528" s="8" t="str">
        <x:v>gold-disease-25f2967c3ebe87c1</x:v>
      </x:c>
      <x:c r="B528" s="8" t="str">
        <x:v>kdca-6322-5</x:v>
      </x:c>
      <x:c r="C528" s="8" t="str">
        <x:v>kdca-6322-5</x:v>
      </x:c>
      <x:c r="D528" s="8" t="str">
        <x:v>근거와 함께 답변</x:v>
      </x:c>
      <x:c r="E528" s="15" t="n">
        <x:v>526</x:v>
      </x:c>
      <x:c r="F528" s="8" t="str">
        <x:v>기존 검증 정답</x:v>
      </x:c>
      <x:c r="G528" s="8" t="str">
        <x:v>https://health.kdca.go.kr/healthinfo/biz/health/gnrlzHealthInfo/gnrlzHealthInfo/gnrlzHealthInfoMain.do</x:v>
      </x:c>
      <x:c r="H528" s="8" t="str">
        <x:v>{
  "disease": "치통 및 만성 통증",
  "section": "개요",
  "category": "symptom"
}</x:v>
      </x:c>
    </x:row>
    <x:row r="529" ht="54" customHeight="1">
      <x:c r="A529" s="8" t="str">
        <x:v>gold-disease-b5a93bb662373746</x:v>
      </x:c>
      <x:c r="B529" s="8" t="str">
        <x:v>kdca-6544-17</x:v>
      </x:c>
      <x:c r="C529" s="8" t="str">
        <x:v>kdca-6544-17</x:v>
      </x:c>
      <x:c r="D529" s="8" t="str">
        <x:v>근거와 함께 답변</x:v>
      </x:c>
      <x:c r="E529" s="15" t="n">
        <x:v>527</x:v>
      </x:c>
      <x:c r="F529" s="8" t="str">
        <x:v>기존 검증 정답</x:v>
      </x:c>
      <x:c r="G529" s="8" t="str">
        <x:v>https://health.kdca.go.kr/healthinfo/biz/health/gnrlzHealthInfo/gnrlzHealthInfo/gnrlzHealthInfoMain.do</x:v>
      </x:c>
      <x:c r="H529" s="8" t="str">
        <x:v>{
  "disease": "부종",
  "section": "진단 및 검사 / 치료",
  "category": "symptom"
}</x:v>
      </x:c>
    </x:row>
    <x:row r="530" ht="54" customHeight="1">
      <x:c r="A530" s="8" t="str">
        <x:v>gold-disease-a08858a6332e5105</x:v>
      </x:c>
      <x:c r="B530" s="8" t="str">
        <x:v>kdca-3338-41</x:v>
      </x:c>
      <x:c r="C530" s="8" t="str">
        <x:v>kdca-3338-41</x:v>
      </x:c>
      <x:c r="D530" s="8" t="str">
        <x:v>근거와 함께 답변</x:v>
      </x:c>
      <x:c r="E530" s="15" t="n">
        <x:v>528</x:v>
      </x:c>
      <x:c r="F530" s="8" t="str">
        <x:v>VDB 후속 설명 보강</x:v>
      </x:c>
      <x:c r="G530" s="8" t="str">
        <x:v>https://health.kdca.go.kr/healthinfo/biz/health/gnrlzHealthInfo/gnrlzHealthInfo/gnrlzHealthInfoMain.do</x:v>
      </x:c>
      <x:c r="H530" s="8" t="str">
        <x:v>{
  "disease": "턱관절 장애",
  "section": "치료",
  "category": "disease"
}</x:v>
      </x:c>
    </x:row>
    <x:row r="531" ht="54" customHeight="1">
      <x:c r="A531" s="8" t="str">
        <x:v>gold-disease-082abff8e1742e52</x:v>
      </x:c>
      <x:c r="B531" s="8" t="str">
        <x:v>kdca-5232-10</x:v>
      </x:c>
      <x:c r="C531" s="8" t="str">
        <x:v>kdca-5232-10</x:v>
      </x:c>
      <x:c r="D531" s="8" t="str">
        <x:v>근거와 함께 답변</x:v>
      </x:c>
      <x:c r="E531" s="15" t="n">
        <x:v>529</x:v>
      </x:c>
      <x:c r="F531" s="8" t="str">
        <x:v>기존 검증 정답</x:v>
      </x:c>
      <x:c r="G531" s="8" t="str">
        <x:v>https://health.kdca.go.kr/healthinfo/biz/health/gnrlzHealthInfo/gnrlzHealthInfo/gnrlzHealthInfoMain.do</x:v>
      </x:c>
      <x:c r="H531" s="8" t="str">
        <x:v>{
  "disease": "인플루엔자",
  "section": "역학 및 통계 / 증상",
  "category": "disease"
}</x:v>
      </x:c>
    </x:row>
    <x:row r="532" ht="54" customHeight="1">
      <x:c r="A532" s="8" t="str">
        <x:v>gold-disease-75051d21089ce840</x:v>
      </x:c>
      <x:c r="B532" s="8" t="str">
        <x:v>kdca-5723-33</x:v>
      </x:c>
      <x:c r="C532" s="8" t="str">
        <x:v>kdca-5723-33</x:v>
      </x:c>
      <x:c r="D532" s="8" t="str">
        <x:v>근거와 함께 답변</x:v>
      </x:c>
      <x:c r="E532" s="15" t="n">
        <x:v>530</x:v>
      </x:c>
      <x:c r="F532" s="8" t="str">
        <x:v>기존 검증 정답</x:v>
      </x:c>
      <x:c r="G532" s="8" t="str">
        <x:v>https://health.kdca.go.kr/healthinfo/biz/health/gnrlzHealthInfo/gnrlzHealthInfo/gnrlzHealthInfoMain.do</x:v>
      </x:c>
      <x:c r="H532" s="8" t="str">
        <x:v>{
  "disease": "신생아 황달",
  "section": "진단 및 검사",
  "category": "disease"
}</x:v>
      </x:c>
    </x:row>
    <x:row r="533" ht="54" customHeight="1">
      <x:c r="A533" s="8" t="str">
        <x:v>gold-disease-51b40718c744e8f4</x:v>
      </x:c>
      <x:c r="B533" s="8" t="str">
        <x:v>kdca-3768-30</x:v>
      </x:c>
      <x:c r="C533" s="8" t="str">
        <x:v>kdca-3768-30</x:v>
      </x:c>
      <x:c r="D533" s="8" t="str">
        <x:v>근거와 함께 답변</x:v>
      </x:c>
      <x:c r="E533" s="15" t="n">
        <x:v>531</x:v>
      </x:c>
      <x:c r="F533" s="8" t="str">
        <x:v>VDB 후속 설명 보강</x:v>
      </x:c>
      <x:c r="G533" s="8" t="str">
        <x:v>https://health.kdca.go.kr/healthinfo/biz/health/gnrlzHealthInfo/gnrlzHealthInfo/gnrlzHealthInfoMain.do</x:v>
      </x:c>
      <x:c r="H533" s="8" t="str">
        <x:v>{
  "disease": "코피(비출혈)",
  "section": "증상 / 진단 및 검사",
  "category": "disease"
}</x:v>
      </x:c>
    </x:row>
    <x:row r="534" ht="54" customHeight="1">
      <x:c r="A534" s="8" t="str">
        <x:v>gold-disease-0a7d51982dd0542e</x:v>
      </x:c>
      <x:c r="B534" s="8" t="str">
        <x:v>kdca-6678-34</x:v>
      </x:c>
      <x:c r="C534" s="8" t="str">
        <x:v>kdca-6678-34</x:v>
      </x:c>
      <x:c r="D534" s="8" t="str">
        <x:v>근거와 함께 답변</x:v>
      </x:c>
      <x:c r="E534" s="15" t="n">
        <x:v>532</x:v>
      </x:c>
      <x:c r="F534" s="8" t="str">
        <x:v>기존 검증 정답</x:v>
      </x:c>
      <x:c r="G534" s="8" t="str">
        <x:v>https://health.kdca.go.kr/healthinfo/biz/health/gnrlzHealthInfo/gnrlzHealthInfo/gnrlzHealthInfoMain.do</x:v>
      </x:c>
      <x:c r="H534" s="8" t="str">
        <x:v>{
  "disease": "성매개감염병",
  "section": "증상",
  "category": "disease"
}</x:v>
      </x:c>
    </x:row>
    <x:row r="535" ht="54" customHeight="1">
      <x:c r="A535" s="8" t="str">
        <x:v>gold-disease-407f58ba847b4e23</x:v>
      </x:c>
      <x:c r="B535" s="8" t="str">
        <x:v>kdca-6746-1</x:v>
      </x:c>
      <x:c r="C535" s="8" t="str">
        <x:v>kdca-6746-1</x:v>
      </x:c>
      <x:c r="D535" s="8" t="str">
        <x:v>근거와 함께 답변</x:v>
      </x:c>
      <x:c r="E535" s="15" t="n">
        <x:v>533</x:v>
      </x:c>
      <x:c r="F535" s="8" t="str">
        <x:v>기존 검증 정답</x:v>
      </x:c>
      <x:c r="G535" s="8" t="str">
        <x:v>https://health.kdca.go.kr/healthinfo/biz/health/gnrlzHealthInfo/gnrlzHealthInfo/gnrlzHealthInfoMain.do</x:v>
      </x:c>
      <x:c r="H535" s="8" t="str">
        <x:v>{
  "disease": "무릎 연골 손상",
  "section": "개요",
  "category": "disease"
}</x:v>
      </x:c>
    </x:row>
    <x:row r="536" ht="54" customHeight="1">
      <x:c r="A536" s="8" t="str">
        <x:v>gold-disease-602a9d9d0781f07e</x:v>
      </x:c>
      <x:c r="B536" s="8" t="str">
        <x:v>kdca-6770-27</x:v>
      </x:c>
      <x:c r="C536" s="8" t="str">
        <x:v>kdca-6770-27</x:v>
      </x:c>
      <x:c r="D536" s="8" t="str">
        <x:v>근거와 함께 답변</x:v>
      </x:c>
      <x:c r="E536" s="15" t="n">
        <x:v>534</x:v>
      </x:c>
      <x:c r="F536" s="8" t="str">
        <x:v>VDB 후속 설명 보강</x:v>
      </x:c>
      <x:c r="G536" s="8" t="str">
        <x:v>https://health.kdca.go.kr/healthinfo/biz/health/gnrlzHealthInfo/gnrlzHealthInfo/gnrlzHealthInfoMain.do</x:v>
      </x:c>
      <x:c r="H536" s="8" t="str">
        <x:v>{
  "disease": "급성 심근경색증",
  "section": "위험요인 및 예방",
  "category": "disease"
}</x:v>
      </x:c>
    </x:row>
    <x:row r="537" ht="54" customHeight="1">
      <x:c r="A537" s="8" t="str">
        <x:v>gold-disease-1de2351d26eedf3a</x:v>
      </x:c>
      <x:c r="B537" s="8" t="str">
        <x:v>kdca-6549-9</x:v>
      </x:c>
      <x:c r="C537" s="8" t="str">
        <x:v>kdca-6549-9</x:v>
      </x:c>
      <x:c r="D537" s="8" t="str">
        <x:v>근거와 함께 답변</x:v>
      </x:c>
      <x:c r="E537" s="15" t="n">
        <x:v>535</x:v>
      </x:c>
      <x:c r="F537" s="8" t="str">
        <x:v>VDB 정의 문장 재선정</x:v>
      </x:c>
      <x:c r="G537" s="8" t="str">
        <x:v>https://health.kdca.go.kr/healthinfo/biz/health/gnrlzHealthInfo/gnrlzHealthInfo/gnrlzHealthInfoMain.do</x:v>
      </x:c>
      <x:c r="H537" s="8" t="str">
        <x:v>{
  "disease": "만성피로증후군",
  "section": "종류 / 원인",
  "category": "disease"
}</x:v>
      </x:c>
    </x:row>
    <x:row r="538" ht="54" customHeight="1">
      <x:c r="A538" s="8" t="str">
        <x:v>gold-disease-e9096b1c21b967c3</x:v>
      </x:c>
      <x:c r="B538" s="8" t="str">
        <x:v>kdca-6488-1</x:v>
      </x:c>
      <x:c r="C538" s="8" t="str">
        <x:v>kdca-6488-1</x:v>
      </x:c>
      <x:c r="D538" s="8" t="str">
        <x:v>근거와 함께 답변</x:v>
      </x:c>
      <x:c r="E538" s="15" t="n">
        <x:v>536</x:v>
      </x:c>
      <x:c r="F538" s="8" t="str">
        <x:v>기존 검증 정답</x:v>
      </x:c>
      <x:c r="G538" s="8" t="str">
        <x:v>https://health.kdca.go.kr/healthinfo/biz/health/gnrlzHealthInfo/gnrlzHealthInfo/gnrlzHealthInfoMain.do</x:v>
      </x:c>
      <x:c r="H538" s="8" t="str">
        <x:v>{
  "disease": "탈장(성인)",
  "section": "정의 / 종류",
  "category": "disease"
}</x:v>
      </x:c>
    </x:row>
    <x:row r="539" ht="54" customHeight="1">
      <x:c r="A539" s="8" t="str">
        <x:v>gold-disease-ed54a16a8df57fe0</x:v>
      </x:c>
      <x:c r="B539" s="8" t="str">
        <x:v>kdca-5810-23</x:v>
      </x:c>
      <x:c r="C539" s="8" t="str">
        <x:v>kdca-5810-23</x:v>
      </x:c>
      <x:c r="D539" s="8" t="str">
        <x:v>근거와 함께 답변</x:v>
      </x:c>
      <x:c r="E539" s="15" t="n">
        <x:v>537</x:v>
      </x:c>
      <x:c r="F539" s="8" t="str">
        <x:v>기존 검증 정답</x:v>
      </x:c>
      <x:c r="G539" s="8" t="str">
        <x:v>https://health.kdca.go.kr/healthinfo/biz/health/gnrlzHealthInfo/gnrlzHealthInfo/gnrlzHealthInfoMain.do</x:v>
      </x:c>
      <x:c r="H539" s="8" t="str">
        <x:v>{
  "disease": "갑상선기능저하증",
  "section": "치료",
  "category": "disease"
}</x:v>
      </x:c>
    </x:row>
    <x:row r="540" ht="54" customHeight="1">
      <x:c r="A540" s="8" t="str">
        <x:v>gold-disease-na-006b41f8dafe21c0</x:v>
      </x:c>
      <x:c r="B540" s="8" t="str"/>
      <x:c r="C540" s="8" t="str"/>
      <x:c r="D540" s="8" t="str">
        <x:v>답변 거부 또는 추가 확인 요청</x:v>
      </x:c>
      <x:c r="E540" s="15" t="n">
        <x:v>538</x:v>
      </x:c>
      <x:c r="F540" s="8" t="str">
        <x:v>답변 거부 기준 문구</x:v>
      </x:c>
      <x:c r="G540" s="8" t="str">
        <x:v>https://health.kdca.go.kr/healthinfo/biz/health/gnrlzHealthInfo/gnrlzHealthInfo/gnrlzHealthInfoMain.do</x:v>
      </x:c>
      <x:c r="H540" s="8" t="str">
        <x:v>{
  "disease": "고칼슘혈증",
  "section": "원인",
  "category": "disease"
}</x:v>
      </x:c>
    </x:row>
    <x:row r="541" ht="54" customHeight="1">
      <x:c r="A541" s="8" t="str">
        <x:v>gold-disease-5e99b13d85ca638d</x:v>
      </x:c>
      <x:c r="B541" s="8" t="str">
        <x:v>kdca-5487-6</x:v>
      </x:c>
      <x:c r="C541" s="8" t="str">
        <x:v>kdca-5487-6</x:v>
      </x:c>
      <x:c r="D541" s="8" t="str">
        <x:v>근거와 함께 답변</x:v>
      </x:c>
      <x:c r="E541" s="15" t="n">
        <x:v>539</x:v>
      </x:c>
      <x:c r="F541" s="8" t="str">
        <x:v>VDB 원인·위험요인 청크 재선정</x:v>
      </x:c>
      <x:c r="G541" s="8" t="str">
        <x:v>https://health.kdca.go.kr/healthinfo/biz/health/gnrlzHealthInfo/gnrlzHealthInfo/gnrlzHealthInfoMain.do</x:v>
      </x:c>
      <x:c r="H541" s="8" t="str">
        <x:v>{
  "disease": "외상성 고막 천공",
  "section": "원인",
  "category": "disease"
}</x:v>
      </x:c>
    </x:row>
    <x:row r="542" ht="54" customHeight="1">
      <x:c r="A542" s="8" t="str">
        <x:v>gold-disease-9106a4798af2f111</x:v>
      </x:c>
      <x:c r="B542" s="8" t="str">
        <x:v>kdca-6776-13</x:v>
      </x:c>
      <x:c r="C542" s="8" t="str">
        <x:v>kdca-6776-13</x:v>
      </x:c>
      <x:c r="D542" s="8" t="str">
        <x:v>근거와 함께 답변</x:v>
      </x:c>
      <x:c r="E542" s="15" t="n">
        <x:v>540</x:v>
      </x:c>
      <x:c r="F542" s="8" t="str">
        <x:v>VDB 후속 설명 보강</x:v>
      </x:c>
      <x:c r="G542" s="8" t="str">
        <x:v>https://health.kdca.go.kr/healthinfo/biz/health/gnrlzHealthInfo/gnrlzHealthInfo/gnrlzHealthInfoMain.do</x:v>
      </x:c>
      <x:c r="H542" s="8" t="str">
        <x:v>{
  "disease": "파상풍",
  "section": "예방 및 예방접종 / 치료 / 약물 치료",
  "category": "disease"
}</x:v>
      </x:c>
    </x:row>
    <x:row r="543" ht="54" customHeight="1">
      <x:c r="A543" s="8" t="str">
        <x:v>gold-disease-073e00fcac383653</x:v>
      </x:c>
      <x:c r="B543" s="8" t="str">
        <x:v>kdca-5524-8</x:v>
      </x:c>
      <x:c r="C543" s="8" t="str">
        <x:v>kdca-5524-8</x:v>
      </x:c>
      <x:c r="D543" s="8" t="str">
        <x:v>근거와 함께 답변</x:v>
      </x:c>
      <x:c r="E543" s="15" t="n">
        <x:v>541</x:v>
      </x:c>
      <x:c r="F543" s="8" t="str">
        <x:v>기존 검증 정답</x:v>
      </x:c>
      <x:c r="G543" s="8" t="str">
        <x:v>https://health.kdca.go.kr/healthinfo/biz/health/gnrlzHealthInfo/gnrlzHealthInfo/gnrlzHealthInfoMain.do</x:v>
      </x:c>
      <x:c r="H543" s="8" t="str">
        <x:v>{
  "disease": "주혈흡충증",
  "section": "증상",
  "category": "disease"
}</x:v>
      </x:c>
    </x:row>
    <x:row r="544" ht="54" customHeight="1">
      <x:c r="A544" s="8" t="str">
        <x:v>gold-disease-na-b3891f383b5c83ac</x:v>
      </x:c>
      <x:c r="B544" s="8" t="str"/>
      <x:c r="C544" s="8" t="str"/>
      <x:c r="D544" s="8" t="str">
        <x:v>답변 거부 또는 추가 확인 요청</x:v>
      </x:c>
      <x:c r="E544" s="15" t="n">
        <x:v>542</x:v>
      </x:c>
      <x:c r="F544" s="8" t="str">
        <x:v>답변 거부 기준 문구</x:v>
      </x:c>
      <x:c r="G544" s="8" t="str">
        <x:v>https://health.kdca.go.kr/healthinfo/biz/health/gnrlzHealthInfo/gnrlzHealthInfo/gnrlzHealthInfoMain.do</x:v>
      </x:c>
      <x:c r="H544" s="8" t="str">
        <x:v>{
  "disease": "망막박리",
  "section": "생활습관 관리",
  "category": "disease"
}</x:v>
      </x:c>
    </x:row>
    <x:row r="545" ht="54" customHeight="1">
      <x:c r="A545" s="8" t="str">
        <x:v>gold-disease-41956121a434c776</x:v>
      </x:c>
      <x:c r="B545" s="8" t="str">
        <x:v>kdca-6583-19</x:v>
      </x:c>
      <x:c r="C545" s="8" t="str">
        <x:v>kdca-6583-19</x:v>
      </x:c>
      <x:c r="D545" s="8" t="str">
        <x:v>근거와 함께 답변</x:v>
      </x:c>
      <x:c r="E545" s="15" t="n">
        <x:v>543</x:v>
      </x:c>
      <x:c r="F545" s="8" t="str">
        <x:v>기존 검증 정답</x:v>
      </x:c>
      <x:c r="G545" s="8" t="str">
        <x:v>https://health.kdca.go.kr/healthinfo/biz/health/gnrlzHealthInfo/gnrlzHealthInfo/gnrlzHealthInfoMain.do</x:v>
      </x:c>
      <x:c r="H545" s="8" t="str">
        <x:v>{
  "disease": "조산",
  "section": "치료",
  "category": "disease"
}</x:v>
      </x:c>
    </x:row>
    <x:row r="546" ht="54" customHeight="1">
      <x:c r="A546" s="8" t="str">
        <x:v>gold-disease-b34dfe3881055142</x:v>
      </x:c>
      <x:c r="B546" s="8" t="str">
        <x:v>kdca-6692-0</x:v>
      </x:c>
      <x:c r="C546" s="8" t="str">
        <x:v>kdca-6692-0</x:v>
      </x:c>
      <x:c r="D546" s="8" t="str">
        <x:v>근거와 함께 답변</x:v>
      </x:c>
      <x:c r="E546" s="15" t="n">
        <x:v>544</x:v>
      </x:c>
      <x:c r="F546" s="8" t="str">
        <x:v>VDB 정의 문장 재선정</x:v>
      </x:c>
      <x:c r="G546" s="8" t="str">
        <x:v>https://health.kdca.go.kr/healthinfo/biz/health/gnrlzHealthInfo/gnrlzHealthInfo/gnrlzHealthInfoMain.do</x:v>
      </x:c>
      <x:c r="H546" s="8" t="str">
        <x:v>{
  "disease": "당뇨병성 족부병증",
  "section": "요약문",
  "category": "disease"
}</x:v>
      </x:c>
    </x:row>
    <x:row r="547" ht="54" customHeight="1">
      <x:c r="A547" s="8" t="str">
        <x:v>gold-disease-b0875eaaae64bc2b</x:v>
      </x:c>
      <x:c r="B547" s="8" t="str">
        <x:v>kdca-6314-8</x:v>
      </x:c>
      <x:c r="C547" s="8" t="str">
        <x:v>kdca-6314-8</x:v>
      </x:c>
      <x:c r="D547" s="8" t="str">
        <x:v>근거와 함께 답변</x:v>
      </x:c>
      <x:c r="E547" s="15" t="n">
        <x:v>545</x:v>
      </x:c>
      <x:c r="F547" s="8" t="str">
        <x:v>기존 검증 정답</x:v>
      </x:c>
      <x:c r="G547" s="8" t="str">
        <x:v>https://health.kdca.go.kr/healthinfo/biz/health/gnrlzHealthInfo/gnrlzHealthInfo/gnrlzHealthInfoMain.do</x:v>
      </x:c>
      <x:c r="H547" s="8" t="str">
        <x:v>{
  "disease": "페스트",
  "section": "진단 및 검사 / 예방 및 예방접종",
  "category": "disease"
}</x:v>
      </x:c>
    </x:row>
    <x:row r="548" ht="54" customHeight="1">
      <x:c r="A548" s="8" t="str">
        <x:v>gold-disease-d928e36294c13fdf</x:v>
      </x:c>
      <x:c r="B548" s="8" t="str">
        <x:v>kdca-5975-0</x:v>
      </x:c>
      <x:c r="C548" s="8" t="str">
        <x:v>kdca-5975-0</x:v>
      </x:c>
      <x:c r="D548" s="8" t="str">
        <x:v>근거와 함께 답변</x:v>
      </x:c>
      <x:c r="E548" s="15" t="n">
        <x:v>546</x:v>
      </x:c>
      <x:c r="F548" s="8" t="str">
        <x:v>VDB 정의 문장 재선정</x:v>
      </x:c>
      <x:c r="G548" s="8" t="str">
        <x:v>https://health.kdca.go.kr/healthinfo/biz/health/gnrlzHealthInfo/gnrlzHealthInfo/gnrlzHealthInfoMain.do</x:v>
      </x:c>
      <x:c r="H548" s="8" t="str">
        <x:v>{
  "disease": "족저근막염",
  "section": "요약문",
  "category": "disease"
}</x:v>
      </x:c>
    </x:row>
    <x:row r="549" ht="54" customHeight="1">
      <x:c r="A549" s="8" t="str">
        <x:v>gold-disease-c9cbb4cdbd66ee5f</x:v>
      </x:c>
      <x:c r="B549" s="8" t="str">
        <x:v>kdca-3512-14</x:v>
      </x:c>
      <x:c r="C549" s="8" t="str">
        <x:v>kdca-3512-14</x:v>
      </x:c>
      <x:c r="D549" s="8" t="str">
        <x:v>근거와 함께 답변</x:v>
      </x:c>
      <x:c r="E549" s="15" t="n">
        <x:v>547</x:v>
      </x:c>
      <x:c r="F549" s="8" t="str">
        <x:v>VDB 후속 설명 보강</x:v>
      </x:c>
      <x:c r="G549" s="8" t="str">
        <x:v>https://health.kdca.go.kr/healthinfo/biz/health/gnrlzHealthInfo/gnrlzHealthInfo/gnrlzHealthInfoMain.do</x:v>
      </x:c>
      <x:c r="H549" s="8" t="str">
        <x:v>{
  "disease": "좌골신경통",
  "section": "증상",
  "category": "disease"
}</x:v>
      </x:c>
    </x:row>
    <x:row r="550" ht="54" customHeight="1">
      <x:c r="A550" s="8" t="str">
        <x:v>gold-disease-46be09fa93d37b93</x:v>
      </x:c>
      <x:c r="B550" s="8" t="str">
        <x:v>kdca-5689-11</x:v>
      </x:c>
      <x:c r="C550" s="8" t="str">
        <x:v>kdca-5689-11</x:v>
      </x:c>
      <x:c r="D550" s="8" t="str">
        <x:v>근거와 함께 답변</x:v>
      </x:c>
      <x:c r="E550" s="15" t="n">
        <x:v>548</x:v>
      </x:c>
      <x:c r="F550" s="8" t="str">
        <x:v>기존 검증 정답</x:v>
      </x:c>
      <x:c r="G550" s="8" t="str">
        <x:v>https://health.kdca.go.kr/healthinfo/biz/health/gnrlzHealthInfo/gnrlzHealthInfo/gnrlzHealthInfoMain.do</x:v>
      </x:c>
      <x:c r="H550" s="8" t="str">
        <x:v>{
  "disease": "자극접촉피부염",
  "section": "합병증 / 위험요인 및 예방",
  "category": "disease"
}</x:v>
      </x:c>
    </x:row>
    <x:row r="551" ht="54" customHeight="1">
      <x:c r="A551" s="8" t="str">
        <x:v>gold-disease-20054b112df2d456</x:v>
      </x:c>
      <x:c r="B551" s="8" t="str">
        <x:v>kdca-1401-1</x:v>
      </x:c>
      <x:c r="C551" s="8" t="str">
        <x:v>kdca-1401-1</x:v>
      </x:c>
      <x:c r="D551" s="8" t="str">
        <x:v>근거와 함께 답변</x:v>
      </x:c>
      <x:c r="E551" s="15" t="n">
        <x:v>549</x:v>
      </x:c>
      <x:c r="F551" s="8" t="str">
        <x:v>기존 검증 정답</x:v>
      </x:c>
      <x:c r="G551" s="8" t="str">
        <x:v>https://health.kdca.go.kr/healthinfo/biz/health/gnrlzHealthInfo/gnrlzHealthInfo/gnrlzHealthInfoMain.do</x:v>
      </x:c>
      <x:c r="H551" s="8" t="str">
        <x:v>{
  "disease": "안외상(천공 외상)",
  "section": "요약문 / 개요",
  "category": "disease"
}</x:v>
      </x:c>
    </x:row>
    <x:row r="552" ht="54" customHeight="1">
      <x:c r="A552" s="8" t="str">
        <x:v>gold-disease-f0377829370cae86</x:v>
      </x:c>
      <x:c r="B552" s="8" t="str">
        <x:v>kdca-5721-5</x:v>
      </x:c>
      <x:c r="C552" s="8" t="str">
        <x:v>kdca-5721-5</x:v>
      </x:c>
      <x:c r="D552" s="8" t="str">
        <x:v>근거와 함께 답변</x:v>
      </x:c>
      <x:c r="E552" s="15" t="n">
        <x:v>550</x:v>
      </x:c>
      <x:c r="F552" s="8" t="str">
        <x:v>VDB 원인·위험요인 청크 재선정</x:v>
      </x:c>
      <x:c r="G552" s="8" t="str">
        <x:v>https://health.kdca.go.kr/healthinfo/biz/health/gnrlzHealthInfo/gnrlzHealthInfo/gnrlzHealthInfoMain.do</x:v>
      </x:c>
      <x:c r="H552" s="8" t="str">
        <x:v>{
  "disease": "소아 청소년의 혈변 및 흑혈변",
  "section": "종류 / 원인",
  "category": "disease"
}</x:v>
      </x:c>
    </x:row>
    <x:row r="553" ht="54" customHeight="1">
      <x:c r="A553" s="8" t="str">
        <x:v>gold-disease-dcd86be7449d5d67</x:v>
      </x:c>
      <x:c r="B553" s="8" t="str">
        <x:v>kdca-5716-24</x:v>
      </x:c>
      <x:c r="C553" s="8" t="str">
        <x:v>kdca-5716-24</x:v>
      </x:c>
      <x:c r="D553" s="8" t="str">
        <x:v>근거와 함께 답변</x:v>
      </x:c>
      <x:c r="E553" s="15" t="n">
        <x:v>551</x:v>
      </x:c>
      <x:c r="F553" s="8" t="str">
        <x:v>기존 검증 정답</x:v>
      </x:c>
      <x:c r="G553" s="8" t="str">
        <x:v>https://health.kdca.go.kr/healthinfo/biz/health/gnrlzHealthInfo/gnrlzHealthInfo/gnrlzHealthInfoMain.do</x:v>
      </x:c>
      <x:c r="H553" s="8" t="str">
        <x:v>{
  "disease": "잇몸병(치주질환)",
  "section": "비약물 치료",
  "category": "disease"
}</x:v>
      </x:c>
    </x:row>
    <x:row r="554" ht="54" customHeight="1">
      <x:c r="A554" s="8" t="str">
        <x:v>gold-disease-59a63fa441d490d4</x:v>
      </x:c>
      <x:c r="B554" s="8" t="str">
        <x:v>kdca-5811-7</x:v>
      </x:c>
      <x:c r="C554" s="8" t="str">
        <x:v>kdca-5811-7</x:v>
      </x:c>
      <x:c r="D554" s="8" t="str">
        <x:v>근거와 함께 답변</x:v>
      </x:c>
      <x:c r="E554" s="15" t="n">
        <x:v>552</x:v>
      </x:c>
      <x:c r="F554" s="8" t="str">
        <x:v>VDB 원인·위험요인 청크 재선정</x:v>
      </x:c>
      <x:c r="G554" s="8" t="str">
        <x:v>https://health.kdca.go.kr/healthinfo/biz/health/gnrlzHealthInfo/gnrlzHealthInfo/gnrlzHealthInfoMain.do</x:v>
      </x:c>
      <x:c r="H554" s="8" t="str">
        <x:v>{
  "disease": "유루증",
  "section": "원인",
  "category": "disease"
}</x:v>
      </x:c>
    </x:row>
    <x:row r="555" ht="54" customHeight="1">
      <x:c r="A555" s="8" t="str">
        <x:v>gold-disease-dc3ab3779bd0addb</x:v>
      </x:c>
      <x:c r="B555" s="8" t="str">
        <x:v>kdca-6488-10</x:v>
      </x:c>
      <x:c r="C555" s="8" t="str">
        <x:v>kdca-6488-10</x:v>
      </x:c>
      <x:c r="D555" s="8" t="str">
        <x:v>근거와 함께 답변</x:v>
      </x:c>
      <x:c r="E555" s="15" t="n">
        <x:v>553</x:v>
      </x:c>
      <x:c r="F555" s="8" t="str">
        <x:v>기존 검증 정답</x:v>
      </x:c>
      <x:c r="G555" s="8" t="str">
        <x:v>https://health.kdca.go.kr/healthinfo/biz/health/gnrlzHealthInfo/gnrlzHealthInfo/gnrlzHealthInfoMain.do</x:v>
      </x:c>
      <x:c r="H555" s="8" t="str">
        <x:v>{
  "disease": "탈장(성인)",
  "section": "진단 및 검사",
  "category": "disease"
}</x:v>
      </x:c>
    </x:row>
    <x:row r="556" ht="54" customHeight="1">
      <x:c r="A556" s="8" t="str">
        <x:v>gold-disease-fa49fcfde2ef473b</x:v>
      </x:c>
      <x:c r="B556" s="8" t="str">
        <x:v>kdca-5433-0</x:v>
      </x:c>
      <x:c r="C556" s="8" t="str">
        <x:v>kdca-5433-0</x:v>
      </x:c>
      <x:c r="D556" s="8" t="str">
        <x:v>근거와 함께 답변</x:v>
      </x:c>
      <x:c r="E556" s="15" t="n">
        <x:v>554</x:v>
      </x:c>
      <x:c r="F556" s="8" t="str">
        <x:v>VDB 정의 문장 재선정</x:v>
      </x:c>
      <x:c r="G556" s="8" t="str">
        <x:v>https://health.kdca.go.kr/healthinfo/biz/health/gnrlzHealthInfo/gnrlzHealthInfo/gnrlzHealthInfoMain.do</x:v>
      </x:c>
      <x:c r="H556" s="8" t="str">
        <x:v>{
  "disease": "신장결석",
  "section": "요약문",
  "category": "disease"
}</x:v>
      </x:c>
    </x:row>
    <x:row r="557" ht="54" customHeight="1">
      <x:c r="A557" s="8" t="str">
        <x:v>gold-disease-3eec3cb0323570a2</x:v>
      </x:c>
      <x:c r="B557" s="8" t="str">
        <x:v>kdca-6768-33</x:v>
      </x:c>
      <x:c r="C557" s="8" t="str">
        <x:v>kdca-6768-33</x:v>
      </x:c>
      <x:c r="D557" s="8" t="str">
        <x:v>근거와 함께 답변</x:v>
      </x:c>
      <x:c r="E557" s="15" t="n">
        <x:v>555</x:v>
      </x:c>
      <x:c r="F557" s="8" t="str">
        <x:v>기존 검증 정답</x:v>
      </x:c>
      <x:c r="G557" s="8" t="str">
        <x:v>https://health.kdca.go.kr/healthinfo/biz/health/gnrlzHealthInfo/gnrlzHealthInfo/gnrlzHealthInfoMain.do</x:v>
      </x:c>
      <x:c r="H557" s="8" t="str">
        <x:v>{
  "disease": "수족구병(손발입병)",
  "section": "대상별 맞춤 정보",
  "category": "disease"
}</x:v>
      </x:c>
    </x:row>
    <x:row r="558" ht="54" customHeight="1">
      <x:c r="A558" s="8" t="str">
        <x:v>gold-disease-335b1815b4ec24cf</x:v>
      </x:c>
      <x:c r="B558" s="8" t="str">
        <x:v>kdca-6557-4</x:v>
      </x:c>
      <x:c r="C558" s="8" t="str">
        <x:v>kdca-6557-4</x:v>
      </x:c>
      <x:c r="D558" s="8" t="str">
        <x:v>근거와 함께 답변</x:v>
      </x:c>
      <x:c r="E558" s="15" t="n">
        <x:v>556</x:v>
      </x:c>
      <x:c r="F558" s="8" t="str">
        <x:v>기존 검증 정답</x:v>
      </x:c>
      <x:c r="G558" s="8" t="str">
        <x:v>https://health.kdca.go.kr/healthinfo/biz/health/gnrlzHealthInfo/gnrlzHealthInfo/gnrlzHealthInfoMain.do</x:v>
      </x:c>
      <x:c r="H558" s="8" t="str">
        <x:v>{
  "disease": "편두통",
  "section": "종류",
  "category": "disease"
}</x:v>
      </x:c>
    </x:row>
    <x:row r="559" ht="54" customHeight="1">
      <x:c r="A559" s="8" t="str">
        <x:v>gold-disease-7b8ce07ffe4e579b</x:v>
      </x:c>
      <x:c r="B559" s="8" t="str">
        <x:v>kdca-6788-97</x:v>
      </x:c>
      <x:c r="C559" s="8" t="str">
        <x:v>kdca-6788-97</x:v>
      </x:c>
      <x:c r="D559" s="8" t="str">
        <x:v>근거와 함께 답변</x:v>
      </x:c>
      <x:c r="E559" s="15" t="n">
        <x:v>557</x:v>
      </x:c>
      <x:c r="F559" s="8" t="str">
        <x:v>기존 검증 정답</x:v>
      </x:c>
      <x:c r="G559" s="8" t="str">
        <x:v>https://health.kdca.go.kr/healthinfo/biz/health/gnrlzHealthInfo/gnrlzHealthInfo/gnrlzHealthInfoMain.do</x:v>
      </x:c>
      <x:c r="H559" s="8" t="str">
        <x:v>{
  "disease": "우울감",
  "section": "대상별 맞춤 정보",
  "category": "disease"
}</x:v>
      </x:c>
    </x:row>
    <x:row r="560" ht="54" customHeight="1">
      <x:c r="A560" s="8" t="str">
        <x:v>gold-disease-a39b797cd127a54d</x:v>
      </x:c>
      <x:c r="B560" s="8" t="str">
        <x:v>kdca-5307-6</x:v>
      </x:c>
      <x:c r="C560" s="8" t="str">
        <x:v>kdca-5307-6</x:v>
      </x:c>
      <x:c r="D560" s="8" t="str">
        <x:v>근거와 함께 답변</x:v>
      </x:c>
      <x:c r="E560" s="15" t="n">
        <x:v>558</x:v>
      </x:c>
      <x:c r="F560" s="8" t="str">
        <x:v>기존 검증 정답</x:v>
      </x:c>
      <x:c r="G560" s="8" t="str">
        <x:v>https://health.kdca.go.kr/healthinfo/biz/health/gnrlzHealthInfo/gnrlzHealthInfo/gnrlzHealthInfoMain.do</x:v>
      </x:c>
      <x:c r="H560" s="8" t="str">
        <x:v>{
  "disease": "A형간염",
  "section": "원인 및 감염경로 / 역학 및 통계",
  "category": "disease"
}</x:v>
      </x:c>
    </x:row>
    <x:row r="561" ht="54" customHeight="1">
      <x:c r="A561" s="8" t="str">
        <x:v>gold-disease-na-8a535ed3952465a6</x:v>
      </x:c>
      <x:c r="B561" s="8" t="str"/>
      <x:c r="C561" s="8" t="str"/>
      <x:c r="D561" s="8" t="str">
        <x:v>답변 거부 또는 추가 확인 요청</x:v>
      </x:c>
      <x:c r="E561" s="15" t="n">
        <x:v>559</x:v>
      </x:c>
      <x:c r="F561" s="8" t="str">
        <x:v>답변 거부 기준 문구</x:v>
      </x:c>
      <x:c r="G561" s="8" t="str">
        <x:v>https://health.kdca.go.kr/healthinfo/biz/health/gnrlzHealthInfo/gnrlzHealthInfo/gnrlzHealthInfoMain.do</x:v>
      </x:c>
      <x:c r="H561" s="8" t="str">
        <x:v>{
  "disease": "사마귀",
  "section": "요약문",
  "category": "disease"
}</x:v>
      </x:c>
    </x:row>
    <x:row r="562" ht="54" customHeight="1">
      <x:c r="A562" s="8" t="str">
        <x:v>gold-disease-846fcfea2dbb9d67</x:v>
      </x:c>
      <x:c r="B562" s="8" t="str">
        <x:v>kdca-5688-6</x:v>
      </x:c>
      <x:c r="C562" s="8" t="str">
        <x:v>kdca-5688-6</x:v>
      </x:c>
      <x:c r="D562" s="8" t="str">
        <x:v>근거와 함께 답변</x:v>
      </x:c>
      <x:c r="E562" s="15" t="n">
        <x:v>560</x:v>
      </x:c>
      <x:c r="F562" s="8" t="str">
        <x:v>기존 검증 정답</x:v>
      </x:c>
      <x:c r="G562" s="8" t="str">
        <x:v>https://health.kdca.go.kr/healthinfo/biz/health/gnrlzHealthInfo/gnrlzHealthInfo/gnrlzHealthInfoMain.do</x:v>
      </x:c>
      <x:c r="H562" s="8" t="str">
        <x:v>{
  "disease": "백선증",
  "section": "진단 및 검사",
  "category": "disease"
}</x:v>
      </x:c>
    </x:row>
    <x:row r="563" ht="54" customHeight="1">
      <x:c r="A563" s="8" t="str">
        <x:v>gold-disease-na-e17262034cc4d341</x:v>
      </x:c>
      <x:c r="B563" s="8" t="str"/>
      <x:c r="C563" s="8" t="str"/>
      <x:c r="D563" s="8" t="str">
        <x:v>답변 거부 또는 추가 확인 요청</x:v>
      </x:c>
      <x:c r="E563" s="15" t="n">
        <x:v>561</x:v>
      </x:c>
      <x:c r="F563" s="8" t="str">
        <x:v>답변 거부 기준 문구</x:v>
      </x:c>
      <x:c r="G563" s="8" t="str">
        <x:v>https://health.kdca.go.kr/healthinfo/biz/health/gnrlzHealthInfo/gnrlzHealthInfo/gnrlzHealthInfoMain.do</x:v>
      </x:c>
      <x:c r="H563" s="8" t="str">
        <x:v>{
  "disease": "잇몸병(치주질환)",
  "section": "자가 관리",
  "category": "disease"
}</x:v>
      </x:c>
    </x:row>
    <x:row r="564" ht="54" customHeight="1">
      <x:c r="A564" s="8" t="str">
        <x:v>gold-disease-66ad2a3ebd2c7623</x:v>
      </x:c>
      <x:c r="B564" s="8" t="str">
        <x:v>kdca-5826-6</x:v>
      </x:c>
      <x:c r="C564" s="8" t="str">
        <x:v>kdca-5826-6</x:v>
      </x:c>
      <x:c r="D564" s="8" t="str">
        <x:v>근거와 함께 답변</x:v>
      </x:c>
      <x:c r="E564" s="15" t="n">
        <x:v>562</x:v>
      </x:c>
      <x:c r="F564" s="8" t="str">
        <x:v>VDB 원인·위험요인 청크 재선정</x:v>
      </x:c>
      <x:c r="G564" s="8" t="str">
        <x:v>https://health.kdca.go.kr/healthinfo/biz/health/gnrlzHealthInfo/gnrlzHealthInfo/gnrlzHealthInfoMain.do</x:v>
      </x:c>
      <x:c r="H564" s="8" t="str">
        <x:v>{
  "disease": "섬유근육통",
  "section": "원인 / 병태생리",
  "category": "disease"
}</x:v>
      </x:c>
    </x:row>
    <x:row r="565" ht="54" customHeight="1">
      <x:c r="A565" s="8" t="str">
        <x:v>gold-disease-c8ed53bfcabb4ecb</x:v>
      </x:c>
      <x:c r="B565" s="8" t="str">
        <x:v>kdca-6190-45</x:v>
      </x:c>
      <x:c r="C565" s="8" t="str">
        <x:v>kdca-6190-45</x:v>
      </x:c>
      <x:c r="D565" s="8" t="str">
        <x:v>근거와 함께 답변</x:v>
      </x:c>
      <x:c r="E565" s="15" t="n">
        <x:v>563</x:v>
      </x:c>
      <x:c r="F565" s="8" t="str">
        <x:v>VDB 후속 설명 보강</x:v>
      </x:c>
      <x:c r="G565" s="8" t="str">
        <x:v>https://health.kdca.go.kr/healthinfo/biz/health/gnrlzHealthInfo/gnrlzHealthInfo/gnrlzHealthInfoMain.do</x:v>
      </x:c>
      <x:c r="H565" s="8" t="str">
        <x:v>{
  "disease": "자궁근종",
  "section": "위험요인 및 예방",
  "category": "disease"
}</x:v>
      </x:c>
    </x:row>
    <x:row r="566" ht="54" customHeight="1">
      <x:c r="A566" s="8" t="str">
        <x:v>gold-disease-dd836f36ab3a030e</x:v>
      </x:c>
      <x:c r="B566" s="8" t="str">
        <x:v>kdca-1201-5</x:v>
      </x:c>
      <x:c r="C566" s="8" t="str">
        <x:v>kdca-1201-5</x:v>
      </x:c>
      <x:c r="D566" s="8" t="str">
        <x:v>근거와 함께 답변</x:v>
      </x:c>
      <x:c r="E566" s="15" t="n">
        <x:v>564</x:v>
      </x:c>
      <x:c r="F566" s="8" t="str">
        <x:v>VDB 후속 설명 보강</x:v>
      </x:c>
      <x:c r="G566" s="8" t="str">
        <x:v>https://health.kdca.go.kr/healthinfo/biz/health/gnrlzHealthInfo/gnrlzHealthInfo/gnrlzHealthInfoMain.do</x:v>
      </x:c>
      <x:c r="H566" s="8" t="str">
        <x:v>{
  "disease": "얼굴마비",
  "section": "증상",
  "category": "disease"
}</x:v>
      </x:c>
    </x:row>
    <x:row r="567" ht="54" customHeight="1">
      <x:c r="A567" s="8" t="str">
        <x:v>gold-disease-e9b7750213d87008</x:v>
      </x:c>
      <x:c r="B567" s="8" t="str">
        <x:v>kdca-6496-2</x:v>
      </x:c>
      <x:c r="C567" s="8" t="str">
        <x:v>kdca-6496-2</x:v>
      </x:c>
      <x:c r="D567" s="8" t="str">
        <x:v>근거와 함께 답변</x:v>
      </x:c>
      <x:c r="E567" s="15" t="n">
        <x:v>565</x:v>
      </x:c>
      <x:c r="F567" s="8" t="str">
        <x:v>VDB 후속 설명 보강</x:v>
      </x:c>
      <x:c r="G567" s="8" t="str">
        <x:v>https://health.kdca.go.kr/healthinfo/biz/health/gnrlzHealthInfo/gnrlzHealthInfo/gnrlzHealthInfoMain.do</x:v>
      </x:c>
      <x:c r="H567" s="8" t="str">
        <x:v>{
  "disease": "간의 양성종양(간선종)",
  "section": "역학 및 통계 / 증상",
  "category": "disease"
}</x:v>
      </x:c>
    </x:row>
    <x:row r="568" ht="54" customHeight="1">
      <x:c r="A568" s="8" t="str">
        <x:v>gold-disease-d791d2e56b9b6c9c</x:v>
      </x:c>
      <x:c r="B568" s="8" t="str">
        <x:v>kdca-5694-0</x:v>
      </x:c>
      <x:c r="C568" s="8" t="str">
        <x:v>kdca-5694-0</x:v>
      </x:c>
      <x:c r="D568" s="8" t="str">
        <x:v>근거와 함께 답변</x:v>
      </x:c>
      <x:c r="E568" s="15" t="n">
        <x:v>566</x:v>
      </x:c>
      <x:c r="F568" s="8" t="str">
        <x:v>기존 검증 정답</x:v>
      </x:c>
      <x:c r="G568" s="8" t="str">
        <x:v>https://health.kdca.go.kr/healthinfo/biz/health/gnrlzHealthInfo/gnrlzHealthInfo/gnrlzHealthInfoMain.do</x:v>
      </x:c>
      <x:c r="H568" s="8" t="str">
        <x:v>{
  "disease": "습진",
  "section": "요약문",
  "category": "disease"
}</x:v>
      </x:c>
    </x:row>
    <x:row r="569" ht="54" customHeight="1">
      <x:c r="A569" s="8" t="str">
        <x:v>gold-disease-c1c35914b0ee8414</x:v>
      </x:c>
      <x:c r="B569" s="8" t="str">
        <x:v>kdca-6154-0</x:v>
      </x:c>
      <x:c r="C569" s="8" t="str">
        <x:v>kdca-6154-0</x:v>
      </x:c>
      <x:c r="D569" s="8" t="str">
        <x:v>근거와 함께 답변</x:v>
      </x:c>
      <x:c r="E569" s="15" t="n">
        <x:v>567</x:v>
      </x:c>
      <x:c r="F569" s="8" t="str">
        <x:v>VDB 정의 문장 재선정</x:v>
      </x:c>
      <x:c r="G569" s="8" t="str">
        <x:v>https://health.kdca.go.kr/healthinfo/biz/health/gnrlzHealthInfo/gnrlzHealthInfo/gnrlzHealthInfoMain.do</x:v>
      </x:c>
      <x:c r="H569" s="8" t="str">
        <x:v>{
  "disease": "입냄새",
  "section": "요약문 / 정의 / 종류",
  "category": "disease"
}</x:v>
      </x:c>
    </x:row>
    <x:row r="570" ht="54" customHeight="1">
      <x:c r="A570" s="8" t="str">
        <x:v>gold-disease-c496f0e7414c2c0a</x:v>
      </x:c>
      <x:c r="B570" s="8" t="str">
        <x:v>kdca-6773-18</x:v>
      </x:c>
      <x:c r="C570" s="8" t="str">
        <x:v>kdca-6773-18</x:v>
      </x:c>
      <x:c r="D570" s="8" t="str">
        <x:v>근거와 함께 답변</x:v>
      </x:c>
      <x:c r="E570" s="15" t="n">
        <x:v>568</x:v>
      </x:c>
      <x:c r="F570" s="8" t="str">
        <x:v>기존 검증 정답</x:v>
      </x:c>
      <x:c r="G570" s="8" t="str">
        <x:v>https://health.kdca.go.kr/healthinfo/biz/health/gnrlzHealthInfo/gnrlzHealthInfo/gnrlzHealthInfoMain.do</x:v>
      </x:c>
      <x:c r="H570" s="8" t="str">
        <x:v>{
  "disease": "포도막염",
  "section": "증상",
  "category": "disease"
}</x:v>
      </x:c>
    </x:row>
    <x:row r="571" ht="54" customHeight="1">
      <x:c r="A571" s="8" t="str">
        <x:v>gold-disease-na-4273902bf709a2e9</x:v>
      </x:c>
      <x:c r="B571" s="8" t="str"/>
      <x:c r="C571" s="8" t="str"/>
      <x:c r="D571" s="8" t="str">
        <x:v>답변 거부 또는 추가 확인 요청</x:v>
      </x:c>
      <x:c r="E571" s="15" t="n">
        <x:v>569</x:v>
      </x:c>
      <x:c r="F571" s="8" t="str">
        <x:v>답변 거부 기준 문구</x:v>
      </x:c>
      <x:c r="G571" s="8" t="str">
        <x:v>https://health.kdca.go.kr/healthinfo/biz/health/gnrlzHealthInfo/gnrlzHealthInfo/gnrlzHealthInfoMain.do</x:v>
      </x:c>
      <x:c r="H571" s="8" t="str">
        <x:v>{
  "disease": "갑상선기능저하증",
  "section": "치료",
  "category": "disease"
}</x:v>
      </x:c>
    </x:row>
    <x:row r="572" ht="54" customHeight="1">
      <x:c r="A572" s="8" t="str">
        <x:v>gold-disease-d8b68274d171aad2</x:v>
      </x:c>
      <x:c r="B572" s="8" t="str">
        <x:v>kdca-5317-12</x:v>
      </x:c>
      <x:c r="C572" s="8" t="str">
        <x:v>kdca-5317-12</x:v>
      </x:c>
      <x:c r="D572" s="8" t="str">
        <x:v>근거와 함께 답변</x:v>
      </x:c>
      <x:c r="E572" s="15" t="n">
        <x:v>570</x:v>
      </x:c>
      <x:c r="F572" s="8" t="str">
        <x:v>기존 검증 정답</x:v>
      </x:c>
      <x:c r="G572" s="8" t="str">
        <x:v>https://health.kdca.go.kr/healthinfo/biz/health/gnrlzHealthInfo/gnrlzHealthInfo/gnrlzHealthInfoMain.do</x:v>
      </x:c>
      <x:c r="H572" s="8" t="str">
        <x:v>{
  "disease": "성홍열",
  "section": "진단 및 검사",
  "category": "disease"
}</x:v>
      </x:c>
    </x:row>
    <x:row r="573" ht="54" customHeight="1">
      <x:c r="A573" s="8" t="str">
        <x:v>gold-disease-41f2c16eafa2c8bf</x:v>
      </x:c>
      <x:c r="B573" s="8" t="str">
        <x:v>kdca-6480-9</x:v>
      </x:c>
      <x:c r="C573" s="8" t="str">
        <x:v>kdca-6480-9</x:v>
      </x:c>
      <x:c r="D573" s="8" t="str">
        <x:v>근거와 함께 답변</x:v>
      </x:c>
      <x:c r="E573" s="15" t="n">
        <x:v>571</x:v>
      </x:c>
      <x:c r="F573" s="8" t="str">
        <x:v>기존 검증 정답</x:v>
      </x:c>
      <x:c r="G573" s="8" t="str">
        <x:v>https://health.kdca.go.kr/healthinfo/biz/health/gnrlzHealthInfo/gnrlzHealthInfo/gnrlzHealthInfoMain.do</x:v>
      </x:c>
      <x:c r="H573" s="8" t="str">
        <x:v>{
  "disease": "기저귀피부염",
  "section": "치료 / 위험요인 및 예방",
  "category": "disease"
}</x:v>
      </x:c>
    </x:row>
    <x:row r="574" ht="54" customHeight="1">
      <x:c r="A574" s="8" t="str">
        <x:v>gold-disease-640a5bf973acb5c1</x:v>
      </x:c>
      <x:c r="B574" s="8" t="str">
        <x:v>kdca-6189-7</x:v>
      </x:c>
      <x:c r="C574" s="8" t="str">
        <x:v>kdca-6189-7</x:v>
      </x:c>
      <x:c r="D574" s="8" t="str">
        <x:v>근거와 함께 답변</x:v>
      </x:c>
      <x:c r="E574" s="15" t="n">
        <x:v>572</x:v>
      </x:c>
      <x:c r="F574" s="8" t="str">
        <x:v>기존 검증 정답</x:v>
      </x:c>
      <x:c r="G574" s="8" t="str">
        <x:v>https://health.kdca.go.kr/healthinfo/biz/health/gnrlzHealthInfo/gnrlzHealthInfo/gnrlzHealthInfoMain.do</x:v>
      </x:c>
      <x:c r="H574" s="8" t="str">
        <x:v>{
  "disease": "언어장애(성인 언어 및 말장애의 진단과 치료)",
  "section": "종류",
  "category": "disease"
}</x:v>
      </x:c>
    </x:row>
    <x:row r="575" ht="54" customHeight="1">
      <x:c r="A575" s="8" t="str">
        <x:v>gold-disease-8ca87c1a165962dc</x:v>
      </x:c>
      <x:c r="B575" s="8" t="str">
        <x:v>kdca-1262-2</x:v>
      </x:c>
      <x:c r="C575" s="8" t="str">
        <x:v>kdca-1262-2</x:v>
      </x:c>
      <x:c r="D575" s="8" t="str">
        <x:v>근거와 함께 답변</x:v>
      </x:c>
      <x:c r="E575" s="15" t="n">
        <x:v>573</x:v>
      </x:c>
      <x:c r="F575" s="8" t="str">
        <x:v>VDB 후속 설명 보강</x:v>
      </x:c>
      <x:c r="G575" s="8" t="str">
        <x:v>https://health.kdca.go.kr/healthinfo/biz/health/gnrlzHealthInfo/gnrlzHealthInfo/gnrlzHealthInfoMain.do</x:v>
      </x:c>
      <x:c r="H575" s="8" t="str">
        <x:v>{
  "disease": "간의 양성종양(간혈관종)",
  "section": "증상 / 진단 및 검사",
  "category": "disease"
}</x:v>
      </x:c>
    </x:row>
    <x:row r="576" ht="54" customHeight="1">
      <x:c r="A576" s="8" t="str">
        <x:v>gold-disease-83e5beea66960363</x:v>
      </x:c>
      <x:c r="B576" s="8" t="str">
        <x:v>kdca-6577-7</x:v>
      </x:c>
      <x:c r="C576" s="8" t="str">
        <x:v>kdca-6577-7</x:v>
      </x:c>
      <x:c r="D576" s="8" t="str">
        <x:v>근거와 함께 답변</x:v>
      </x:c>
      <x:c r="E576" s="15" t="n">
        <x:v>574</x:v>
      </x:c>
      <x:c r="F576" s="8" t="str">
        <x:v>VDB 원인·위험요인 청크 재선정</x:v>
      </x:c>
      <x:c r="G576" s="8" t="str">
        <x:v>https://health.kdca.go.kr/healthinfo/biz/health/gnrlzHealthInfo/gnrlzHealthInfo/gnrlzHealthInfoMain.do</x:v>
      </x:c>
      <x:c r="H576" s="8" t="str">
        <x:v>{
  "disease": "치아맹출장애",
  "section": "원인",
  "category": "disease"
}</x:v>
      </x:c>
    </x:row>
    <x:row r="577" ht="54" customHeight="1">
      <x:c r="A577" s="8" t="str">
        <x:v>gold-disease-bd0e111ceb9801bb</x:v>
      </x:c>
      <x:c r="B577" s="8" t="str">
        <x:v>kdca-6263-2</x:v>
      </x:c>
      <x:c r="C577" s="8" t="str">
        <x:v>kdca-6263-2</x:v>
      </x:c>
      <x:c r="D577" s="8" t="str">
        <x:v>근거와 함께 답변</x:v>
      </x:c>
      <x:c r="E577" s="15" t="n">
        <x:v>575</x:v>
      </x:c>
      <x:c r="F577" s="8" t="str">
        <x:v>기존 검증 정답</x:v>
      </x:c>
      <x:c r="G577" s="8" t="str">
        <x:v>https://health.kdca.go.kr/healthinfo/biz/health/gnrlzHealthInfo/gnrlzHealthInfo/gnrlzHealthInfoMain.do</x:v>
      </x:c>
      <x:c r="H577" s="8" t="str">
        <x:v>{
  "disease": "소화불량",
  "section": "정의 / 종류",
  "category": "disease"
}</x:v>
      </x:c>
    </x:row>
    <x:row r="578" ht="54" customHeight="1">
      <x:c r="A578" s="8" t="str">
        <x:v>gold-disease-b66c85d18009cabd</x:v>
      </x:c>
      <x:c r="B578" s="8" t="str">
        <x:v>kdca-5845-1</x:v>
      </x:c>
      <x:c r="C578" s="8" t="str">
        <x:v>kdca-5845-1</x:v>
      </x:c>
      <x:c r="D578" s="8" t="str">
        <x:v>근거와 함께 답변</x:v>
      </x:c>
      <x:c r="E578" s="15" t="n">
        <x:v>576</x:v>
      </x:c>
      <x:c r="F578" s="8" t="str">
        <x:v>기존 검증 정답</x:v>
      </x:c>
      <x:c r="G578" s="8" t="str">
        <x:v>https://health.kdca.go.kr/healthinfo/biz/health/gnrlzHealthInfo/gnrlzHealthInfo/gnrlzHealthInfoMain.do</x:v>
      </x:c>
      <x:c r="H578" s="8" t="str">
        <x:v>{
  "disease": "눈꺼풀처짐(안검하수)",
  "section": "요약문 / 개요",
  "category": "disease"
}</x:v>
      </x:c>
    </x:row>
    <x:row r="579" ht="54" customHeight="1">
      <x:c r="A579" s="8" t="str">
        <x:v>gold-disease-b9d5c3b9eeb0cb5e</x:v>
      </x:c>
      <x:c r="B579" s="8" t="str">
        <x:v>kdca-5681-34</x:v>
      </x:c>
      <x:c r="C579" s="8" t="str">
        <x:v>kdca-5681-34</x:v>
      </x:c>
      <x:c r="D579" s="8" t="str">
        <x:v>근거와 함께 답변</x:v>
      </x:c>
      <x:c r="E579" s="15" t="n">
        <x:v>577</x:v>
      </x:c>
      <x:c r="F579" s="8" t="str">
        <x:v>기존 검증 정답</x:v>
      </x:c>
      <x:c r="G579" s="8" t="str">
        <x:v>https://health.kdca.go.kr/healthinfo/biz/health/gnrlzHealthInfo/gnrlzHealthInfo/gnrlzHealthInfoMain.do</x:v>
      </x:c>
      <x:c r="H579" s="8" t="str">
        <x:v>{
  "disease": "경부 종괴",
  "section": "진단 및 검사",
  "category": "disease"
}</x:v>
      </x:c>
    </x:row>
    <x:row r="580" ht="54" customHeight="1">
      <x:c r="A580" s="8" t="str">
        <x:v>gold-disease-119534936a67adc4</x:v>
      </x:c>
      <x:c r="B580" s="8" t="str">
        <x:v>kdca-6560-26</x:v>
      </x:c>
      <x:c r="C580" s="8" t="str">
        <x:v>kdca-6560-26</x:v>
      </x:c>
      <x:c r="D580" s="8" t="str">
        <x:v>근거와 함께 답변</x:v>
      </x:c>
      <x:c r="E580" s="15" t="n">
        <x:v>578</x:v>
      </x:c>
      <x:c r="F580" s="8" t="str">
        <x:v>기존 검증 정답</x:v>
      </x:c>
      <x:c r="G580" s="8" t="str">
        <x:v>https://health.kdca.go.kr/healthinfo/biz/health/gnrlzHealthInfo/gnrlzHealthInfo/gnrlzHealthInfoMain.do</x:v>
      </x:c>
      <x:c r="H580" s="8" t="str">
        <x:v>{
  "disease": "간경변증",
  "section": "치료 / 자가 관리",
  "category": "disease"
}</x:v>
      </x:c>
    </x:row>
    <x:row r="581" ht="54" customHeight="1">
      <x:c r="A581" s="8" t="str">
        <x:v>gold-disease-fa36af909442aaa9</x:v>
      </x:c>
      <x:c r="B581" s="8" t="str">
        <x:v>kdca-1103-9</x:v>
      </x:c>
      <x:c r="C581" s="8" t="str">
        <x:v>kdca-1103-9</x:v>
      </x:c>
      <x:c r="D581" s="8" t="str">
        <x:v>근거와 함께 답변</x:v>
      </x:c>
      <x:c r="E581" s="15" t="n">
        <x:v>579</x:v>
      </x:c>
      <x:c r="F581" s="8" t="str">
        <x:v>기존 검증 정답</x:v>
      </x:c>
      <x:c r="G581" s="8" t="str">
        <x:v>https://health.kdca.go.kr/healthinfo/biz/health/gnrlzHealthInfo/gnrlzHealthInfo/gnrlzHealthInfoMain.do</x:v>
      </x:c>
      <x:c r="H581" s="8" t="str">
        <x:v>{
  "disease": "비뇨기계 외상",
  "section": "증상",
  "category": "disease"
}</x:v>
      </x:c>
    </x:row>
    <x:row r="582" ht="54" customHeight="1">
      <x:c r="A582" s="8" t="str">
        <x:v>gold-disease-7101374710b5c009</x:v>
      </x:c>
      <x:c r="B582" s="8" t="str">
        <x:v>kdca-3947-7</x:v>
      </x:c>
      <x:c r="C582" s="8" t="str">
        <x:v>kdca-3947-7</x:v>
      </x:c>
      <x:c r="D582" s="8" t="str">
        <x:v>근거와 함께 답변</x:v>
      </x:c>
      <x:c r="E582" s="15" t="n">
        <x:v>580</x:v>
      </x:c>
      <x:c r="F582" s="8" t="str">
        <x:v>기존 검증 정답</x:v>
      </x:c>
      <x:c r="G582" s="8" t="str">
        <x:v>https://health.kdca.go.kr/healthinfo/biz/health/gnrlzHealthInfo/gnrlzHealthInfo/gnrlzHealthInfoMain.do</x:v>
      </x:c>
      <x:c r="H582" s="8" t="str">
        <x:v>{
  "disease": "여드름",
  "section": "역학 및 통계",
  "category": "disease"
}</x:v>
      </x:c>
    </x:row>
    <x:row r="583" ht="54" customHeight="1">
      <x:c r="A583" s="8" t="str">
        <x:v>gold-disease-c956dbedc0a5c751</x:v>
      </x:c>
      <x:c r="B583" s="8" t="str">
        <x:v>kdca-5408-12</x:v>
      </x:c>
      <x:c r="C583" s="8" t="str">
        <x:v>kdca-5408-12</x:v>
      </x:c>
      <x:c r="D583" s="8" t="str">
        <x:v>근거와 함께 답변</x:v>
      </x:c>
      <x:c r="E583" s="15" t="n">
        <x:v>581</x:v>
      </x:c>
      <x:c r="F583" s="8" t="str">
        <x:v>기존 검증 정답</x:v>
      </x:c>
      <x:c r="G583" s="8" t="str">
        <x:v>https://health.kdca.go.kr/healthinfo/biz/health/gnrlzHealthInfo/gnrlzHealthInfo/gnrlzHealthInfoMain.do</x:v>
      </x:c>
      <x:c r="H583" s="8" t="str">
        <x:v>{
  "disease": "요도하열(소아)",
  "section": "합병증 / 자주하는 질문",
  "category": "disease"
}</x:v>
      </x:c>
    </x:row>
    <x:row r="584" ht="54" customHeight="1">
      <x:c r="A584" s="8" t="str">
        <x:v>gold-disease-ab49ec5fa168d533</x:v>
      </x:c>
      <x:c r="B584" s="8" t="str">
        <x:v>kdca-6715-30</x:v>
      </x:c>
      <x:c r="C584" s="8" t="str">
        <x:v>kdca-6715-30</x:v>
      </x:c>
      <x:c r="D584" s="8" t="str">
        <x:v>근거와 함께 답변</x:v>
      </x:c>
      <x:c r="E584" s="15" t="n">
        <x:v>582</x:v>
      </x:c>
      <x:c r="F584" s="8" t="str">
        <x:v>VDB 후속 설명 보강</x:v>
      </x:c>
      <x:c r="G584" s="8" t="str">
        <x:v>https://health.kdca.go.kr/healthinfo/biz/health/gnrlzHealthInfo/gnrlzHealthInfo/gnrlzHealthInfoMain.do</x:v>
      </x:c>
      <x:c r="H584" s="8" t="str">
        <x:v>{
  "disease": "이상지질혈증",
  "section": "자주하는 질문 / 연관 주제어 / 참고문헌",
  "category": "disease"
}</x:v>
      </x:c>
    </x:row>
    <x:row r="585" ht="54" customHeight="1">
      <x:c r="A585" s="8" t="str">
        <x:v>gold-disease-781b287a59d99d1e</x:v>
      </x:c>
      <x:c r="B585" s="8" t="str">
        <x:v>kdca-5859-17</x:v>
      </x:c>
      <x:c r="C585" s="8" t="str">
        <x:v>kdca-5859-17</x:v>
      </x:c>
      <x:c r="D585" s="8" t="str">
        <x:v>근거와 함께 답변</x:v>
      </x:c>
      <x:c r="E585" s="15" t="n">
        <x:v>583</x:v>
      </x:c>
      <x:c r="F585" s="8" t="str">
        <x:v>기존 검증 정답</x:v>
      </x:c>
      <x:c r="G585" s="8" t="str">
        <x:v>https://health.kdca.go.kr/healthinfo/biz/health/gnrlzHealthInfo/gnrlzHealthInfo/gnrlzHealthInfoMain.do</x:v>
      </x:c>
      <x:c r="H585" s="8" t="str">
        <x:v>{
  "disease": "실어증",
  "section": "증상",
  "category": "disease"
}</x:v>
      </x:c>
    </x:row>
    <x:row r="586" ht="54" customHeight="1">
      <x:c r="A586" s="8" t="str">
        <x:v>gold-disease-na-24cf4d81e85f92c0</x:v>
      </x:c>
      <x:c r="B586" s="8" t="str"/>
      <x:c r="C586" s="8" t="str"/>
      <x:c r="D586" s="8" t="str">
        <x:v>답변 거부 또는 추가 확인 요청</x:v>
      </x:c>
      <x:c r="E586" s="15" t="n">
        <x:v>584</x:v>
      </x:c>
      <x:c r="F586" s="8" t="str">
        <x:v>답변 거부 기준 문구</x:v>
      </x:c>
      <x:c r="G586" s="8" t="str">
        <x:v>https://health.kdca.go.kr/healthinfo/biz/health/gnrlzHealthInfo/gnrlzHealthInfo/gnrlzHealthInfoMain.do</x:v>
      </x:c>
      <x:c r="H586" s="8" t="str">
        <x:v>{
  "disease": "폐렴(소아)",
  "section": "종류",
  "category": "disease"
}</x:v>
      </x:c>
    </x:row>
    <x:row r="587" ht="54" customHeight="1">
      <x:c r="A587" s="8" t="str">
        <x:v>gold-disease-364157f49a37fa08</x:v>
      </x:c>
      <x:c r="B587" s="8" t="str">
        <x:v>kdca-1404-2</x:v>
      </x:c>
      <x:c r="C587" s="8" t="str">
        <x:v>kdca-1404-2</x:v>
      </x:c>
      <x:c r="D587" s="8" t="str">
        <x:v>근거와 함께 답변</x:v>
      </x:c>
      <x:c r="E587" s="15" t="n">
        <x:v>585</x:v>
      </x:c>
      <x:c r="F587" s="8" t="str">
        <x:v>기존 검증 정답</x:v>
      </x:c>
      <x:c r="G587" s="8" t="str">
        <x:v>https://health.kdca.go.kr/healthinfo/biz/health/gnrlzHealthInfo/gnrlzHealthInfo/gnrlzHealthInfoMain.do</x:v>
      </x:c>
      <x:c r="H587" s="8" t="str">
        <x:v>{
  "disease": "안외상(각막이물)",
  "section": "진단 및 검사 / 치료",
  "category": "disease"
}</x:v>
      </x:c>
    </x:row>
    <x:row r="588" ht="54" customHeight="1">
      <x:c r="A588" s="8" t="str">
        <x:v>gold-disease-na-ac4ce01580d6de3c</x:v>
      </x:c>
      <x:c r="B588" s="8" t="str"/>
      <x:c r="C588" s="8" t="str"/>
      <x:c r="D588" s="8" t="str">
        <x:v>답변 거부 또는 추가 확인 요청</x:v>
      </x:c>
      <x:c r="E588" s="15" t="n">
        <x:v>586</x:v>
      </x:c>
      <x:c r="F588" s="8" t="str">
        <x:v>답변 거부 기준 문구</x:v>
      </x:c>
      <x:c r="G588" s="8" t="str">
        <x:v>https://health.kdca.go.kr/healthinfo/biz/health/gnrlzHealthInfo/gnrlzHealthInfo/gnrlzHealthInfoMain.do</x:v>
      </x:c>
      <x:c r="H588" s="8" t="str">
        <x:v>{
  "disease": "디프테리아",
  "section": "치료",
  "category": "disease"
}</x:v>
      </x:c>
    </x:row>
    <x:row r="589" ht="54" customHeight="1">
      <x:c r="A589" s="8" t="str">
        <x:v>gold-disease-63106a949949b04c</x:v>
      </x:c>
      <x:c r="B589" s="8" t="str">
        <x:v>kdca-6496-0</x:v>
      </x:c>
      <x:c r="C589" s="8" t="str">
        <x:v>kdca-6496-0</x:v>
      </x:c>
      <x:c r="D589" s="8" t="str">
        <x:v>근거와 함께 답변</x:v>
      </x:c>
      <x:c r="E589" s="15" t="n">
        <x:v>587</x:v>
      </x:c>
      <x:c r="F589" s="8" t="str">
        <x:v>VDB 원인·위험요인 청크 재선정</x:v>
      </x:c>
      <x:c r="G589" s="8" t="str">
        <x:v>https://health.kdca.go.kr/healthinfo/biz/health/gnrlzHealthInfo/gnrlzHealthInfo/gnrlzHealthInfoMain.do</x:v>
      </x:c>
      <x:c r="H589" s="8" t="str">
        <x:v>{
  "disease": "간의 양성종양(간선종)",
  "section": "개요 / 원인",
  "category": "disease"
}</x:v>
      </x:c>
    </x:row>
    <x:row r="590" ht="54" customHeight="1">
      <x:c r="A590" s="8" t="str">
        <x:v>gold-disease-62a0f47900a6bd62</x:v>
      </x:c>
      <x:c r="B590" s="8" t="str">
        <x:v>kdca-3193-32</x:v>
      </x:c>
      <x:c r="C590" s="8" t="str">
        <x:v>kdca-3193-32</x:v>
      </x:c>
      <x:c r="D590" s="8" t="str">
        <x:v>근거와 함께 답변</x:v>
      </x:c>
      <x:c r="E590" s="15" t="n">
        <x:v>588</x:v>
      </x:c>
      <x:c r="F590" s="8" t="str">
        <x:v>VDB 후속 설명 보강</x:v>
      </x:c>
      <x:c r="G590" s="8" t="str">
        <x:v>https://health.kdca.go.kr/healthinfo/biz/health/gnrlzHealthInfo/gnrlzHealthInfo/gnrlzHealthInfoMain.do</x:v>
      </x:c>
      <x:c r="H590" s="8" t="str">
        <x:v>{
  "disease": "전립선비대증",
  "section": "약물 치료",
  "category": "disease"
}</x:v>
      </x:c>
    </x:row>
    <x:row r="591" ht="54" customHeight="1">
      <x:c r="A591" s="8" t="str">
        <x:v>gold-disease-ea9b654f0b7578fa</x:v>
      </x:c>
      <x:c r="B591" s="8" t="str">
        <x:v>kdca-5729-2</x:v>
      </x:c>
      <x:c r="C591" s="8" t="str">
        <x:v>kdca-5729-2</x:v>
      </x:c>
      <x:c r="D591" s="8" t="str">
        <x:v>근거와 함께 답변</x:v>
      </x:c>
      <x:c r="E591" s="15" t="n">
        <x:v>589</x:v>
      </x:c>
      <x:c r="F591" s="8" t="str">
        <x:v>기존 검증 정답</x:v>
      </x:c>
      <x:c r="G591" s="8" t="str">
        <x:v>https://health.kdca.go.kr/healthinfo/biz/health/gnrlzHealthInfo/gnrlzHealthInfo/gnrlzHealthInfoMain.do</x:v>
      </x:c>
      <x:c r="H591" s="8" t="str">
        <x:v>{
  "disease": "소아발진",
  "section": "개요 / 정의 / 종류",
  "category": "disease"
}</x:v>
      </x:c>
    </x:row>
    <x:row r="592" ht="54" customHeight="1">
      <x:c r="A592" s="8" t="str">
        <x:v>gold-disease-1e9fca9afc2870ae</x:v>
      </x:c>
      <x:c r="B592" s="8" t="str">
        <x:v>kdca-6675-46</x:v>
      </x:c>
      <x:c r="C592" s="8" t="str">
        <x:v>kdca-6675-46</x:v>
      </x:c>
      <x:c r="D592" s="8" t="str">
        <x:v>근거와 함께 답변</x:v>
      </x:c>
      <x:c r="E592" s="15" t="n">
        <x:v>590</x:v>
      </x:c>
      <x:c r="F592" s="8" t="str">
        <x:v>VDB 원인·위험요인 청크 재선정</x:v>
      </x:c>
      <x:c r="G592" s="8" t="str">
        <x:v>https://health.kdca.go.kr/healthinfo/biz/health/gnrlzHealthInfo/gnrlzHealthInfo/gnrlzHealthInfoMain.do</x:v>
      </x:c>
      <x:c r="H592" s="8" t="str">
        <x:v>{
  "disease": "렙토스피라증",
  "section": "위험요인 및 예방",
  "category": "disease"
}</x:v>
      </x:c>
    </x:row>
    <x:row r="593" ht="54" customHeight="1">
      <x:c r="A593" s="8" t="str">
        <x:v>gold-disease-e5e60ebf2888c2d1</x:v>
      </x:c>
      <x:c r="B593" s="8" t="str">
        <x:v>kdca-2055-14</x:v>
      </x:c>
      <x:c r="C593" s="8" t="str">
        <x:v>kdca-2055-14</x:v>
      </x:c>
      <x:c r="D593" s="8" t="str">
        <x:v>근거와 함께 답변</x:v>
      </x:c>
      <x:c r="E593" s="15" t="n">
        <x:v>591</x:v>
      </x:c>
      <x:c r="F593" s="8" t="str">
        <x:v>VDB 후속 설명 보강</x:v>
      </x:c>
      <x:c r="G593" s="8" t="str">
        <x:v>https://health.kdca.go.kr/healthinfo/biz/health/gnrlzHealthInfo/gnrlzHealthInfo/gnrlzHealthInfoMain.do</x:v>
      </x:c>
      <x:c r="H593" s="8" t="str">
        <x:v>{
  "disease": "급성부고환염",
  "section": "위험요인 및 예방 / 자주하는 질문",
  "category": "disease"
}</x:v>
      </x:c>
    </x:row>
    <x:row r="594" ht="54" customHeight="1">
      <x:c r="A594" s="8" t="str">
        <x:v>gold-disease-22b076005a72b92b</x:v>
      </x:c>
      <x:c r="B594" s="8" t="str">
        <x:v>kdca-5415-42</x:v>
      </x:c>
      <x:c r="C594" s="8" t="str">
        <x:v>kdca-5415-42</x:v>
      </x:c>
      <x:c r="D594" s="8" t="str">
        <x:v>근거와 함께 답변</x:v>
      </x:c>
      <x:c r="E594" s="15" t="n">
        <x:v>592</x:v>
      </x:c>
      <x:c r="F594" s="8" t="str">
        <x:v>VDB 후속 설명 보강</x:v>
      </x:c>
      <x:c r="G594" s="8" t="str">
        <x:v>https://health.kdca.go.kr/healthinfo/biz/health/gnrlzHealthInfo/gnrlzHealthInfo/gnrlzHealthInfoMain.do</x:v>
      </x:c>
      <x:c r="H594" s="8" t="str">
        <x:v>{
  "disease": "저신장",
  "section": "자주하는 질문",
  "category": "disease"
}</x:v>
      </x:c>
    </x:row>
    <x:row r="595" ht="54" customHeight="1">
      <x:c r="A595" s="8" t="str">
        <x:v>gold-disease-163b46b3a43ba1c3</x:v>
      </x:c>
      <x:c r="B595" s="8" t="str">
        <x:v>kdca-5302-15</x:v>
      </x:c>
      <x:c r="C595" s="8" t="str">
        <x:v>kdca-5302-15</x:v>
      </x:c>
      <x:c r="D595" s="8" t="str">
        <x:v>근거와 함께 답변</x:v>
      </x:c>
      <x:c r="E595" s="15" t="n">
        <x:v>593</x:v>
      </x:c>
      <x:c r="F595" s="8" t="str">
        <x:v>기존 검증 정답</x:v>
      </x:c>
      <x:c r="G595" s="8" t="str">
        <x:v>https://health.kdca.go.kr/healthinfo/biz/health/gnrlzHealthInfo/gnrlzHealthInfo/gnrlzHealthInfoMain.do</x:v>
      </x:c>
      <x:c r="H595" s="8" t="str">
        <x:v>{
  "disease": "고혈압심장질환",
  "section": "진단 및 검사",
  "category": "disease"
}</x:v>
      </x:c>
    </x:row>
    <x:row r="596" ht="54" customHeight="1">
      <x:c r="A596" s="8" t="str">
        <x:v>gold-disease-na-77f0a7f13199d30b</x:v>
      </x:c>
      <x:c r="B596" s="8" t="str"/>
      <x:c r="C596" s="8" t="str"/>
      <x:c r="D596" s="8" t="str">
        <x:v>답변 거부 또는 추가 확인 요청</x:v>
      </x:c>
      <x:c r="E596" s="15" t="n">
        <x:v>594</x:v>
      </x:c>
      <x:c r="F596" s="8" t="str">
        <x:v>답변 거부 기준 문구</x:v>
      </x:c>
      <x:c r="G596" s="8" t="str">
        <x:v>https://health.kdca.go.kr/healthinfo/biz/health/gnrlzHealthInfo/gnrlzHealthInfo/gnrlzHealthInfoMain.do</x:v>
      </x:c>
      <x:c r="H596" s="8" t="str">
        <x:v>{
  "disease": "황달",
  "section": "자주하는 질문 / 참고문헌",
  "category": "disease"
}</x:v>
      </x:c>
    </x:row>
    <x:row r="597" ht="54" customHeight="1">
      <x:c r="A597" s="8" t="str">
        <x:v>gold-disease-590e7050b5d03d31</x:v>
      </x:c>
      <x:c r="B597" s="8" t="str">
        <x:v>kdca-3629-11</x:v>
      </x:c>
      <x:c r="C597" s="8" t="str">
        <x:v>kdca-3629-11</x:v>
      </x:c>
      <x:c r="D597" s="8" t="str">
        <x:v>근거와 함께 답변</x:v>
      </x:c>
      <x:c r="E597" s="15" t="n">
        <x:v>595</x:v>
      </x:c>
      <x:c r="F597" s="8" t="str">
        <x:v>기존 검증 정답</x:v>
      </x:c>
      <x:c r="G597" s="8" t="str">
        <x:v>https://health.kdca.go.kr/healthinfo/biz/health/gnrlzHealthInfo/gnrlzHealthInfo/gnrlzHealthInfoMain.do</x:v>
      </x:c>
      <x:c r="H597" s="8" t="str">
        <x:v>{
  "disease": "척추의 형태 이상(척추후만증)",
  "section": "치료",
  "category": "disease"
}</x:v>
      </x:c>
    </x:row>
    <x:row r="598" ht="54" customHeight="1">
      <x:c r="A598" s="8" t="str">
        <x:v>gold-disease-d445374de4fcfc0e</x:v>
      </x:c>
      <x:c r="B598" s="8" t="str">
        <x:v>kdca-5782-15</x:v>
      </x:c>
      <x:c r="C598" s="8" t="str">
        <x:v>kdca-5782-15</x:v>
      </x:c>
      <x:c r="D598" s="8" t="str">
        <x:v>근거와 함께 답변</x:v>
      </x:c>
      <x:c r="E598" s="15" t="n">
        <x:v>596</x:v>
      </x:c>
      <x:c r="F598" s="8" t="str">
        <x:v>기존 검증 정답</x:v>
      </x:c>
      <x:c r="G598" s="8" t="str">
        <x:v>https://health.kdca.go.kr/healthinfo/biz/health/gnrlzHealthInfo/gnrlzHealthInfo/gnrlzHealthInfoMain.do</x:v>
      </x:c>
      <x:c r="H598" s="8" t="str">
        <x:v>{
  "disease": "급성 간부전",
  "section": "연관 증상",
  "category": "disease"
}</x:v>
      </x:c>
    </x:row>
    <x:row r="599" ht="54" customHeight="1">
      <x:c r="A599" s="8" t="str">
        <x:v>gold-disease-na-41a083f5b38cfa47</x:v>
      </x:c>
      <x:c r="B599" s="8" t="str"/>
      <x:c r="C599" s="8" t="str"/>
      <x:c r="D599" s="8" t="str">
        <x:v>답변 거부 또는 추가 확인 요청</x:v>
      </x:c>
      <x:c r="E599" s="15" t="n">
        <x:v>597</x:v>
      </x:c>
      <x:c r="F599" s="8" t="str">
        <x:v>답변 거부 기준 문구</x:v>
      </x:c>
      <x:c r="G599" s="8" t="str">
        <x:v>https://health.kdca.go.kr/healthinfo/biz/health/gnrlzHealthInfo/gnrlzHealthInfo/gnrlzHealthInfoMain.do</x:v>
      </x:c>
      <x:c r="H599" s="8" t="str">
        <x:v>{
  "disease": "샤가스병",
  "section": "증상",
  "category": "disease"
}</x:v>
      </x:c>
    </x:row>
    <x:row r="600" ht="54" customHeight="1">
      <x:c r="A600" s="8" t="str">
        <x:v>gold-disease-ce89183637df6350</x:v>
      </x:c>
      <x:c r="B600" s="8" t="str">
        <x:v>kdca-6262-4</x:v>
      </x:c>
      <x:c r="C600" s="8" t="str">
        <x:v>kdca-6262-4</x:v>
      </x:c>
      <x:c r="D600" s="8" t="str">
        <x:v>근거와 함께 답변</x:v>
      </x:c>
      <x:c r="E600" s="15" t="n">
        <x:v>598</x:v>
      </x:c>
      <x:c r="F600" s="8" t="str">
        <x:v>VDB 원인·위험요인 청크 재선정</x:v>
      </x:c>
      <x:c r="G600" s="8" t="str">
        <x:v>https://health.kdca.go.kr/healthinfo/biz/health/gnrlzHealthInfo/gnrlzHealthInfo/gnrlzHealthInfoMain.do</x:v>
      </x:c>
      <x:c r="H600" s="8" t="str">
        <x:v>{
  "disease": "노인 부종",
  "section": "종류 / 원인",
  "category": "symptom"
}</x:v>
      </x:c>
    </x:row>
    <x:row r="601" ht="54" customHeight="1">
      <x:c r="A601" s="8" t="str">
        <x:v>gold-disease-cda661490bda7be1</x:v>
      </x:c>
      <x:c r="B601" s="8" t="str">
        <x:v>kdca-1401-2</x:v>
      </x:c>
      <x:c r="C601" s="8" t="str">
        <x:v>kdca-1401-2</x:v>
      </x:c>
      <x:c r="D601" s="8" t="str">
        <x:v>근거와 함께 답변</x:v>
      </x:c>
      <x:c r="E601" s="15" t="n">
        <x:v>599</x:v>
      </x:c>
      <x:c r="F601" s="8" t="str">
        <x:v>기존 검증 정답</x:v>
      </x:c>
      <x:c r="G601" s="8" t="str">
        <x:v>https://health.kdca.go.kr/healthinfo/biz/health/gnrlzHealthInfo/gnrlzHealthInfo/gnrlzHealthInfoMain.do</x:v>
      </x:c>
      <x:c r="H601" s="8" t="str">
        <x:v>{
  "disease": "안외상(천공 외상)",
  "section": "개요 / 증상 / 진단 및 검사",
  "category": "disease"
}</x:v>
      </x:c>
    </x:row>
    <x:row r="602" ht="54" customHeight="1">
      <x:c r="A602" s="8" t="str">
        <x:v>gold-disease-d01824ba5e699f52</x:v>
      </x:c>
      <x:c r="B602" s="8" t="str">
        <x:v>kdca-5686-12</x:v>
      </x:c>
      <x:c r="C602" s="8" t="str">
        <x:v>kdca-5686-12</x:v>
      </x:c>
      <x:c r="D602" s="8" t="str">
        <x:v>근거와 함께 답변</x:v>
      </x:c>
      <x:c r="E602" s="15" t="n">
        <x:v>600</x:v>
      </x:c>
      <x:c r="F602" s="8" t="str">
        <x:v>기존 검증 정답</x:v>
      </x:c>
      <x:c r="G602" s="8" t="str">
        <x:v>https://health.kdca.go.kr/healthinfo/biz/health/gnrlzHealthInfo/gnrlzHealthInfo/gnrlzHealthInfoMain.do</x:v>
      </x:c>
      <x:c r="H602" s="8" t="str">
        <x:v>{
  "disease": "유방종괴",
  "section": "진단 및 검사",
  "category": "symptom"
}</x:v>
      </x:c>
    </x:row>
    <x:row r="603" ht="54" customHeight="1">
      <x:c r="A603" s="8" t="str">
        <x:v>gold-disease-f14d7902724d91bb</x:v>
      </x:c>
      <x:c r="B603" s="8" t="str">
        <x:v>kdca-6672-20</x:v>
      </x:c>
      <x:c r="C603" s="8" t="str">
        <x:v>kdca-6672-20</x:v>
      </x:c>
      <x:c r="D603" s="8" t="str">
        <x:v>근거와 함께 답변</x:v>
      </x:c>
      <x:c r="E603" s="15" t="n">
        <x:v>601</x:v>
      </x:c>
      <x:c r="F603" s="8" t="str">
        <x:v>기존 검증 정답</x:v>
      </x:c>
      <x:c r="G603" s="8" t="str">
        <x:v>https://health.kdca.go.kr/healthinfo/biz/health/gnrlzHealthInfo/gnrlzHealthInfo/gnrlzHealthInfoMain.do</x:v>
      </x:c>
      <x:c r="H603" s="8" t="str">
        <x:v>{
  "disease": "B형간염",
  "section": "합병증 / 대상별 맞춤 정보",
  "category": "disease"
}</x:v>
      </x:c>
    </x:row>
    <x:row r="604" ht="54" customHeight="1">
      <x:c r="A604" s="8" t="str">
        <x:v>gold-disease-na-ac94409df89c596a</x:v>
      </x:c>
      <x:c r="B604" s="8" t="str"/>
      <x:c r="C604" s="8" t="str"/>
      <x:c r="D604" s="8" t="str">
        <x:v>답변 거부 또는 추가 확인 요청</x:v>
      </x:c>
      <x:c r="E604" s="15" t="n">
        <x:v>602</x:v>
      </x:c>
      <x:c r="F604" s="8" t="str">
        <x:v>답변 거부 기준 문구</x:v>
      </x:c>
      <x:c r="G604" s="8" t="str">
        <x:v>https://health.kdca.go.kr/healthinfo/biz/health/gnrlzHealthInfo/gnrlzHealthInfo/gnrlzHealthInfoMain.do</x:v>
      </x:c>
      <x:c r="H604" s="8" t="str">
        <x:v>{
  "disease": "A형간염",
  "section": "증상",
  "category": "disease"
}</x:v>
      </x:c>
    </x:row>
    <x:row r="605" ht="54" customHeight="1">
      <x:c r="A605" s="8" t="str">
        <x:v>gold-disease-f5453844ddf1c9b9</x:v>
      </x:c>
      <x:c r="B605" s="8" t="str">
        <x:v>kdca-3430-16</x:v>
      </x:c>
      <x:c r="C605" s="8" t="str">
        <x:v>kdca-3430-16</x:v>
      </x:c>
      <x:c r="D605" s="8" t="str">
        <x:v>근거와 함께 답변</x:v>
      </x:c>
      <x:c r="E605" s="15" t="n">
        <x:v>603</x:v>
      </x:c>
      <x:c r="F605" s="8" t="str">
        <x:v>기존 검증 정답</x:v>
      </x:c>
      <x:c r="G605" s="8" t="str">
        <x:v>https://health.kdca.go.kr/healthinfo/biz/health/gnrlzHealthInfo/gnrlzHealthInfo/gnrlzHealthInfoMain.do</x:v>
      </x:c>
      <x:c r="H605" s="8" t="str">
        <x:v>{
  "disease": "심실중격결손증",
  "section": "진단 및 검사",
  "category": "disease"
}</x:v>
      </x:c>
    </x:row>
    <x:row r="606" ht="54" customHeight="1">
      <x:c r="A606" s="8" t="str">
        <x:v>gold-disease-6d60f7ddf52e20a7</x:v>
      </x:c>
      <x:c r="B606" s="8" t="str">
        <x:v>kdca-5311-0</x:v>
      </x:c>
      <x:c r="C606" s="8" t="str">
        <x:v>kdca-5311-0</x:v>
      </x:c>
      <x:c r="D606" s="8" t="str">
        <x:v>근거와 함께 답변</x:v>
      </x:c>
      <x:c r="E606" s="15" t="n">
        <x:v>604</x:v>
      </x:c>
      <x:c r="F606" s="8" t="str">
        <x:v>VDB 정의 문장 재선정</x:v>
      </x:c>
      <x:c r="G606" s="8" t="str">
        <x:v>https://health.kdca.go.kr/healthinfo/biz/health/gnrlzHealthInfo/gnrlzHealthInfo/gnrlzHealthInfoMain.do</x:v>
      </x:c>
      <x:c r="H606" s="8" t="str">
        <x:v>{
  "disease": "연성하감",
  "section": "요약문",
  "category": "disease"
}</x:v>
      </x:c>
    </x:row>
    <x:row r="607" ht="54" customHeight="1">
      <x:c r="A607" s="8" t="str">
        <x:v>gold-disease-a2c94dcd6854208a</x:v>
      </x:c>
      <x:c r="B607" s="8" t="str">
        <x:v>kdca-5864-27</x:v>
      </x:c>
      <x:c r="C607" s="8" t="str">
        <x:v>kdca-5864-27</x:v>
      </x:c>
      <x:c r="D607" s="8" t="str">
        <x:v>근거와 함께 답변</x:v>
      </x:c>
      <x:c r="E607" s="15" t="n">
        <x:v>605</x:v>
      </x:c>
      <x:c r="F607" s="8" t="str">
        <x:v>기존 검증 정답</x:v>
      </x:c>
      <x:c r="G607" s="8" t="str">
        <x:v>https://health.kdca.go.kr/healthinfo/biz/health/gnrlzHealthInfo/gnrlzHealthInfo/gnrlzHealthInfoMain.do</x:v>
      </x:c>
      <x:c r="H607" s="8" t="str">
        <x:v>{
  "disease": "외상성 뇌손상",
  "section": "평가 및 검사",
  "category": "disease"
}</x:v>
      </x:c>
    </x:row>
    <x:row r="608" ht="54" customHeight="1">
      <x:c r="A608" s="8" t="str">
        <x:v>gold-disease-na-1efe0ff282ca54b5</x:v>
      </x:c>
      <x:c r="B608" s="8" t="str"/>
      <x:c r="C608" s="8" t="str"/>
      <x:c r="D608" s="8" t="str">
        <x:v>답변 거부 또는 추가 확인 요청</x:v>
      </x:c>
      <x:c r="E608" s="15" t="n">
        <x:v>606</x:v>
      </x:c>
      <x:c r="F608" s="8" t="str">
        <x:v>답변 거부 기준 문구</x:v>
      </x:c>
      <x:c r="G608" s="8" t="str">
        <x:v>https://health.kdca.go.kr/healthinfo/biz/health/gnrlzHealthInfo/gnrlzHealthInfo/gnrlzHealthInfoMain.do</x:v>
      </x:c>
      <x:c r="H608" s="8" t="str">
        <x:v>{
  "disease": "골절",
  "section": "치료 / 합병증",
  "category": "disease"
}</x:v>
      </x:c>
    </x:row>
    <x:row r="609" ht="54" customHeight="1">
      <x:c r="A609" s="8" t="str">
        <x:v>gold-disease-de2740b96932e7af</x:v>
      </x:c>
      <x:c r="B609" s="8" t="str">
        <x:v>kdca-6386-7</x:v>
      </x:c>
      <x:c r="C609" s="8" t="str">
        <x:v>kdca-6386-7</x:v>
      </x:c>
      <x:c r="D609" s="8" t="str">
        <x:v>근거와 함께 답변</x:v>
      </x:c>
      <x:c r="E609" s="15" t="n">
        <x:v>607</x:v>
      </x:c>
      <x:c r="F609" s="8" t="str">
        <x:v>기존 검증 정답</x:v>
      </x:c>
      <x:c r="G609" s="8" t="str">
        <x:v>https://health.kdca.go.kr/healthinfo/biz/health/gnrlzHealthInfo/gnrlzHealthInfo/gnrlzHealthInfoMain.do</x:v>
      </x:c>
      <x:c r="H609" s="8" t="str">
        <x:v>{
  "disease": "자궁샘근증",
  "section": "증상",
  "category": "disease"
}</x:v>
      </x:c>
    </x:row>
    <x:row r="610" ht="54" customHeight="1">
      <x:c r="A610" s="8" t="str">
        <x:v>gold-disease-df16af736be982c6</x:v>
      </x:c>
      <x:c r="B610" s="8" t="str">
        <x:v>kdca-6696-0</x:v>
      </x:c>
      <x:c r="C610" s="8" t="str">
        <x:v>kdca-6696-0</x:v>
      </x:c>
      <x:c r="D610" s="8" t="str">
        <x:v>근거와 함께 답변</x:v>
      </x:c>
      <x:c r="E610" s="15" t="n">
        <x:v>608</x:v>
      </x:c>
      <x:c r="F610" s="8" t="str">
        <x:v>VDB 정의 문장 재선정</x:v>
      </x:c>
      <x:c r="G610" s="8" t="str">
        <x:v>https://health.kdca.go.kr/healthinfo/biz/health/gnrlzHealthInfo/gnrlzHealthInfo/gnrlzHealthInfoMain.do</x:v>
      </x:c>
      <x:c r="H610" s="8" t="str">
        <x:v>{
  "disease": "말더듬",
  "section": "요약문",
  "category": "disease"
}</x:v>
      </x:c>
    </x:row>
    <x:row r="611" ht="54" customHeight="1">
      <x:c r="A611" s="8" t="str">
        <x:v>gold-disease-f549fc7c2a1ad17f</x:v>
      </x:c>
      <x:c r="B611" s="8" t="str">
        <x:v>kdca-6526-10</x:v>
      </x:c>
      <x:c r="C611" s="8" t="str">
        <x:v>kdca-6526-10</x:v>
      </x:c>
      <x:c r="D611" s="8" t="str">
        <x:v>근거와 함께 답변</x:v>
      </x:c>
      <x:c r="E611" s="15" t="n">
        <x:v>609</x:v>
      </x:c>
      <x:c r="F611" s="8" t="str">
        <x:v>기존 검증 정답</x:v>
      </x:c>
      <x:c r="G611" s="8" t="str">
        <x:v>https://health.kdca.go.kr/healthinfo/biz/health/gnrlzHealthInfo/gnrlzHealthInfo/gnrlzHealthInfoMain.do</x:v>
      </x:c>
      <x:c r="H611" s="8" t="str">
        <x:v>{
  "disease": "직업성 호흡기질환(직업성 만성폐쇄성폐질환)",
  "section": "치료 / 합병증",
  "category": "disease"
}</x:v>
      </x:c>
    </x:row>
    <x:row r="612" ht="54" customHeight="1">
      <x:c r="A612" s="8" t="str">
        <x:v>gold-disease-82180817db5c1930</x:v>
      </x:c>
      <x:c r="B612" s="8" t="str">
        <x:v>kdca-6256-13</x:v>
      </x:c>
      <x:c r="C612" s="8" t="str">
        <x:v>kdca-6256-13</x:v>
      </x:c>
      <x:c r="D612" s="8" t="str">
        <x:v>근거와 함께 답변</x:v>
      </x:c>
      <x:c r="E612" s="15" t="n">
        <x:v>610</x:v>
      </x:c>
      <x:c r="F612" s="8" t="str">
        <x:v>기존 검증 정답</x:v>
      </x:c>
      <x:c r="G612" s="8" t="str">
        <x:v>https://health.kdca.go.kr/healthinfo/biz/health/gnrlzHealthInfo/gnrlzHealthInfo/gnrlzHealthInfoMain.do</x:v>
      </x:c>
      <x:c r="H612" s="8" t="str">
        <x:v>{
  "disease": "토혈(성인)",
  "section": "증상",
  "category": "disease"
}</x:v>
      </x:c>
    </x:row>
    <x:row r="613" ht="54" customHeight="1">
      <x:c r="A613" s="8" t="str">
        <x:v>gold-disease-892e5757d4aa5f3a</x:v>
      </x:c>
      <x:c r="B613" s="8" t="str">
        <x:v>kdca-6317-13</x:v>
      </x:c>
      <x:c r="C613" s="8" t="str">
        <x:v>kdca-6317-13</x:v>
      </x:c>
      <x:c r="D613" s="8" t="str">
        <x:v>근거와 함께 답변</x:v>
      </x:c>
      <x:c r="E613" s="15" t="n">
        <x:v>611</x:v>
      </x:c>
      <x:c r="F613" s="8" t="str">
        <x:v>기존 검증 정답</x:v>
      </x:c>
      <x:c r="G613" s="8" t="str">
        <x:v>https://health.kdca.go.kr/healthinfo/biz/health/gnrlzHealthInfo/gnrlzHealthInfo/gnrlzHealthInfoMain.do</x:v>
      </x:c>
      <x:c r="H613" s="8" t="str">
        <x:v>{
  "disease": "혈관종",
  "section": "진단 및 검사",
  "category": "disease"
}</x:v>
      </x:c>
    </x:row>
    <x:row r="614" ht="54" customHeight="1">
      <x:c r="A614" s="8" t="str">
        <x:v>gold-disease-f3f664b200c03e79</x:v>
      </x:c>
      <x:c r="B614" s="8" t="str">
        <x:v>kdca-6546-14</x:v>
      </x:c>
      <x:c r="C614" s="8" t="str">
        <x:v>kdca-6546-14</x:v>
      </x:c>
      <x:c r="D614" s="8" t="str">
        <x:v>근거와 함께 답변</x:v>
      </x:c>
      <x:c r="E614" s="15" t="n">
        <x:v>612</x:v>
      </x:c>
      <x:c r="F614" s="8" t="str">
        <x:v>기존 검증 정답</x:v>
      </x:c>
      <x:c r="G614" s="8" t="str">
        <x:v>https://health.kdca.go.kr/healthinfo/biz/health/gnrlzHealthInfo/gnrlzHealthInfo/gnrlzHealthInfoMain.do</x:v>
      </x:c>
      <x:c r="H614" s="8" t="str">
        <x:v>{
  "disease": "체중 감소",
  "section": "진단 및 검사",
  "category": "symptom"
}</x:v>
      </x:c>
    </x:row>
    <x:row r="615" ht="54" customHeight="1">
      <x:c r="A615" s="8" t="str">
        <x:v>gold-disease-30d15ab86d9e8396</x:v>
      </x:c>
      <x:c r="B615" s="8" t="str">
        <x:v>kdca-6190-23</x:v>
      </x:c>
      <x:c r="C615" s="8" t="str">
        <x:v>kdca-6190-23</x:v>
      </x:c>
      <x:c r="D615" s="8" t="str">
        <x:v>근거와 함께 답변</x:v>
      </x:c>
      <x:c r="E615" s="15" t="n">
        <x:v>613</x:v>
      </x:c>
      <x:c r="F615" s="8" t="str">
        <x:v>기존 검증 정답</x:v>
      </x:c>
      <x:c r="G615" s="8" t="str">
        <x:v>https://health.kdca.go.kr/healthinfo/biz/health/gnrlzHealthInfo/gnrlzHealthInfo/gnrlzHealthInfoMain.do</x:v>
      </x:c>
      <x:c r="H615" s="8" t="str">
        <x:v>{
  "disease": "자궁근종",
  "section": "진단 및 검사",
  "category": "disease"
}</x:v>
      </x:c>
    </x:row>
    <x:row r="616" ht="54" customHeight="1">
      <x:c r="A616" s="8" t="str">
        <x:v>gold-disease-46e5de3860a38532</x:v>
      </x:c>
      <x:c r="B616" s="8" t="str">
        <x:v>kdca-3135-4</x:v>
      </x:c>
      <x:c r="C616" s="8" t="str">
        <x:v>kdca-3135-4</x:v>
      </x:c>
      <x:c r="D616" s="8" t="str">
        <x:v>근거와 함께 답변</x:v>
      </x:c>
      <x:c r="E616" s="15" t="n">
        <x:v>614</x:v>
      </x:c>
      <x:c r="F616" s="8" t="str">
        <x:v>기존 검증 정답</x:v>
      </x:c>
      <x:c r="G616" s="8" t="str">
        <x:v>https://health.kdca.go.kr/healthinfo/biz/health/gnrlzHealthInfo/gnrlzHealthInfo/gnrlzHealthInfoMain.do</x:v>
      </x:c>
      <x:c r="H616" s="8" t="str">
        <x:v>{
  "disease": "항문직장농양과 치루(항문직장농양)",
  "section": "원인 / 증상",
  "category": "disease"
}</x:v>
      </x:c>
    </x:row>
    <x:row r="617" ht="54" customHeight="1">
      <x:c r="A617" s="8" t="str">
        <x:v>gold-disease-13ea9a4d36afdd28</x:v>
      </x:c>
      <x:c r="B617" s="8" t="str">
        <x:v>kdca-6289-0</x:v>
      </x:c>
      <x:c r="C617" s="8" t="str">
        <x:v>kdca-6289-0</x:v>
      </x:c>
      <x:c r="D617" s="8" t="str">
        <x:v>근거와 함께 답변</x:v>
      </x:c>
      <x:c r="E617" s="15" t="n">
        <x:v>615</x:v>
      </x:c>
      <x:c r="F617" s="8" t="str">
        <x:v>기존 검증 정답</x:v>
      </x:c>
      <x:c r="G617" s="8" t="str">
        <x:v>https://health.kdca.go.kr/healthinfo/biz/health/gnrlzHealthInfo/gnrlzHealthInfo/gnrlzHealthInfoMain.do</x:v>
      </x:c>
      <x:c r="H617" s="8" t="str">
        <x:v>{
  "disease": "지루 피부염",
  "section": "정의",
  "category": "disease"
}</x:v>
      </x:c>
    </x:row>
    <x:row r="618" ht="54" customHeight="1">
      <x:c r="A618" s="8" t="str">
        <x:v>gold-disease-0ac97465c48254b9</x:v>
      </x:c>
      <x:c r="B618" s="8" t="str">
        <x:v>kdca-5362-14</x:v>
      </x:c>
      <x:c r="C618" s="8" t="str">
        <x:v>kdca-5362-14</x:v>
      </x:c>
      <x:c r="D618" s="8" t="str">
        <x:v>근거와 함께 답변</x:v>
      </x:c>
      <x:c r="E618" s="15" t="n">
        <x:v>616</x:v>
      </x:c>
      <x:c r="F618" s="8" t="str">
        <x:v>기존 검증 정답</x:v>
      </x:c>
      <x:c r="G618" s="8" t="str">
        <x:v>https://health.kdca.go.kr/healthinfo/biz/health/gnrlzHealthInfo/gnrlzHealthInfo/gnrlzHealthInfoMain.do</x:v>
      </x:c>
      <x:c r="H618" s="8" t="str">
        <x:v>{
  "disease": "코골이",
  "section": "진단 및 검사",
  "category": "disease"
}</x:v>
      </x:c>
    </x:row>
    <x:row r="619" ht="54" customHeight="1">
      <x:c r="A619" s="8" t="str">
        <x:v>gold-disease-2f55eceb479e4d4f</x:v>
      </x:c>
      <x:c r="B619" s="8" t="str">
        <x:v>kdca-6254-12</x:v>
      </x:c>
      <x:c r="C619" s="8" t="str">
        <x:v>kdca-6254-12</x:v>
      </x:c>
      <x:c r="D619" s="8" t="str">
        <x:v>근거와 함께 답변</x:v>
      </x:c>
      <x:c r="E619" s="15" t="n">
        <x:v>617</x:v>
      </x:c>
      <x:c r="F619" s="8" t="str">
        <x:v>VDB 후속 설명 보강</x:v>
      </x:c>
      <x:c r="G619" s="8" t="str">
        <x:v>https://health.kdca.go.kr/healthinfo/biz/health/gnrlzHealthInfo/gnrlzHealthInfo/gnrlzHealthInfoMain.do</x:v>
      </x:c>
      <x:c r="H619" s="8" t="str">
        <x:v>{
  "disease": "고혈압과 눈(고혈압망막병증)",
  "section": "치료 / 약물 치료 / 비약물 치료",
  "category": "disease"
}</x:v>
      </x:c>
    </x:row>
    <x:row r="620" ht="54" customHeight="1">
      <x:c r="A620" s="8" t="str">
        <x:v>gold-disease-8eea81870d0e8bb4</x:v>
      </x:c>
      <x:c r="B620" s="8" t="str">
        <x:v>kdca-6686-36</x:v>
      </x:c>
      <x:c r="C620" s="8" t="str">
        <x:v>kdca-6686-36</x:v>
      </x:c>
      <x:c r="D620" s="8" t="str">
        <x:v>근거와 함께 답변</x:v>
      </x:c>
      <x:c r="E620" s="15" t="n">
        <x:v>618</x:v>
      </x:c>
      <x:c r="F620" s="8" t="str">
        <x:v>VDB 후속 설명 보강</x:v>
      </x:c>
      <x:c r="G620" s="8" t="str">
        <x:v>https://health.kdca.go.kr/healthinfo/biz/health/gnrlzHealthInfo/gnrlzHealthInfo/gnrlzHealthInfoMain.do</x:v>
      </x:c>
      <x:c r="H620" s="8" t="str">
        <x:v>{
  "disease": "자연유산",
  "section": "위험요인 및 예방",
  "category": "disease"
}</x:v>
      </x:c>
    </x:row>
    <x:row r="621" ht="54" customHeight="1">
      <x:c r="A621" s="8" t="str">
        <x:v>gold-disease-060db05ac3a45541</x:v>
      </x:c>
      <x:c r="B621" s="8" t="str">
        <x:v>kdca-5279-19</x:v>
      </x:c>
      <x:c r="C621" s="8" t="str">
        <x:v>kdca-5279-19</x:v>
      </x:c>
      <x:c r="D621" s="8" t="str">
        <x:v>근거와 함께 답변</x:v>
      </x:c>
      <x:c r="E621" s="15" t="n">
        <x:v>619</x:v>
      </x:c>
      <x:c r="F621" s="8" t="str">
        <x:v>기존 검증 정답</x:v>
      </x:c>
      <x:c r="G621" s="8" t="str">
        <x:v>https://health.kdca.go.kr/healthinfo/biz/health/gnrlzHealthInfo/gnrlzHealthInfo/gnrlzHealthInfoMain.do</x:v>
      </x:c>
      <x:c r="H621" s="8" t="str">
        <x:v>{
  "disease": "신증후군출혈열(한타바이러스감염증)",
  "section": "진단 및 검사",
  "category": "disease"
}</x:v>
      </x:c>
    </x:row>
    <x:row r="622" ht="54" customHeight="1">
      <x:c r="A622" s="8" t="str">
        <x:v>gold-disease-561e6d7d58f8f386</x:v>
      </x:c>
      <x:c r="B622" s="8" t="str">
        <x:v>kdca-5364-2</x:v>
      </x:c>
      <x:c r="C622" s="8" t="str">
        <x:v>kdca-5364-2</x:v>
      </x:c>
      <x:c r="D622" s="8" t="str">
        <x:v>근거와 함께 답변</x:v>
      </x:c>
      <x:c r="E622" s="15" t="n">
        <x:v>620</x:v>
      </x:c>
      <x:c r="F622" s="8" t="str">
        <x:v>기존 검증 정답</x:v>
      </x:c>
      <x:c r="G622" s="8" t="str">
        <x:v>https://health.kdca.go.kr/healthinfo/biz/health/gnrlzHealthInfo/gnrlzHealthInfo/gnrlzHealthInfoMain.do</x:v>
      </x:c>
      <x:c r="H622" s="8" t="str">
        <x:v>{
  "disease": "잠복고환",
  "section": "정의",
  "category": "disease"
}</x:v>
      </x:c>
    </x:row>
    <x:row r="623" ht="54" customHeight="1">
      <x:c r="A623" s="8" t="str">
        <x:v>gold-disease-na-c7c4052275f1f233</x:v>
      </x:c>
      <x:c r="B623" s="8" t="str"/>
      <x:c r="C623" s="8" t="str"/>
      <x:c r="D623" s="8" t="str">
        <x:v>답변 거부 또는 추가 확인 요청</x:v>
      </x:c>
      <x:c r="E623" s="15" t="n">
        <x:v>621</x:v>
      </x:c>
      <x:c r="F623" s="8" t="str">
        <x:v>답변 거부 기준 문구</x:v>
      </x:c>
      <x:c r="G623" s="8" t="str">
        <x:v>https://health.kdca.go.kr/healthinfo/biz/health/gnrlzHealthInfo/gnrlzHealthInfo/gnrlzHealthInfoMain.do</x:v>
      </x:c>
      <x:c r="H623" s="8" t="str">
        <x:v>{
  "disease": "충치",
  "section": "원인",
  "category": "disease"
}</x:v>
      </x:c>
    </x:row>
    <x:row r="624" ht="54" customHeight="1">
      <x:c r="A624" s="8" t="str">
        <x:v>gold-disease-na-1432e02a1d393539</x:v>
      </x:c>
      <x:c r="B624" s="8" t="str"/>
      <x:c r="C624" s="8" t="str"/>
      <x:c r="D624" s="8" t="str">
        <x:v>답변 거부 또는 추가 확인 요청</x:v>
      </x:c>
      <x:c r="E624" s="15" t="n">
        <x:v>622</x:v>
      </x:c>
      <x:c r="F624" s="8" t="str">
        <x:v>답변 거부 기준 문구</x:v>
      </x:c>
      <x:c r="G624" s="8" t="str">
        <x:v>https://health.kdca.go.kr/healthinfo/biz/health/gnrlzHealthInfo/gnrlzHealthInfo/gnrlzHealthInfoMain.do</x:v>
      </x:c>
      <x:c r="H624" s="8" t="str">
        <x:v>{
  "disease": "소변이상(혈뇨)",
  "section": "연관 증상",
  "category": "symptom"
}</x:v>
      </x:c>
    </x:row>
    <x:row r="625" ht="54" customHeight="1">
      <x:c r="A625" s="8" t="str">
        <x:v>gold-disease-055abc3eb1c0952c</x:v>
      </x:c>
      <x:c r="B625" s="8" t="str">
        <x:v>kdca-5224-41</x:v>
      </x:c>
      <x:c r="C625" s="8" t="str">
        <x:v>kdca-5224-41</x:v>
      </x:c>
      <x:c r="D625" s="8" t="str">
        <x:v>근거와 함께 답변</x:v>
      </x:c>
      <x:c r="E625" s="15" t="n">
        <x:v>623</x:v>
      </x:c>
      <x:c r="F625" s="8" t="str">
        <x:v>VDB 후속 설명 보강</x:v>
      </x:c>
      <x:c r="G625" s="8" t="str">
        <x:v>https://health.kdca.go.kr/healthinfo/biz/health/gnrlzHealthInfo/gnrlzHealthInfo/gnrlzHealthInfoMain.do</x:v>
      </x:c>
      <x:c r="H625" s="8" t="str">
        <x:v>{
  "disease": "저시력",
  "section": "자가 관리 / 병원을 방문해야 하는 경우",
  "category": "disease"
}</x:v>
      </x:c>
    </x:row>
    <x:row r="626" ht="54" customHeight="1">
      <x:c r="A626" s="8" t="str">
        <x:v>gold-disease-c4a74c9336cedea6</x:v>
      </x:c>
      <x:c r="B626" s="8" t="str">
        <x:v>kdca-6577-11</x:v>
      </x:c>
      <x:c r="C626" s="8" t="str">
        <x:v>kdca-6577-11</x:v>
      </x:c>
      <x:c r="D626" s="8" t="str">
        <x:v>근거와 함께 답변</x:v>
      </x:c>
      <x:c r="E626" s="15" t="n">
        <x:v>624</x:v>
      </x:c>
      <x:c r="F626" s="8" t="str">
        <x:v>VDB 후속 설명 보강</x:v>
      </x:c>
      <x:c r="G626" s="8" t="str">
        <x:v>https://health.kdca.go.kr/healthinfo/biz/health/gnrlzHealthInfo/gnrlzHealthInfo/gnrlzHealthInfoMain.do</x:v>
      </x:c>
      <x:c r="H626" s="8" t="str">
        <x:v>{
  "disease": "치아맹출장애",
  "section": "역학 및 통계 / 증상",
  "category": "disease"
}</x:v>
      </x:c>
    </x:row>
    <x:row r="627" ht="54" customHeight="1">
      <x:c r="A627" s="8" t="str">
        <x:v>gold-disease-19e1fa4f8f10b7a4</x:v>
      </x:c>
      <x:c r="B627" s="8" t="str">
        <x:v>kdca-5372-13</x:v>
      </x:c>
      <x:c r="C627" s="8" t="str">
        <x:v>kdca-5372-13</x:v>
      </x:c>
      <x:c r="D627" s="8" t="str">
        <x:v>근거와 함께 답변</x:v>
      </x:c>
      <x:c r="E627" s="15" t="n">
        <x:v>625</x:v>
      </x:c>
      <x:c r="F627" s="8" t="str">
        <x:v>기존 검증 정답</x:v>
      </x:c>
      <x:c r="G627" s="8" t="str">
        <x:v>https://health.kdca.go.kr/healthinfo/biz/health/gnrlzHealthInfo/gnrlzHealthInfo/gnrlzHealthInfoMain.do</x:v>
      </x:c>
      <x:c r="H627" s="8" t="str">
        <x:v>{
  "disease": "비브리오 패혈증",
  "section": "증상",
  "category": "disease"
}</x:v>
      </x:c>
    </x:row>
    <x:row r="628" ht="54" customHeight="1">
      <x:c r="A628" s="8" t="str">
        <x:v>gold-disease-108b02ea7b57ce2f</x:v>
      </x:c>
      <x:c r="B628" s="8" t="str">
        <x:v>kdca-1403-5</x:v>
      </x:c>
      <x:c r="C628" s="8" t="str">
        <x:v>kdca-1403-5</x:v>
      </x:c>
      <x:c r="D628" s="8" t="str">
        <x:v>근거와 함께 답변</x:v>
      </x:c>
      <x:c r="E628" s="15" t="n">
        <x:v>626</x:v>
      </x:c>
      <x:c r="F628" s="8" t="str">
        <x:v>기존 검증 정답</x:v>
      </x:c>
      <x:c r="G628" s="8" t="str">
        <x:v>https://health.kdca.go.kr/healthinfo/biz/health/gnrlzHealthInfo/gnrlzHealthInfo/gnrlzHealthInfoMain.do</x:v>
      </x:c>
      <x:c r="H628" s="8" t="str">
        <x:v>{
  "disease": "안외상(외상성 백내장 및 수정체 이탈)",
  "section": "치료 / 합병증",
  "category": "disease"
}</x:v>
      </x:c>
    </x:row>
    <x:row r="629" ht="54" customHeight="1">
      <x:c r="A629" s="8" t="str">
        <x:v>gold-disease-dd2397f0254b070b</x:v>
      </x:c>
      <x:c r="B629" s="8" t="str">
        <x:v>kdca-6701-0</x:v>
      </x:c>
      <x:c r="C629" s="8" t="str">
        <x:v>kdca-6701-0</x:v>
      </x:c>
      <x:c r="D629" s="8" t="str">
        <x:v>근거와 함께 답변</x:v>
      </x:c>
      <x:c r="E629" s="15" t="n">
        <x:v>627</x:v>
      </x:c>
      <x:c r="F629" s="8" t="str">
        <x:v>VDB 정의 문장 재선정</x:v>
      </x:c>
      <x:c r="G629" s="8" t="str">
        <x:v>https://health.kdca.go.kr/healthinfo/biz/health/gnrlzHealthInfo/gnrlzHealthInfo/gnrlzHealthInfoMain.do</x:v>
      </x:c>
      <x:c r="H629" s="8" t="str">
        <x:v>{
  "disease": "선천갑상샘저하증",
  "section": "요약문",
  "category": "disease"
}</x:v>
      </x:c>
    </x:row>
    <x:row r="630" ht="54" customHeight="1">
      <x:c r="A630" s="8" t="str">
        <x:v>gold-disease-25c3501e2bf80d18</x:v>
      </x:c>
      <x:c r="B630" s="8" t="str">
        <x:v>kdca-5309-14</x:v>
      </x:c>
      <x:c r="C630" s="8" t="str">
        <x:v>kdca-5309-14</x:v>
      </x:c>
      <x:c r="D630" s="8" t="str">
        <x:v>근거와 함께 답변</x:v>
      </x:c>
      <x:c r="E630" s="15" t="n">
        <x:v>628</x:v>
      </x:c>
      <x:c r="F630" s="8" t="str">
        <x:v>VDB 후속 설명 보강</x:v>
      </x:c>
      <x:c r="G630" s="8" t="str">
        <x:v>https://health.kdca.go.kr/healthinfo/biz/health/gnrlzHealthInfo/gnrlzHealthInfo/gnrlzHealthInfoMain.do</x:v>
      </x:c>
      <x:c r="H630" s="8" t="str">
        <x:v>{
  "disease": "C형간염",
  "section": "약물 치료 / 비약물 치료",
  "category": "disease"
}</x:v>
      </x:c>
    </x:row>
    <x:row r="631" ht="54" customHeight="1">
      <x:c r="A631" s="8" t="str">
        <x:v>gold-disease-9916caf69b603f20</x:v>
      </x:c>
      <x:c r="B631" s="8" t="str">
        <x:v>kdca-6305-10</x:v>
      </x:c>
      <x:c r="C631" s="8" t="str">
        <x:v>kdca-6305-10</x:v>
      </x:c>
      <x:c r="D631" s="8" t="str">
        <x:v>근거와 함께 답변</x:v>
      </x:c>
      <x:c r="E631" s="15" t="n">
        <x:v>629</x:v>
      </x:c>
      <x:c r="F631" s="8" t="str">
        <x:v>기존 검증 정답</x:v>
      </x:c>
      <x:c r="G631" s="8" t="str">
        <x:v>https://health.kdca.go.kr/healthinfo/biz/health/gnrlzHealthInfo/gnrlzHealthInfo/gnrlzHealthInfoMain.do</x:v>
      </x:c>
      <x:c r="H631" s="8" t="str">
        <x:v>{
  "disease": "수두증(소아)",
  "section": "증상",
  "category": "disease"
}</x:v>
      </x:c>
    </x:row>
    <x:row r="632" ht="54" customHeight="1">
      <x:c r="A632" s="8" t="str">
        <x:v>gold-disease-e5cb6e98a8f09407</x:v>
      </x:c>
      <x:c r="B632" s="8" t="str">
        <x:v>kdca-3338-25</x:v>
      </x:c>
      <x:c r="C632" s="8" t="str">
        <x:v>kdca-3338-25</x:v>
      </x:c>
      <x:c r="D632" s="8" t="str">
        <x:v>근거와 함께 답변</x:v>
      </x:c>
      <x:c r="E632" s="15" t="n">
        <x:v>630</x:v>
      </x:c>
      <x:c r="F632" s="8" t="str">
        <x:v>VDB 후속 설명 보강</x:v>
      </x:c>
      <x:c r="G632" s="8" t="str">
        <x:v>https://health.kdca.go.kr/healthinfo/biz/health/gnrlzHealthInfo/gnrlzHealthInfo/gnrlzHealthInfoMain.do</x:v>
      </x:c>
      <x:c r="H632" s="8" t="str">
        <x:v>{
  "disease": "턱관절 장애",
  "section": "역학 및 통계",
  "category": "disease"
}</x:v>
      </x:c>
    </x:row>
    <x:row r="633" ht="54" customHeight="1">
      <x:c r="A633" s="8" t="str">
        <x:v>gold-disease-eae0c1ff4d14572e</x:v>
      </x:c>
      <x:c r="B633" s="8" t="str">
        <x:v>kdca-5693-9</x:v>
      </x:c>
      <x:c r="C633" s="8" t="str">
        <x:v>kdca-5693-9</x:v>
      </x:c>
      <x:c r="D633" s="8" t="str">
        <x:v>근거와 함께 답변</x:v>
      </x:c>
      <x:c r="E633" s="15" t="n">
        <x:v>631</x:v>
      </x:c>
      <x:c r="F633" s="8" t="str">
        <x:v>VDB 후속 설명 보강</x:v>
      </x:c>
      <x:c r="G633" s="8" t="str">
        <x:v>https://health.kdca.go.kr/healthinfo/biz/health/gnrlzHealthInfo/gnrlzHealthInfo/gnrlzHealthInfoMain.do</x:v>
      </x:c>
      <x:c r="H633" s="8" t="str">
        <x:v>{
  "disease": "발 백선(무좀)",
  "section": "증상",
  "category": "disease"
}</x:v>
      </x:c>
    </x:row>
    <x:row r="634" ht="54" customHeight="1">
      <x:c r="A634" s="8" t="str">
        <x:v>gold-disease-ed5034850d92a145</x:v>
      </x:c>
      <x:c r="B634" s="8" t="str">
        <x:v>kdca-6247-11</x:v>
      </x:c>
      <x:c r="C634" s="8" t="str">
        <x:v>kdca-6247-11</x:v>
      </x:c>
      <x:c r="D634" s="8" t="str">
        <x:v>근거와 함께 답변</x:v>
      </x:c>
      <x:c r="E634" s="15" t="n">
        <x:v>632</x:v>
      </x:c>
      <x:c r="F634" s="8" t="str">
        <x:v>기존 검증 정답</x:v>
      </x:c>
      <x:c r="G634" s="8" t="str">
        <x:v>https://health.kdca.go.kr/healthinfo/biz/health/gnrlzHealthInfo/gnrlzHealthInfo/gnrlzHealthInfoMain.do</x:v>
      </x:c>
      <x:c r="H634" s="8" t="str">
        <x:v>{
  "disease": "일본뇌염",
  "section": "진단 및 검사 / 예방 및 예방접종",
  "category": "disease"
}</x:v>
      </x:c>
    </x:row>
    <x:row r="635" ht="54" customHeight="1">
      <x:c r="A635" s="8" t="str">
        <x:v>gold-disease-b3eb6e8c09a6062f</x:v>
      </x:c>
      <x:c r="B635" s="8" t="str">
        <x:v>kdca-6482-18</x:v>
      </x:c>
      <x:c r="C635" s="8" t="str">
        <x:v>kdca-6482-18</x:v>
      </x:c>
      <x:c r="D635" s="8" t="str">
        <x:v>근거와 함께 답변</x:v>
      </x:c>
      <x:c r="E635" s="15" t="n">
        <x:v>633</x:v>
      </x:c>
      <x:c r="F635" s="8" t="str">
        <x:v>VDB 후속 설명 보강</x:v>
      </x:c>
      <x:c r="G635" s="8" t="str">
        <x:v>https://health.kdca.go.kr/healthinfo/biz/health/gnrlzHealthInfo/gnrlzHealthInfo/gnrlzHealthInfoMain.do</x:v>
      </x:c>
      <x:c r="H635" s="8" t="str">
        <x:v>{
  "disease": "급성신손상(소아)",
  "section": "비약물 치료",
  "category": "disease"
}</x:v>
      </x:c>
    </x:row>
    <x:row r="636" ht="54" customHeight="1">
      <x:c r="A636" s="8" t="str">
        <x:v>gold-disease-efb223f126be1705</x:v>
      </x:c>
      <x:c r="B636" s="8" t="str">
        <x:v>kdca-6538-5</x:v>
      </x:c>
      <x:c r="C636" s="8" t="str">
        <x:v>kdca-6538-5</x:v>
      </x:c>
      <x:c r="D636" s="8" t="str">
        <x:v>근거와 함께 답변</x:v>
      </x:c>
      <x:c r="E636" s="15" t="n">
        <x:v>634</x:v>
      </x:c>
      <x:c r="F636" s="8" t="str">
        <x:v>VDB 후속 설명 보강</x:v>
      </x:c>
      <x:c r="G636" s="8" t="str">
        <x:v>https://health.kdca.go.kr/healthinfo/biz/health/gnrlzHealthInfo/gnrlzHealthInfo/gnrlzHealthInfoMain.do</x:v>
      </x:c>
      <x:c r="H636" s="8" t="str">
        <x:v>{
  "disease": "피임",
  "section": "치료",
  "category": "disease"
}</x:v>
      </x:c>
    </x:row>
    <x:row r="637" ht="54" customHeight="1">
      <x:c r="A637" s="8" t="str">
        <x:v>gold-disease-67d3c52b74441d5b</x:v>
      </x:c>
      <x:c r="B637" s="8" t="str">
        <x:v>kdca-6710-10</x:v>
      </x:c>
      <x:c r="C637" s="8" t="str">
        <x:v>kdca-6710-10</x:v>
      </x:c>
      <x:c r="D637" s="8" t="str">
        <x:v>근거와 함께 답변</x:v>
      </x:c>
      <x:c r="E637" s="15" t="n">
        <x:v>635</x:v>
      </x:c>
      <x:c r="F637" s="8" t="str">
        <x:v>VDB 후속 설명 보강</x:v>
      </x:c>
      <x:c r="G637" s="8" t="str">
        <x:v>https://health.kdca.go.kr/healthinfo/biz/health/gnrlzHealthInfo/gnrlzHealthInfo/gnrlzHealthInfoMain.do</x:v>
      </x:c>
      <x:c r="H637" s="8" t="str">
        <x:v>{
  "disease": "소변이상(농뇨)",
  "section": "연관 증상",
  "category": "disease"
}</x:v>
      </x:c>
    </x:row>
    <x:row r="638" ht="54" customHeight="1">
      <x:c r="A638" s="8" t="str">
        <x:v>gold-disease-5e27e966532c4e12</x:v>
      </x:c>
      <x:c r="B638" s="8" t="str">
        <x:v>kdca-6270-25</x:v>
      </x:c>
      <x:c r="C638" s="8" t="str">
        <x:v>kdca-6270-25</x:v>
      </x:c>
      <x:c r="D638" s="8" t="str">
        <x:v>근거와 함께 답변</x:v>
      </x:c>
      <x:c r="E638" s="15" t="n">
        <x:v>636</x:v>
      </x:c>
      <x:c r="F638" s="8" t="str">
        <x:v>기존 검증 정답</x:v>
      </x:c>
      <x:c r="G638" s="8" t="str">
        <x:v>https://health.kdca.go.kr/healthinfo/biz/health/gnrlzHealthInfo/gnrlzHealthInfo/gnrlzHealthInfoMain.do</x:v>
      </x:c>
      <x:c r="H638" s="8" t="str">
        <x:v>{
  "disease": "귀의 형태 이상",
  "section": "자주하는 질문",
  "category": "disease"
}</x:v>
      </x:c>
    </x:row>
    <x:row r="639" ht="54" customHeight="1">
      <x:c r="A639" s="8" t="str">
        <x:v>gold-disease-f13e7784e777688c</x:v>
      </x:c>
      <x:c r="B639" s="8" t="str">
        <x:v>kdca-6316-0</x:v>
      </x:c>
      <x:c r="C639" s="8" t="str">
        <x:v>kdca-6316-0</x:v>
      </x:c>
      <x:c r="D639" s="8" t="str">
        <x:v>근거와 함께 답변</x:v>
      </x:c>
      <x:c r="E639" s="15" t="n">
        <x:v>637</x:v>
      </x:c>
      <x:c r="F639" s="8" t="str">
        <x:v>기존 검증 정답</x:v>
      </x:c>
      <x:c r="G639" s="8" t="str">
        <x:v>https://health.kdca.go.kr/healthinfo/biz/health/gnrlzHealthInfo/gnrlzHealthInfo/gnrlzHealthInfoMain.do</x:v>
      </x:c>
      <x:c r="H639" s="8" t="str">
        <x:v>{
  "disease": "독극물 섭취",
  "section": "개요 / 종류",
  "category": "disease"
}</x:v>
      </x:c>
    </x:row>
    <x:row r="640" ht="54" customHeight="1">
      <x:c r="A640" s="8" t="str">
        <x:v>gold-disease-5e74e352a603eb8c</x:v>
      </x:c>
      <x:c r="B640" s="8" t="str">
        <x:v>kdca-6690-12</x:v>
      </x:c>
      <x:c r="C640" s="8" t="str">
        <x:v>kdca-6690-12</x:v>
      </x:c>
      <x:c r="D640" s="8" t="str">
        <x:v>근거와 함께 답변</x:v>
      </x:c>
      <x:c r="E640" s="15" t="n">
        <x:v>638</x:v>
      </x:c>
      <x:c r="F640" s="8" t="str">
        <x:v>기존 검증 정답</x:v>
      </x:c>
      <x:c r="G640" s="8" t="str">
        <x:v>https://health.kdca.go.kr/healthinfo/biz/health/gnrlzHealthInfo/gnrlzHealthInfo/gnrlzHealthInfoMain.do</x:v>
      </x:c>
      <x:c r="H640" s="8" t="str">
        <x:v>{
  "disease": "녹내장",
  "section": "증상",
  "category": "disease"
}</x:v>
      </x:c>
    </x:row>
    <x:row r="641" ht="54" customHeight="1">
      <x:c r="A641" s="8" t="str">
        <x:v>gold-disease-fd3bb99d90c8defa</x:v>
      </x:c>
      <x:c r="B641" s="8" t="str">
        <x:v>kdca-5856-11</x:v>
      </x:c>
      <x:c r="C641" s="8" t="str">
        <x:v>kdca-5856-11</x:v>
      </x:c>
      <x:c r="D641" s="8" t="str">
        <x:v>근거와 함께 답변</x:v>
      </x:c>
      <x:c r="E641" s="15" t="n">
        <x:v>639</x:v>
      </x:c>
      <x:c r="F641" s="8" t="str">
        <x:v>기존 검증 정답</x:v>
      </x:c>
      <x:c r="G641" s="8" t="str">
        <x:v>https://health.kdca.go.kr/healthinfo/biz/health/gnrlzHealthInfo/gnrlzHealthInfo/gnrlzHealthInfoMain.do</x:v>
      </x:c>
      <x:c r="H641" s="8" t="str">
        <x:v>{
  "disease": "대동맥 박리",
  "section": "증상",
  "category": "disease"
}</x:v>
      </x:c>
    </x:row>
    <x:row r="642" ht="54" customHeight="1">
      <x:c r="A642" s="8" t="str">
        <x:v>gold-disease-bd1f1343293180c7</x:v>
      </x:c>
      <x:c r="B642" s="8" t="str">
        <x:v>kdca-5687-13</x:v>
      </x:c>
      <x:c r="C642" s="8" t="str">
        <x:v>kdca-5687-13</x:v>
      </x:c>
      <x:c r="D642" s="8" t="str">
        <x:v>근거와 함께 답변</x:v>
      </x:c>
      <x:c r="E642" s="15" t="n">
        <x:v>640</x:v>
      </x:c>
      <x:c r="F642" s="8" t="str">
        <x:v>기존 검증 정답</x:v>
      </x:c>
      <x:c r="G642" s="8" t="str">
        <x:v>https://health.kdca.go.kr/healthinfo/biz/health/gnrlzHealthInfo/gnrlzHealthInfo/gnrlzHealthInfoMain.do</x:v>
      </x:c>
      <x:c r="H642" s="8" t="str">
        <x:v>{
  "disease": "하지정맥류",
  "section": "증상",
  "category": "disease"
}</x:v>
      </x:c>
    </x:row>
    <x:row r="643" ht="54" customHeight="1">
      <x:c r="A643" s="8" t="str">
        <x:v>gold-disease-758eba39425613ca</x:v>
      </x:c>
      <x:c r="B643" s="8" t="str">
        <x:v>kdca-6189-3</x:v>
      </x:c>
      <x:c r="C643" s="8" t="str">
        <x:v>kdca-6189-3</x:v>
      </x:c>
      <x:c r="D643" s="8" t="str">
        <x:v>근거와 함께 답변</x:v>
      </x:c>
      <x:c r="E643" s="15" t="n">
        <x:v>641</x:v>
      </x:c>
      <x:c r="F643" s="8" t="str">
        <x:v>기존 검증 정답</x:v>
      </x:c>
      <x:c r="G643" s="8" t="str">
        <x:v>https://health.kdca.go.kr/healthinfo/biz/health/gnrlzHealthInfo/gnrlzHealthInfo/gnrlzHealthInfoMain.do</x:v>
      </x:c>
      <x:c r="H643" s="8" t="str">
        <x:v>{
  "disease": "언어장애(성인 언어 및 말장애의 진단과 치료)",
  "section": "종류",
  "category": "disease"
}</x:v>
      </x:c>
    </x:row>
    <x:row r="644" ht="54" customHeight="1">
      <x:c r="A644" s="8" t="str">
        <x:v>gold-disease-005fe7cdb3766a0d</x:v>
      </x:c>
      <x:c r="B644" s="8" t="str">
        <x:v>kdca-1567-33</x:v>
      </x:c>
      <x:c r="C644" s="8" t="str">
        <x:v>kdca-1567-33</x:v>
      </x:c>
      <x:c r="D644" s="8" t="str">
        <x:v>근거와 함께 답변</x:v>
      </x:c>
      <x:c r="E644" s="15" t="n">
        <x:v>642</x:v>
      </x:c>
      <x:c r="F644" s="8" t="str">
        <x:v>VDB 후속 설명 보강</x:v>
      </x:c>
      <x:c r="G644" s="8" t="str">
        <x:v>https://health.kdca.go.kr/healthinfo/biz/health/gnrlzHealthInfo/gnrlzHealthInfo/gnrlzHealthInfoMain.do</x:v>
      </x:c>
      <x:c r="H644" s="8" t="str">
        <x:v>{
  "disease": "오십견(동결견, 유착관절낭염)",
  "section": "비약물 치료",
  "category": "disease"
}</x:v>
      </x:c>
    </x:row>
    <x:row r="645" ht="54" customHeight="1">
      <x:c r="A645" s="8" t="str">
        <x:v>gold-disease-95eb1d61de37a3dc</x:v>
      </x:c>
      <x:c r="B645" s="8" t="str">
        <x:v>kdca-5707-14</x:v>
      </x:c>
      <x:c r="C645" s="8" t="str">
        <x:v>kdca-5707-14</x:v>
      </x:c>
      <x:c r="D645" s="8" t="str">
        <x:v>근거와 함께 답변</x:v>
      </x:c>
      <x:c r="E645" s="15" t="n">
        <x:v>643</x:v>
      </x:c>
      <x:c r="F645" s="8" t="str">
        <x:v>기존 검증 정답</x:v>
      </x:c>
      <x:c r="G645" s="8" t="str">
        <x:v>https://health.kdca.go.kr/healthinfo/biz/health/gnrlzHealthInfo/gnrlzHealthInfo/gnrlzHealthInfoMain.do</x:v>
      </x:c>
      <x:c r="H645" s="8" t="str">
        <x:v>{
  "disease": "편도염",
  "section": "진단 및 검사",
  "category": "disease"
}</x:v>
      </x:c>
    </x:row>
    <x:row r="646" ht="54" customHeight="1">
      <x:c r="A646" s="8" t="str">
        <x:v>gold-disease-c0d285968f2af951</x:v>
      </x:c>
      <x:c r="B646" s="8" t="str">
        <x:v>kdca-1241-7</x:v>
      </x:c>
      <x:c r="C646" s="8" t="str">
        <x:v>kdca-1241-7</x:v>
      </x:c>
      <x:c r="D646" s="8" t="str">
        <x:v>근거와 함께 답변</x:v>
      </x:c>
      <x:c r="E646" s="15" t="n">
        <x:v>644</x:v>
      </x:c>
      <x:c r="F646" s="8" t="str">
        <x:v>기존 검증 정답</x:v>
      </x:c>
      <x:c r="G646" s="8" t="str">
        <x:v>https://health.kdca.go.kr/healthinfo/biz/health/gnrlzHealthInfo/gnrlzHealthInfo/gnrlzHealthInfoMain.do</x:v>
      </x:c>
      <x:c r="H646" s="8" t="str">
        <x:v>{
  "disease": "간농양",
  "section": "증상",
  "category": "disease"
}</x:v>
      </x:c>
    </x:row>
    <x:row r="647" ht="54" customHeight="1">
      <x:c r="A647" s="8" t="str">
        <x:v>gold-disease-240c5b1966de7383</x:v>
      </x:c>
      <x:c r="B647" s="8" t="str">
        <x:v>kdca-5339-6</x:v>
      </x:c>
      <x:c r="C647" s="8" t="str">
        <x:v>kdca-5339-6</x:v>
      </x:c>
      <x:c r="D647" s="8" t="str">
        <x:v>근거와 함께 답변</x:v>
      </x:c>
      <x:c r="E647" s="15" t="n">
        <x:v>645</x:v>
      </x:c>
      <x:c r="F647" s="8" t="str">
        <x:v>VDB 후속 설명 보강</x:v>
      </x:c>
      <x:c r="G647" s="8" t="str">
        <x:v>https://health.kdca.go.kr/healthinfo/biz/health/gnrlzHealthInfo/gnrlzHealthInfo/gnrlzHealthInfoMain.do</x:v>
      </x:c>
      <x:c r="H647" s="8" t="str">
        <x:v>{
  "disease": "폐흡충증",
  "section": "증상",
  "category": "disease"
}</x:v>
      </x:c>
    </x:row>
    <x:row r="648" ht="54" customHeight="1">
      <x:c r="A648" s="8" t="str">
        <x:v>gold-disease-7875e1eea9a84849</x:v>
      </x:c>
      <x:c r="B648" s="8" t="str">
        <x:v>kdca-5314-21</x:v>
      </x:c>
      <x:c r="C648" s="8" t="str">
        <x:v>kdca-5314-21</x:v>
      </x:c>
      <x:c r="D648" s="8" t="str">
        <x:v>근거와 함께 답변</x:v>
      </x:c>
      <x:c r="E648" s="15" t="n">
        <x:v>646</x:v>
      </x:c>
      <x:c r="F648" s="8" t="str">
        <x:v>기존 검증 정답</x:v>
      </x:c>
      <x:c r="G648" s="8" t="str">
        <x:v>https://health.kdca.go.kr/healthinfo/biz/health/gnrlzHealthInfo/gnrlzHealthInfo/gnrlzHealthInfoMain.do</x:v>
      </x:c>
      <x:c r="H648" s="8" t="str">
        <x:v>{
  "disease": "노인 삼킴장애",
  "section": "진단 및 검사",
  "category": "disease"
}</x:v>
      </x:c>
    </x:row>
    <x:row r="649" ht="54" customHeight="1">
      <x:c r="A649" s="8" t="str">
        <x:v>gold-disease-0e5410d0a4f16f56</x:v>
      </x:c>
      <x:c r="B649" s="8" t="str">
        <x:v>kdca-6256-16</x:v>
      </x:c>
      <x:c r="C649" s="8" t="str">
        <x:v>kdca-6256-16</x:v>
      </x:c>
      <x:c r="D649" s="8" t="str">
        <x:v>근거와 함께 답변</x:v>
      </x:c>
      <x:c r="E649" s="15" t="n">
        <x:v>647</x:v>
      </x:c>
      <x:c r="F649" s="8" t="str">
        <x:v>VDB 후속 설명 보강</x:v>
      </x:c>
      <x:c r="G649" s="8" t="str">
        <x:v>https://health.kdca.go.kr/healthinfo/biz/health/gnrlzHealthInfo/gnrlzHealthInfo/gnrlzHealthInfoMain.do</x:v>
      </x:c>
      <x:c r="H649" s="8" t="str">
        <x:v>{
  "disease": "토혈(성인)",
  "section": "치료",
  "category": "disease"
}</x:v>
      </x:c>
    </x:row>
    <x:row r="650" ht="54" customHeight="1">
      <x:c r="A650" s="8" t="str">
        <x:v>gold-disease-ee884837f6a99402</x:v>
      </x:c>
      <x:c r="B650" s="8" t="str">
        <x:v>kdca-5695-2</x:v>
      </x:c>
      <x:c r="C650" s="8" t="str">
        <x:v>kdca-5695-2</x:v>
      </x:c>
      <x:c r="D650" s="8" t="str">
        <x:v>근거와 함께 답변</x:v>
      </x:c>
      <x:c r="E650" s="15" t="n">
        <x:v>648</x:v>
      </x:c>
      <x:c r="F650" s="8" t="str">
        <x:v>VDB 원인·위험요인 청크 재선정</x:v>
      </x:c>
      <x:c r="G650" s="8" t="str">
        <x:v>https://health.kdca.go.kr/healthinfo/biz/health/gnrlzHealthInfo/gnrlzHealthInfo/gnrlzHealthInfoMain.do</x:v>
      </x:c>
      <x:c r="H650" s="8" t="str">
        <x:v>{
  "disease": "가려움증",
  "section": "개요 / 원인",
  "category": "disease"
}</x:v>
      </x:c>
    </x:row>
    <x:row r="651" ht="54" customHeight="1">
      <x:c r="A651" s="8" t="str">
        <x:v>gold-disease-63376d9c56adbb3d</x:v>
      </x:c>
      <x:c r="B651" s="8" t="str">
        <x:v>kdca-5341-13</x:v>
      </x:c>
      <x:c r="C651" s="8" t="str">
        <x:v>kdca-5341-13</x:v>
      </x:c>
      <x:c r="D651" s="8" t="str">
        <x:v>근거와 함께 답변</x:v>
      </x:c>
      <x:c r="E651" s="15" t="n">
        <x:v>649</x:v>
      </x:c>
      <x:c r="F651" s="8" t="str">
        <x:v>기존 검증 정답</x:v>
      </x:c>
      <x:c r="G651" s="8" t="str">
        <x:v>https://health.kdca.go.kr/healthinfo/biz/health/gnrlzHealthInfo/gnrlzHealthInfo/gnrlzHealthInfoMain.do</x:v>
      </x:c>
      <x:c r="H651" s="8" t="str">
        <x:v>{
  "disease": "장결핵",
  "section": "진단 및 검사",
  "category": "disease"
}</x:v>
      </x:c>
    </x:row>
    <x:row r="652" ht="54" customHeight="1">
      <x:c r="A652" s="8" t="str">
        <x:v>gold-disease-7707fb47411e6b81</x:v>
      </x:c>
      <x:c r="B652" s="8" t="str">
        <x:v>kdca-1751-27</x:v>
      </x:c>
      <x:c r="C652" s="8" t="str">
        <x:v>kdca-1751-27</x:v>
      </x:c>
      <x:c r="D652" s="8" t="str">
        <x:v>근거와 함께 답변</x:v>
      </x:c>
      <x:c r="E652" s="15" t="n">
        <x:v>650</x:v>
      </x:c>
      <x:c r="F652" s="8" t="str">
        <x:v>기존 검증 정답</x:v>
      </x:c>
      <x:c r="G652" s="8" t="str">
        <x:v>https://health.kdca.go.kr/healthinfo/biz/health/gnrlzHealthInfo/gnrlzHealthInfo/gnrlzHealthInfoMain.do</x:v>
      </x:c>
      <x:c r="H652" s="8" t="str">
        <x:v>{
  "disease": "방광요관역류(소아)",
  "section": "대상별 맞춤 정보 / 자주하는 질문",
  "category": "disease"
}</x:v>
      </x:c>
    </x:row>
    <x:row r="653" ht="54" customHeight="1">
      <x:c r="A653" s="8" t="str">
        <x:v>gold-disease-be76fa82ab317107</x:v>
      </x:c>
      <x:c r="B653" s="8" t="str">
        <x:v>kdca-6486-2</x:v>
      </x:c>
      <x:c r="C653" s="8" t="str">
        <x:v>kdca-6486-2</x:v>
      </x:c>
      <x:c r="D653" s="8" t="str">
        <x:v>근거와 함께 답변</x:v>
      </x:c>
      <x:c r="E653" s="15" t="n">
        <x:v>651</x:v>
      </x:c>
      <x:c r="F653" s="8" t="str">
        <x:v>기존 검증 정답</x:v>
      </x:c>
      <x:c r="G653" s="8" t="str">
        <x:v>https://health.kdca.go.kr/healthinfo/biz/health/gnrlzHealthInfo/gnrlzHealthInfo/gnrlzHealthInfoMain.do</x:v>
      </x:c>
      <x:c r="H653" s="8" t="str">
        <x:v>{
  "disease": "소아청소년기고혈압",
  "section": "개요",
  "category": "disease"
}</x:v>
      </x:c>
    </x:row>
    <x:row r="654" ht="54" customHeight="1">
      <x:c r="A654" s="8" t="str">
        <x:v>gold-disease-31a9612412f9e600</x:v>
      </x:c>
      <x:c r="B654" s="8" t="str">
        <x:v>kdca-6320-18</x:v>
      </x:c>
      <x:c r="C654" s="8" t="str">
        <x:v>kdca-6320-18</x:v>
      </x:c>
      <x:c r="D654" s="8" t="str">
        <x:v>근거와 함께 답변</x:v>
      </x:c>
      <x:c r="E654" s="15" t="n">
        <x:v>652</x:v>
      </x:c>
      <x:c r="F654" s="8" t="str">
        <x:v>기존 검증 정답</x:v>
      </x:c>
      <x:c r="G654" s="8" t="str">
        <x:v>https://health.kdca.go.kr/healthinfo/biz/health/gnrlzHealthInfo/gnrlzHealthInfo/gnrlzHealthInfoMain.do</x:v>
      </x:c>
      <x:c r="H654" s="8" t="str">
        <x:v>{
  "disease": "치통 및 만성 통증(치통)",
  "section": "종류",
  "category": "symptom"
}</x:v>
      </x:c>
    </x:row>
    <x:row r="655" ht="54" customHeight="1">
      <x:c r="A655" s="8" t="str">
        <x:v>gold-disease-7de4104ef00f688a</x:v>
      </x:c>
      <x:c r="B655" s="8" t="str">
        <x:v>kdca-5248-15</x:v>
      </x:c>
      <x:c r="C655" s="8" t="str">
        <x:v>kdca-5248-15</x:v>
      </x:c>
      <x:c r="D655" s="8" t="str">
        <x:v>근거와 함께 답변</x:v>
      </x:c>
      <x:c r="E655" s="15" t="n">
        <x:v>653</x:v>
      </x:c>
      <x:c r="F655" s="8" t="str">
        <x:v>기존 검증 정답</x:v>
      </x:c>
      <x:c r="G655" s="8" t="str">
        <x:v>https://health.kdca.go.kr/healthinfo/biz/health/gnrlzHealthInfo/gnrlzHealthInfo/gnrlzHealthInfoMain.do</x:v>
      </x:c>
      <x:c r="H655" s="8" t="str">
        <x:v>{
  "disease": "췌장염",
  "section": "경과 및 예후",
  "category": "disease"
}</x:v>
      </x:c>
    </x:row>
    <x:row r="656" ht="54" customHeight="1">
      <x:c r="A656" s="8" t="str">
        <x:v>gold-disease-na-db732703bd1b54bd</x:v>
      </x:c>
      <x:c r="B656" s="8" t="str"/>
      <x:c r="C656" s="8" t="str"/>
      <x:c r="D656" s="8" t="str">
        <x:v>답변 거부 또는 추가 확인 요청</x:v>
      </x:c>
      <x:c r="E656" s="15" t="n">
        <x:v>654</x:v>
      </x:c>
      <x:c r="F656" s="8" t="str">
        <x:v>답변 거부 기준 문구</x:v>
      </x:c>
      <x:c r="G656" s="8" t="str">
        <x:v>https://health.kdca.go.kr/healthinfo/biz/health/gnrlzHealthInfo/gnrlzHealthInfo/gnrlzHealthInfoMain.do</x:v>
      </x:c>
      <x:c r="H656" s="8" t="str">
        <x:v>{
  "disease": "얼굴마비(말초성 마비)",
  "section": "약물 치료",
  "category": "disease"
}</x:v>
      </x:c>
    </x:row>
    <x:row r="657" ht="54" customHeight="1">
      <x:c r="A657" s="8" t="str">
        <x:v>gold-disease-6774452bc73410ae</x:v>
      </x:c>
      <x:c r="B657" s="8" t="str">
        <x:v>kdca-5236-14</x:v>
      </x:c>
      <x:c r="C657" s="8" t="str">
        <x:v>kdca-5236-14</x:v>
      </x:c>
      <x:c r="D657" s="8" t="str">
        <x:v>근거와 함께 답변</x:v>
      </x:c>
      <x:c r="E657" s="15" t="n">
        <x:v>655</x:v>
      </x:c>
      <x:c r="F657" s="8" t="str">
        <x:v>기존 검증 정답</x:v>
      </x:c>
      <x:c r="G657" s="8" t="str">
        <x:v>https://health.kdca.go.kr/healthinfo/biz/health/gnrlzHealthInfo/gnrlzHealthInfo/gnrlzHealthInfoMain.do</x:v>
      </x:c>
      <x:c r="H657" s="8" t="str">
        <x:v>{
  "disease": "감염단핵구증",
  "section": "증상 / 진단 및 검사",
  "category": "disease"
}</x:v>
      </x:c>
    </x:row>
    <x:row r="658" ht="54" customHeight="1">
      <x:c r="A658" s="8" t="str">
        <x:v>gold-disease-058d071dd2ed5043</x:v>
      </x:c>
      <x:c r="B658" s="8" t="str">
        <x:v>kdca-3193-2</x:v>
      </x:c>
      <x:c r="C658" s="8" t="str">
        <x:v>kdca-3193-2</x:v>
      </x:c>
      <x:c r="D658" s="8" t="str">
        <x:v>근거와 함께 답변</x:v>
      </x:c>
      <x:c r="E658" s="15" t="n">
        <x:v>656</x:v>
      </x:c>
      <x:c r="F658" s="8" t="str">
        <x:v>VDB 정의 문장 재선정</x:v>
      </x:c>
      <x:c r="G658" s="8" t="str">
        <x:v>https://health.kdca.go.kr/healthinfo/biz/health/gnrlzHealthInfo/gnrlzHealthInfo/gnrlzHealthInfoMain.do</x:v>
      </x:c>
      <x:c r="H658" s="8" t="str">
        <x:v>{
  "disease": "전립선비대증",
  "section": "정의 / 원인",
  "category": "disease"
}</x:v>
      </x:c>
    </x:row>
    <x:row r="659" ht="54" customHeight="1">
      <x:c r="A659" s="8" t="str">
        <x:v>gold-disease-838582a430fc1369</x:v>
      </x:c>
      <x:c r="B659" s="8" t="str">
        <x:v>kdca-5270-11</x:v>
      </x:c>
      <x:c r="C659" s="8" t="str">
        <x:v>kdca-5270-11</x:v>
      </x:c>
      <x:c r="D659" s="8" t="str">
        <x:v>근거와 함께 답변</x:v>
      </x:c>
      <x:c r="E659" s="15" t="n">
        <x:v>657</x:v>
      </x:c>
      <x:c r="F659" s="8" t="str">
        <x:v>기존 검증 정답</x:v>
      </x:c>
      <x:c r="G659" s="8" t="str">
        <x:v>https://health.kdca.go.kr/healthinfo/biz/health/gnrlzHealthInfo/gnrlzHealthInfo/gnrlzHealthInfoMain.do</x:v>
      </x:c>
      <x:c r="H659" s="8" t="str">
        <x:v>{
  "disease": "유행각결막염",
  "section": "증상",
  "category": "disease"
}</x:v>
      </x:c>
    </x:row>
    <x:row r="660" ht="54" customHeight="1">
      <x:c r="A660" s="8" t="str">
        <x:v>gold-disease-7d1349bedf640aa9</x:v>
      </x:c>
      <x:c r="B660" s="8" t="str">
        <x:v>kdca-5347-1</x:v>
      </x:c>
      <x:c r="C660" s="8" t="str">
        <x:v>kdca-5347-1</x:v>
      </x:c>
      <x:c r="D660" s="8" t="str">
        <x:v>근거와 함께 답변</x:v>
      </x:c>
      <x:c r="E660" s="15" t="n">
        <x:v>658</x:v>
      </x:c>
      <x:c r="F660" s="8" t="str">
        <x:v>기존 검증 정답</x:v>
      </x:c>
      <x:c r="G660" s="8" t="str">
        <x:v>https://health.kdca.go.kr/healthinfo/biz/health/gnrlzHealthInfo/gnrlzHealthInfo/gnrlzHealthInfoMain.do</x:v>
      </x:c>
      <x:c r="H660" s="8" t="str">
        <x:v>{
  "disease": "요충증",
  "section": "요약문 / 개요 / 신고 대상 및 방법",
  "category": "disease"
}</x:v>
      </x:c>
    </x:row>
    <x:row r="661" ht="54" customHeight="1">
      <x:c r="A661" s="8" t="str">
        <x:v>gold-disease-21710066a83d8899</x:v>
      </x:c>
      <x:c r="B661" s="8" t="str">
        <x:v>kdca-6306-13</x:v>
      </x:c>
      <x:c r="C661" s="8" t="str">
        <x:v>kdca-6306-13</x:v>
      </x:c>
      <x:c r="D661" s="8" t="str">
        <x:v>근거와 함께 답변</x:v>
      </x:c>
      <x:c r="E661" s="15" t="n">
        <x:v>659</x:v>
      </x:c>
      <x:c r="F661" s="8" t="str">
        <x:v>VDB 원인·위험요인 청크 재선정</x:v>
      </x:c>
      <x:c r="G661" s="8" t="str">
        <x:v>https://health.kdca.go.kr/healthinfo/biz/health/gnrlzHealthInfo/gnrlzHealthInfo/gnrlzHealthInfoMain.do</x:v>
      </x:c>
      <x:c r="H661" s="8" t="str">
        <x:v>{
  "disease": "안구건조증",
  "section": "원인",
  "category": "disease"
}</x:v>
      </x:c>
    </x:row>
    <x:row r="662" ht="54" customHeight="1">
      <x:c r="A662" s="8" t="str">
        <x:v>gold-disease-a90ba5835f6b634f</x:v>
      </x:c>
      <x:c r="B662" s="8" t="str">
        <x:v>kdca-5783-3</x:v>
      </x:c>
      <x:c r="C662" s="8" t="str">
        <x:v>kdca-5783-3</x:v>
      </x:c>
      <x:c r="D662" s="8" t="str">
        <x:v>근거와 함께 답변</x:v>
      </x:c>
      <x:c r="E662" s="15" t="n">
        <x:v>660</x:v>
      </x:c>
      <x:c r="F662" s="8" t="str">
        <x:v>기존 검증 정답</x:v>
      </x:c>
      <x:c r="G662" s="8" t="str">
        <x:v>https://health.kdca.go.kr/healthinfo/biz/health/gnrlzHealthInfo/gnrlzHealthInfo/gnrlzHealthInfoMain.do</x:v>
      </x:c>
      <x:c r="H662" s="8" t="str">
        <x:v>{
  "disease": "노인 요실금",
  "section": "정의",
  "category": "disease"
}</x:v>
      </x:c>
    </x:row>
    <x:row r="663" ht="54" customHeight="1">
      <x:c r="A663" s="8" t="str">
        <x:v>gold-disease-na-d20611c3daa92fda</x:v>
      </x:c>
      <x:c r="B663" s="8" t="str"/>
      <x:c r="C663" s="8" t="str"/>
      <x:c r="D663" s="8" t="str">
        <x:v>답변 거부 또는 추가 확인 요청</x:v>
      </x:c>
      <x:c r="E663" s="15" t="n">
        <x:v>661</x:v>
      </x:c>
      <x:c r="F663" s="8" t="str">
        <x:v>답변 거부 기준 문구</x:v>
      </x:c>
      <x:c r="G663" s="8" t="str">
        <x:v>https://health.kdca.go.kr/healthinfo/biz/health/gnrlzHealthInfo/gnrlzHealthInfo/gnrlzHealthInfoMain.do</x:v>
      </x:c>
      <x:c r="H663" s="8" t="str">
        <x:v>{
  "disease": "장결핵",
  "section": "증상",
  "category": "disease"
}</x:v>
      </x:c>
    </x:row>
    <x:row r="664" ht="54" customHeight="1">
      <x:c r="A664" s="8" t="str">
        <x:v>gold-disease-2d6b1be8071792ad</x:v>
      </x:c>
      <x:c r="B664" s="8" t="str">
        <x:v>kdca-5527-0</x:v>
      </x:c>
      <x:c r="C664" s="8" t="str">
        <x:v>kdca-5527-0</x:v>
      </x:c>
      <x:c r="D664" s="8" t="str">
        <x:v>근거와 함께 답변</x:v>
      </x:c>
      <x:c r="E664" s="15" t="n">
        <x:v>662</x:v>
      </x:c>
      <x:c r="F664" s="8" t="str">
        <x:v>VDB 정의 문장 재선정</x:v>
      </x:c>
      <x:c r="G664" s="8" t="str">
        <x:v>https://health.kdca.go.kr/healthinfo/biz/health/gnrlzHealthInfo/gnrlzHealthInfo/gnrlzHealthInfoMain.do</x:v>
      </x:c>
      <x:c r="H664" s="8" t="str">
        <x:v>{
  "disease": "악구충증",
  "section": "요약문",
  "category": "disease"
}</x:v>
      </x:c>
    </x:row>
    <x:row r="665" ht="54" customHeight="1">
      <x:c r="A665" s="8" t="str">
        <x:v>gold-disease-58647f0c5cc47949</x:v>
      </x:c>
      <x:c r="B665" s="8" t="str">
        <x:v>kdca-6555-34</x:v>
      </x:c>
      <x:c r="C665" s="8" t="str">
        <x:v>kdca-6555-34</x:v>
      </x:c>
      <x:c r="D665" s="8" t="str">
        <x:v>근거와 함께 답변</x:v>
      </x:c>
      <x:c r="E665" s="15" t="n">
        <x:v>663</x:v>
      </x:c>
      <x:c r="F665" s="8" t="str">
        <x:v>VDB 후속 설명 보강</x:v>
      </x:c>
      <x:c r="G665" s="8" t="str">
        <x:v>https://health.kdca.go.kr/healthinfo/biz/health/gnrlzHealthInfo/gnrlzHealthInfo/gnrlzHealthInfoMain.do</x:v>
      </x:c>
      <x:c r="H665" s="8" t="str">
        <x:v>{
  "disease": "강직척추염",
  "section": "생활습관 관리",
  "category": "disease"
}</x:v>
      </x:c>
    </x:row>
    <x:row r="666" ht="54" customHeight="1">
      <x:c r="A666" s="8" t="str">
        <x:v>gold-disease-4a70dae60ab3d782</x:v>
      </x:c>
      <x:c r="B666" s="8" t="str">
        <x:v>kdca-6674-10</x:v>
      </x:c>
      <x:c r="C666" s="8" t="str">
        <x:v>kdca-6674-10</x:v>
      </x:c>
      <x:c r="D666" s="8" t="str">
        <x:v>근거와 함께 답변</x:v>
      </x:c>
      <x:c r="E666" s="15" t="n">
        <x:v>664</x:v>
      </x:c>
      <x:c r="F666" s="8" t="str">
        <x:v>VDB 후속 설명 보강</x:v>
      </x:c>
      <x:c r="G666" s="8" t="str">
        <x:v>https://health.kdca.go.kr/healthinfo/biz/health/gnrlzHealthInfo/gnrlzHealthInfo/gnrlzHealthInfoMain.do</x:v>
      </x:c>
      <x:c r="H666" s="8" t="str">
        <x:v>{
  "disease": "요로감염",
  "section": "역학 및 통계",
  "category": "disease"
}</x:v>
      </x:c>
    </x:row>
    <x:row r="667" ht="54" customHeight="1">
      <x:c r="A667" s="8" t="str">
        <x:v>gold-disease-09e37bb14b7f5992</x:v>
      </x:c>
      <x:c r="B667" s="8" t="str">
        <x:v>kdca-5237-24</x:v>
      </x:c>
      <x:c r="C667" s="8" t="str">
        <x:v>kdca-5237-24</x:v>
      </x:c>
      <x:c r="D667" s="8" t="str">
        <x:v>근거와 함께 답변</x:v>
      </x:c>
      <x:c r="E667" s="15" t="n">
        <x:v>665</x:v>
      </x:c>
      <x:c r="F667" s="8" t="str">
        <x:v>VDB 후속 설명 보강</x:v>
      </x:c>
      <x:c r="G667" s="8" t="str">
        <x:v>https://health.kdca.go.kr/healthinfo/biz/health/gnrlzHealthInfo/gnrlzHealthInfo/gnrlzHealthInfoMain.do</x:v>
      </x:c>
      <x:c r="H667" s="8" t="str">
        <x:v>{
  "disease": "감염심내막염",
  "section": "위험요인 및 예방",
  "category": "disease"
}</x:v>
      </x:c>
    </x:row>
    <x:row r="668" ht="54" customHeight="1">
      <x:c r="A668" s="8" t="str">
        <x:v>gold-disease-cf991411c0df99f4</x:v>
      </x:c>
      <x:c r="B668" s="8" t="str">
        <x:v>kdca-5285-10</x:v>
      </x:c>
      <x:c r="C668" s="8" t="str">
        <x:v>kdca-5285-10</x:v>
      </x:c>
      <x:c r="D668" s="8" t="str">
        <x:v>근거와 함께 답변</x:v>
      </x:c>
      <x:c r="E668" s="15" t="n">
        <x:v>666</x:v>
      </x:c>
      <x:c r="F668" s="8" t="str">
        <x:v>기존 검증 정답</x:v>
      </x:c>
      <x:c r="G668" s="8" t="str">
        <x:v>https://health.kdca.go.kr/healthinfo/biz/health/gnrlzHealthInfo/gnrlzHealthInfo/gnrlzHealthInfoMain.do</x:v>
      </x:c>
      <x:c r="H668" s="8" t="str">
        <x:v>{
  "disease": "불명열",
  "section": "개요 - 원인 / 개요 - 경과 및 예후",
  "category": "symptom"
}</x:v>
      </x:c>
    </x:row>
    <x:row r="669" ht="54" customHeight="1">
      <x:c r="A669" s="8" t="str">
        <x:v>gold-disease-c921e2d11176382d</x:v>
      </x:c>
      <x:c r="B669" s="8" t="str">
        <x:v>kdca-6489-1</x:v>
      </x:c>
      <x:c r="C669" s="8" t="str">
        <x:v>kdca-6489-1</x:v>
      </x:c>
      <x:c r="D669" s="8" t="str">
        <x:v>근거와 함께 답변</x:v>
      </x:c>
      <x:c r="E669" s="15" t="n">
        <x:v>667</x:v>
      </x:c>
      <x:c r="F669" s="8" t="str">
        <x:v>VDB 후속 설명 보강</x:v>
      </x:c>
      <x:c r="G669" s="8" t="str">
        <x:v>https://health.kdca.go.kr/healthinfo/biz/health/gnrlzHealthInfo/gnrlzHealthInfo/gnrlzHealthInfoMain.do</x:v>
      </x:c>
      <x:c r="H669" s="8" t="str">
        <x:v>{
  "disease": "건막염(통풍성 건막염)",
  "section": "역학 및 통계 / 증상",
  "category": "disease"
}</x:v>
      </x:c>
    </x:row>
    <x:row r="670" ht="54" customHeight="1">
      <x:c r="A670" s="8" t="str">
        <x:v>gold-disease-375768a3d83bd8fa</x:v>
      </x:c>
      <x:c r="B670" s="8" t="str">
        <x:v>kdca-6697-12</x:v>
      </x:c>
      <x:c r="C670" s="8" t="str">
        <x:v>kdca-6697-12</x:v>
      </x:c>
      <x:c r="D670" s="8" t="str">
        <x:v>근거와 함께 답변</x:v>
      </x:c>
      <x:c r="E670" s="15" t="n">
        <x:v>668</x:v>
      </x:c>
      <x:c r="F670" s="8" t="str">
        <x:v>기존 검증 정답</x:v>
      </x:c>
      <x:c r="G670" s="8" t="str">
        <x:v>https://health.kdca.go.kr/healthinfo/biz/health/gnrlzHealthInfo/gnrlzHealthInfo/gnrlzHealthInfoMain.do</x:v>
      </x:c>
      <x:c r="H670" s="8" t="str">
        <x:v>{
  "disease": "고혈압성 콩팥병",
  "section": "증상 / 진단 및 검사",
  "category": "disease"
}</x:v>
      </x:c>
    </x:row>
    <x:row r="671" ht="54" customHeight="1">
      <x:c r="A671" s="8" t="str">
        <x:v>gold-disease-c0495526fc40a29f</x:v>
      </x:c>
      <x:c r="B671" s="8" t="str">
        <x:v>kdca-3627-2</x:v>
      </x:c>
      <x:c r="C671" s="8" t="str">
        <x:v>kdca-3627-2</x:v>
      </x:c>
      <x:c r="D671" s="8" t="str">
        <x:v>근거와 함께 답변</x:v>
      </x:c>
      <x:c r="E671" s="15" t="n">
        <x:v>669</x:v>
      </x:c>
      <x:c r="F671" s="8" t="str">
        <x:v>기존 검증 정답</x:v>
      </x:c>
      <x:c r="G671" s="8" t="str">
        <x:v>https://health.kdca.go.kr/healthinfo/biz/health/gnrlzHealthInfo/gnrlzHealthInfo/gnrlzHealthInfoMain.do</x:v>
      </x:c>
      <x:c r="H671" s="8" t="str">
        <x:v>{
  "disease": "척추의 형태 이상",
  "section": "개요",
  "category": "disease"
}</x:v>
      </x:c>
    </x:row>
    <x:row r="672" ht="54" customHeight="1">
      <x:c r="A672" s="8" t="str">
        <x:v>gold-disease-077ed0703fa931b1</x:v>
      </x:c>
      <x:c r="B672" s="8" t="str">
        <x:v>kdca-6584-3</x:v>
      </x:c>
      <x:c r="C672" s="8" t="str">
        <x:v>kdca-6584-3</x:v>
      </x:c>
      <x:c r="D672" s="8" t="str">
        <x:v>근거와 함께 답변</x:v>
      </x:c>
      <x:c r="E672" s="15" t="n">
        <x:v>670</x:v>
      </x:c>
      <x:c r="F672" s="8" t="str">
        <x:v>기존 검증 정답</x:v>
      </x:c>
      <x:c r="G672" s="8" t="str">
        <x:v>https://health.kdca.go.kr/healthinfo/biz/health/gnrlzHealthInfo/gnrlzHealthInfo/gnrlzHealthInfoMain.do</x:v>
      </x:c>
      <x:c r="H672" s="8" t="str">
        <x:v>{
  "disease": "화상",
  "section": "종류",
  "category": "disease"
}</x:v>
      </x:c>
    </x:row>
    <x:row r="673" ht="54" customHeight="1">
      <x:c r="A673" s="8" t="str">
        <x:v>gold-disease-c1d833c67ffae568</x:v>
      </x:c>
      <x:c r="B673" s="8" t="str">
        <x:v>kdca-5972-5</x:v>
      </x:c>
      <x:c r="C673" s="8" t="str">
        <x:v>kdca-5972-5</x:v>
      </x:c>
      <x:c r="D673" s="8" t="str">
        <x:v>근거와 함께 답변</x:v>
      </x:c>
      <x:c r="E673" s="15" t="n">
        <x:v>671</x:v>
      </x:c>
      <x:c r="F673" s="8" t="str">
        <x:v>VDB 후속 설명 보강</x:v>
      </x:c>
      <x:c r="G673" s="8" t="str">
        <x:v>https://health.kdca.go.kr/healthinfo/biz/health/gnrlzHealthInfo/gnrlzHealthInfo/gnrlzHealthInfoMain.do</x:v>
      </x:c>
      <x:c r="H673" s="8" t="str">
        <x:v>{
  "disease": "일자목(거북목)증후군",
  "section": "역학 및 통계 / 증상",
  "category": "disease"
}</x:v>
      </x:c>
    </x:row>
    <x:row r="674" ht="54" customHeight="1">
      <x:c r="A674" s="8" t="str">
        <x:v>gold-disease-d728b0785073f317</x:v>
      </x:c>
      <x:c r="B674" s="8" t="str">
        <x:v>kdca-5856-9</x:v>
      </x:c>
      <x:c r="C674" s="8" t="str">
        <x:v>kdca-5856-9</x:v>
      </x:c>
      <x:c r="D674" s="8" t="str">
        <x:v>근거와 함께 답변</x:v>
      </x:c>
      <x:c r="E674" s="15" t="n">
        <x:v>672</x:v>
      </x:c>
      <x:c r="F674" s="8" t="str">
        <x:v>기존 검증 정답</x:v>
      </x:c>
      <x:c r="G674" s="8" t="str">
        <x:v>https://health.kdca.go.kr/healthinfo/biz/health/gnrlzHealthInfo/gnrlzHealthInfo/gnrlzHealthInfoMain.do</x:v>
      </x:c>
      <x:c r="H674" s="8" t="str">
        <x:v>{
  "disease": "대동맥 박리",
  "section": "경과 및 예후 / 역학 및 통계",
  "category": "disease"
}</x:v>
      </x:c>
    </x:row>
    <x:row r="675" ht="54" customHeight="1">
      <x:c r="A675" s="8" t="str">
        <x:v>gold-disease-b93aab86020bc3b8</x:v>
      </x:c>
      <x:c r="B675" s="8" t="str">
        <x:v>kdca-1344-1</x:v>
      </x:c>
      <x:c r="C675" s="8" t="str">
        <x:v>kdca-1344-1</x:v>
      </x:c>
      <x:c r="D675" s="8" t="str">
        <x:v>근거와 함께 답변</x:v>
      </x:c>
      <x:c r="E675" s="15" t="n">
        <x:v>673</x:v>
      </x:c>
      <x:c r="F675" s="8" t="str">
        <x:v>기존 검증 정답</x:v>
      </x:c>
      <x:c r="G675" s="8" t="str">
        <x:v>https://health.kdca.go.kr/healthinfo/biz/health/gnrlzHealthInfo/gnrlzHealthInfo/gnrlzHealthInfoMain.do</x:v>
      </x:c>
      <x:c r="H675" s="8" t="str">
        <x:v>{
  "disease": "건선",
  "section": "요약문 / 개요",
  "category": "disease"
}</x:v>
      </x:c>
    </x:row>
    <x:row r="676" ht="54" customHeight="1">
      <x:c r="A676" s="8" t="str">
        <x:v>gold-disease-17aca3839dd6b245</x:v>
      </x:c>
      <x:c r="B676" s="8" t="str">
        <x:v>kdca-3628-8</x:v>
      </x:c>
      <x:c r="C676" s="8" t="str">
        <x:v>kdca-3628-8</x:v>
      </x:c>
      <x:c r="D676" s="8" t="str">
        <x:v>근거와 함께 답변</x:v>
      </x:c>
      <x:c r="E676" s="15" t="n">
        <x:v>674</x:v>
      </x:c>
      <x:c r="F676" s="8" t="str">
        <x:v>기존 검증 정답</x:v>
      </x:c>
      <x:c r="G676" s="8" t="str">
        <x:v>https://health.kdca.go.kr/healthinfo/biz/health/gnrlzHealthInfo/gnrlzHealthInfo/gnrlzHealthInfoMain.do</x:v>
      </x:c>
      <x:c r="H676" s="8" t="str">
        <x:v>{
  "disease": "척추의 형태 이상(척추측만증)",
  "section": "증상",
  "category": "disease"
}</x:v>
      </x:c>
    </x:row>
    <x:row r="677" ht="54" customHeight="1">
      <x:c r="A677" s="8" t="str">
        <x:v>gold-disease-329edd0b74f69a6e</x:v>
      </x:c>
      <x:c r="B677" s="8" t="str">
        <x:v>kdca-1567-7</x:v>
      </x:c>
      <x:c r="C677" s="8" t="str">
        <x:v>kdca-1567-7</x:v>
      </x:c>
      <x:c r="D677" s="8" t="str">
        <x:v>근거와 함께 답변</x:v>
      </x:c>
      <x:c r="E677" s="15" t="n">
        <x:v>675</x:v>
      </x:c>
      <x:c r="F677" s="8" t="str">
        <x:v>VDB 원인·위험요인 청크 재선정</x:v>
      </x:c>
      <x:c r="G677" s="8" t="str">
        <x:v>https://health.kdca.go.kr/healthinfo/biz/health/gnrlzHealthInfo/gnrlzHealthInfo/gnrlzHealthInfoMain.do</x:v>
      </x:c>
      <x:c r="H677" s="8" t="str">
        <x:v>{
  "disease": "오십견(동결견, 유착관절낭염)",
  "section": "원인",
  "category": "disease"
}</x:v>
      </x:c>
    </x:row>
    <x:row r="678" ht="54" customHeight="1">
      <x:c r="A678" s="8" t="str">
        <x:v>gold-disease-f7a8d1d3361c25ce</x:v>
      </x:c>
      <x:c r="B678" s="8" t="str">
        <x:v>kdca-5963-11</x:v>
      </x:c>
      <x:c r="C678" s="8" t="str">
        <x:v>kdca-5963-11</x:v>
      </x:c>
      <x:c r="D678" s="8" t="str">
        <x:v>근거와 함께 답변</x:v>
      </x:c>
      <x:c r="E678" s="15" t="n">
        <x:v>676</x:v>
      </x:c>
      <x:c r="F678" s="8" t="str">
        <x:v>VDB 후속 설명 보강</x:v>
      </x:c>
      <x:c r="G678" s="8" t="str">
        <x:v>https://health.kdca.go.kr/healthinfo/biz/health/gnrlzHealthInfo/gnrlzHealthInfo/gnrlzHealthInfoMain.do</x:v>
      </x:c>
      <x:c r="H678" s="8" t="str">
        <x:v>{
  "disease": "뇌동맥류",
  "section": "증상",
  "category": "disease"
}</x:v>
      </x:c>
    </x:row>
    <x:row r="679" ht="54" customHeight="1">
      <x:c r="A679" s="8" t="str">
        <x:v>gold-disease-26cc8253e462f547</x:v>
      </x:c>
      <x:c r="B679" s="8" t="str">
        <x:v>kdca-3796-30</x:v>
      </x:c>
      <x:c r="C679" s="8" t="str">
        <x:v>kdca-3796-30</x:v>
      </x:c>
      <x:c r="D679" s="8" t="str">
        <x:v>근거와 함께 답변</x:v>
      </x:c>
      <x:c r="E679" s="15" t="n">
        <x:v>677</x:v>
      </x:c>
      <x:c r="F679" s="8" t="str">
        <x:v>기존 검증 정답</x:v>
      </x:c>
      <x:c r="G679" s="8" t="str">
        <x:v>https://health.kdca.go.kr/healthinfo/biz/health/gnrlzHealthInfo/gnrlzHealthInfo/gnrlzHealthInfoMain.do</x:v>
      </x:c>
      <x:c r="H679" s="8" t="str">
        <x:v>{
  "disease": "요통",
  "section": "연관 증상",
  "category": "disease"
}</x:v>
      </x:c>
    </x:row>
    <x:row r="680" ht="54" customHeight="1">
      <x:c r="A680" s="8" t="str">
        <x:v>gold-disease-d5eaed4a7a4a2ce0</x:v>
      </x:c>
      <x:c r="B680" s="8" t="str">
        <x:v>kdca-1104-56</x:v>
      </x:c>
      <x:c r="C680" s="8" t="str">
        <x:v>kdca-1104-56</x:v>
      </x:c>
      <x:c r="D680" s="8" t="str">
        <x:v>근거와 함께 답변</x:v>
      </x:c>
      <x:c r="E680" s="15" t="n">
        <x:v>678</x:v>
      </x:c>
      <x:c r="F680" s="8" t="str">
        <x:v>기존 검증 정답</x:v>
      </x:c>
      <x:c r="G680" s="8" t="str">
        <x:v>https://health.kdca.go.kr/healthinfo/biz/health/gnrlzHealthInfo/gnrlzHealthInfo/gnrlzHealthInfoMain.do</x:v>
      </x:c>
      <x:c r="H680" s="8" t="str">
        <x:v>{
  "disease": "빈혈",
  "section": "대상별 맞춤 정보",
  "category": "disease"
}</x:v>
      </x:c>
    </x:row>
    <x:row r="681" ht="54" customHeight="1">
      <x:c r="A681" s="8" t="str">
        <x:v>gold-disease-92be65480d5c81dd</x:v>
      </x:c>
      <x:c r="B681" s="8" t="str">
        <x:v>kdca-1607-0</x:v>
      </x:c>
      <x:c r="C681" s="8" t="str">
        <x:v>kdca-1607-0</x:v>
      </x:c>
      <x:c r="D681" s="8" t="str">
        <x:v>근거와 함께 답변</x:v>
      </x:c>
      <x:c r="E681" s="15" t="n">
        <x:v>679</x:v>
      </x:c>
      <x:c r="F681" s="8" t="str">
        <x:v>기존 검증 정답</x:v>
      </x:c>
      <x:c r="G681" s="8" t="str">
        <x:v>https://health.kdca.go.kr/healthinfo/biz/health/gnrlzHealthInfo/gnrlzHealthInfo/gnrlzHealthInfoMain.do</x:v>
      </x:c>
      <x:c r="H681" s="8" t="str">
        <x:v>{
  "disease": "외이도염(알레르기외이도염)",
  "section": "개요 / 원인",
  "category": "disease"
}</x:v>
      </x:c>
    </x:row>
    <x:row r="682" ht="54" customHeight="1">
      <x:c r="A682" s="8" t="str">
        <x:v>gold-disease-29135490c0620ab6</x:v>
      </x:c>
      <x:c r="B682" s="8" t="str">
        <x:v>kdca-5269-14</x:v>
      </x:c>
      <x:c r="C682" s="8" t="str">
        <x:v>kdca-5269-14</x:v>
      </x:c>
      <x:c r="D682" s="8" t="str">
        <x:v>근거와 함께 답변</x:v>
      </x:c>
      <x:c r="E682" s="15" t="n">
        <x:v>680</x:v>
      </x:c>
      <x:c r="F682" s="8" t="str">
        <x:v>기존 검증 정답</x:v>
      </x:c>
      <x:c r="G682" s="8" t="str">
        <x:v>https://health.kdca.go.kr/healthinfo/biz/health/gnrlzHealthInfo/gnrlzHealthInfo/gnrlzHealthInfoMain.do</x:v>
      </x:c>
      <x:c r="H682" s="8" t="str">
        <x:v>{
  "disease": "황반변성",
  "section": "역학 및 통계",
  "category": "disease"
}</x:v>
      </x:c>
    </x:row>
    <x:row r="683" ht="54" customHeight="1">
      <x:c r="A683" s="8" t="str">
        <x:v>gold-disease-e713438fc628b74d</x:v>
      </x:c>
      <x:c r="B683" s="8" t="str">
        <x:v>kdca-6283-34</x:v>
      </x:c>
      <x:c r="C683" s="8" t="str">
        <x:v>kdca-6283-34</x:v>
      </x:c>
      <x:c r="D683" s="8" t="str">
        <x:v>근거와 함께 답변</x:v>
      </x:c>
      <x:c r="E683" s="15" t="n">
        <x:v>681</x:v>
      </x:c>
      <x:c r="F683" s="8" t="str">
        <x:v>기존 검증 정답</x:v>
      </x:c>
      <x:c r="G683" s="8" t="str">
        <x:v>https://health.kdca.go.kr/healthinfo/biz/health/gnrlzHealthInfo/gnrlzHealthInfo/gnrlzHealthInfoMain.do</x:v>
      </x:c>
      <x:c r="H683" s="8" t="str">
        <x:v>{
  "disease": "자궁내막증",
  "section": "약물 치료",
  "category": "disease"
}</x:v>
      </x:c>
    </x:row>
    <x:row r="684" ht="54" customHeight="1">
      <x:c r="A684" s="8" t="str">
        <x:v>gold-disease-83f723851e26d348</x:v>
      </x:c>
      <x:c r="B684" s="8" t="str">
        <x:v>kdca-5463-19</x:v>
      </x:c>
      <x:c r="C684" s="8" t="str">
        <x:v>kdca-5463-19</x:v>
      </x:c>
      <x:c r="D684" s="8" t="str">
        <x:v>근거와 함께 답변</x:v>
      </x:c>
      <x:c r="E684" s="15" t="n">
        <x:v>682</x:v>
      </x:c>
      <x:c r="F684" s="8" t="str">
        <x:v>기존 검증 정답</x:v>
      </x:c>
      <x:c r="G684" s="8" t="str">
        <x:v>https://health.kdca.go.kr/healthinfo/biz/health/gnrlzHealthInfo/gnrlzHealthInfo/gnrlzHealthInfoMain.do</x:v>
      </x:c>
      <x:c r="H684" s="8" t="str">
        <x:v>{
  "disease": "골절",
  "section": "치료 / 합병증",
  "category": "disease"
}</x:v>
      </x:c>
    </x:row>
    <x:row r="685" ht="54" customHeight="1">
      <x:c r="A685" s="8" t="str">
        <x:v>gold-disease-b71f5dc0b9d77fda</x:v>
      </x:c>
      <x:c r="B685" s="8" t="str">
        <x:v>kdca-5249-13</x:v>
      </x:c>
      <x:c r="C685" s="8" t="str">
        <x:v>kdca-5249-13</x:v>
      </x:c>
      <x:c r="D685" s="8" t="str">
        <x:v>근거와 함께 답변</x:v>
      </x:c>
      <x:c r="E685" s="15" t="n">
        <x:v>683</x:v>
      </x:c>
      <x:c r="F685" s="8" t="str">
        <x:v>VDB 후속 설명 보강</x:v>
      </x:c>
      <x:c r="G685" s="8" t="str">
        <x:v>https://health.kdca.go.kr/healthinfo/biz/health/gnrlzHealthInfo/gnrlzHealthInfo/gnrlzHealthInfoMain.do</x:v>
      </x:c>
      <x:c r="H685" s="8" t="str">
        <x:v>{
  "disease": "폐렴(성인)",
  "section": "위험요인 및 예방",
  "category": "disease"
}</x:v>
      </x:c>
    </x:row>
    <x:row r="686" ht="54" customHeight="1">
      <x:c r="A686" s="8" t="str">
        <x:v>gold-disease-09ee293154301a96</x:v>
      </x:c>
      <x:c r="B686" s="8" t="str">
        <x:v>kdca-5968-19</x:v>
      </x:c>
      <x:c r="C686" s="8" t="str">
        <x:v>kdca-5968-19</x:v>
      </x:c>
      <x:c r="D686" s="8" t="str">
        <x:v>근거와 함께 답변</x:v>
      </x:c>
      <x:c r="E686" s="15" t="n">
        <x:v>684</x:v>
      </x:c>
      <x:c r="F686" s="8" t="str">
        <x:v>VDB 후속 설명 보강</x:v>
      </x:c>
      <x:c r="G686" s="8" t="str">
        <x:v>https://health.kdca.go.kr/healthinfo/biz/health/gnrlzHealthInfo/gnrlzHealthInfo/gnrlzHealthInfoMain.do</x:v>
      </x:c>
      <x:c r="H686" s="8" t="str">
        <x:v>{
  "disease": "방광염",
  "section": "위험요인 및 예방",
  "category": "disease"
}</x:v>
      </x:c>
    </x:row>
    <x:row r="687" ht="54" customHeight="1">
      <x:c r="A687" s="8" t="str">
        <x:v>gold-disease-12459b0e20e41049</x:v>
      </x:c>
      <x:c r="B687" s="8" t="str">
        <x:v>kdca-5783-28</x:v>
      </x:c>
      <x:c r="C687" s="8" t="str">
        <x:v>kdca-5783-28</x:v>
      </x:c>
      <x:c r="D687" s="8" t="str">
        <x:v>근거와 함께 답변</x:v>
      </x:c>
      <x:c r="E687" s="15" t="n">
        <x:v>685</x:v>
      </x:c>
      <x:c r="F687" s="8" t="str">
        <x:v>기존 검증 정답</x:v>
      </x:c>
      <x:c r="G687" s="8" t="str">
        <x:v>https://health.kdca.go.kr/healthinfo/biz/health/gnrlzHealthInfo/gnrlzHealthInfo/gnrlzHealthInfoMain.do</x:v>
      </x:c>
      <x:c r="H687" s="8" t="str">
        <x:v>{
  "disease": "노인 요실금",
  "section": "진단 및 검사",
  "category": "disease"
}</x:v>
      </x:c>
    </x:row>
    <x:row r="688" ht="54" customHeight="1">
      <x:c r="A688" s="8" t="str">
        <x:v>gold-disease-b0193579a55ddd10</x:v>
      </x:c>
      <x:c r="B688" s="8" t="str">
        <x:v>kdca-1403-2</x:v>
      </x:c>
      <x:c r="C688" s="8" t="str">
        <x:v>kdca-1403-2</x:v>
      </x:c>
      <x:c r="D688" s="8" t="str">
        <x:v>근거와 함께 답변</x:v>
      </x:c>
      <x:c r="E688" s="15" t="n">
        <x:v>686</x:v>
      </x:c>
      <x:c r="F688" s="8" t="str">
        <x:v>기존 검증 정답</x:v>
      </x:c>
      <x:c r="G688" s="8" t="str">
        <x:v>https://health.kdca.go.kr/healthinfo/biz/health/gnrlzHealthInfo/gnrlzHealthInfo/gnrlzHealthInfoMain.do</x:v>
      </x:c>
      <x:c r="H688" s="8" t="str">
        <x:v>{
  "disease": "안외상(외상성 백내장 및 수정체 이탈)",
  "section": "정의 / 증상 / 진단 및 검사",
  "category": "disease"
}</x:v>
      </x:c>
    </x:row>
    <x:row r="689" ht="54" customHeight="1">
      <x:c r="A689" s="8" t="str">
        <x:v>gold-disease-na-9c3305571925f608</x:v>
      </x:c>
      <x:c r="B689" s="8" t="str"/>
      <x:c r="C689" s="8" t="str"/>
      <x:c r="D689" s="8" t="str">
        <x:v>답변 거부 또는 추가 확인 요청</x:v>
      </x:c>
      <x:c r="E689" s="15" t="n">
        <x:v>687</x:v>
      </x:c>
      <x:c r="F689" s="8" t="str">
        <x:v>답변 거부 기준 문구</x:v>
      </x:c>
      <x:c r="G689" s="8" t="str">
        <x:v>https://health.kdca.go.kr/healthinfo/biz/health/gnrlzHealthInfo/gnrlzHealthInfo/gnrlzHealthInfoMain.do</x:v>
      </x:c>
      <x:c r="H689" s="8" t="str">
        <x:v>{
  "disease": "임신고혈압과 전자간증(임신중독증)",
  "section": "치료 / 합병증",
  "category": "disease"
}</x:v>
      </x:c>
    </x:row>
    <x:row r="690" ht="54" customHeight="1">
      <x:c r="A690" s="8" t="str">
        <x:v>gold-disease-9b95dc5ab5cd34aa</x:v>
      </x:c>
      <x:c r="B690" s="8" t="str">
        <x:v>kdca-6528-5</x:v>
      </x:c>
      <x:c r="C690" s="8" t="str">
        <x:v>kdca-6528-5</x:v>
      </x:c>
      <x:c r="D690" s="8" t="str">
        <x:v>근거와 함께 답변</x:v>
      </x:c>
      <x:c r="E690" s="15" t="n">
        <x:v>688</x:v>
      </x:c>
      <x:c r="F690" s="8" t="str">
        <x:v>VDB 후속 설명 보강</x:v>
      </x:c>
      <x:c r="G690" s="8" t="str">
        <x:v>https://health.kdca.go.kr/healthinfo/biz/health/gnrlzHealthInfo/gnrlzHealthInfo/gnrlzHealthInfoMain.do</x:v>
      </x:c>
      <x:c r="H690" s="8" t="str">
        <x:v>{
  "disease": "직업성 호흡기질환(진폐증)",
  "section": "증상",
  "category": "disease"
}</x:v>
      </x:c>
    </x:row>
    <x:row r="691" ht="54" customHeight="1">
      <x:c r="A691" s="8" t="str">
        <x:v>gold-disease-d959e6c830e7c4b9</x:v>
      </x:c>
      <x:c r="B691" s="8" t="str">
        <x:v>kdca-6271-8</x:v>
      </x:c>
      <x:c r="C691" s="8" t="str">
        <x:v>kdca-6271-8</x:v>
      </x:c>
      <x:c r="D691" s="8" t="str">
        <x:v>근거와 함께 답변</x:v>
      </x:c>
      <x:c r="E691" s="15" t="n">
        <x:v>689</x:v>
      </x:c>
      <x:c r="F691" s="8" t="str">
        <x:v>VDB 후속 설명 보강</x:v>
      </x:c>
      <x:c r="G691" s="8" t="str">
        <x:v>https://health.kdca.go.kr/healthinfo/biz/health/gnrlzHealthInfo/gnrlzHealthInfo/gnrlzHealthInfoMain.do</x:v>
      </x:c>
      <x:c r="H691" s="8" t="str">
        <x:v>{
  "disease": "귀의 형태 이상(소이증)",
  "section": "치료",
  "category": "disease"
}</x:v>
      </x:c>
    </x:row>
    <x:row r="692" ht="54" customHeight="1">
      <x:c r="A692" s="8" t="str">
        <x:v>gold-disease-ffc23102050ad6a9</x:v>
      </x:c>
      <x:c r="B692" s="8" t="str">
        <x:v>kdca-6771-17</x:v>
      </x:c>
      <x:c r="C692" s="8" t="str">
        <x:v>kdca-6771-17</x:v>
      </x:c>
      <x:c r="D692" s="8" t="str">
        <x:v>근거와 함께 답변</x:v>
      </x:c>
      <x:c r="E692" s="15" t="n">
        <x:v>690</x:v>
      </x:c>
      <x:c r="F692" s="8" t="str">
        <x:v>기존 검증 정답</x:v>
      </x:c>
      <x:c r="G692" s="8" t="str">
        <x:v>https://health.kdca.go.kr/healthinfo/biz/health/gnrlzHealthInfo/gnrlzHealthInfo/gnrlzHealthInfoMain.do</x:v>
      </x:c>
      <x:c r="H692" s="8" t="str">
        <x:v>{
  "disease": "심장 판막 질환",
  "section": "증상 / 진단 및 검사",
  "category": "disease"
}</x:v>
      </x:c>
    </x:row>
    <x:row r="693" ht="54" customHeight="1">
      <x:c r="A693" s="8" t="str">
        <x:v>gold-disease-296ee90676104f14</x:v>
      </x:c>
      <x:c r="B693" s="8" t="str">
        <x:v>kdca-6700-8</x:v>
      </x:c>
      <x:c r="C693" s="8" t="str">
        <x:v>kdca-6700-8</x:v>
      </x:c>
      <x:c r="D693" s="8" t="str">
        <x:v>근거와 함께 답변</x:v>
      </x:c>
      <x:c r="E693" s="15" t="n">
        <x:v>691</x:v>
      </x:c>
      <x:c r="F693" s="8" t="str">
        <x:v>기존 검증 정답</x:v>
      </x:c>
      <x:c r="G693" s="8" t="str">
        <x:v>https://health.kdca.go.kr/healthinfo/biz/health/gnrlzHealthInfo/gnrlzHealthInfo/gnrlzHealthInfoMain.do</x:v>
      </x:c>
      <x:c r="H693" s="8" t="str">
        <x:v>{
  "disease": "원형탈모",
  "section": "경과 및 예후",
  "category": "disease"
}</x:v>
      </x:c>
    </x:row>
    <x:row r="694" ht="54" customHeight="1">
      <x:c r="A694" s="8" t="str">
        <x:v>gold-disease-9b35211fb3d226c3</x:v>
      </x:c>
      <x:c r="B694" s="8" t="str">
        <x:v>kdca-5804-18</x:v>
      </x:c>
      <x:c r="C694" s="8" t="str">
        <x:v>kdca-5804-18</x:v>
      </x:c>
      <x:c r="D694" s="8" t="str">
        <x:v>근거와 함께 답변</x:v>
      </x:c>
      <x:c r="E694" s="15" t="n">
        <x:v>692</x:v>
      </x:c>
      <x:c r="F694" s="8" t="str">
        <x:v>VDB 후속 설명 보강</x:v>
      </x:c>
      <x:c r="G694" s="8" t="str">
        <x:v>https://health.kdca.go.kr/healthinfo/biz/health/gnrlzHealthInfo/gnrlzHealthInfo/gnrlzHealthInfoMain.do</x:v>
      </x:c>
      <x:c r="H694" s="8" t="str">
        <x:v>{
  "disease": "구역질과 구토",
  "section": "치료 / 약물 치료",
  "category": "symptom"
}</x:v>
      </x:c>
    </x:row>
    <x:row r="695" ht="54" customHeight="1">
      <x:c r="A695" s="8" t="str">
        <x:v>gold-disease-9fcfdc610e445bca</x:v>
      </x:c>
      <x:c r="B695" s="8" t="str">
        <x:v>kdca-2969-3</x:v>
      </x:c>
      <x:c r="C695" s="8" t="str">
        <x:v>kdca-2969-3</x:v>
      </x:c>
      <x:c r="D695" s="8" t="str">
        <x:v>근거와 함께 답변</x:v>
      </x:c>
      <x:c r="E695" s="15" t="n">
        <x:v>693</x:v>
      </x:c>
      <x:c r="F695" s="8" t="str">
        <x:v>기존 검증 정답</x:v>
      </x:c>
      <x:c r="G695" s="8" t="str">
        <x:v>https://health.kdca.go.kr/healthinfo/biz/health/gnrlzHealthInfo/gnrlzHealthInfo/gnrlzHealthInfoMain.do</x:v>
      </x:c>
      <x:c r="H695" s="8" t="str">
        <x:v>{
  "disease": "심낭염(만성 심낭삼출)",
  "section": "증상 / 진단 및 검사",
  "category": "disease"
}</x:v>
      </x:c>
    </x:row>
    <x:row r="696" ht="54" customHeight="1">
      <x:c r="A696" s="8" t="str">
        <x:v>gold-disease-na-27bd5eb8a2f70b3e</x:v>
      </x:c>
      <x:c r="B696" s="8" t="str"/>
      <x:c r="C696" s="8" t="str"/>
      <x:c r="D696" s="8" t="str">
        <x:v>답변 거부 또는 추가 확인 요청</x:v>
      </x:c>
      <x:c r="E696" s="15" t="n">
        <x:v>694</x:v>
      </x:c>
      <x:c r="F696" s="8" t="str">
        <x:v>답변 거부 기준 문구</x:v>
      </x:c>
      <x:c r="G696" s="8" t="str">
        <x:v>https://health.kdca.go.kr/healthinfo/biz/health/gnrlzHealthInfo/gnrlzHealthInfo/gnrlzHealthInfoMain.do</x:v>
      </x:c>
      <x:c r="H696" s="8" t="str">
        <x:v>{
  "disease": "덧눈꺼풀",
  "section": "진단 및 검사 / 치료",
  "category": "disease"
}</x:v>
      </x:c>
    </x:row>
    <x:row r="697" ht="54" customHeight="1">
      <x:c r="A697" s="8" t="str">
        <x:v>gold-disease-na-ef3df5501cbcbe59</x:v>
      </x:c>
      <x:c r="B697" s="8" t="str"/>
      <x:c r="C697" s="8" t="str"/>
      <x:c r="D697" s="8" t="str">
        <x:v>답변 거부 또는 추가 확인 요청</x:v>
      </x:c>
      <x:c r="E697" s="15" t="n">
        <x:v>695</x:v>
      </x:c>
      <x:c r="F697" s="8" t="str">
        <x:v>답변 거부 기준 문구</x:v>
      </x:c>
      <x:c r="G697" s="8" t="str">
        <x:v>https://health.kdca.go.kr/healthinfo/biz/health/gnrlzHealthInfo/gnrlzHealthInfo/gnrlzHealthInfoMain.do</x:v>
      </x:c>
      <x:c r="H697" s="8" t="str">
        <x:v>{
  "disease": "노인 삼킴장애",
  "section": "증상",
  "category": "disease"
}</x:v>
      </x:c>
    </x:row>
    <x:row r="698" ht="54" customHeight="1">
      <x:c r="A698" s="8" t="str">
        <x:v>gold-disease-e545172392c29502</x:v>
      </x:c>
      <x:c r="B698" s="8" t="str">
        <x:v>kdca-6253-3</x:v>
      </x:c>
      <x:c r="C698" s="8" t="str">
        <x:v>kdca-6253-3</x:v>
      </x:c>
      <x:c r="D698" s="8" t="str">
        <x:v>근거와 함께 답변</x:v>
      </x:c>
      <x:c r="E698" s="15" t="n">
        <x:v>696</x:v>
      </x:c>
      <x:c r="F698" s="8" t="str">
        <x:v>VDB 원인·위험요인 청크 재선정</x:v>
      </x:c>
      <x:c r="G698" s="8" t="str">
        <x:v>https://health.kdca.go.kr/healthinfo/biz/health/gnrlzHealthInfo/gnrlzHealthInfo/gnrlzHealthInfoMain.do</x:v>
      </x:c>
      <x:c r="H698" s="8" t="str">
        <x:v>{
  "disease": "기침(성인)",
  "section": "원인",
  "category": "symptom"
}</x:v>
      </x:c>
    </x:row>
    <x:row r="699" ht="54" customHeight="1">
      <x:c r="A699" s="8" t="str">
        <x:v>gold-disease-f2df59cc0f201692</x:v>
      </x:c>
      <x:c r="B699" s="8" t="str">
        <x:v>kdca-6711-11</x:v>
      </x:c>
      <x:c r="C699" s="8" t="str">
        <x:v>kdca-6711-11</x:v>
      </x:c>
      <x:c r="D699" s="8" t="str">
        <x:v>근거와 함께 답변</x:v>
      </x:c>
      <x:c r="E699" s="15" t="n">
        <x:v>697</x:v>
      </x:c>
      <x:c r="F699" s="8" t="str">
        <x:v>VDB 원인·위험요인 청크 재선정</x:v>
      </x:c>
      <x:c r="G699" s="8" t="str">
        <x:v>https://health.kdca.go.kr/healthinfo/biz/health/gnrlzHealthInfo/gnrlzHealthInfo/gnrlzHealthInfoMain.do</x:v>
      </x:c>
      <x:c r="H699" s="8" t="str">
        <x:v>{
  "disease": "소변이상(단백뇨)",
  "section": "원인",
  "category": "symptom"
}</x:v>
      </x:c>
    </x:row>
    <x:row r="700" ht="54" customHeight="1">
      <x:c r="A700" s="8" t="str">
        <x:v>gold-disease-01cc20994950aec0</x:v>
      </x:c>
      <x:c r="B700" s="8" t="str">
        <x:v>kdca-5242-22</x:v>
      </x:c>
      <x:c r="C700" s="8" t="str">
        <x:v>kdca-5242-22</x:v>
      </x:c>
      <x:c r="D700" s="8" t="str">
        <x:v>근거와 함께 답변</x:v>
      </x:c>
      <x:c r="E700" s="15" t="n">
        <x:v>698</x:v>
      </x:c>
      <x:c r="F700" s="8" t="str">
        <x:v>기존 검증 정답</x:v>
      </x:c>
      <x:c r="G700" s="8" t="str">
        <x:v>https://health.kdca.go.kr/healthinfo/biz/health/gnrlzHealthInfo/gnrlzHealthInfo/gnrlzHealthInfoMain.do</x:v>
      </x:c>
      <x:c r="H700" s="8" t="str">
        <x:v>{
  "disease": "고칼슘혈증",
  "section": "경과 및 예후",
  "category": "disease"
}</x:v>
      </x:c>
    </x:row>
    <x:row r="701" ht="54" customHeight="1">
      <x:c r="A701" s="8" t="str">
        <x:v>gold-disease-2f78906cf2a167cb</x:v>
      </x:c>
      <x:c r="B701" s="8" t="str">
        <x:v>kdca-5822-30</x:v>
      </x:c>
      <x:c r="C701" s="8" t="str">
        <x:v>kdca-5822-30</x:v>
      </x:c>
      <x:c r="D701" s="8" t="str">
        <x:v>근거와 함께 답변</x:v>
      </x:c>
      <x:c r="E701" s="15" t="n">
        <x:v>699</x:v>
      </x:c>
      <x:c r="F701" s="8" t="str">
        <x:v>VDB 후속 설명 보강</x:v>
      </x:c>
      <x:c r="G701" s="8" t="str">
        <x:v>https://health.kdca.go.kr/healthinfo/biz/health/gnrlzHealthInfo/gnrlzHealthInfo/gnrlzHealthInfoMain.do</x:v>
      </x:c>
      <x:c r="H701" s="8" t="str">
        <x:v>{
  "disease": "요실금",
  "section": "생활습관 관리",
  "category": "disease"
}</x:v>
      </x:c>
    </x:row>
    <x:row r="702" ht="54" customHeight="1">
      <x:c r="A702" s="8" t="str">
        <x:v>gold-disease-c6b92c0d77cd4633</x:v>
      </x:c>
      <x:c r="B702" s="8" t="str">
        <x:v>kdca-5500-5</x:v>
      </x:c>
      <x:c r="C702" s="8" t="str">
        <x:v>kdca-5500-5</x:v>
      </x:c>
      <x:c r="D702" s="8" t="str">
        <x:v>근거와 함께 답변</x:v>
      </x:c>
      <x:c r="E702" s="15" t="n">
        <x:v>700</x:v>
      </x:c>
      <x:c r="F702" s="8" t="str">
        <x:v>기존 검증 정답</x:v>
      </x:c>
      <x:c r="G702" s="8" t="str">
        <x:v>https://health.kdca.go.kr/healthinfo/biz/health/gnrlzHealthInfo/gnrlzHealthInfo/gnrlzHealthInfoMain.do</x:v>
      </x:c>
      <x:c r="H702" s="8" t="str">
        <x:v>{
  "disease": "일광화상",
  "section": "병태생리 / 증상",
  "category": "disease"
}</x:v>
      </x:c>
    </x:row>
    <x:row r="703" ht="54" customHeight="1">
      <x:c r="A703" s="8" t="str">
        <x:v>gold-disease-3a9c1b8f34981ad4</x:v>
      </x:c>
      <x:c r="B703" s="8" t="str">
        <x:v>kdca-6732-7</x:v>
      </x:c>
      <x:c r="C703" s="8" t="str">
        <x:v>kdca-6732-7</x:v>
      </x:c>
      <x:c r="D703" s="8" t="str">
        <x:v>근거와 함께 답변</x:v>
      </x:c>
      <x:c r="E703" s="15" t="n">
        <x:v>701</x:v>
      </x:c>
      <x:c r="F703" s="8" t="str">
        <x:v>VDB 원인·위험요인 청크 재선정</x:v>
      </x:c>
      <x:c r="G703" s="8" t="str">
        <x:v>https://health.kdca.go.kr/healthinfo/biz/health/gnrlzHealthInfo/gnrlzHealthInfo/gnrlzHealthInfoMain.do</x:v>
      </x:c>
      <x:c r="H703" s="8" t="str">
        <x:v>{
  "disease": "통풍",
  "section": "원인",
  "category": "disease"
}</x:v>
      </x:c>
    </x:row>
    <x:row r="704" ht="54" customHeight="1">
      <x:c r="A704" s="8" t="str">
        <x:v>gold-disease-ca2ccdc7b2f35fa9</x:v>
      </x:c>
      <x:c r="B704" s="8" t="str">
        <x:v>kdca-3135-5</x:v>
      </x:c>
      <x:c r="C704" s="8" t="str">
        <x:v>kdca-3135-5</x:v>
      </x:c>
      <x:c r="D704" s="8" t="str">
        <x:v>근거와 함께 답변</x:v>
      </x:c>
      <x:c r="E704" s="15" t="n">
        <x:v>702</x:v>
      </x:c>
      <x:c r="F704" s="8" t="str">
        <x:v>VDB 후속 설명 보강</x:v>
      </x:c>
      <x:c r="G704" s="8" t="str">
        <x:v>https://health.kdca.go.kr/healthinfo/biz/health/gnrlzHealthInfo/gnrlzHealthInfo/gnrlzHealthInfoMain.do</x:v>
      </x:c>
      <x:c r="H704" s="8" t="str">
        <x:v>{
  "disease": "항문직장농양과 치루(항문직장농양)",
  "section": "증상 / 진단 및 검사",
  "category": "disease"
}</x:v>
      </x:c>
    </x:row>
    <x:row r="705" ht="54" customHeight="1">
      <x:c r="A705" s="8" t="str">
        <x:v>gold-disease-na-4923a6faa7663b3c</x:v>
      </x:c>
      <x:c r="B705" s="8" t="str"/>
      <x:c r="C705" s="8" t="str"/>
      <x:c r="D705" s="8" t="str">
        <x:v>답변 거부 또는 추가 확인 요청</x:v>
      </x:c>
      <x:c r="E705" s="15" t="n">
        <x:v>703</x:v>
      </x:c>
      <x:c r="F705" s="8" t="str">
        <x:v>답변 거부 기준 문구</x:v>
      </x:c>
      <x:c r="G705" s="8" t="str">
        <x:v>https://health.kdca.go.kr/healthinfo/biz/health/gnrlzHealthInfo/gnrlzHealthInfo/gnrlzHealthInfoMain.do</x:v>
      </x:c>
      <x:c r="H705" s="8" t="str">
        <x:v>{
  "disease": "바이러스성출혈열",
  "section": "역학 및 통계 / 증상",
  "category": "disease"
}</x:v>
      </x:c>
    </x:row>
    <x:row r="706" ht="54" customHeight="1">
      <x:c r="A706" s="8" t="str">
        <x:v>gold-disease-ed7b4fa45e2c2536</x:v>
      </x:c>
      <x:c r="B706" s="8" t="str">
        <x:v>kdca-6316-19</x:v>
      </x:c>
      <x:c r="C706" s="8" t="str">
        <x:v>kdca-6316-19</x:v>
      </x:c>
      <x:c r="D706" s="8" t="str">
        <x:v>근거와 함께 답변</x:v>
      </x:c>
      <x:c r="E706" s="15" t="n">
        <x:v>704</x:v>
      </x:c>
      <x:c r="F706" s="8" t="str">
        <x:v>VDB 원인·위험요인 청크 재선정</x:v>
      </x:c>
      <x:c r="G706" s="8" t="str">
        <x:v>https://health.kdca.go.kr/healthinfo/biz/health/gnrlzHealthInfo/gnrlzHealthInfo/gnrlzHealthInfoMain.do</x:v>
      </x:c>
      <x:c r="H706" s="8" t="str">
        <x:v>{
  "disease": "독극물 섭취",
  "section": "건강에 미치는 영향",
  "category": "disease"
}</x:v>
      </x:c>
    </x:row>
    <x:row r="707" ht="54" customHeight="1">
      <x:c r="A707" s="8" t="str">
        <x:v>gold-disease-na-eb16c792d99ca2c8</x:v>
      </x:c>
      <x:c r="B707" s="8" t="str"/>
      <x:c r="C707" s="8" t="str"/>
      <x:c r="D707" s="8" t="str">
        <x:v>답변 거부 또는 추가 확인 요청</x:v>
      </x:c>
      <x:c r="E707" s="15" t="n">
        <x:v>705</x:v>
      </x:c>
      <x:c r="F707" s="8" t="str">
        <x:v>답변 거부 기준 문구</x:v>
      </x:c>
      <x:c r="G707" s="8" t="str">
        <x:v>https://health.kdca.go.kr/healthinfo/biz/health/gnrlzHealthInfo/gnrlzHealthInfo/gnrlzHealthInfoMain.do</x:v>
      </x:c>
      <x:c r="H707" s="8" t="str">
        <x:v>{
  "disease": "고혈압심장질환",
  "section": "병태생리 / 증상",
  "category": "disease"
}</x:v>
      </x:c>
    </x:row>
    <x:row r="708" ht="54" customHeight="1">
      <x:c r="A708" s="8" t="str">
        <x:v>gold-disease-d3421c74f0663ad0</x:v>
      </x:c>
      <x:c r="B708" s="8" t="str">
        <x:v>kdca-5721-0</x:v>
      </x:c>
      <x:c r="C708" s="8" t="str">
        <x:v>kdca-5721-0</x:v>
      </x:c>
      <x:c r="D708" s="8" t="str">
        <x:v>근거와 함께 답변</x:v>
      </x:c>
      <x:c r="E708" s="15" t="n">
        <x:v>706</x:v>
      </x:c>
      <x:c r="F708" s="8" t="str">
        <x:v>기존 검증 정답</x:v>
      </x:c>
      <x:c r="G708" s="8" t="str">
        <x:v>https://health.kdca.go.kr/healthinfo/biz/health/gnrlzHealthInfo/gnrlzHealthInfo/gnrlzHealthInfoMain.do</x:v>
      </x:c>
      <x:c r="H708" s="8" t="str">
        <x:v>{
  "disease": "소아 청소년의 혈변 및 흑혈변",
  "section": "요약문",
  "category": "disease"
}</x:v>
      </x:c>
    </x:row>
    <x:row r="709" ht="54" customHeight="1">
      <x:c r="A709" s="8" t="str">
        <x:v>gold-disease-28f1a81ff0f50c79</x:v>
      </x:c>
      <x:c r="B709" s="8" t="str">
        <x:v>kdca-6493-0</x:v>
      </x:c>
      <x:c r="C709" s="8" t="str">
        <x:v>kdca-6493-0</x:v>
      </x:c>
      <x:c r="D709" s="8" t="str">
        <x:v>근거와 함께 답변</x:v>
      </x:c>
      <x:c r="E709" s="15" t="n">
        <x:v>707</x:v>
      </x:c>
      <x:c r="F709" s="8" t="str">
        <x:v>기존 검증 정답</x:v>
      </x:c>
      <x:c r="G709" s="8" t="str">
        <x:v>https://health.kdca.go.kr/healthinfo/biz/health/gnrlzHealthInfo/gnrlzHealthInfo/gnrlzHealthInfoMain.do</x:v>
      </x:c>
      <x:c r="H709" s="8" t="str">
        <x:v>{
  "disease": "연조직염과 종기(종기)",
  "section": "요약문",
  "category": "disease"
}</x:v>
      </x:c>
    </x:row>
    <x:row r="710" ht="54" customHeight="1">
      <x:c r="A710" s="8" t="str">
        <x:v>gold-disease-b5b0f558126305f1</x:v>
      </x:c>
      <x:c r="B710" s="8" t="str">
        <x:v>kdca-5226-12</x:v>
      </x:c>
      <x:c r="C710" s="8" t="str">
        <x:v>kdca-5226-12</x:v>
      </x:c>
      <x:c r="D710" s="8" t="str">
        <x:v>근거와 함께 답변</x:v>
      </x:c>
      <x:c r="E710" s="15" t="n">
        <x:v>708</x:v>
      </x:c>
      <x:c r="F710" s="8" t="str">
        <x:v>VDB 후속 설명 보강</x:v>
      </x:c>
      <x:c r="G710" s="8" t="str">
        <x:v>https://health.kdca.go.kr/healthinfo/biz/health/gnrlzHealthInfo/gnrlzHealthInfo/gnrlzHealthInfoMain.do</x:v>
      </x:c>
      <x:c r="H710" s="8" t="str">
        <x:v>{
  "disease": "노안",
  "section": "치료",
  "category": "disease"
}</x:v>
      </x:c>
    </x:row>
    <x:row r="711" ht="54" customHeight="1">
      <x:c r="A711" s="8" t="str">
        <x:v>gold-disease-12522bde2f03d518</x:v>
      </x:c>
      <x:c r="B711" s="8" t="str">
        <x:v>kdca-5220-6</x:v>
      </x:c>
      <x:c r="C711" s="8" t="str">
        <x:v>kdca-5220-6</x:v>
      </x:c>
      <x:c r="D711" s="8" t="str">
        <x:v>근거와 함께 답변</x:v>
      </x:c>
      <x:c r="E711" s="15" t="n">
        <x:v>709</x:v>
      </x:c>
      <x:c r="F711" s="8" t="str">
        <x:v>VDB 후속 설명 보강</x:v>
      </x:c>
      <x:c r="G711" s="8" t="str">
        <x:v>https://health.kdca.go.kr/healthinfo/biz/health/gnrlzHealthInfo/gnrlzHealthInfo/gnrlzHealthInfoMain.do</x:v>
      </x:c>
      <x:c r="H711" s="8" t="str">
        <x:v>{
  "disease": "덧눈꺼풀",
  "section": "증상 / 진단 및 검사",
  "category": "disease"
}</x:v>
      </x:c>
    </x:row>
    <x:row r="712" ht="54" customHeight="1">
      <x:c r="A712" s="8" t="str">
        <x:v>gold-disease-558b7d053e87ff3b</x:v>
      </x:c>
      <x:c r="B712" s="8" t="str">
        <x:v>kdca-5314-0</x:v>
      </x:c>
      <x:c r="C712" s="8" t="str">
        <x:v>kdca-5314-0</x:v>
      </x:c>
      <x:c r="D712" s="8" t="str">
        <x:v>근거와 함께 답변</x:v>
      </x:c>
      <x:c r="E712" s="15" t="n">
        <x:v>710</x:v>
      </x:c>
      <x:c r="F712" s="8" t="str">
        <x:v>기존 검증 정답</x:v>
      </x:c>
      <x:c r="G712" s="8" t="str">
        <x:v>https://health.kdca.go.kr/healthinfo/biz/health/gnrlzHealthInfo/gnrlzHealthInfo/gnrlzHealthInfoMain.do</x:v>
      </x:c>
      <x:c r="H712" s="8" t="str">
        <x:v>{
  "disease": "노인 삼킴장애",
  "section": "요약문",
  "category": "disease"
}</x:v>
      </x:c>
    </x:row>
    <x:row r="713" ht="54" customHeight="1">
      <x:c r="A713" s="8" t="str">
        <x:v>gold-disease-56bf6909302525cb</x:v>
      </x:c>
      <x:c r="B713" s="8" t="str">
        <x:v>kdca-6774-27</x:v>
      </x:c>
      <x:c r="C713" s="8" t="str">
        <x:v>kdca-6774-27</x:v>
      </x:c>
      <x:c r="D713" s="8" t="str">
        <x:v>근거와 함께 답변</x:v>
      </x:c>
      <x:c r="E713" s="15" t="n">
        <x:v>711</x:v>
      </x:c>
      <x:c r="F713" s="8" t="str">
        <x:v>기존 검증 정답</x:v>
      </x:c>
      <x:c r="G713" s="8" t="str">
        <x:v>https://health.kdca.go.kr/healthinfo/biz/health/gnrlzHealthInfo/gnrlzHealthInfo/gnrlzHealthInfoMain.do</x:v>
      </x:c>
      <x:c r="H713" s="8" t="str">
        <x:v>{
  "disease": "죽상경화증",
  "section": "증상",
  "category": "disease"
}</x:v>
      </x:c>
    </x:row>
    <x:row r="714" ht="54" customHeight="1">
      <x:c r="A714" s="8" t="str">
        <x:v>gold-disease-375583378779615c</x:v>
      </x:c>
      <x:c r="B714" s="8" t="str">
        <x:v>kdca-5474-42</x:v>
      </x:c>
      <x:c r="C714" s="8" t="str">
        <x:v>kdca-5474-42</x:v>
      </x:c>
      <x:c r="D714" s="8" t="str">
        <x:v>근거와 함께 답변</x:v>
      </x:c>
      <x:c r="E714" s="15" t="n">
        <x:v>712</x:v>
      </x:c>
      <x:c r="F714" s="8" t="str">
        <x:v>기존 검증 정답</x:v>
      </x:c>
      <x:c r="G714" s="8" t="str">
        <x:v>https://health.kdca.go.kr/healthinfo/biz/health/gnrlzHealthInfo/gnrlzHealthInfo/gnrlzHealthInfoMain.do</x:v>
      </x:c>
      <x:c r="H714" s="8" t="str">
        <x:v>{
  "disease": "폐렴(소아)",
  "section": "대상별 맞춤 정보",
  "category": "disease"
}</x:v>
      </x:c>
    </x:row>
    <x:row r="715" ht="54" customHeight="1">
      <x:c r="A715" s="8" t="str">
        <x:v>gold-disease-17ea6999fbc42010</x:v>
      </x:c>
      <x:c r="B715" s="8" t="str">
        <x:v>kdca-6266-16</x:v>
      </x:c>
      <x:c r="C715" s="8" t="str">
        <x:v>kdca-6266-16</x:v>
      </x:c>
      <x:c r="D715" s="8" t="str">
        <x:v>근거와 함께 답변</x:v>
      </x:c>
      <x:c r="E715" s="15" t="n">
        <x:v>713</x:v>
      </x:c>
      <x:c r="F715" s="8" t="str">
        <x:v>기존 검증 정답</x:v>
      </x:c>
      <x:c r="G715" s="8" t="str">
        <x:v>https://health.kdca.go.kr/healthinfo/biz/health/gnrlzHealthInfo/gnrlzHealthInfo/gnrlzHealthInfoMain.do</x:v>
      </x:c>
      <x:c r="H715" s="8" t="str">
        <x:v>{
  "disease": "웨스트나일열",
  "section": "대상별 맞춤 정보 / 참고문헌",
  "category": "disease"
}</x:v>
      </x:c>
    </x:row>
    <x:row r="716" ht="54" customHeight="1">
      <x:c r="A716" s="8" t="str">
        <x:v>gold-disease-314df0d1045d24df</x:v>
      </x:c>
      <x:c r="B716" s="8" t="str">
        <x:v>kdca-1344-13</x:v>
      </x:c>
      <x:c r="C716" s="8" t="str">
        <x:v>kdca-1344-13</x:v>
      </x:c>
      <x:c r="D716" s="8" t="str">
        <x:v>근거와 함께 답변</x:v>
      </x:c>
      <x:c r="E716" s="15" t="n">
        <x:v>714</x:v>
      </x:c>
      <x:c r="F716" s="8" t="str">
        <x:v>기존 검증 정답</x:v>
      </x:c>
      <x:c r="G716" s="8" t="str">
        <x:v>https://health.kdca.go.kr/healthinfo/biz/health/gnrlzHealthInfo/gnrlzHealthInfo/gnrlzHealthInfoMain.do</x:v>
      </x:c>
      <x:c r="H716" s="8" t="str">
        <x:v>{
  "disease": "건선",
  "section": "역학 및 통계 / 진단 및 검사",
  "category": "disease"
}</x:v>
      </x:c>
    </x:row>
    <x:row r="717" ht="54" customHeight="1">
      <x:c r="A717" s="8" t="str">
        <x:v>gold-disease-290fd16165162470</x:v>
      </x:c>
      <x:c r="B717" s="8" t="str">
        <x:v>kdca-5844-8</x:v>
      </x:c>
      <x:c r="C717" s="8" t="str">
        <x:v>kdca-5844-8</x:v>
      </x:c>
      <x:c r="D717" s="8" t="str">
        <x:v>근거와 함께 답변</x:v>
      </x:c>
      <x:c r="E717" s="15" t="n">
        <x:v>715</x:v>
      </x:c>
      <x:c r="F717" s="8" t="str">
        <x:v>기존 검증 정답</x:v>
      </x:c>
      <x:c r="G717" s="8" t="str">
        <x:v>https://health.kdca.go.kr/healthinfo/biz/health/gnrlzHealthInfo/gnrlzHealthInfo/gnrlzHealthInfoMain.do</x:v>
      </x:c>
      <x:c r="H717" s="8" t="str">
        <x:v>{
  "disease": "파라티푸스",
  "section": "역학 및 통계",
  "category": "disease"
}</x:v>
      </x:c>
    </x:row>
    <x:row r="718" ht="54" customHeight="1">
      <x:c r="A718" s="8" t="str">
        <x:v>gold-disease-4bdafa7dea08e84b</x:v>
      </x:c>
      <x:c r="B718" s="8" t="str">
        <x:v>kdca-6672-5</x:v>
      </x:c>
      <x:c r="C718" s="8" t="str">
        <x:v>kdca-6672-5</x:v>
      </x:c>
      <x:c r="D718" s="8" t="str">
        <x:v>근거와 함께 답변</x:v>
      </x:c>
      <x:c r="E718" s="15" t="n">
        <x:v>716</x:v>
      </x:c>
      <x:c r="F718" s="8" t="str">
        <x:v>VDB 원인·위험요인 청크 재선정</x:v>
      </x:c>
      <x:c r="G718" s="8" t="str">
        <x:v>https://health.kdca.go.kr/healthinfo/biz/health/gnrlzHealthInfo/gnrlzHealthInfo/gnrlzHealthInfoMain.do</x:v>
      </x:c>
      <x:c r="H718" s="8" t="str">
        <x:v>{
  "disease": "B형간염",
  "section": "원인 및 감염경로 / 역학 및 통계",
  "category": "disease"
}</x:v>
      </x:c>
    </x:row>
    <x:row r="719" ht="54" customHeight="1">
      <x:c r="A719" s="8" t="str">
        <x:v>gold-disease-26d56155ac927581</x:v>
      </x:c>
      <x:c r="B719" s="8" t="str">
        <x:v>kdca-5245-13</x:v>
      </x:c>
      <x:c r="C719" s="8" t="str">
        <x:v>kdca-5245-13</x:v>
      </x:c>
      <x:c r="D719" s="8" t="str">
        <x:v>근거와 함께 답변</x:v>
      </x:c>
      <x:c r="E719" s="15" t="n">
        <x:v>717</x:v>
      </x:c>
      <x:c r="F719" s="8" t="str">
        <x:v>VDB 후속 설명 보강</x:v>
      </x:c>
      <x:c r="G719" s="8" t="str">
        <x:v>https://health.kdca.go.kr/healthinfo/biz/health/gnrlzHealthInfo/gnrlzHealthInfo/gnrlzHealthInfoMain.do</x:v>
      </x:c>
      <x:c r="H719" s="8" t="str">
        <x:v>{
  "disease": "말라리아",
  "section": "역학 및 통계 / 증상",
  "category": "disease"
}</x:v>
      </x:c>
    </x:row>
    <x:row r="720" ht="54" customHeight="1">
      <x:c r="A720" s="8" t="str">
        <x:v>gold-disease-b826f4bc388a23f3</x:v>
      </x:c>
      <x:c r="B720" s="8" t="str">
        <x:v>kdca-6692-7</x:v>
      </x:c>
      <x:c r="C720" s="8" t="str">
        <x:v>kdca-6692-7</x:v>
      </x:c>
      <x:c r="D720" s="8" t="str">
        <x:v>근거와 함께 답변</x:v>
      </x:c>
      <x:c r="E720" s="15" t="n">
        <x:v>718</x:v>
      </x:c>
      <x:c r="F720" s="8" t="str">
        <x:v>기존 검증 정답</x:v>
      </x:c>
      <x:c r="G720" s="8" t="str">
        <x:v>https://health.kdca.go.kr/healthinfo/biz/health/gnrlzHealthInfo/gnrlzHealthInfo/gnrlzHealthInfoMain.do</x:v>
      </x:c>
      <x:c r="H720" s="8" t="str">
        <x:v>{
  "disease": "당뇨병성 족부병증",
  "section": "역학 및 통계 / 치료",
  "category": "disease"
}</x:v>
      </x:c>
    </x:row>
    <x:row r="721" ht="54" customHeight="1">
      <x:c r="A721" s="8" t="str">
        <x:v>gold-disease-na-9f5ed1d6fc4f76fd</x:v>
      </x:c>
      <x:c r="B721" s="8" t="str"/>
      <x:c r="C721" s="8" t="str"/>
      <x:c r="D721" s="8" t="str">
        <x:v>답변 거부 또는 추가 확인 요청</x:v>
      </x:c>
      <x:c r="E721" s="15" t="n">
        <x:v>719</x:v>
      </x:c>
      <x:c r="F721" s="8" t="str">
        <x:v>답변 거부 기준 문구</x:v>
      </x:c>
      <x:c r="G721" s="8" t="str">
        <x:v>https://health.kdca.go.kr/healthinfo/biz/health/gnrlzHealthInfo/gnrlzHealthInfo/gnrlzHealthInfoMain.do</x:v>
      </x:c>
      <x:c r="H721" s="8" t="str">
        <x:v>{
  "disease": "크루프(후두염)",
  "section": "위험요인 및 예방 / 참고문헌",
  "category": "disease"
}</x:v>
      </x:c>
    </x:row>
    <x:row r="722" ht="54" customHeight="1">
      <x:c r="A722" s="8" t="str">
        <x:v>gold-disease-cb32dcdc8f62a79e</x:v>
      </x:c>
      <x:c r="B722" s="8" t="str">
        <x:v>kdca-5290-7</x:v>
      </x:c>
      <x:c r="C722" s="8" t="str">
        <x:v>kdca-5290-7</x:v>
      </x:c>
      <x:c r="D722" s="8" t="str">
        <x:v>근거와 함께 답변</x:v>
      </x:c>
      <x:c r="E722" s="15" t="n">
        <x:v>720</x:v>
      </x:c>
      <x:c r="F722" s="8" t="str">
        <x:v>VDB 후속 설명 보강</x:v>
      </x:c>
      <x:c r="G722" s="8" t="str">
        <x:v>https://health.kdca.go.kr/healthinfo/biz/health/gnrlzHealthInfo/gnrlzHealthInfo/gnrlzHealthInfoMain.do</x:v>
      </x:c>
      <x:c r="H722" s="8" t="str">
        <x:v>{
  "disease": "골수염",
  "section": "증상",
  "category": "disease"
}</x:v>
      </x:c>
    </x:row>
    <x:row r="723" ht="54" customHeight="1">
      <x:c r="A723" s="8" t="str">
        <x:v>gold-disease-d8789ea4a62c0b8c</x:v>
      </x:c>
      <x:c r="B723" s="8" t="str">
        <x:v>kdca-6534-0</x:v>
      </x:c>
      <x:c r="C723" s="8" t="str">
        <x:v>kdca-6534-0</x:v>
      </x:c>
      <x:c r="D723" s="8" t="str">
        <x:v>근거와 함께 답변</x:v>
      </x:c>
      <x:c r="E723" s="15" t="n">
        <x:v>721</x:v>
      </x:c>
      <x:c r="F723" s="8" t="str">
        <x:v>기존 검증 정답</x:v>
      </x:c>
      <x:c r="G723" s="8" t="str">
        <x:v>https://health.kdca.go.kr/healthinfo/biz/health/gnrlzHealthInfo/gnrlzHealthInfo/gnrlzHealthInfoMain.do</x:v>
      </x:c>
      <x:c r="H723" s="8" t="str">
        <x:v>{
  "disease": "자연분만과정",
  "section": "요약문 / 개요",
  "category": "disease"
}</x:v>
      </x:c>
    </x:row>
    <x:row r="724" ht="54" customHeight="1">
      <x:c r="A724" s="8" t="str">
        <x:v>gold-disease-be5de9e8ee9e7335</x:v>
      </x:c>
      <x:c r="B724" s="8" t="str">
        <x:v>kdca-5309-8</x:v>
      </x:c>
      <x:c r="C724" s="8" t="str">
        <x:v>kdca-5309-8</x:v>
      </x:c>
      <x:c r="D724" s="8" t="str">
        <x:v>근거와 함께 답변</x:v>
      </x:c>
      <x:c r="E724" s="15" t="n">
        <x:v>722</x:v>
      </x:c>
      <x:c r="F724" s="8" t="str">
        <x:v>VDB 후속 설명 보강</x:v>
      </x:c>
      <x:c r="G724" s="8" t="str">
        <x:v>https://health.kdca.go.kr/healthinfo/biz/health/gnrlzHealthInfo/gnrlzHealthInfo/gnrlzHealthInfoMain.do</x:v>
      </x:c>
      <x:c r="H724" s="8" t="str">
        <x:v>{
  "disease": "C형간염",
  "section": "증상",
  "category": "disease"
}</x:v>
      </x:c>
    </x:row>
    <x:row r="725" ht="54" customHeight="1">
      <x:c r="A725" s="8" t="str">
        <x:v>gold-disease-af1759e7de421ac3</x:v>
      </x:c>
      <x:c r="B725" s="8" t="str">
        <x:v>kdca-6313-5</x:v>
      </x:c>
      <x:c r="C725" s="8" t="str">
        <x:v>kdca-6313-5</x:v>
      </x:c>
      <x:c r="D725" s="8" t="str">
        <x:v>근거와 함께 답변</x:v>
      </x:c>
      <x:c r="E725" s="15" t="n">
        <x:v>723</x:v>
      </x:c>
      <x:c r="F725" s="8" t="str">
        <x:v>기존 검증 정답</x:v>
      </x:c>
      <x:c r="G725" s="8" t="str">
        <x:v>https://health.kdca.go.kr/healthinfo/biz/health/gnrlzHealthInfo/gnrlzHealthInfo/gnrlzHealthInfoMain.do</x:v>
      </x:c>
      <x:c r="H725" s="8" t="str">
        <x:v>{
  "disease": "야토병",
  "section": "역학 및 통계 / 증상",
  "category": "disease"
}</x:v>
      </x:c>
    </x:row>
    <x:row r="726" ht="54" customHeight="1">
      <x:c r="A726" s="8" t="str">
        <x:v>gold-disease-na-362d568b913f2700</x:v>
      </x:c>
      <x:c r="B726" s="8" t="str"/>
      <x:c r="C726" s="8" t="str"/>
      <x:c r="D726" s="8" t="str">
        <x:v>답변 거부 또는 추가 확인 요청</x:v>
      </x:c>
      <x:c r="E726" s="15" t="n">
        <x:v>724</x:v>
      </x:c>
      <x:c r="F726" s="8" t="str">
        <x:v>답변 거부 기준 문구</x:v>
      </x:c>
      <x:c r="G726" s="8" t="str">
        <x:v>https://health.kdca.go.kr/healthinfo/biz/health/gnrlzHealthInfo/gnrlzHealthInfo/gnrlzHealthInfoMain.do</x:v>
      </x:c>
      <x:c r="H726" s="8" t="str">
        <x:v>{
  "disease": "무월경",
  "section": "원인",
  "category": "disease"
}</x:v>
      </x:c>
    </x:row>
    <x:row r="727" ht="54" customHeight="1">
      <x:c r="A727" s="8" t="str">
        <x:v>gold-disease-bdf1b452b3cde8e0</x:v>
      </x:c>
      <x:c r="B727" s="8" t="str">
        <x:v>kdca-5490-18</x:v>
      </x:c>
      <x:c r="C727" s="8" t="str">
        <x:v>kdca-5490-18</x:v>
      </x:c>
      <x:c r="D727" s="8" t="str">
        <x:v>근거와 함께 답변</x:v>
      </x:c>
      <x:c r="E727" s="15" t="n">
        <x:v>725</x:v>
      </x:c>
      <x:c r="F727" s="8" t="str">
        <x:v>VDB 원인·위험요인 청크 재선정</x:v>
      </x:c>
      <x:c r="G727" s="8" t="str">
        <x:v>https://health.kdca.go.kr/healthinfo/biz/health/gnrlzHealthInfo/gnrlzHealthInfo/gnrlzHealthInfoMain.do</x:v>
      </x:c>
      <x:c r="H727" s="8" t="str">
        <x:v>{
  "disease": "거부반응과 면역억제제",
  "section": "원인",
  "category": "disease"
}</x:v>
      </x:c>
    </x:row>
    <x:row r="728" ht="54" customHeight="1">
      <x:c r="A728" s="8" t="str">
        <x:v>gold-disease-na-3b60bcb862218be8</x:v>
      </x:c>
      <x:c r="B728" s="8" t="str"/>
      <x:c r="C728" s="8" t="str"/>
      <x:c r="D728" s="8" t="str">
        <x:v>답변 거부 또는 추가 확인 요청</x:v>
      </x:c>
      <x:c r="E728" s="15" t="n">
        <x:v>726</x:v>
      </x:c>
      <x:c r="F728" s="8" t="str">
        <x:v>답변 거부 기준 문구</x:v>
      </x:c>
      <x:c r="G728" s="8" t="str">
        <x:v>https://health.kdca.go.kr/healthinfo/biz/health/gnrlzHealthInfo/gnrlzHealthInfo/gnrlzHealthInfoMain.do</x:v>
      </x:c>
      <x:c r="H728" s="8" t="str">
        <x:v>{
  "disease": "심방중격결손증",
  "section": "경과 및 예후",
  "category": "disease"
}</x:v>
      </x:c>
    </x:row>
    <x:row r="729" ht="54" customHeight="1">
      <x:c r="A729" s="8" t="str">
        <x:v>gold-disease-d648c087993f4801</x:v>
      </x:c>
      <x:c r="B729" s="8" t="str">
        <x:v>kdca-5291-23</x:v>
      </x:c>
      <x:c r="C729" s="8" t="str">
        <x:v>kdca-5291-23</x:v>
      </x:c>
      <x:c r="D729" s="8" t="str">
        <x:v>근거와 함께 답변</x:v>
      </x:c>
      <x:c r="E729" s="15" t="n">
        <x:v>727</x:v>
      </x:c>
      <x:c r="F729" s="8" t="str">
        <x:v>VDB 후속 설명 보강</x:v>
      </x:c>
      <x:c r="G729" s="8" t="str">
        <x:v>https://health.kdca.go.kr/healthinfo/biz/health/gnrlzHealthInfo/gnrlzHealthInfo/gnrlzHealthInfoMain.do</x:v>
      </x:c>
      <x:c r="H729" s="8" t="str">
        <x:v>{
  "disease": "디프테리아",
  "section": "치료",
  "category": "disease"
}</x:v>
      </x:c>
    </x:row>
    <x:row r="730" ht="54" customHeight="1">
      <x:c r="A730" s="8" t="str">
        <x:v>gold-disease-381991797511bd4e</x:v>
      </x:c>
      <x:c r="B730" s="8" t="str">
        <x:v>kdca-1988-11</x:v>
      </x:c>
      <x:c r="C730" s="8" t="str">
        <x:v>kdca-1988-11</x:v>
      </x:c>
      <x:c r="D730" s="8" t="str">
        <x:v>근거와 함께 답변</x:v>
      </x:c>
      <x:c r="E730" s="15" t="n">
        <x:v>728</x:v>
      </x:c>
      <x:c r="F730" s="8" t="str">
        <x:v>기존 검증 정답</x:v>
      </x:c>
      <x:c r="G730" s="8" t="str">
        <x:v>https://health.kdca.go.kr/healthinfo/biz/health/gnrlzHealthInfo/gnrlzHealthInfo/gnrlzHealthInfoMain.do</x:v>
      </x:c>
      <x:c r="H730" s="8" t="str">
        <x:v>{
  "disease": "골관절염",
  "section": "경과 및 예후",
  "category": "disease"
}</x:v>
      </x:c>
    </x:row>
    <x:row r="731" ht="54" customHeight="1">
      <x:c r="A731" s="8" t="str">
        <x:v>gold-disease-06fa2a0d52e01447</x:v>
      </x:c>
      <x:c r="B731" s="8" t="str">
        <x:v>kdca-5239-0</x:v>
      </x:c>
      <x:c r="C731" s="8" t="str">
        <x:v>kdca-5239-0</x:v>
      </x:c>
      <x:c r="D731" s="8" t="str">
        <x:v>근거와 함께 답변</x:v>
      </x:c>
      <x:c r="E731" s="15" t="n">
        <x:v>729</x:v>
      </x:c>
      <x:c r="F731" s="8" t="str">
        <x:v>VDB 정의 문장 재선정</x:v>
      </x:c>
      <x:c r="G731" s="8" t="str">
        <x:v>https://health.kdca.go.kr/healthinfo/biz/health/gnrlzHealthInfo/gnrlzHealthInfo/gnrlzHealthInfoMain.do</x:v>
      </x:c>
      <x:c r="H731" s="8" t="str">
        <x:v>{
  "disease": "식중독",
  "section": "요약문",
  "category": "disease"
}</x:v>
      </x:c>
    </x:row>
    <x:row r="732" ht="54" customHeight="1">
      <x:c r="A732" s="8" t="str">
        <x:v>gold-disease-aa9d96d099c93b91</x:v>
      </x:c>
      <x:c r="B732" s="8" t="str">
        <x:v>kdca-5694-0</x:v>
      </x:c>
      <x:c r="C732" s="8" t="str">
        <x:v>kdca-5694-0</x:v>
      </x:c>
      <x:c r="D732" s="8" t="str">
        <x:v>근거와 함께 답변</x:v>
      </x:c>
      <x:c r="E732" s="15" t="n">
        <x:v>730</x:v>
      </x:c>
      <x:c r="F732" s="8" t="str">
        <x:v>VDB 정의 문장 재선정</x:v>
      </x:c>
      <x:c r="G732" s="8" t="str">
        <x:v>https://health.kdca.go.kr/healthinfo/biz/health/gnrlzHealthInfo/gnrlzHealthInfo/gnrlzHealthInfoMain.do</x:v>
      </x:c>
      <x:c r="H732" s="8" t="str">
        <x:v>{
  "disease": "습진",
  "section": "요약문",
  "category": "disease"
}</x:v>
      </x:c>
    </x:row>
    <x:row r="733" ht="54" customHeight="1">
      <x:c r="A733" s="8" t="str">
        <x:v>gold-disease-na-62ab449a9e77ac41</x:v>
      </x:c>
      <x:c r="B733" s="8" t="str"/>
      <x:c r="C733" s="8" t="str"/>
      <x:c r="D733" s="8" t="str">
        <x:v>답변 거부 또는 추가 확인 요청</x:v>
      </x:c>
      <x:c r="E733" s="15" t="n">
        <x:v>731</x:v>
      </x:c>
      <x:c r="F733" s="8" t="str">
        <x:v>답변 거부 기준 문구</x:v>
      </x:c>
      <x:c r="G733" s="8" t="str">
        <x:v>https://health.kdca.go.kr/healthinfo/biz/health/gnrlzHealthInfo/gnrlzHealthInfo/gnrlzHealthInfoMain.do</x:v>
      </x:c>
      <x:c r="H733" s="8" t="str">
        <x:v>{
  "disease": "결핵",
  "section": "예방 및 예방접종",
  "category": "disease"
}</x:v>
      </x:c>
    </x:row>
    <x:row r="734" ht="54" customHeight="1">
      <x:c r="A734" s="8" t="str">
        <x:v>gold-disease-e1582ab33af11116</x:v>
      </x:c>
      <x:c r="B734" s="8" t="str">
        <x:v>kdca-3167-1</x:v>
      </x:c>
      <x:c r="C734" s="8" t="str">
        <x:v>kdca-3167-1</x:v>
      </x:c>
      <x:c r="D734" s="8" t="str">
        <x:v>근거와 함께 답변</x:v>
      </x:c>
      <x:c r="E734" s="15" t="n">
        <x:v>732</x:v>
      </x:c>
      <x:c r="F734" s="8" t="str">
        <x:v>기존 검증 정답</x:v>
      </x:c>
      <x:c r="G734" s="8" t="str">
        <x:v>https://health.kdca.go.kr/healthinfo/biz/health/gnrlzHealthInfo/gnrlzHealthInfo/gnrlzHealthInfoMain.do</x:v>
      </x:c>
      <x:c r="H734" s="8" t="str">
        <x:v>{
  "disease": "폐부종",
  "section": "원인 / 증상",
  "category": "disease"
}</x:v>
      </x:c>
    </x:row>
    <x:row r="735" ht="54" customHeight="1">
      <x:c r="A735" s="8" t="str">
        <x:v>gold-disease-62ad4518a58194d4</x:v>
      </x:c>
      <x:c r="B735" s="8" t="str">
        <x:v>kdca-6747-2</x:v>
      </x:c>
      <x:c r="C735" s="8" t="str">
        <x:v>kdca-6747-2</x:v>
      </x:c>
      <x:c r="D735" s="8" t="str">
        <x:v>근거와 함께 답변</x:v>
      </x:c>
      <x:c r="E735" s="15" t="n">
        <x:v>733</x:v>
      </x:c>
      <x:c r="F735" s="8" t="str">
        <x:v>기존 검증 정답</x:v>
      </x:c>
      <x:c r="G735" s="8" t="str">
        <x:v>https://health.kdca.go.kr/healthinfo/biz/health/gnrlzHealthInfo/gnrlzHealthInfo/gnrlzHealthInfoMain.do</x:v>
      </x:c>
      <x:c r="H735" s="8" t="str">
        <x:v>{
  "disease": "무릎 인대 손상",
  "section": "개요 / 종류 / 원인",
  "category": "disease"
}</x:v>
      </x:c>
    </x:row>
    <x:row r="736" ht="54" customHeight="1">
      <x:c r="A736" s="8" t="str">
        <x:v>gold-disease-06da0ade0a920235</x:v>
      </x:c>
      <x:c r="B736" s="8" t="str">
        <x:v>kdca-6541-15</x:v>
      </x:c>
      <x:c r="C736" s="8" t="str">
        <x:v>kdca-6541-15</x:v>
      </x:c>
      <x:c r="D736" s="8" t="str">
        <x:v>근거와 함께 답변</x:v>
      </x:c>
      <x:c r="E736" s="15" t="n">
        <x:v>734</x:v>
      </x:c>
      <x:c r="F736" s="8" t="str">
        <x:v>기존 검증 정답</x:v>
      </x:c>
      <x:c r="G736" s="8" t="str">
        <x:v>https://health.kdca.go.kr/healthinfo/biz/health/gnrlzHealthInfo/gnrlzHealthInfo/gnrlzHealthInfoMain.do</x:v>
      </x:c>
      <x:c r="H736" s="8" t="str">
        <x:v>{
  "disease": "사구체질환",
  "section": "경과 및 예후",
  "category": "disease"
}</x:v>
      </x:c>
    </x:row>
    <x:row r="737" ht="54" customHeight="1">
      <x:c r="A737" s="8" t="str">
        <x:v>gold-disease-a941d4a0fa3db180</x:v>
      </x:c>
      <x:c r="B737" s="8" t="str">
        <x:v>kdca-1404-0</x:v>
      </x:c>
      <x:c r="C737" s="8" t="str">
        <x:v>kdca-1404-0</x:v>
      </x:c>
      <x:c r="D737" s="8" t="str">
        <x:v>근거와 함께 답변</x:v>
      </x:c>
      <x:c r="E737" s="15" t="n">
        <x:v>735</x:v>
      </x:c>
      <x:c r="F737" s="8" t="str">
        <x:v>기존 검증 정답</x:v>
      </x:c>
      <x:c r="G737" s="8" t="str">
        <x:v>https://health.kdca.go.kr/healthinfo/biz/health/gnrlzHealthInfo/gnrlzHealthInfo/gnrlzHealthInfoMain.do</x:v>
      </x:c>
      <x:c r="H737" s="8" t="str">
        <x:v>{
  "disease": "안외상(각막이물)",
  "section": "요약문",
  "category": "disease"
}</x:v>
      </x:c>
    </x:row>
    <x:row r="738" ht="54" customHeight="1">
      <x:c r="A738" s="8" t="str">
        <x:v>gold-disease-28bc39c6a4a61ea1</x:v>
      </x:c>
      <x:c r="B738" s="8" t="str">
        <x:v>kdca-2067-0</x:v>
      </x:c>
      <x:c r="C738" s="8" t="str">
        <x:v>kdca-2067-0</x:v>
      </x:c>
      <x:c r="D738" s="8" t="str">
        <x:v>근거와 함께 답변</x:v>
      </x:c>
      <x:c r="E738" s="15" t="n">
        <x:v>736</x:v>
      </x:c>
      <x:c r="F738" s="8" t="str">
        <x:v>기존 검증 정답</x:v>
      </x:c>
      <x:c r="G738" s="8" t="str">
        <x:v>https://health.kdca.go.kr/healthinfo/biz/health/gnrlzHealthInfo/gnrlzHealthInfo/gnrlzHealthInfoMain.do</x:v>
      </x:c>
      <x:c r="H738" s="8" t="str">
        <x:v>{
  "disease": "남성형 탈모",
  "section": "개요 / 원인",
  "category": "disease"
}</x:v>
      </x:c>
    </x:row>
    <x:row r="739" ht="54" customHeight="1">
      <x:c r="A739" s="8" t="str">
        <x:v>gold-disease-6454aaed0ca9f317</x:v>
      </x:c>
      <x:c r="B739" s="8" t="str">
        <x:v>kdca-6715-14</x:v>
      </x:c>
      <x:c r="C739" s="8" t="str">
        <x:v>kdca-6715-14</x:v>
      </x:c>
      <x:c r="D739" s="8" t="str">
        <x:v>근거와 함께 답변</x:v>
      </x:c>
      <x:c r="E739" s="15" t="n">
        <x:v>737</x:v>
      </x:c>
      <x:c r="F739" s="8" t="str">
        <x:v>VDB 후속 설명 보강</x:v>
      </x:c>
      <x:c r="G739" s="8" t="str">
        <x:v>https://health.kdca.go.kr/healthinfo/biz/health/gnrlzHealthInfo/gnrlzHealthInfo/gnrlzHealthInfoMain.do</x:v>
      </x:c>
      <x:c r="H739" s="8" t="str">
        <x:v>{
  "disease": "이상지질혈증",
  "section": "증상",
  "category": "disease"
}</x:v>
      </x:c>
    </x:row>
    <x:row r="740" ht="54" customHeight="1">
      <x:c r="A740" s="8" t="str">
        <x:v>gold-disease-96c609e1bdfd5bf6</x:v>
      </x:c>
      <x:c r="B740" s="8" t="str">
        <x:v>kdca-2247-0</x:v>
      </x:c>
      <x:c r="C740" s="8" t="str">
        <x:v>kdca-2247-0</x:v>
      </x:c>
      <x:c r="D740" s="8" t="str">
        <x:v>근거와 함께 답변</x:v>
      </x:c>
      <x:c r="E740" s="15" t="n">
        <x:v>738</x:v>
      </x:c>
      <x:c r="F740" s="8" t="str">
        <x:v>기존 검증 정답</x:v>
      </x:c>
      <x:c r="G740" s="8" t="str">
        <x:v>https://health.kdca.go.kr/healthinfo/biz/health/gnrlzHealthInfo/gnrlzHealthInfo/gnrlzHealthInfoMain.do</x:v>
      </x:c>
      <x:c r="H740" s="8" t="str">
        <x:v>{
  "disease": "위용종",
  "section": "개요",
  "category": "disease"
}</x:v>
      </x:c>
    </x:row>
    <x:row r="741" ht="54" customHeight="1">
      <x:c r="A741" s="8" t="str">
        <x:v>gold-disease-ff051ff0138b602a</x:v>
      </x:c>
      <x:c r="B741" s="8" t="str">
        <x:v>kdca-5281-15</x:v>
      </x:c>
      <x:c r="C741" s="8" t="str">
        <x:v>kdca-5281-15</x:v>
      </x:c>
      <x:c r="D741" s="8" t="str">
        <x:v>근거와 함께 답변</x:v>
      </x:c>
      <x:c r="E741" s="15" t="n">
        <x:v>739</x:v>
      </x:c>
      <x:c r="F741" s="8" t="str">
        <x:v>VDB 후속 설명 보강</x:v>
      </x:c>
      <x:c r="G741" s="8" t="str">
        <x:v>https://health.kdca.go.kr/healthinfo/biz/health/gnrlzHealthInfo/gnrlzHealthInfo/gnrlzHealthInfoMain.do</x:v>
      </x:c>
      <x:c r="H741" s="8" t="str">
        <x:v>{
  "disease": "레지오넬라증",
  "section": "예방 및 예방접종",
  "category": "disease"
}</x:v>
      </x:c>
    </x:row>
    <x:row r="742" ht="54" customHeight="1">
      <x:c r="A742" s="8" t="str">
        <x:v>gold-disease-8ef319752e465368</x:v>
      </x:c>
      <x:c r="B742" s="8" t="str">
        <x:v>kdca-6271-1</x:v>
      </x:c>
      <x:c r="C742" s="8" t="str">
        <x:v>kdca-6271-1</x:v>
      </x:c>
      <x:c r="D742" s="8" t="str">
        <x:v>근거와 함께 답변</x:v>
      </x:c>
      <x:c r="E742" s="15" t="n">
        <x:v>740</x:v>
      </x:c>
      <x:c r="F742" s="8" t="str">
        <x:v>VDB 원인·위험요인 청크 재선정</x:v>
      </x:c>
      <x:c r="G742" s="8" t="str">
        <x:v>https://health.kdca.go.kr/healthinfo/biz/health/gnrlzHealthInfo/gnrlzHealthInfo/gnrlzHealthInfoMain.do</x:v>
      </x:c>
      <x:c r="H742" s="8" t="str">
        <x:v>{
  "disease": "귀의 형태 이상(소이증)",
  "section": "정의 / 원인",
  "category": "disease"
}</x:v>
      </x:c>
    </x:row>
    <x:row r="743" ht="54" customHeight="1">
      <x:c r="A743" s="8" t="str">
        <x:v>gold-disease-na-0d0d20471fd54d14</x:v>
      </x:c>
      <x:c r="B743" s="8" t="str"/>
      <x:c r="C743" s="8" t="str"/>
      <x:c r="D743" s="8" t="str">
        <x:v>답변 거부 또는 추가 확인 요청</x:v>
      </x:c>
      <x:c r="E743" s="15" t="n">
        <x:v>741</x:v>
      </x:c>
      <x:c r="F743" s="8" t="str">
        <x:v>답변 거부 기준 문구</x:v>
      </x:c>
      <x:c r="G743" s="8" t="str">
        <x:v>https://health.kdca.go.kr/healthinfo/biz/health/gnrlzHealthInfo/gnrlzHealthInfo/gnrlzHealthInfoMain.do</x:v>
      </x:c>
      <x:c r="H743" s="8" t="str">
        <x:v>{
  "disease": "조루증",
  "section": "자주하는 질문",
  "category": "disease"
}</x:v>
      </x:c>
    </x:row>
    <x:row r="744" ht="54" customHeight="1">
      <x:c r="A744" s="8" t="str">
        <x:v>gold-disease-3a3819bc2dbda419</x:v>
      </x:c>
      <x:c r="B744" s="8" t="str">
        <x:v>kdca-6494-2</x:v>
      </x:c>
      <x:c r="C744" s="8" t="str">
        <x:v>kdca-6494-2</x:v>
      </x:c>
      <x:c r="D744" s="8" t="str">
        <x:v>근거와 함께 답변</x:v>
      </x:c>
      <x:c r="E744" s="15" t="n">
        <x:v>742</x:v>
      </x:c>
      <x:c r="F744" s="8" t="str">
        <x:v>VDB 원인·위험요인 청크 재선정</x:v>
      </x:c>
      <x:c r="G744" s="8" t="str">
        <x:v>https://health.kdca.go.kr/healthinfo/biz/health/gnrlzHealthInfo/gnrlzHealthInfo/gnrlzHealthInfoMain.do</x:v>
      </x:c>
      <x:c r="H744" s="8" t="str">
        <x:v>{
  "disease": "연조직염과 종기(연조직염)",
  "section": "원인 / 증상",
  "category": "disease"
}</x:v>
      </x:c>
    </x:row>
    <x:row r="745" ht="54" customHeight="1">
      <x:c r="A745" s="8" t="str">
        <x:v>gold-disease-20c060c76e83b59a</x:v>
      </x:c>
      <x:c r="B745" s="8" t="str">
        <x:v>kdca-6304-15</x:v>
      </x:c>
      <x:c r="C745" s="8" t="str">
        <x:v>kdca-6304-15</x:v>
      </x:c>
      <x:c r="D745" s="8" t="str">
        <x:v>근거와 함께 답변</x:v>
      </x:c>
      <x:c r="E745" s="15" t="n">
        <x:v>743</x:v>
      </x:c>
      <x:c r="F745" s="8" t="str">
        <x:v>기존 검증 정답</x:v>
      </x:c>
      <x:c r="G745" s="8" t="str">
        <x:v>https://health.kdca.go.kr/healthinfo/biz/health/gnrlzHealthInfo/gnrlzHealthInfo/gnrlzHealthInfoMain.do</x:v>
      </x:c>
      <x:c r="H745" s="8" t="str">
        <x:v>{
  "disease": "미숙아",
  "section": "증상",
  "category": "disease"
}</x:v>
      </x:c>
    </x:row>
    <x:row r="746" ht="54" customHeight="1">
      <x:c r="A746" s="8" t="str">
        <x:v>gold-disease-na-0842ea0c33bf0cc9</x:v>
      </x:c>
      <x:c r="B746" s="8" t="str"/>
      <x:c r="C746" s="8" t="str"/>
      <x:c r="D746" s="8" t="str">
        <x:v>답변 거부 또는 추가 확인 요청</x:v>
      </x:c>
      <x:c r="E746" s="15" t="n">
        <x:v>744</x:v>
      </x:c>
      <x:c r="F746" s="8" t="str">
        <x:v>답변 거부 기준 문구</x:v>
      </x:c>
      <x:c r="G746" s="8" t="str">
        <x:v>https://health.kdca.go.kr/healthinfo/biz/health/gnrlzHealthInfo/gnrlzHealthInfo/gnrlzHealthInfoMain.do</x:v>
      </x:c>
      <x:c r="H746" s="8" t="str">
        <x:v>{
  "disease": "염좌",
  "section": "대상별 맞춤 정보",
  "category": "disease"
}</x:v>
      </x:c>
    </x:row>
    <x:row r="747" ht="54" customHeight="1">
      <x:c r="A747" s="8" t="str">
        <x:v>gold-disease-92a4622abd74e129</x:v>
      </x:c>
      <x:c r="B747" s="8" t="str">
        <x:v>kdca-6700-18</x:v>
      </x:c>
      <x:c r="C747" s="8" t="str">
        <x:v>kdca-6700-18</x:v>
      </x:c>
      <x:c r="D747" s="8" t="str">
        <x:v>근거와 함께 답변</x:v>
      </x:c>
      <x:c r="E747" s="15" t="n">
        <x:v>745</x:v>
      </x:c>
      <x:c r="F747" s="8" t="str">
        <x:v>기존 검증 정답</x:v>
      </x:c>
      <x:c r="G747" s="8" t="str">
        <x:v>https://health.kdca.go.kr/healthinfo/biz/health/gnrlzHealthInfo/gnrlzHealthInfo/gnrlzHealthInfoMain.do</x:v>
      </x:c>
      <x:c r="H747" s="8" t="str">
        <x:v>{
  "disease": "원형탈모",
  "section": "진단 및 검사",
  "category": "disease"
}</x:v>
      </x:c>
    </x:row>
    <x:row r="748" ht="54" customHeight="1">
      <x:c r="A748" s="8" t="str">
        <x:v>gold-disease-d14ae975b7e31c63</x:v>
      </x:c>
      <x:c r="B748" s="8" t="str">
        <x:v>kdca-5848-19</x:v>
      </x:c>
      <x:c r="C748" s="8" t="str">
        <x:v>kdca-5848-19</x:v>
      </x:c>
      <x:c r="D748" s="8" t="str">
        <x:v>근거와 함께 답변</x:v>
      </x:c>
      <x:c r="E748" s="15" t="n">
        <x:v>746</x:v>
      </x:c>
      <x:c r="F748" s="8" t="str">
        <x:v>기존 검증 정답</x:v>
      </x:c>
      <x:c r="G748" s="8" t="str">
        <x:v>https://health.kdca.go.kr/healthinfo/biz/health/gnrlzHealthInfo/gnrlzHealthInfo/gnrlzHealthInfoMain.do</x:v>
      </x:c>
      <x:c r="H748" s="8" t="str">
        <x:v>{
  "disease": "바렛 식도",
  "section": "자주하는 질문",
  "category": "disease"
}</x:v>
      </x:c>
    </x:row>
    <x:row r="749" ht="54" customHeight="1">
      <x:c r="A749" s="8" t="str">
        <x:v>gold-disease-e47a18cf96e319ca</x:v>
      </x:c>
      <x:c r="B749" s="8" t="str">
        <x:v>kdca-6677-28</x:v>
      </x:c>
      <x:c r="C749" s="8" t="str">
        <x:v>kdca-6677-28</x:v>
      </x:c>
      <x:c r="D749" s="8" t="str">
        <x:v>근거와 함께 답변</x:v>
      </x:c>
      <x:c r="E749" s="15" t="n">
        <x:v>747</x:v>
      </x:c>
      <x:c r="F749" s="8" t="str">
        <x:v>기존 검증 정답</x:v>
      </x:c>
      <x:c r="G749" s="8" t="str">
        <x:v>https://health.kdca.go.kr/healthinfo/biz/health/gnrlzHealthInfo/gnrlzHealthInfo/gnrlzHealthInfoMain.do</x:v>
      </x:c>
      <x:c r="H749" s="8" t="str">
        <x:v>{
  "disease": "코로나바이러스감염증-19",
  "section": "진단 및 검사 / 예방 및 예방접종",
  "category": "disease"
}</x:v>
      </x:c>
    </x:row>
    <x:row r="750" ht="54" customHeight="1">
      <x:c r="A750" s="8" t="str">
        <x:v>gold-disease-5a243f3d17db79ce</x:v>
      </x:c>
      <x:c r="B750" s="8" t="str">
        <x:v>kdca-5681-47</x:v>
      </x:c>
      <x:c r="C750" s="8" t="str">
        <x:v>kdca-5681-47</x:v>
      </x:c>
      <x:c r="D750" s="8" t="str">
        <x:v>근거와 함께 답변</x:v>
      </x:c>
      <x:c r="E750" s="15" t="n">
        <x:v>748</x:v>
      </x:c>
      <x:c r="F750" s="8" t="str">
        <x:v>VDB 후속 설명 보강</x:v>
      </x:c>
      <x:c r="G750" s="8" t="str">
        <x:v>https://health.kdca.go.kr/healthinfo/biz/health/gnrlzHealthInfo/gnrlzHealthInfo/gnrlzHealthInfoMain.do</x:v>
      </x:c>
      <x:c r="H750" s="8" t="str">
        <x:v>{
  "disease": "경부 종괴",
  "section": "치료 / 자주하는 질문",
  "category": "disease"
}</x:v>
      </x:c>
    </x:row>
    <x:row r="751" ht="54" customHeight="1">
      <x:c r="A751" s="8" t="str">
        <x:v>gold-disease-163469ba83a81bab</x:v>
      </x:c>
      <x:c r="B751" s="8" t="str">
        <x:v>kdca-5680-0</x:v>
      </x:c>
      <x:c r="C751" s="8" t="str">
        <x:v>kdca-5680-0</x:v>
      </x:c>
      <x:c r="D751" s="8" t="str">
        <x:v>근거와 함께 답변</x:v>
      </x:c>
      <x:c r="E751" s="15" t="n">
        <x:v>749</x:v>
      </x:c>
      <x:c r="F751" s="8" t="str">
        <x:v>VDB 정의 문장 재선정</x:v>
      </x:c>
      <x:c r="G751" s="8" t="str">
        <x:v>https://health.kdca.go.kr/healthinfo/biz/health/gnrlzHealthInfo/gnrlzHealthInfo/gnrlzHealthInfoMain.do</x:v>
      </x:c>
      <x:c r="H751" s="8" t="str">
        <x:v>{
  "disease": "유선염",
  "section": "요약문",
  "category": "disease"
}</x:v>
      </x:c>
    </x:row>
    <x:row r="752" ht="54" customHeight="1">
      <x:c r="A752" s="8" t="str">
        <x:v>gold-disease-15a73c67a508b1cc</x:v>
      </x:c>
      <x:c r="B752" s="8" t="str">
        <x:v>kdca-6735-34</x:v>
      </x:c>
      <x:c r="C752" s="8" t="str">
        <x:v>kdca-6735-34</x:v>
      </x:c>
      <x:c r="D752" s="8" t="str">
        <x:v>근거와 함께 답변</x:v>
      </x:c>
      <x:c r="E752" s="15" t="n">
        <x:v>750</x:v>
      </x:c>
      <x:c r="F752" s="8" t="str">
        <x:v>기존 검증 정답</x:v>
      </x:c>
      <x:c r="G752" s="8" t="str">
        <x:v>https://health.kdca.go.kr/healthinfo/biz/health/gnrlzHealthInfo/gnrlzHealthInfo/gnrlzHealthInfoMain.do</x:v>
      </x:c>
      <x:c r="H752" s="8" t="str">
        <x:v>{
  "disease": "담석증",
  "section": "대상별 맞춤 정보",
  "category": "disease"
}</x:v>
      </x:c>
    </x:row>
    <x:row r="753" ht="54" customHeight="1">
      <x:c r="A753" s="8" t="str">
        <x:v>gold-disease-8a2b0d0a0ac1e1f8</x:v>
      </x:c>
      <x:c r="B753" s="8" t="str">
        <x:v>kdca-5853-30</x:v>
      </x:c>
      <x:c r="C753" s="8" t="str">
        <x:v>kdca-5853-30</x:v>
      </x:c>
      <x:c r="D753" s="8" t="str">
        <x:v>근거와 함께 답변</x:v>
      </x:c>
      <x:c r="E753" s="15" t="n">
        <x:v>751</x:v>
      </x:c>
      <x:c r="F753" s="8" t="str">
        <x:v>VDB 후속 설명 보강</x:v>
      </x:c>
      <x:c r="G753" s="8" t="str">
        <x:v>https://health.kdca.go.kr/healthinfo/biz/health/gnrlzHealthInfo/gnrlzHealthInfo/gnrlzHealthInfoMain.do</x:v>
      </x:c>
      <x:c r="H753" s="8" t="str">
        <x:v>{
  "disease": "실신",
  "section": "치료",
  "category": "symptom"
}</x:v>
      </x:c>
    </x:row>
    <x:row r="754" ht="54" customHeight="1">
      <x:c r="A754" s="8" t="str">
        <x:v>gold-disease-113b9101642eb296</x:v>
      </x:c>
      <x:c r="B754" s="8" t="str">
        <x:v>kdca-5232-36</x:v>
      </x:c>
      <x:c r="C754" s="8" t="str">
        <x:v>kdca-5232-36</x:v>
      </x:c>
      <x:c r="D754" s="8" t="str">
        <x:v>근거와 함께 답변</x:v>
      </x:c>
      <x:c r="E754" s="15" t="n">
        <x:v>752</x:v>
      </x:c>
      <x:c r="F754" s="8" t="str">
        <x:v>기존 검증 정답</x:v>
      </x:c>
      <x:c r="G754" s="8" t="str">
        <x:v>https://health.kdca.go.kr/healthinfo/biz/health/gnrlzHealthInfo/gnrlzHealthInfo/gnrlzHealthInfoMain.do</x:v>
      </x:c>
      <x:c r="H754" s="8" t="str">
        <x:v>{
  "disease": "인플루엔자",
  "section": "약물 치료",
  "category": "disease"
}</x:v>
      </x:c>
    </x:row>
    <x:row r="755" ht="54" customHeight="1">
      <x:c r="A755" s="8" t="str">
        <x:v>gold-disease-72bf08be8ec54067</x:v>
      </x:c>
      <x:c r="B755" s="8" t="str">
        <x:v>kdca-5845-9</x:v>
      </x:c>
      <x:c r="C755" s="8" t="str">
        <x:v>kdca-5845-9</x:v>
      </x:c>
      <x:c r="D755" s="8" t="str">
        <x:v>근거와 함께 답변</x:v>
      </x:c>
      <x:c r="E755" s="15" t="n">
        <x:v>753</x:v>
      </x:c>
      <x:c r="F755" s="8" t="str">
        <x:v>VDB 후속 설명 보강</x:v>
      </x:c>
      <x:c r="G755" s="8" t="str">
        <x:v>https://health.kdca.go.kr/healthinfo/biz/health/gnrlzHealthInfo/gnrlzHealthInfo/gnrlzHealthInfoMain.do</x:v>
      </x:c>
      <x:c r="H755" s="8" t="str">
        <x:v>{
  "disease": "눈꺼풀처짐(안검하수)",
  "section": "증상",
  "category": "disease"
}</x:v>
      </x:c>
    </x:row>
    <x:row r="756" ht="54" customHeight="1">
      <x:c r="A756" s="8" t="str">
        <x:v>gold-disease-e64db5544712ac3e</x:v>
      </x:c>
      <x:c r="B756" s="8" t="str">
        <x:v>kdca-6486-7</x:v>
      </x:c>
      <x:c r="C756" s="8" t="str">
        <x:v>kdca-6486-7</x:v>
      </x:c>
      <x:c r="D756" s="8" t="str">
        <x:v>근거와 함께 답변</x:v>
      </x:c>
      <x:c r="E756" s="15" t="n">
        <x:v>754</x:v>
      </x:c>
      <x:c r="F756" s="8" t="str">
        <x:v>VDB 후속 설명 보강</x:v>
      </x:c>
      <x:c r="G756" s="8" t="str">
        <x:v>https://health.kdca.go.kr/healthinfo/biz/health/gnrlzHealthInfo/gnrlzHealthInfo/gnrlzHealthInfoMain.do</x:v>
      </x:c>
      <x:c r="H756" s="8" t="str">
        <x:v>{
  "disease": "소아청소년기고혈압",
  "section": "증상",
  "category": "disease"
}</x:v>
      </x:c>
    </x:row>
    <x:row r="757" ht="54" customHeight="1">
      <x:c r="A757" s="8" t="str">
        <x:v>gold-disease-8d122cc177d3ac9e</x:v>
      </x:c>
      <x:c r="B757" s="8" t="str">
        <x:v>kdca-6311-19</x:v>
      </x:c>
      <x:c r="C757" s="8" t="str">
        <x:v>kdca-6311-19</x:v>
      </x:c>
      <x:c r="D757" s="8" t="str">
        <x:v>근거와 함께 답변</x:v>
      </x:c>
      <x:c r="E757" s="15" t="n">
        <x:v>755</x:v>
      </x:c>
      <x:c r="F757" s="8" t="str">
        <x:v>기존 검증 정답</x:v>
      </x:c>
      <x:c r="G757" s="8" t="str">
        <x:v>https://health.kdca.go.kr/healthinfo/biz/health/gnrlzHealthInfo/gnrlzHealthInfo/gnrlzHealthInfoMain.do</x:v>
      </x:c>
      <x:c r="H757" s="8" t="str">
        <x:v>{
  "disease": "스포츠 손상과 안전(견관절(어깨 관절) 손상)",
  "section": "평가 및 검사",
  "category": "disease"
}</x:v>
      </x:c>
    </x:row>
    <x:row r="758" ht="54" customHeight="1">
      <x:c r="A758" s="8" t="str">
        <x:v>gold-disease-na-11d64a37d4f06923</x:v>
      </x:c>
      <x:c r="B758" s="8" t="str"/>
      <x:c r="C758" s="8" t="str"/>
      <x:c r="D758" s="8" t="str">
        <x:v>답변 거부 또는 추가 확인 요청</x:v>
      </x:c>
      <x:c r="E758" s="15" t="n">
        <x:v>756</x:v>
      </x:c>
      <x:c r="F758" s="8" t="str">
        <x:v>답변 거부 기준 문구</x:v>
      </x:c>
      <x:c r="G758" s="8" t="str">
        <x:v>https://health.kdca.go.kr/healthinfo/biz/health/gnrlzHealthInfo/gnrlzHealthInfo/gnrlzHealthInfoMain.do</x:v>
      </x:c>
      <x:c r="H758" s="8" t="str">
        <x:v>{
  "disease": "외상성 척수손상",
  "section": "발생원/원인",
  "category": "disease"
}</x:v>
      </x:c>
    </x:row>
    <x:row r="759" ht="54" customHeight="1">
      <x:c r="A759" s="8" t="str">
        <x:v>gold-disease-d1770c84e2f9181f</x:v>
      </x:c>
      <x:c r="B759" s="8" t="str">
        <x:v>kdca-5264-6</x:v>
      </x:c>
      <x:c r="C759" s="8" t="str">
        <x:v>kdca-5264-6</x:v>
      </x:c>
      <x:c r="D759" s="8" t="str">
        <x:v>근거와 함께 답변</x:v>
      </x:c>
      <x:c r="E759" s="15" t="n">
        <x:v>757</x:v>
      </x:c>
      <x:c r="F759" s="8" t="str">
        <x:v>기존 검증 정답</x:v>
      </x:c>
      <x:c r="G759" s="8" t="str">
        <x:v>https://health.kdca.go.kr/healthinfo/biz/health/gnrlzHealthInfo/gnrlzHealthInfo/gnrlzHealthInfoMain.do</x:v>
      </x:c>
      <x:c r="H759" s="8" t="str">
        <x:v>{
  "disease": "눈꺼풀속말림과 겉말림",
  "section": "종류 / 증상",
  "category": "disease"
}</x:v>
      </x:c>
    </x:row>
    <x:row r="760" ht="54" customHeight="1">
      <x:c r="A760" s="8" t="str">
        <x:v>gold-disease-52c00b3b5cd71031</x:v>
      </x:c>
      <x:c r="B760" s="8" t="str">
        <x:v>kdca-6578-7</x:v>
      </x:c>
      <x:c r="C760" s="8" t="str">
        <x:v>kdca-6578-7</x:v>
      </x:c>
      <x:c r="D760" s="8" t="str">
        <x:v>근거와 함께 답변</x:v>
      </x:c>
      <x:c r="E760" s="15" t="n">
        <x:v>758</x:v>
      </x:c>
      <x:c r="F760" s="8" t="str">
        <x:v>VDB 후속 설명 보강</x:v>
      </x:c>
      <x:c r="G760" s="8" t="str">
        <x:v>https://health.kdca.go.kr/healthinfo/biz/health/gnrlzHealthInfo/gnrlzHealthInfo/gnrlzHealthInfoMain.do</x:v>
      </x:c>
      <x:c r="H760" s="8" t="str">
        <x:v>{
  "disease": "늘어지는 영아증후군",
  "section": "증상",
  "category": "disease"
}</x:v>
      </x:c>
    </x:row>
    <x:row r="761" ht="54" customHeight="1">
      <x:c r="A761" s="8" t="str">
        <x:v>gold-disease-f882315509c811ea</x:v>
      </x:c>
      <x:c r="B761" s="8" t="str">
        <x:v>kdca-5960-12</x:v>
      </x:c>
      <x:c r="C761" s="8" t="str">
        <x:v>kdca-5960-12</x:v>
      </x:c>
      <x:c r="D761" s="8" t="str">
        <x:v>근거와 함께 답변</x:v>
      </x:c>
      <x:c r="E761" s="15" t="n">
        <x:v>759</x:v>
      </x:c>
      <x:c r="F761" s="8" t="str">
        <x:v>VDB 후속 설명 보강</x:v>
      </x:c>
      <x:c r="G761" s="8" t="str">
        <x:v>https://health.kdca.go.kr/healthinfo/biz/health/gnrlzHealthInfo/gnrlzHealthInfo/gnrlzHealthInfoMain.do</x:v>
      </x:c>
      <x:c r="H761" s="8" t="str">
        <x:v>{
  "disease": "질염",
  "section": "증상",
  "category": "disease"
}</x:v>
      </x:c>
    </x:row>
    <x:row r="762" ht="54" customHeight="1">
      <x:c r="A762" s="8" t="str">
        <x:v>gold-disease-be0d9a66793ce001</x:v>
      </x:c>
      <x:c r="B762" s="8" t="str">
        <x:v>kdca-6552-48</x:v>
      </x:c>
      <x:c r="C762" s="8" t="str">
        <x:v>kdca-6552-48</x:v>
      </x:c>
      <x:c r="D762" s="8" t="str">
        <x:v>근거와 함께 답변</x:v>
      </x:c>
      <x:c r="E762" s="15" t="n">
        <x:v>760</x:v>
      </x:c>
      <x:c r="F762" s="8" t="str">
        <x:v>VDB 후속 설명 보강</x:v>
      </x:c>
      <x:c r="G762" s="8" t="str">
        <x:v>https://health.kdca.go.kr/healthinfo/biz/health/gnrlzHealthInfo/gnrlzHealthInfo/gnrlzHealthInfoMain.do</x:v>
      </x:c>
      <x:c r="H762" s="8" t="str">
        <x:v>{
  "disease": "항문 가려움증",
  "section": "자가 관리",
  "category": "disease"
}</x:v>
      </x:c>
    </x:row>
    <x:row r="763" ht="54" customHeight="1">
      <x:c r="A763" s="8" t="str">
        <x:v>gold-disease-0dfe6ae788b2a70c</x:v>
      </x:c>
      <x:c r="B763" s="8" t="str">
        <x:v>kdca-5809-77</x:v>
      </x:c>
      <x:c r="C763" s="8" t="str">
        <x:v>kdca-5809-77</x:v>
      </x:c>
      <x:c r="D763" s="8" t="str">
        <x:v>근거와 함께 답변</x:v>
      </x:c>
      <x:c r="E763" s="15" t="n">
        <x:v>761</x:v>
      </x:c>
      <x:c r="F763" s="8" t="str">
        <x:v>VDB 후속 설명 보강</x:v>
      </x:c>
      <x:c r="G763" s="8" t="str">
        <x:v>https://health.kdca.go.kr/healthinfo/biz/health/gnrlzHealthInfo/gnrlzHealthInfo/gnrlzHealthInfoMain.do</x:v>
      </x:c>
      <x:c r="H763" s="8" t="str">
        <x:v>{
  "disease": "파킨슨병",
  "section": "생활습관 관리",
  "category": "disease"
}</x:v>
      </x:c>
    </x:row>
    <x:row r="764" ht="54" customHeight="1">
      <x:c r="A764" s="8" t="str">
        <x:v>gold-disease-f6bbdcd9fe1eea8f</x:v>
      </x:c>
      <x:c r="B764" s="8" t="str">
        <x:v>kdca-3338-31</x:v>
      </x:c>
      <x:c r="C764" s="8" t="str">
        <x:v>kdca-3338-31</x:v>
      </x:c>
      <x:c r="D764" s="8" t="str">
        <x:v>근거와 함께 답변</x:v>
      </x:c>
      <x:c r="E764" s="15" t="n">
        <x:v>762</x:v>
      </x:c>
      <x:c r="F764" s="8" t="str">
        <x:v>기존 검증 정답</x:v>
      </x:c>
      <x:c r="G764" s="8" t="str">
        <x:v>https://health.kdca.go.kr/healthinfo/biz/health/gnrlzHealthInfo/gnrlzHealthInfo/gnrlzHealthInfoMain.do</x:v>
      </x:c>
      <x:c r="H764" s="8" t="str">
        <x:v>{
  "disease": "턱관절 장애",
  "section": "진단 및 검사",
  "category": "disease"
}</x:v>
      </x:c>
    </x:row>
    <x:row r="765" ht="54" customHeight="1">
      <x:c r="A765" s="8" t="str">
        <x:v>gold-disease-0934821bf0d14eb0</x:v>
      </x:c>
      <x:c r="B765" s="8" t="str">
        <x:v>kdca-5806-3</x:v>
      </x:c>
      <x:c r="C765" s="8" t="str">
        <x:v>kdca-5806-3</x:v>
      </x:c>
      <x:c r="D765" s="8" t="str">
        <x:v>근거와 함께 답변</x:v>
      </x:c>
      <x:c r="E765" s="15" t="n">
        <x:v>763</x:v>
      </x:c>
      <x:c r="F765" s="8" t="str">
        <x:v>기존 검증 정답</x:v>
      </x:c>
      <x:c r="G765" s="8" t="str">
        <x:v>https://health.kdca.go.kr/healthinfo/biz/health/gnrlzHealthInfo/gnrlzHealthInfo/gnrlzHealthInfoMain.do</x:v>
      </x:c>
      <x:c r="H765" s="8" t="str">
        <x:v>{
  "disease": "알레르기",
  "section": "개요 / 정의",
  "category": "disease"
}</x:v>
      </x:c>
    </x:row>
    <x:row r="766" ht="54" customHeight="1">
      <x:c r="A766" s="8" t="str">
        <x:v>gold-disease-48022599a07d85d6</x:v>
      </x:c>
      <x:c r="B766" s="8" t="str">
        <x:v>kdca-6725-24</x:v>
      </x:c>
      <x:c r="C766" s="8" t="str">
        <x:v>kdca-6725-24</x:v>
      </x:c>
      <x:c r="D766" s="8" t="str">
        <x:v>근거와 함께 답변</x:v>
      </x:c>
      <x:c r="E766" s="15" t="n">
        <x:v>764</x:v>
      </x:c>
      <x:c r="F766" s="8" t="str">
        <x:v>VDB 후속 설명 보강</x:v>
      </x:c>
      <x:c r="G766" s="8" t="str">
        <x:v>https://health.kdca.go.kr/healthinfo/biz/health/gnrlzHealthInfo/gnrlzHealthInfo/gnrlzHealthInfoMain.do</x:v>
      </x:c>
      <x:c r="H766" s="8" t="str">
        <x:v>{
  "disease": "정상노화의 이해",
  "section": "예방",
  "category": "disease"
}</x:v>
      </x:c>
    </x:row>
    <x:row r="767" ht="54" customHeight="1">
      <x:c r="A767" s="8" t="str">
        <x:v>gold-disease-d3dffc6c5ad83728</x:v>
      </x:c>
      <x:c r="B767" s="8" t="str">
        <x:v>kdca-5341-5</x:v>
      </x:c>
      <x:c r="C767" s="8" t="str">
        <x:v>kdca-5341-5</x:v>
      </x:c>
      <x:c r="D767" s="8" t="str">
        <x:v>근거와 함께 답변</x:v>
      </x:c>
      <x:c r="E767" s="15" t="n">
        <x:v>765</x:v>
      </x:c>
      <x:c r="F767" s="8" t="str">
        <x:v>VDB 후속 설명 보강</x:v>
      </x:c>
      <x:c r="G767" s="8" t="str">
        <x:v>https://health.kdca.go.kr/healthinfo/biz/health/gnrlzHealthInfo/gnrlzHealthInfo/gnrlzHealthInfoMain.do</x:v>
      </x:c>
      <x:c r="H767" s="8" t="str">
        <x:v>{
  "disease": "장결핵",
  "section": "증상",
  "category": "disease"
}</x:v>
      </x:c>
    </x:row>
    <x:row r="768" ht="54" customHeight="1">
      <x:c r="A768" s="8" t="str">
        <x:v>gold-disease-c911c6e715f22fd2</x:v>
      </x:c>
      <x:c r="B768" s="8" t="str">
        <x:v>kdca-5230-25</x:v>
      </x:c>
      <x:c r="C768" s="8" t="str">
        <x:v>kdca-5230-25</x:v>
      </x:c>
      <x:c r="D768" s="8" t="str">
        <x:v>근거와 함께 답변</x:v>
      </x:c>
      <x:c r="E768" s="15" t="n">
        <x:v>766</x:v>
      </x:c>
      <x:c r="F768" s="8" t="str">
        <x:v>기존 검증 정답</x:v>
      </x:c>
      <x:c r="G768" s="8" t="str">
        <x:v>https://health.kdca.go.kr/healthinfo/biz/health/gnrlzHealthInfo/gnrlzHealthInfo/gnrlzHealthInfoMain.do</x:v>
      </x:c>
      <x:c r="H768" s="8" t="str">
        <x:v>{
  "disease": "뎅기열, 치쿤구니야열",
  "section": "진단 및 검사",
  "category": "disease"
}</x:v>
      </x:c>
    </x:row>
    <x:row r="769" ht="54" customHeight="1">
      <x:c r="A769" s="8" t="str">
        <x:v>gold-disease-24c4104ff7471f96</x:v>
      </x:c>
      <x:c r="B769" s="8" t="str">
        <x:v>kdca-6701-40</x:v>
      </x:c>
      <x:c r="C769" s="8" t="str">
        <x:v>kdca-6701-40</x:v>
      </x:c>
      <x:c r="D769" s="8" t="str">
        <x:v>근거와 함께 답변</x:v>
      </x:c>
      <x:c r="E769" s="15" t="n">
        <x:v>767</x:v>
      </x:c>
      <x:c r="F769" s="8" t="str">
        <x:v>기존 검증 정답</x:v>
      </x:c>
      <x:c r="G769" s="8" t="str">
        <x:v>https://health.kdca.go.kr/healthinfo/biz/health/gnrlzHealthInfo/gnrlzHealthInfo/gnrlzHealthInfoMain.do</x:v>
      </x:c>
      <x:c r="H769" s="8" t="str">
        <x:v>{
  "disease": "선천갑상샘저하증",
  "section": "자주하는 질문 / 참고문헌",
  "category": "disease"
}</x:v>
      </x:c>
    </x:row>
    <x:row r="770" ht="54" customHeight="1">
      <x:c r="A770" s="8" t="str">
        <x:v>gold-disease-dfb6d6a68df94040</x:v>
      </x:c>
      <x:c r="B770" s="8" t="str">
        <x:v>kdca-5822-20</x:v>
      </x:c>
      <x:c r="C770" s="8" t="str">
        <x:v>kdca-5822-20</x:v>
      </x:c>
      <x:c r="D770" s="8" t="str">
        <x:v>근거와 함께 답변</x:v>
      </x:c>
      <x:c r="E770" s="15" t="n">
        <x:v>768</x:v>
      </x:c>
      <x:c r="F770" s="8" t="str">
        <x:v>VDB 후속 설명 보강</x:v>
      </x:c>
      <x:c r="G770" s="8" t="str">
        <x:v>https://health.kdca.go.kr/healthinfo/biz/health/gnrlzHealthInfo/gnrlzHealthInfo/gnrlzHealthInfoMain.do</x:v>
      </x:c>
      <x:c r="H770" s="8" t="str">
        <x:v>{
  "disease": "요실금",
  "section": "치료 / 약물 치료",
  "category": "disease"
}</x:v>
      </x:c>
    </x:row>
    <x:row r="771" ht="54" customHeight="1">
      <x:c r="A771" s="8" t="str">
        <x:v>gold-disease-998cf1cb9070dd8c</x:v>
      </x:c>
      <x:c r="B771" s="8" t="str">
        <x:v>kdca-5439-0</x:v>
      </x:c>
      <x:c r="C771" s="8" t="str">
        <x:v>kdca-5439-0</x:v>
      </x:c>
      <x:c r="D771" s="8" t="str">
        <x:v>근거와 함께 답변</x:v>
      </x:c>
      <x:c r="E771" s="15" t="n">
        <x:v>769</x:v>
      </x:c>
      <x:c r="F771" s="8" t="str">
        <x:v>기존 검증 정답</x:v>
      </x:c>
      <x:c r="G771" s="8" t="str">
        <x:v>https://health.kdca.go.kr/healthinfo/biz/health/gnrlzHealthInfo/gnrlzHealthInfo/gnrlzHealthInfoMain.do</x:v>
      </x:c>
      <x:c r="H771" s="8" t="str">
        <x:v>{
  "disease": "이 사면발이 감염증",
  "section": "요약문",
  "category": "disease"
}</x:v>
      </x:c>
    </x:row>
    <x:row r="772" ht="54" customHeight="1">
      <x:c r="A772" s="8" t="str">
        <x:v>gold-disease-6d2ea471145b2b1f</x:v>
      </x:c>
      <x:c r="B772" s="8" t="str">
        <x:v>kdca-2552-8</x:v>
      </x:c>
      <x:c r="C772" s="8" t="str">
        <x:v>kdca-2552-8</x:v>
      </x:c>
      <x:c r="D772" s="8" t="str">
        <x:v>근거와 함께 답변</x:v>
      </x:c>
      <x:c r="E772" s="15" t="n">
        <x:v>770</x:v>
      </x:c>
      <x:c r="F772" s="8" t="str">
        <x:v>VDB 후속 설명 보강</x:v>
      </x:c>
      <x:c r="G772" s="8" t="str">
        <x:v>https://health.kdca.go.kr/healthinfo/biz/health/gnrlzHealthInfo/gnrlzHealthInfo/gnrlzHealthInfoMain.do</x:v>
      </x:c>
      <x:c r="H772" s="8" t="str">
        <x:v>{
  "disease": "식도정맥류",
  "section": "증상 / 진단 및 검사",
  "category": "disease"
}</x:v>
      </x:c>
    </x:row>
    <x:row r="773" ht="54" customHeight="1">
      <x:c r="A773" s="8" t="str">
        <x:v>gold-disease-839e86d3ee36aaab</x:v>
      </x:c>
      <x:c r="B773" s="8" t="str">
        <x:v>kdca-1361-2</x:v>
      </x:c>
      <x:c r="C773" s="8" t="str">
        <x:v>kdca-1361-2</x:v>
      </x:c>
      <x:c r="D773" s="8" t="str">
        <x:v>근거와 함께 답변</x:v>
      </x:c>
      <x:c r="E773" s="15" t="n">
        <x:v>771</x:v>
      </x:c>
      <x:c r="F773" s="8" t="str">
        <x:v>VDB 후속 설명 보강</x:v>
      </x:c>
      <x:c r="G773" s="8" t="str">
        <x:v>https://health.kdca.go.kr/healthinfo/biz/health/gnrlzHealthInfo/gnrlzHealthInfo/gnrlzHealthInfoMain.do</x:v>
      </x:c>
      <x:c r="H773" s="8" t="str">
        <x:v>{
  "disease": "안외상(전방출혈)",
  "section": "증상 / 진단 및 검사",
  "category": "disease"
}</x:v>
      </x:c>
    </x:row>
    <x:row r="774" ht="54" customHeight="1">
      <x:c r="A774" s="8" t="str">
        <x:v>gold-disease-bfd5f9bc94420857</x:v>
      </x:c>
      <x:c r="B774" s="8" t="str">
        <x:v>kdca-6732-61</x:v>
      </x:c>
      <x:c r="C774" s="8" t="str">
        <x:v>kdca-6732-61</x:v>
      </x:c>
      <x:c r="D774" s="8" t="str">
        <x:v>근거와 함께 답변</x:v>
      </x:c>
      <x:c r="E774" s="15" t="n">
        <x:v>772</x:v>
      </x:c>
      <x:c r="F774" s="8" t="str">
        <x:v>VDB 후속 설명 보강</x:v>
      </x:c>
      <x:c r="G774" s="8" t="str">
        <x:v>https://health.kdca.go.kr/healthinfo/biz/health/gnrlzHealthInfo/gnrlzHealthInfo/gnrlzHealthInfoMain.do</x:v>
      </x:c>
      <x:c r="H774" s="8" t="str">
        <x:v>{
  "disease": "통풍",
  "section": "위험요인 및 예방",
  "category": "disease"
}</x:v>
      </x:c>
    </x:row>
    <x:row r="775" ht="54" customHeight="1">
      <x:c r="A775" s="8" t="str">
        <x:v>gold-disease-8f5461975bec6916</x:v>
      </x:c>
      <x:c r="B775" s="8" t="str">
        <x:v>kdca-5337-6</x:v>
      </x:c>
      <x:c r="C775" s="8" t="str">
        <x:v>kdca-5337-6</x:v>
      </x:c>
      <x:c r="D775" s="8" t="str">
        <x:v>근거와 함께 답변</x:v>
      </x:c>
      <x:c r="E775" s="15" t="n">
        <x:v>773</x:v>
      </x:c>
      <x:c r="F775" s="8" t="str">
        <x:v>기존 검증 정답</x:v>
      </x:c>
      <x:c r="G775" s="8" t="str">
        <x:v>https://health.kdca.go.kr/healthinfo/biz/health/gnrlzHealthInfo/gnrlzHealthInfo/gnrlzHealthInfoMain.do</x:v>
      </x:c>
      <x:c r="H775" s="8" t="str">
        <x:v>{
  "disease": "흉통",
  "section": "원인",
  "category": "disease"
}</x:v>
      </x:c>
    </x:row>
    <x:row r="776" ht="54" customHeight="1">
      <x:c r="A776" s="8" t="str">
        <x:v>gold-disease-646f46de12d88864</x:v>
      </x:c>
      <x:c r="B776" s="8" t="str">
        <x:v>kdca-5310-33</x:v>
      </x:c>
      <x:c r="C776" s="8" t="str">
        <x:v>kdca-5310-33</x:v>
      </x:c>
      <x:c r="D776" s="8" t="str">
        <x:v>근거와 함께 답변</x:v>
      </x:c>
      <x:c r="E776" s="15" t="n">
        <x:v>774</x:v>
      </x:c>
      <x:c r="F776" s="8" t="str">
        <x:v>VDB 후속 설명 보강</x:v>
      </x:c>
      <x:c r="G776" s="8" t="str">
        <x:v>https://health.kdca.go.kr/healthinfo/biz/health/gnrlzHealthInfo/gnrlzHealthInfo/gnrlzHealthInfoMain.do</x:v>
      </x:c>
      <x:c r="H776" s="8" t="str">
        <x:v>{
  "disease": "알코올 간질환",
  "section": "증상",
  "category": "disease"
}</x:v>
      </x:c>
    </x:row>
    <x:row r="777" ht="54" customHeight="1">
      <x:c r="A777" s="8" t="str">
        <x:v>gold-disease-b9e2a76d090bb152</x:v>
      </x:c>
      <x:c r="B777" s="8" t="str">
        <x:v>kdca-1750-5</x:v>
      </x:c>
      <x:c r="C777" s="8" t="str">
        <x:v>kdca-1750-5</x:v>
      </x:c>
      <x:c r="D777" s="8" t="str">
        <x:v>근거와 함께 답변</x:v>
      </x:c>
      <x:c r="E777" s="15" t="n">
        <x:v>775</x:v>
      </x:c>
      <x:c r="F777" s="8" t="str">
        <x:v>기존 검증 정답</x:v>
      </x:c>
      <x:c r="G777" s="8" t="str">
        <x:v>https://health.kdca.go.kr/healthinfo/biz/health/gnrlzHealthInfo/gnrlzHealthInfo/gnrlzHealthInfoMain.do</x:v>
      </x:c>
      <x:c r="H777" s="8" t="str">
        <x:v>{
  "disease": "발진티푸스",
  "section": "진단 및 검사 / 예방 및 예방접종",
  "category": "disease"
}</x:v>
      </x:c>
    </x:row>
    <x:row r="778" ht="54" customHeight="1">
      <x:c r="A778" s="8" t="str">
        <x:v>gold-disease-na-9d98da12578ac173</x:v>
      </x:c>
      <x:c r="B778" s="8" t="str"/>
      <x:c r="C778" s="8" t="str"/>
      <x:c r="D778" s="8" t="str">
        <x:v>답변 거부 또는 추가 확인 요청</x:v>
      </x:c>
      <x:c r="E778" s="15" t="n">
        <x:v>776</x:v>
      </x:c>
      <x:c r="F778" s="8" t="str">
        <x:v>답변 거부 기준 문구</x:v>
      </x:c>
      <x:c r="G778" s="8" t="str">
        <x:v>https://health.kdca.go.kr/healthinfo/biz/health/gnrlzHealthInfo/gnrlzHealthInfo/gnrlzHealthInfoMain.do</x:v>
      </x:c>
      <x:c r="H778" s="8" t="str">
        <x:v>{
  "disease": "다래끼와 콩다래끼",
  "section": "치료",
  "category": "disease"
}</x:v>
      </x:c>
    </x:row>
    <x:row r="779" ht="54" customHeight="1">
      <x:c r="A779" s="8" t="str">
        <x:v>gold-disease-e0ea0e24f2c4df9e</x:v>
      </x:c>
      <x:c r="B779" s="8" t="str">
        <x:v>kdca-3628-4</x:v>
      </x:c>
      <x:c r="C779" s="8" t="str">
        <x:v>kdca-3628-4</x:v>
      </x:c>
      <x:c r="D779" s="8" t="str">
        <x:v>근거와 함께 답변</x:v>
      </x:c>
      <x:c r="E779" s="15" t="n">
        <x:v>777</x:v>
      </x:c>
      <x:c r="F779" s="8" t="str">
        <x:v>VDB 원인·위험요인 청크 재선정</x:v>
      </x:c>
      <x:c r="G779" s="8" t="str">
        <x:v>https://health.kdca.go.kr/healthinfo/biz/health/gnrlzHealthInfo/gnrlzHealthInfo/gnrlzHealthInfoMain.do</x:v>
      </x:c>
      <x:c r="H779" s="8" t="str">
        <x:v>{
  "disease": "척추의 형태 이상(척추측만증)",
  "section": "원인",
  "category": "disease"
}</x:v>
      </x:c>
    </x:row>
    <x:row r="780" ht="54" customHeight="1">
      <x:c r="A780" s="8" t="str">
        <x:v>gold-disease-bed51374cec9e268</x:v>
      </x:c>
      <x:c r="B780" s="8" t="str">
        <x:v>kdca-5280-2</x:v>
      </x:c>
      <x:c r="C780" s="8" t="str">
        <x:v>kdca-5280-2</x:v>
      </x:c>
      <x:c r="D780" s="8" t="str">
        <x:v>근거와 함께 답변</x:v>
      </x:c>
      <x:c r="E780" s="15" t="n">
        <x:v>778</x:v>
      </x:c>
      <x:c r="F780" s="8" t="str">
        <x:v>기존 검증 정답</x:v>
      </x:c>
      <x:c r="G780" s="8" t="str">
        <x:v>https://health.kdca.go.kr/healthinfo/biz/health/gnrlzHealthInfo/gnrlzHealthInfo/gnrlzHealthInfoMain.do</x:v>
      </x:c>
      <x:c r="H780" s="8" t="str">
        <x:v>{
  "disease": "급성 세균성 장염",
  "section": "개요",
  "category": "disease"
}</x:v>
      </x:c>
    </x:row>
    <x:row r="781" ht="54" customHeight="1">
      <x:c r="A781" s="8" t="str">
        <x:v>gold-disease-f22b865d91a9f2b6</x:v>
      </x:c>
      <x:c r="B781" s="8" t="str">
        <x:v>kdca-5848-9</x:v>
      </x:c>
      <x:c r="C781" s="8" t="str">
        <x:v>kdca-5848-9</x:v>
      </x:c>
      <x:c r="D781" s="8" t="str">
        <x:v>근거와 함께 답변</x:v>
      </x:c>
      <x:c r="E781" s="15" t="n">
        <x:v>779</x:v>
      </x:c>
      <x:c r="F781" s="8" t="str">
        <x:v>VDB 후속 설명 보강</x:v>
      </x:c>
      <x:c r="G781" s="8" t="str">
        <x:v>https://health.kdca.go.kr/healthinfo/biz/health/gnrlzHealthInfo/gnrlzHealthInfo/gnrlzHealthInfoMain.do</x:v>
      </x:c>
      <x:c r="H781" s="8" t="str">
        <x:v>{
  "disease": "바렛 식도",
  "section": "역학 및 통계 / 증상",
  "category": "disease"
}</x:v>
      </x:c>
    </x:row>
    <x:row r="782" ht="54" customHeight="1">
      <x:c r="A782" s="8" t="str">
        <x:v>gold-disease-e5d8804e34bb0005</x:v>
      </x:c>
      <x:c r="B782" s="8" t="str">
        <x:v>kdca-5525-5</x:v>
      </x:c>
      <x:c r="C782" s="8" t="str">
        <x:v>kdca-5525-5</x:v>
      </x:c>
      <x:c r="D782" s="8" t="str">
        <x:v>근거와 함께 답변</x:v>
      </x:c>
      <x:c r="E782" s="15" t="n">
        <x:v>780</x:v>
      </x:c>
      <x:c r="F782" s="8" t="str">
        <x:v>VDB 후속 설명 보강</x:v>
      </x:c>
      <x:c r="G782" s="8" t="str">
        <x:v>https://health.kdca.go.kr/healthinfo/biz/health/gnrlzHealthInfo/gnrlzHealthInfo/gnrlzHealthInfoMain.do</x:v>
      </x:c>
      <x:c r="H782" s="8" t="str">
        <x:v>{
  "disease": "샤가스병",
  "section": "증상",
  "category": "disease"
}</x:v>
      </x:c>
    </x:row>
    <x:row r="783" ht="54" customHeight="1">
      <x:c r="A783" s="8" t="str">
        <x:v>gold-disease-c86ab27744bbca2e</x:v>
      </x:c>
      <x:c r="B783" s="8" t="str">
        <x:v>kdca-6676-3</x:v>
      </x:c>
      <x:c r="C783" s="8" t="str">
        <x:v>kdca-6676-3</x:v>
      </x:c>
      <x:c r="D783" s="8" t="str">
        <x:v>근거와 함께 답변</x:v>
      </x:c>
      <x:c r="E783" s="15" t="n">
        <x:v>781</x:v>
      </x:c>
      <x:c r="F783" s="8" t="str">
        <x:v>VDB 정의 문장 재선정</x:v>
      </x:c>
      <x:c r="G783" s="8" t="str">
        <x:v>https://health.kdca.go.kr/healthinfo/biz/health/gnrlzHealthInfo/gnrlzHealthInfo/gnrlzHealthInfoMain.do</x:v>
      </x:c>
      <x:c r="H783" s="8" t="str">
        <x:v>{
  "disease": "백일해",
  "section": "신고 대상 및 방법 / 원인 및 감염경로 / 역학 및 통계",
  "category": "disease"
}</x:v>
      </x:c>
    </x:row>
    <x:row r="784" ht="54" customHeight="1">
      <x:c r="A784" s="8" t="str">
        <x:v>gold-disease-fce862c5e0a71394</x:v>
      </x:c>
      <x:c r="B784" s="8" t="str">
        <x:v>kdca-5306-5</x:v>
      </x:c>
      <x:c r="C784" s="8" t="str">
        <x:v>kdca-5306-5</x:v>
      </x:c>
      <x:c r="D784" s="8" t="str">
        <x:v>근거와 함께 답변</x:v>
      </x:c>
      <x:c r="E784" s="15" t="n">
        <x:v>782</x:v>
      </x:c>
      <x:c r="F784" s="8" t="str">
        <x:v>VDB 후속 설명 보강</x:v>
      </x:c>
      <x:c r="G784" s="8" t="str">
        <x:v>https://health.kdca.go.kr/healthinfo/biz/health/gnrlzHealthInfo/gnrlzHealthInfo/gnrlzHealthInfoMain.do</x:v>
      </x:c>
      <x:c r="H784" s="8" t="str">
        <x:v>{
  "disease": "노인 당뇨병",
  "section": "치료",
  "category": "disease"
}</x:v>
      </x:c>
    </x:row>
    <x:row r="785" ht="54" customHeight="1">
      <x:c r="A785" s="8" t="str">
        <x:v>gold-disease-06cdbb51a53b25e5</x:v>
      </x:c>
      <x:c r="B785" s="8" t="str">
        <x:v>kdca-5844-12</x:v>
      </x:c>
      <x:c r="C785" s="8" t="str">
        <x:v>kdca-5844-12</x:v>
      </x:c>
      <x:c r="D785" s="8" t="str">
        <x:v>근거와 함께 답변</x:v>
      </x:c>
      <x:c r="E785" s="15" t="n">
        <x:v>783</x:v>
      </x:c>
      <x:c r="F785" s="8" t="str">
        <x:v>기존 검증 정답</x:v>
      </x:c>
      <x:c r="G785" s="8" t="str">
        <x:v>https://health.kdca.go.kr/healthinfo/biz/health/gnrlzHealthInfo/gnrlzHealthInfo/gnrlzHealthInfoMain.do</x:v>
      </x:c>
      <x:c r="H785" s="8" t="str">
        <x:v>{
  "disease": "파라티푸스",
  "section": "진단 및 검사 / 예방 및 예방접종",
  "category": "disease"
}</x:v>
      </x:c>
    </x:row>
    <x:row r="786" ht="54" customHeight="1">
      <x:c r="A786" s="8" t="str">
        <x:v>gold-disease-9b5d09cbeecae4fd</x:v>
      </x:c>
      <x:c r="B786" s="8" t="str">
        <x:v>kdca-6536-8</x:v>
      </x:c>
      <x:c r="C786" s="8" t="str">
        <x:v>kdca-6536-8</x:v>
      </x:c>
      <x:c r="D786" s="8" t="str">
        <x:v>근거와 함께 답변</x:v>
      </x:c>
      <x:c r="E786" s="15" t="n">
        <x:v>784</x:v>
      </x:c>
      <x:c r="F786" s="8" t="str">
        <x:v>기존 검증 정답</x:v>
      </x:c>
      <x:c r="G786" s="8" t="str">
        <x:v>https://health.kdca.go.kr/healthinfo/biz/health/gnrlzHealthInfo/gnrlzHealthInfo/gnrlzHealthInfoMain.do</x:v>
      </x:c>
      <x:c r="H786" s="8" t="str">
        <x:v>{
  "disease": "만성폐쇄성폐질환",
  "section": "역학 및 통계 / 증상",
  "category": "disease"
}</x:v>
      </x:c>
    </x:row>
    <x:row r="787" ht="54" customHeight="1">
      <x:c r="A787" s="8" t="str">
        <x:v>gold-disease-249f2c62727eaeb9</x:v>
      </x:c>
      <x:c r="B787" s="8" t="str">
        <x:v>kdca-6674-26</x:v>
      </x:c>
      <x:c r="C787" s="8" t="str">
        <x:v>kdca-6674-26</x:v>
      </x:c>
      <x:c r="D787" s="8" t="str">
        <x:v>근거와 함께 답변</x:v>
      </x:c>
      <x:c r="E787" s="15" t="n">
        <x:v>785</x:v>
      </x:c>
      <x:c r="F787" s="8" t="str">
        <x:v>VDB 후속 설명 보강</x:v>
      </x:c>
      <x:c r="G787" s="8" t="str">
        <x:v>https://health.kdca.go.kr/healthinfo/biz/health/gnrlzHealthInfo/gnrlzHealthInfo/gnrlzHealthInfoMain.do</x:v>
      </x:c>
      <x:c r="H787" s="8" t="str">
        <x:v>{
  "disease": "요로감염",
  "section": "위험요인 및 예방 / 자주하는 질문",
  "category": "disease"
}</x:v>
      </x:c>
    </x:row>
    <x:row r="788" ht="54" customHeight="1">
      <x:c r="A788" s="8" t="str">
        <x:v>gold-disease-6aba0cc84154b2c0</x:v>
      </x:c>
      <x:c r="B788" s="8" t="str">
        <x:v>kdca-5486-2</x:v>
      </x:c>
      <x:c r="C788" s="8" t="str">
        <x:v>kdca-5486-2</x:v>
      </x:c>
      <x:c r="D788" s="8" t="str">
        <x:v>근거와 함께 답변</x:v>
      </x:c>
      <x:c r="E788" s="15" t="n">
        <x:v>786</x:v>
      </x:c>
      <x:c r="F788" s="8" t="str">
        <x:v>기존 검증 정답</x:v>
      </x:c>
      <x:c r="G788" s="8" t="str">
        <x:v>https://health.kdca.go.kr/healthinfo/biz/health/gnrlzHealthInfo/gnrlzHealthInfo/gnrlzHealthInfoMain.do</x:v>
      </x:c>
      <x:c r="H788" s="8" t="str">
        <x:v>{
  "disease": "유소아 난청",
  "section": "요약문 / 개요",
  "category": "disease"
}</x:v>
      </x:c>
    </x:row>
    <x:row r="789" ht="54" customHeight="1">
      <x:c r="A789" s="8" t="str">
        <x:v>gold-disease-d46a5c37be27a49e</x:v>
      </x:c>
      <x:c r="B789" s="8" t="str">
        <x:v>kdca-5343-5</x:v>
      </x:c>
      <x:c r="C789" s="8" t="str">
        <x:v>kdca-5343-5</x:v>
      </x:c>
      <x:c r="D789" s="8" t="str">
        <x:v>근거와 함께 답변</x:v>
      </x:c>
      <x:c r="E789" s="15" t="n">
        <x:v>787</x:v>
      </x:c>
      <x:c r="F789" s="8" t="str">
        <x:v>VDB 후속 설명 보강</x:v>
      </x:c>
      <x:c r="G789" s="8" t="str">
        <x:v>https://health.kdca.go.kr/healthinfo/biz/health/gnrlzHealthInfo/gnrlzHealthInfo/gnrlzHealthInfoMain.do</x:v>
      </x:c>
      <x:c r="H789" s="8" t="str">
        <x:v>{
  "disease": "장흡충증",
  "section": "역학 및 통계 / 증상",
  "category": "disease"
}</x:v>
      </x:c>
    </x:row>
    <x:row r="790" ht="54" customHeight="1">
      <x:c r="A790" s="8" t="str">
        <x:v>gold-disease-0889e3b648d66b51</x:v>
      </x:c>
      <x:c r="B790" s="8" t="str">
        <x:v>kdca-5705-0</x:v>
      </x:c>
      <x:c r="C790" s="8" t="str">
        <x:v>kdca-5705-0</x:v>
      </x:c>
      <x:c r="D790" s="8" t="str">
        <x:v>근거와 함께 답변</x:v>
      </x:c>
      <x:c r="E790" s="15" t="n">
        <x:v>788</x:v>
      </x:c>
      <x:c r="F790" s="8" t="str">
        <x:v>VDB 정의 문장 재선정</x:v>
      </x:c>
      <x:c r="G790" s="8" t="str">
        <x:v>https://health.kdca.go.kr/healthinfo/biz/health/gnrlzHealthInfo/gnrlzHealthInfo/gnrlzHealthInfoMain.do</x:v>
      </x:c>
      <x:c r="H790" s="8" t="str">
        <x:v>{
  "disease": "목쉼",
  "section": "요약문",
  "category": "symptom"
}</x:v>
      </x:c>
    </x:row>
    <x:row r="791" ht="54" customHeight="1">
      <x:c r="A791" s="8" t="str">
        <x:v>gold-disease-0f1049cd5e2368e3</x:v>
      </x:c>
      <x:c r="B791" s="8" t="str">
        <x:v>kdca-2587-12</x:v>
      </x:c>
      <x:c r="C791" s="8" t="str">
        <x:v>kdca-2587-12</x:v>
      </x:c>
      <x:c r="D791" s="8" t="str">
        <x:v>근거와 함께 답변</x:v>
      </x:c>
      <x:c r="E791" s="15" t="n">
        <x:v>789</x:v>
      </x:c>
      <x:c r="F791" s="8" t="str">
        <x:v>기존 검증 정답</x:v>
      </x:c>
      <x:c r="G791" s="8" t="str">
        <x:v>https://health.kdca.go.kr/healthinfo/biz/health/gnrlzHealthInfo/gnrlzHealthInfo/gnrlzHealthInfoMain.do</x:v>
      </x:c>
      <x:c r="H791" s="8" t="str">
        <x:v>{
  "disease": "비정상 자궁출혈",
  "section": "진단 및 검사",
  "category": "disease"
}</x:v>
      </x:c>
    </x:row>
    <x:row r="792" ht="54" customHeight="1">
      <x:c r="A792" s="8" t="str">
        <x:v>gold-disease-e33bdce7b9c2642f</x:v>
      </x:c>
      <x:c r="B792" s="8" t="str">
        <x:v>kdca-6582-0</x:v>
      </x:c>
      <x:c r="C792" s="8" t="str">
        <x:v>kdca-6582-0</x:v>
      </x:c>
      <x:c r="D792" s="8" t="str">
        <x:v>근거와 함께 답변</x:v>
      </x:c>
      <x:c r="E792" s="15" t="n">
        <x:v>790</x:v>
      </x:c>
      <x:c r="F792" s="8" t="str">
        <x:v>VDB 정의 문장 재선정</x:v>
      </x:c>
      <x:c r="G792" s="8" t="str">
        <x:v>https://health.kdca.go.kr/healthinfo/biz/health/gnrlzHealthInfo/gnrlzHealthInfo/gnrlzHealthInfoMain.do</x:v>
      </x:c>
      <x:c r="H792" s="8" t="str">
        <x:v>{
  "disease": "아토피피부염",
  "section": "요약문",
  "category": "disease"
}</x:v>
      </x:c>
    </x:row>
    <x:row r="793" ht="54" customHeight="1">
      <x:c r="A793" s="8" t="str">
        <x:v>gold-disease-245a7efc35996886</x:v>
      </x:c>
      <x:c r="B793" s="8" t="str">
        <x:v>kdca-1988-5</x:v>
      </x:c>
      <x:c r="C793" s="8" t="str">
        <x:v>kdca-1988-5</x:v>
      </x:c>
      <x:c r="D793" s="8" t="str">
        <x:v>근거와 함께 답변</x:v>
      </x:c>
      <x:c r="E793" s="15" t="n">
        <x:v>791</x:v>
      </x:c>
      <x:c r="F793" s="8" t="str">
        <x:v>기존 검증 정답</x:v>
      </x:c>
      <x:c r="G793" s="8" t="str">
        <x:v>https://health.kdca.go.kr/healthinfo/biz/health/gnrlzHealthInfo/gnrlzHealthInfo/gnrlzHealthInfoMain.do</x:v>
      </x:c>
      <x:c r="H793" s="8" t="str">
        <x:v>{
  "disease": "골관절염",
  "section": "개요 / 정의",
  "category": "disease"
}</x:v>
      </x:c>
    </x:row>
    <x:row r="794" ht="54" customHeight="1">
      <x:c r="A794" s="8" t="str">
        <x:v>gold-disease-ba60242b88a0859d</x:v>
      </x:c>
      <x:c r="B794" s="8" t="str">
        <x:v>kdca-5830-0</x:v>
      </x:c>
      <x:c r="C794" s="8" t="str">
        <x:v>kdca-5830-0</x:v>
      </x:c>
      <x:c r="D794" s="8" t="str">
        <x:v>근거와 함께 답변</x:v>
      </x:c>
      <x:c r="E794" s="15" t="n">
        <x:v>792</x:v>
      </x:c>
      <x:c r="F794" s="8" t="str">
        <x:v>기존 검증 정답</x:v>
      </x:c>
      <x:c r="G794" s="8" t="str">
        <x:v>https://health.kdca.go.kr/healthinfo/biz/health/gnrlzHealthInfo/gnrlzHealthInfo/gnrlzHealthInfoMain.do</x:v>
      </x:c>
      <x:c r="H794" s="8" t="str">
        <x:v>{
  "disease": "두통",
  "section": "요약문",
  "category": "symptom"
}</x:v>
      </x:c>
    </x:row>
    <x:row r="795" ht="54" customHeight="1">
      <x:c r="A795" s="8" t="str">
        <x:v>gold-disease-fdf062e680bed031</x:v>
      </x:c>
      <x:c r="B795" s="8" t="str">
        <x:v>kdca-2587-3</x:v>
      </x:c>
      <x:c r="C795" s="8" t="str">
        <x:v>kdca-2587-3</x:v>
      </x:c>
      <x:c r="D795" s="8" t="str">
        <x:v>근거와 함께 답변</x:v>
      </x:c>
      <x:c r="E795" s="15" t="n">
        <x:v>793</x:v>
      </x:c>
      <x:c r="F795" s="8" t="str">
        <x:v>VDB 원인·위험요인 청크 재선정</x:v>
      </x:c>
      <x:c r="G795" s="8" t="str">
        <x:v>https://health.kdca.go.kr/healthinfo/biz/health/gnrlzHealthInfo/gnrlzHealthInfo/gnrlzHealthInfoMain.do</x:v>
      </x:c>
      <x:c r="H795" s="8" t="str">
        <x:v>{
  "disease": "비정상 자궁출혈",
  "section": "종류 / 원인",
  "category": "disease"
}</x:v>
      </x:c>
    </x:row>
    <x:row r="796" ht="54" customHeight="1">
      <x:c r="A796" s="8" t="str">
        <x:v>gold-disease-fe40bfe9327bbb08</x:v>
      </x:c>
      <x:c r="B796" s="8" t="str">
        <x:v>kdca-6722-8</x:v>
      </x:c>
      <x:c r="C796" s="8" t="str">
        <x:v>kdca-6722-8</x:v>
      </x:c>
      <x:c r="D796" s="8" t="str">
        <x:v>근거와 함께 답변</x:v>
      </x:c>
      <x:c r="E796" s="15" t="n">
        <x:v>794</x:v>
      </x:c>
      <x:c r="F796" s="8" t="str">
        <x:v>기존 검증 정답</x:v>
      </x:c>
      <x:c r="G796" s="8" t="str">
        <x:v>https://health.kdca.go.kr/healthinfo/biz/health/gnrlzHealthInfo/gnrlzHealthInfo/gnrlzHealthInfoMain.do</x:v>
      </x:c>
      <x:c r="H796" s="8" t="str">
        <x:v>{
  "disease": "근 손실",
  "section": "경과 및 예후",
  "category": "disease"
}</x:v>
      </x:c>
    </x:row>
    <x:row r="797" ht="54" customHeight="1">
      <x:c r="A797" s="8" t="str">
        <x:v>gold-disease-2d39829a13c7fb1a</x:v>
      </x:c>
      <x:c r="B797" s="8" t="str">
        <x:v>kdca-6525-5</x:v>
      </x:c>
      <x:c r="C797" s="8" t="str">
        <x:v>kdca-6525-5</x:v>
      </x:c>
      <x:c r="D797" s="8" t="str">
        <x:v>근거와 함께 답변</x:v>
      </x:c>
      <x:c r="E797" s="15" t="n">
        <x:v>795</x:v>
      </x:c>
      <x:c r="F797" s="8" t="str">
        <x:v>기존 검증 정답</x:v>
      </x:c>
      <x:c r="G797" s="8" t="str">
        <x:v>https://health.kdca.go.kr/healthinfo/biz/health/gnrlzHealthInfo/gnrlzHealthInfo/gnrlzHealthInfoMain.do</x:v>
      </x:c>
      <x:c r="H797" s="8" t="str">
        <x:v>{
  "disease": "직업성 호흡기질환(직업성 감염성폐질환)",
  "section": "증상",
  "category": "disease"
}</x:v>
      </x:c>
    </x:row>
    <x:row r="798" ht="54" customHeight="1">
      <x:c r="A798" s="8" t="str">
        <x:v>gold-disease-b1cc367bf7a4e39a</x:v>
      </x:c>
      <x:c r="B798" s="8" t="str">
        <x:v>kdca-6525-7</x:v>
      </x:c>
      <x:c r="C798" s="8" t="str">
        <x:v>kdca-6525-7</x:v>
      </x:c>
      <x:c r="D798" s="8" t="str">
        <x:v>근거와 함께 답변</x:v>
      </x:c>
      <x:c r="E798" s="15" t="n">
        <x:v>796</x:v>
      </x:c>
      <x:c r="F798" s="8" t="str">
        <x:v>VDB 후속 설명 보강</x:v>
      </x:c>
      <x:c r="G798" s="8" t="str">
        <x:v>https://health.kdca.go.kr/healthinfo/biz/health/gnrlzHealthInfo/gnrlzHealthInfo/gnrlzHealthInfoMain.do</x:v>
      </x:c>
      <x:c r="H798" s="8" t="str">
        <x:v>{
  "disease": "직업성 호흡기질환(직업성 감염성폐질환)",
  "section": "위험요인 및 예방",
  "category": "disease"
}</x:v>
      </x:c>
    </x:row>
    <x:row r="799" ht="54" customHeight="1">
      <x:c r="A799" s="8" t="str">
        <x:v>gold-disease-na-203a91010a66ff06</x:v>
      </x:c>
      <x:c r="B799" s="8" t="str"/>
      <x:c r="C799" s="8" t="str"/>
      <x:c r="D799" s="8" t="str">
        <x:v>답변 거부 또는 추가 확인 요청</x:v>
      </x:c>
      <x:c r="E799" s="15" t="n">
        <x:v>797</x:v>
      </x:c>
      <x:c r="F799" s="8" t="str">
        <x:v>답변 거부 기준 문구</x:v>
      </x:c>
      <x:c r="G799" s="8" t="str">
        <x:v>https://health.kdca.go.kr/healthinfo/biz/health/gnrlzHealthInfo/gnrlzHealthInfo/gnrlzHealthInfoMain.do</x:v>
      </x:c>
      <x:c r="H799" s="8" t="str">
        <x:v>{
  "disease": "백선증",
  "section": "진단 및 검사",
  "category": "disease"
}</x:v>
      </x:c>
    </x:row>
    <x:row r="800" ht="54" customHeight="1">
      <x:c r="A800" s="8" t="str">
        <x:v>gold-disease-c6596799abdae4b9</x:v>
      </x:c>
      <x:c r="B800" s="8" t="str">
        <x:v>kdca-6691-8</x:v>
      </x:c>
      <x:c r="C800" s="8" t="str">
        <x:v>kdca-6691-8</x:v>
      </x:c>
      <x:c r="D800" s="8" t="str">
        <x:v>근거와 함께 답변</x:v>
      </x:c>
      <x:c r="E800" s="15" t="n">
        <x:v>798</x:v>
      </x:c>
      <x:c r="F800" s="8" t="str">
        <x:v>기존 검증 정답</x:v>
      </x:c>
      <x:c r="G800" s="8" t="str">
        <x:v>https://health.kdca.go.kr/healthinfo/biz/health/gnrlzHealthInfo/gnrlzHealthInfo/gnrlzHealthInfoMain.do</x:v>
      </x:c>
      <x:c r="H800" s="8" t="str">
        <x:v>{
  "disease": "임신당뇨병",
  "section": "역학 및 통계",
  "category": "disease"
}</x:v>
      </x:c>
    </x:row>
    <x:row r="801" ht="54" customHeight="1">
      <x:c r="A801" s="8" t="str">
        <x:v>gold-disease-7bcb5705214c1ead</x:v>
      </x:c>
      <x:c r="B801" s="8" t="str">
        <x:v>kdca-6726-4</x:v>
      </x:c>
      <x:c r="C801" s="8" t="str">
        <x:v>kdca-6726-4</x:v>
      </x:c>
      <x:c r="D801" s="8" t="str">
        <x:v>근거와 함께 답변</x:v>
      </x:c>
      <x:c r="E801" s="15" t="n">
        <x:v>799</x:v>
      </x:c>
      <x:c r="F801" s="8" t="str">
        <x:v>VDB 원인·위험요인 청크 재선정</x:v>
      </x:c>
      <x:c r="G801" s="8" t="str">
        <x:v>https://health.kdca.go.kr/healthinfo/biz/health/gnrlzHealthInfo/gnrlzHealthInfo/gnrlzHealthInfoMain.do</x:v>
      </x:c>
      <x:c r="H801" s="8" t="str">
        <x:v>{
  "disease": "노인기능평가",
  "section": "원인 / 진단 및 검사",
  "category": "disease"
}</x:v>
      </x:c>
    </x:row>
    <x:row r="802" ht="54" customHeight="1">
      <x:c r="A802" s="8" t="str">
        <x:v>gold-disease-350d10746ae273a4</x:v>
      </x:c>
      <x:c r="B802" s="8" t="str">
        <x:v>kdca-6679-36</x:v>
      </x:c>
      <x:c r="C802" s="8" t="str">
        <x:v>kdca-6679-36</x:v>
      </x:c>
      <x:c r="D802" s="8" t="str">
        <x:v>근거와 함께 답변</x:v>
      </x:c>
      <x:c r="E802" s="15" t="n">
        <x:v>800</x:v>
      </x:c>
      <x:c r="F802" s="8" t="str">
        <x:v>기존 검증 정답</x:v>
      </x:c>
      <x:c r="G802" s="8" t="str">
        <x:v>https://health.kdca.go.kr/healthinfo/biz/health/gnrlzHealthInfo/gnrlzHealthInfo/gnrlzHealthInfoMain.do</x:v>
      </x:c>
      <x:c r="H802" s="8" t="str">
        <x:v>{
  "disease": "수두와 대상포진",
  "section": "위험요인 및 예방",
  "category": "disease"
}</x:v>
      </x:c>
    </x:row>
    <x:row r="803" ht="54" customHeight="1">
      <x:c r="A803" s="8" t="str">
        <x:v>gold-disease-7af2fef17dba0edb</x:v>
      </x:c>
      <x:c r="B803" s="8" t="str">
        <x:v>kdca-6248-5</x:v>
      </x:c>
      <x:c r="C803" s="8" t="str">
        <x:v>kdca-6248-5</x:v>
      </x:c>
      <x:c r="D803" s="8" t="str">
        <x:v>근거와 함께 답변</x:v>
      </x:c>
      <x:c r="E803" s="15" t="n">
        <x:v>801</x:v>
      </x:c>
      <x:c r="F803" s="8" t="str">
        <x:v>VDB 후속 설명 보강</x:v>
      </x:c>
      <x:c r="G803" s="8" t="str">
        <x:v>https://health.kdca.go.kr/healthinfo/biz/health/gnrlzHealthInfo/gnrlzHealthInfo/gnrlzHealthInfoMain.do</x:v>
      </x:c>
      <x:c r="H803" s="8" t="str">
        <x:v>{
  "disease": "바이러스성출혈열",
  "section": "역학 및 통계 / 증상",
  "category": "disease"
}</x:v>
      </x:c>
    </x:row>
    <x:row r="804" ht="54" customHeight="1">
      <x:c r="A804" s="8" t="str">
        <x:v>gold-disease-685dd2ac6299f2b7</x:v>
      </x:c>
      <x:c r="B804" s="8" t="str">
        <x:v>kdca-5824-8</x:v>
      </x:c>
      <x:c r="C804" s="8" t="str">
        <x:v>kdca-5824-8</x:v>
      </x:c>
      <x:c r="D804" s="8" t="str">
        <x:v>근거와 함께 답변</x:v>
      </x:c>
      <x:c r="E804" s="15" t="n">
        <x:v>802</x:v>
      </x:c>
      <x:c r="F804" s="8" t="str">
        <x:v>기존 검증 정답</x:v>
      </x:c>
      <x:c r="G804" s="8" t="str">
        <x:v>https://health.kdca.go.kr/healthinfo/biz/health/gnrlzHealthInfo/gnrlzHealthInfo/gnrlzHealthInfoMain.do</x:v>
      </x:c>
      <x:c r="H804" s="8" t="str">
        <x:v>{
  "disease": "발기부전",
  "section": "종류 / 경과 및 예후",
  "category": "disease"
}</x:v>
      </x:c>
    </x:row>
    <x:row r="805" ht="54" customHeight="1">
      <x:c r="A805" s="8" t="str">
        <x:v>gold-disease-5d8f63170e80a973</x:v>
      </x:c>
      <x:c r="B805" s="8" t="str">
        <x:v>kdca-5719-23</x:v>
      </x:c>
      <x:c r="C805" s="8" t="str">
        <x:v>kdca-5719-23</x:v>
      </x:c>
      <x:c r="D805" s="8" t="str">
        <x:v>근거와 함께 답변</x:v>
      </x:c>
      <x:c r="E805" s="15" t="n">
        <x:v>803</x:v>
      </x:c>
      <x:c r="F805" s="8" t="str">
        <x:v>VDB 후속 설명 보강</x:v>
      </x:c>
      <x:c r="G805" s="8" t="str">
        <x:v>https://health.kdca.go.kr/healthinfo/biz/health/gnrlzHealthInfo/gnrlzHealthInfo/gnrlzHealthInfoMain.do</x:v>
      </x:c>
      <x:c r="H805" s="8" t="str">
        <x:v>{
  "disease": "야뇨증(소아)",
  "section": "비약물 치료",
  "category": "disease"
}</x:v>
      </x:c>
    </x:row>
    <x:row r="806" ht="54" customHeight="1">
      <x:c r="A806" s="8" t="str">
        <x:v>gold-disease-da4738cc05fc9bc8</x:v>
      </x:c>
      <x:c r="B806" s="8" t="str">
        <x:v>kdca-6248-8</x:v>
      </x:c>
      <x:c r="C806" s="8" t="str">
        <x:v>kdca-6248-8</x:v>
      </x:c>
      <x:c r="D806" s="8" t="str">
        <x:v>근거와 함께 답변</x:v>
      </x:c>
      <x:c r="E806" s="15" t="n">
        <x:v>804</x:v>
      </x:c>
      <x:c r="F806" s="8" t="str">
        <x:v>기존 검증 정답</x:v>
      </x:c>
      <x:c r="G806" s="8" t="str">
        <x:v>https://health.kdca.go.kr/healthinfo/biz/health/gnrlzHealthInfo/gnrlzHealthInfo/gnrlzHealthInfoMain.do</x:v>
      </x:c>
      <x:c r="H806" s="8" t="str">
        <x:v>{
  "disease": "바이러스성출혈열",
  "section": "예방 및 예방접종 / 치료",
  "category": "disease"
}</x:v>
      </x:c>
    </x:row>
    <x:row r="807" ht="54" customHeight="1">
      <x:c r="A807" s="8" t="str">
        <x:v>gold-disease-6de5531f4d5bfee4</x:v>
      </x:c>
      <x:c r="B807" s="8" t="str">
        <x:v>kdca-5820-26</x:v>
      </x:c>
      <x:c r="C807" s="8" t="str">
        <x:v>kdca-5820-26</x:v>
      </x:c>
      <x:c r="D807" s="8" t="str">
        <x:v>근거와 함께 답변</x:v>
      </x:c>
      <x:c r="E807" s="15" t="n">
        <x:v>805</x:v>
      </x:c>
      <x:c r="F807" s="8" t="str">
        <x:v>VDB 후속 설명 보강</x:v>
      </x:c>
      <x:c r="G807" s="8" t="str">
        <x:v>https://health.kdca.go.kr/healthinfo/biz/health/gnrlzHealthInfo/gnrlzHealthInfo/gnrlzHealthInfoMain.do</x:v>
      </x:c>
      <x:c r="H807" s="8" t="str">
        <x:v>{
  "disease": "담낭염",
  "section": "치료",
  "category": "disease"
}</x:v>
      </x:c>
    </x:row>
    <x:row r="808" ht="54" customHeight="1">
      <x:c r="A808" s="8" t="str">
        <x:v>gold-disease-2d3fdf68f559fc44</x:v>
      </x:c>
      <x:c r="B808" s="8" t="str">
        <x:v>kdca-5357-11</x:v>
      </x:c>
      <x:c r="C808" s="8" t="str">
        <x:v>kdca-5357-11</x:v>
      </x:c>
      <x:c r="D808" s="8" t="str">
        <x:v>근거와 함께 답변</x:v>
      </x:c>
      <x:c r="E808" s="15" t="n">
        <x:v>806</x:v>
      </x:c>
      <x:c r="F808" s="8" t="str">
        <x:v>VDB 후속 설명 보강</x:v>
      </x:c>
      <x:c r="G808" s="8" t="str">
        <x:v>https://health.kdca.go.kr/healthinfo/biz/health/gnrlzHealthInfo/gnrlzHealthInfo/gnrlzHealthInfoMain.do</x:v>
      </x:c>
      <x:c r="H808" s="8" t="str">
        <x:v>{
  "disease": "모소낭",
  "section": "증상 / 진단 및 검사",
  "category": "disease"
}</x:v>
      </x:c>
    </x:row>
    <x:row r="809" ht="54" customHeight="1">
      <x:c r="A809" s="8" t="str">
        <x:v>gold-disease-na-90153dd34e6b91e1</x:v>
      </x:c>
      <x:c r="B809" s="8" t="str"/>
      <x:c r="C809" s="8" t="str"/>
      <x:c r="D809" s="8" t="str">
        <x:v>답변 거부 또는 추가 확인 요청</x:v>
      </x:c>
      <x:c r="E809" s="15" t="n">
        <x:v>807</x:v>
      </x:c>
      <x:c r="F809" s="8" t="str">
        <x:v>답변 거부 기준 문구</x:v>
      </x:c>
      <x:c r="G809" s="8" t="str">
        <x:v>https://health.kdca.go.kr/healthinfo/biz/health/gnrlzHealthInfo/gnrlzHealthInfo/gnrlzHealthInfoMain.do</x:v>
      </x:c>
      <x:c r="H809" s="8" t="str">
        <x:v>{
  "disease": "딸꾹질",
  "section": "예방 / 자가 관리",
  "category": "symptom"
}</x:v>
      </x:c>
    </x:row>
    <x:row r="810" ht="54" customHeight="1">
      <x:c r="A810" s="8" t="str">
        <x:v>gold-disease-73621b4171a07296</x:v>
      </x:c>
      <x:c r="B810" s="8" t="str">
        <x:v>kdca-5968-8</x:v>
      </x:c>
      <x:c r="C810" s="8" t="str">
        <x:v>kdca-5968-8</x:v>
      </x:c>
      <x:c r="D810" s="8" t="str">
        <x:v>근거와 함께 답변</x:v>
      </x:c>
      <x:c r="E810" s="15" t="n">
        <x:v>808</x:v>
      </x:c>
      <x:c r="F810" s="8" t="str">
        <x:v>기존 검증 정답</x:v>
      </x:c>
      <x:c r="G810" s="8" t="str">
        <x:v>https://health.kdca.go.kr/healthinfo/biz/health/gnrlzHealthInfo/gnrlzHealthInfo/gnrlzHealthInfoMain.do</x:v>
      </x:c>
      <x:c r="H810" s="8" t="str">
        <x:v>{
  "disease": "방광염",
  "section": "역학 및 통계 / 증상",
  "category": "disease"
}</x:v>
      </x:c>
    </x:row>
    <x:row r="811" ht="54" customHeight="1">
      <x:c r="A811" s="8" t="str">
        <x:v>gold-disease-fa17acc71f4fc083</x:v>
      </x:c>
      <x:c r="B811" s="8" t="str">
        <x:v>kdca-5822-2</x:v>
      </x:c>
      <x:c r="C811" s="8" t="str">
        <x:v>kdca-5822-2</x:v>
      </x:c>
      <x:c r="D811" s="8" t="str">
        <x:v>근거와 함께 답변</x:v>
      </x:c>
      <x:c r="E811" s="15" t="n">
        <x:v>809</x:v>
      </x:c>
      <x:c r="F811" s="8" t="str">
        <x:v>기존 검증 정답</x:v>
      </x:c>
      <x:c r="G811" s="8" t="str">
        <x:v>https://health.kdca.go.kr/healthinfo/biz/health/gnrlzHealthInfo/gnrlzHealthInfo/gnrlzHealthInfoMain.do</x:v>
      </x:c>
      <x:c r="H811" s="8" t="str">
        <x:v>{
  "disease": "요실금",
  "section": "정의",
  "category": "disease"
}</x:v>
      </x:c>
    </x:row>
    <x:row r="812" ht="54" customHeight="1">
      <x:c r="A812" s="8" t="str">
        <x:v>gold-disease-b26ae78b998f99bf</x:v>
      </x:c>
      <x:c r="B812" s="8" t="str">
        <x:v>kdca-5680-33</x:v>
      </x:c>
      <x:c r="C812" s="8" t="str">
        <x:v>kdca-5680-33</x:v>
      </x:c>
      <x:c r="D812" s="8" t="str">
        <x:v>근거와 함께 답변</x:v>
      </x:c>
      <x:c r="E812" s="15" t="n">
        <x:v>810</x:v>
      </x:c>
      <x:c r="F812" s="8" t="str">
        <x:v>VDB 후속 설명 보강</x:v>
      </x:c>
      <x:c r="G812" s="8" t="str">
        <x:v>https://health.kdca.go.kr/healthinfo/biz/health/gnrlzHealthInfo/gnrlzHealthInfo/gnrlzHealthInfoMain.do</x:v>
      </x:c>
      <x:c r="H812" s="8" t="str">
        <x:v>{
  "disease": "유선염",
  "section": "자주하는 질문 / 참고문헌",
  "category": "disease"
}</x:v>
      </x:c>
    </x:row>
    <x:row r="813" ht="54" customHeight="1">
      <x:c r="A813" s="8" t="str">
        <x:v>gold-disease-9860e9c6ffc5a2a7</x:v>
      </x:c>
      <x:c r="B813" s="8" t="str">
        <x:v>kdca-5242-8</x:v>
      </x:c>
      <x:c r="C813" s="8" t="str">
        <x:v>kdca-5242-8</x:v>
      </x:c>
      <x:c r="D813" s="8" t="str">
        <x:v>근거와 함께 답변</x:v>
      </x:c>
      <x:c r="E813" s="15" t="n">
        <x:v>811</x:v>
      </x:c>
      <x:c r="F813" s="8" t="str">
        <x:v>VDB 원인·위험요인 청크 재선정</x:v>
      </x:c>
      <x:c r="G813" s="8" t="str">
        <x:v>https://health.kdca.go.kr/healthinfo/biz/health/gnrlzHealthInfo/gnrlzHealthInfo/gnrlzHealthInfoMain.do</x:v>
      </x:c>
      <x:c r="H813" s="8" t="str">
        <x:v>{
  "disease": "고칼슘혈증",
  "section": "원인",
  "category": "disease"
}</x:v>
      </x:c>
    </x:row>
    <x:row r="814" ht="54" customHeight="1">
      <x:c r="A814" s="8" t="str">
        <x:v>gold-disease-454f677a6b870565</x:v>
      </x:c>
      <x:c r="B814" s="8" t="str">
        <x:v>kdca-6491-7</x:v>
      </x:c>
      <x:c r="C814" s="8" t="str">
        <x:v>kdca-6491-7</x:v>
      </x:c>
      <x:c r="D814" s="8" t="str">
        <x:v>근거와 함께 답변</x:v>
      </x:c>
      <x:c r="E814" s="15" t="n">
        <x:v>812</x:v>
      </x:c>
      <x:c r="F814" s="8" t="str">
        <x:v>VDB 후속 설명 보강</x:v>
      </x:c>
      <x:c r="G814" s="8" t="str">
        <x:v>https://health.kdca.go.kr/healthinfo/biz/health/gnrlzHealthInfo/gnrlzHealthInfo/gnrlzHealthInfoMain.do</x:v>
      </x:c>
      <x:c r="H814" s="8" t="str">
        <x:v>{
  "disease": "건막염(감염성 건막염)",
  "section": "종류",
  "category": "disease"
}</x:v>
      </x:c>
    </x:row>
    <x:row r="815" ht="54" customHeight="1">
      <x:c r="A815" s="8" t="str">
        <x:v>gold-disease-1591ed601ea46875</x:v>
      </x:c>
      <x:c r="B815" s="8" t="str">
        <x:v>kdca-5704-27</x:v>
      </x:c>
      <x:c r="C815" s="8" t="str">
        <x:v>kdca-5704-27</x:v>
      </x:c>
      <x:c r="D815" s="8" t="str">
        <x:v>근거와 함께 답변</x:v>
      </x:c>
      <x:c r="E815" s="15" t="n">
        <x:v>813</x:v>
      </x:c>
      <x:c r="F815" s="8" t="str">
        <x:v>VDB 후속 설명 보강</x:v>
      </x:c>
      <x:c r="G815" s="8" t="str">
        <x:v>https://health.kdca.go.kr/healthinfo/biz/health/gnrlzHealthInfo/gnrlzHealthInfo/gnrlzHealthInfoMain.do</x:v>
      </x:c>
      <x:c r="H815" s="8" t="str">
        <x:v>{
  "disease": "구강건조증",
  "section": "치료",
  "category": "disease"
}</x:v>
      </x:c>
    </x:row>
    <x:row r="816" ht="54" customHeight="1">
      <x:c r="A816" s="8" t="str">
        <x:v>gold-disease-1657091e0297096e</x:v>
      </x:c>
      <x:c r="B816" s="8" t="str">
        <x:v>kdca-6538-0</x:v>
      </x:c>
      <x:c r="C816" s="8" t="str">
        <x:v>kdca-6538-0</x:v>
      </x:c>
      <x:c r="D816" s="8" t="str">
        <x:v>근거와 함께 답변</x:v>
      </x:c>
      <x:c r="E816" s="15" t="n">
        <x:v>814</x:v>
      </x:c>
      <x:c r="F816" s="8" t="str">
        <x:v>기존 검증 정답</x:v>
      </x:c>
      <x:c r="G816" s="8" t="str">
        <x:v>https://health.kdca.go.kr/healthinfo/biz/health/gnrlzHealthInfo/gnrlzHealthInfo/gnrlzHealthInfoMain.do</x:v>
      </x:c>
      <x:c r="H816" s="8" t="str">
        <x:v>{
  "disease": "피임",
  "section": "요약문",
  "category": "disease"
}</x:v>
      </x:c>
    </x:row>
    <x:row r="817" ht="54" customHeight="1">
      <x:c r="A817" s="8" t="str">
        <x:v>gold-disease-d0e08a8d54ed3661</x:v>
      </x:c>
      <x:c r="B817" s="8" t="str">
        <x:v>kdca-6754-10</x:v>
      </x:c>
      <x:c r="C817" s="8" t="str">
        <x:v>kdca-6754-10</x:v>
      </x:c>
      <x:c r="D817" s="8" t="str">
        <x:v>근거와 함께 답변</x:v>
      </x:c>
      <x:c r="E817" s="15" t="n">
        <x:v>815</x:v>
      </x:c>
      <x:c r="F817" s="8" t="str">
        <x:v>VDB 후속 설명 보강</x:v>
      </x:c>
      <x:c r="G817" s="8" t="str">
        <x:v>https://health.kdca.go.kr/healthinfo/biz/health/gnrlzHealthInfo/gnrlzHealthInfo/gnrlzHealthInfoMain.do</x:v>
      </x:c>
      <x:c r="H817" s="8" t="str">
        <x:v>{
  "disease": "남성갱년기",
  "section": "치료",
  "category": "disease"
}</x:v>
      </x:c>
    </x:row>
    <x:row r="818" ht="54" customHeight="1">
      <x:c r="A818" s="8" t="str">
        <x:v>gold-disease-223b9df92f2c02a3</x:v>
      </x:c>
      <x:c r="B818" s="8" t="str">
        <x:v>kdca-6563-6</x:v>
      </x:c>
      <x:c r="C818" s="8" t="str">
        <x:v>kdca-6563-6</x:v>
      </x:c>
      <x:c r="D818" s="8" t="str">
        <x:v>근거와 함께 답변</x:v>
      </x:c>
      <x:c r="E818" s="15" t="n">
        <x:v>816</x:v>
      </x:c>
      <x:c r="F818" s="8" t="str">
        <x:v>VDB 후속 설명 보강</x:v>
      </x:c>
      <x:c r="G818" s="8" t="str">
        <x:v>https://health.kdca.go.kr/healthinfo/biz/health/gnrlzHealthInfo/gnrlzHealthInfo/gnrlzHealthInfoMain.do</x:v>
      </x:c>
      <x:c r="H818" s="8" t="str">
        <x:v>{
  "disease": "발달성 고관절 이형성증 및 탈구",
  "section": "증상",
  "category": "disease"
}</x:v>
      </x:c>
    </x:row>
    <x:row r="819" ht="54" customHeight="1">
      <x:c r="A819" s="8" t="str">
        <x:v>gold-disease-072ae779ba4fb243</x:v>
      </x:c>
      <x:c r="B819" s="8" t="str">
        <x:v>kdca-6308-1</x:v>
      </x:c>
      <x:c r="C819" s="8" t="str">
        <x:v>kdca-6308-1</x:v>
      </x:c>
      <x:c r="D819" s="8" t="str">
        <x:v>근거와 함께 답변</x:v>
      </x:c>
      <x:c r="E819" s="15" t="n">
        <x:v>817</x:v>
      </x:c>
      <x:c r="F819" s="8" t="str">
        <x:v>기존 검증 정답</x:v>
      </x:c>
      <x:c r="G819" s="8" t="str">
        <x:v>https://health.kdca.go.kr/healthinfo/biz/health/gnrlzHealthInfo/gnrlzHealthInfo/gnrlzHealthInfoMain.do</x:v>
      </x:c>
      <x:c r="H819" s="8" t="str">
        <x:v>{
  "disease": "수면무호흡증",
  "section": "정의",
  "category": "disease"
}</x:v>
      </x:c>
    </x:row>
    <x:row r="820" ht="54" customHeight="1">
      <x:c r="A820" s="8" t="str">
        <x:v>gold-disease-8c01831e627f6eaf</x:v>
      </x:c>
      <x:c r="B820" s="8" t="str">
        <x:v>kdca-1667-0</x:v>
      </x:c>
      <x:c r="C820" s="8" t="str">
        <x:v>kdca-1667-0</x:v>
      </x:c>
      <x:c r="D820" s="8" t="str">
        <x:v>근거와 함께 답변</x:v>
      </x:c>
      <x:c r="E820" s="15" t="n">
        <x:v>818</x:v>
      </x:c>
      <x:c r="F820" s="8" t="str">
        <x:v>기존 검증 정답</x:v>
      </x:c>
      <x:c r="G820" s="8" t="str">
        <x:v>https://health.kdca.go.kr/healthinfo/biz/health/gnrlzHealthInfo/gnrlzHealthInfo/gnrlzHealthInfoMain.do</x:v>
      </x:c>
      <x:c r="H820" s="8" t="str">
        <x:v>{
  "disease": "설사",
  "section": "정의",
  "category": "disease"
}</x:v>
      </x:c>
    </x:row>
    <x:row r="821" ht="54" customHeight="1">
      <x:c r="A821" s="8" t="str">
        <x:v>gold-disease-na-47a2fe1741aaa0da</x:v>
      </x:c>
      <x:c r="B821" s="8" t="str"/>
      <x:c r="C821" s="8" t="str"/>
      <x:c r="D821" s="8" t="str">
        <x:v>답변 거부 또는 추가 확인 요청</x:v>
      </x:c>
      <x:c r="E821" s="15" t="n">
        <x:v>819</x:v>
      </x:c>
      <x:c r="F821" s="8" t="str">
        <x:v>답변 거부 기준 문구</x:v>
      </x:c>
      <x:c r="G821" s="8" t="str">
        <x:v>https://health.kdca.go.kr/healthinfo/biz/health/gnrlzHealthInfo/gnrlzHealthInfo/gnrlzHealthInfoMain.do</x:v>
      </x:c>
      <x:c r="H821" s="8" t="str">
        <x:v>{
  "disease": "대변 이상",
  "section": "요약문 / 개요",
  "category": "symptom"
}</x:v>
      </x:c>
    </x:row>
    <x:row r="822" ht="54" customHeight="1">
      <x:c r="A822" s="8" t="str">
        <x:v>gold-disease-1f6b52d380489cdb</x:v>
      </x:c>
      <x:c r="B822" s="8" t="str">
        <x:v>kdca-2350-2</x:v>
      </x:c>
      <x:c r="C822" s="8" t="str">
        <x:v>kdca-2350-2</x:v>
      </x:c>
      <x:c r="D822" s="8" t="str">
        <x:v>근거와 함께 답변</x:v>
      </x:c>
      <x:c r="E822" s="15" t="n">
        <x:v>820</x:v>
      </x:c>
      <x:c r="F822" s="8" t="str">
        <x:v>기존 검증 정답</x:v>
      </x:c>
      <x:c r="G822" s="8" t="str">
        <x:v>https://health.kdca.go.kr/healthinfo/biz/health/gnrlzHealthInfo/gnrlzHealthInfo/gnrlzHealthInfoMain.do</x:v>
      </x:c>
      <x:c r="H822" s="8" t="str">
        <x:v>{
  "disease": "당뇨병 합병증(급성 합병증_저혈당)",
  "section": "진단 및 검사 / 치료",
  "category": "disease"
}</x:v>
      </x:c>
    </x:row>
    <x:row r="823" ht="54" customHeight="1">
      <x:c r="A823" s="8" t="str">
        <x:v>gold-disease-61630922411da246</x:v>
      </x:c>
      <x:c r="B823" s="8" t="str">
        <x:v>kdca-5480-16</x:v>
      </x:c>
      <x:c r="C823" s="8" t="str">
        <x:v>kdca-5480-16</x:v>
      </x:c>
      <x:c r="D823" s="8" t="str">
        <x:v>근거와 함께 답변</x:v>
      </x:c>
      <x:c r="E823" s="15" t="n">
        <x:v>821</x:v>
      </x:c>
      <x:c r="F823" s="8" t="str">
        <x:v>기존 검증 정답</x:v>
      </x:c>
      <x:c r="G823" s="8" t="str">
        <x:v>https://health.kdca.go.kr/healthinfo/biz/health/gnrlzHealthInfo/gnrlzHealthInfo/gnrlzHealthInfoMain.do</x:v>
      </x:c>
      <x:c r="H823" s="8" t="str">
        <x:v>{
  "disease": "조루증",
  "section": "진단 및 검사",
  "category": "disease"
}</x:v>
      </x:c>
    </x:row>
    <x:row r="824" ht="54" customHeight="1">
      <x:c r="A824" s="8" t="str">
        <x:v>gold-disease-na-530c10eec4058bd5</x:v>
      </x:c>
      <x:c r="B824" s="8" t="str"/>
      <x:c r="C824" s="8" t="str"/>
      <x:c r="D824" s="8" t="str">
        <x:v>답변 거부 또는 추가 확인 요청</x:v>
      </x:c>
      <x:c r="E824" s="15" t="n">
        <x:v>822</x:v>
      </x:c>
      <x:c r="F824" s="8" t="str">
        <x:v>답변 거부 기준 문구</x:v>
      </x:c>
      <x:c r="G824" s="8" t="str">
        <x:v>https://health.kdca.go.kr/healthinfo/biz/health/gnrlzHealthInfo/gnrlzHealthInfo/gnrlzHealthInfoMain.do</x:v>
      </x:c>
      <x:c r="H824" s="8" t="str">
        <x:v>{
  "disease": "언어장애(아동 언어장애의 진단과 치료)",
  "section": "종류",
  "category": "disease"
}</x:v>
      </x:c>
    </x:row>
    <x:row r="825" ht="54" customHeight="1">
      <x:c r="A825" s="8" t="str">
        <x:v>gold-disease-2d4f9ef7e7622b29</x:v>
      </x:c>
      <x:c r="B825" s="8" t="str">
        <x:v>kdca-2367-1</x:v>
      </x:c>
      <x:c r="C825" s="8" t="str">
        <x:v>kdca-2367-1</x:v>
      </x:c>
      <x:c r="D825" s="8" t="str">
        <x:v>근거와 함께 답변</x:v>
      </x:c>
      <x:c r="E825" s="15" t="n">
        <x:v>823</x:v>
      </x:c>
      <x:c r="F825" s="8" t="str">
        <x:v>기존 검증 정답</x:v>
      </x:c>
      <x:c r="G825" s="8" t="str">
        <x:v>https://health.kdca.go.kr/healthinfo/biz/health/gnrlzHealthInfo/gnrlzHealthInfo/gnrlzHealthInfoMain.do</x:v>
      </x:c>
      <x:c r="H825" s="8" t="str">
        <x:v>{
  "disease": "건막염",
  "section": "개요",
  "category": "disease"
}</x:v>
      </x:c>
    </x:row>
    <x:row r="826" ht="54" customHeight="1">
      <x:c r="A826" s="8" t="str">
        <x:v>gold-disease-na-5be752a884c552cb</x:v>
      </x:c>
      <x:c r="B826" s="8" t="str"/>
      <x:c r="C826" s="8" t="str"/>
      <x:c r="D826" s="8" t="str">
        <x:v>답변 거부 또는 추가 확인 요청</x:v>
      </x:c>
      <x:c r="E826" s="15" t="n">
        <x:v>824</x:v>
      </x:c>
      <x:c r="F826" s="8" t="str">
        <x:v>답변 거부 기준 문구</x:v>
      </x:c>
      <x:c r="G826" s="8" t="str">
        <x:v>https://health.kdca.go.kr/healthinfo/biz/health/gnrlzHealthInfo/gnrlzHealthInfo/gnrlzHealthInfoMain.do</x:v>
      </x:c>
      <x:c r="H826" s="8" t="str">
        <x:v>{
  "disease": "포충증",
  "section": "증상 / 진단 및 검사",
  "category": "disease"
}</x:v>
      </x:c>
    </x:row>
    <x:row r="827" ht="54" customHeight="1">
      <x:c r="A827" s="8" t="str">
        <x:v>gold-disease-na-3443a6414f26be76</x:v>
      </x:c>
      <x:c r="B827" s="8" t="str"/>
      <x:c r="C827" s="8" t="str"/>
      <x:c r="D827" s="8" t="str">
        <x:v>답변 거부 또는 추가 확인 요청</x:v>
      </x:c>
      <x:c r="E827" s="15" t="n">
        <x:v>825</x:v>
      </x:c>
      <x:c r="F827" s="8" t="str">
        <x:v>답변 거부 기준 문구</x:v>
      </x:c>
      <x:c r="G827" s="8" t="str">
        <x:v>https://health.kdca.go.kr/healthinfo/biz/health/gnrlzHealthInfo/gnrlzHealthInfo/gnrlzHealthInfoMain.do</x:v>
      </x:c>
      <x:c r="H827" s="8" t="str">
        <x:v>{
  "disease": "발기부전",
  "section": "약물 치료",
  "category": "disease"
}</x:v>
      </x:c>
    </x:row>
    <x:row r="828" ht="54" customHeight="1">
      <x:c r="A828" s="8" t="str">
        <x:v>gold-disease-7048c2c403d8404d</x:v>
      </x:c>
      <x:c r="B828" s="8" t="str">
        <x:v>kdca-5718-8</x:v>
      </x:c>
      <x:c r="C828" s="8" t="str">
        <x:v>kdca-5718-8</x:v>
      </x:c>
      <x:c r="D828" s="8" t="str">
        <x:v>근거와 함께 답변</x:v>
      </x:c>
      <x:c r="E828" s="15" t="n">
        <x:v>826</x:v>
      </x:c>
      <x:c r="F828" s="8" t="str">
        <x:v>VDB 원인·위험요인 청크 재선정</x:v>
      </x:c>
      <x:c r="G828" s="8" t="str">
        <x:v>https://health.kdca.go.kr/healthinfo/biz/health/gnrlzHealthInfo/gnrlzHealthInfo/gnrlzHealthInfoMain.do</x:v>
      </x:c>
      <x:c r="H828" s="8" t="str">
        <x:v>{
  "disease": "전신질환과 치주치료",
  "section": "원인",
  "category": "disease"
}</x:v>
      </x:c>
    </x:row>
    <x:row r="829" ht="54" customHeight="1">
      <x:c r="A829" s="8" t="str">
        <x:v>gold-disease-96d282c30569aa12</x:v>
      </x:c>
      <x:c r="B829" s="8" t="str">
        <x:v>kdca-6554-55</x:v>
      </x:c>
      <x:c r="C829" s="8" t="str">
        <x:v>kdca-6554-55</x:v>
      </x:c>
      <x:c r="D829" s="8" t="str">
        <x:v>근거와 함께 답변</x:v>
      </x:c>
      <x:c r="E829" s="15" t="n">
        <x:v>827</x:v>
      </x:c>
      <x:c r="F829" s="8" t="str">
        <x:v>VDB 후속 설명 보강</x:v>
      </x:c>
      <x:c r="G829" s="8" t="str">
        <x:v>https://health.kdca.go.kr/healthinfo/biz/health/gnrlzHealthInfo/gnrlzHealthInfo/gnrlzHealthInfoMain.do</x:v>
      </x:c>
      <x:c r="H829" s="8" t="str">
        <x:v>{
  "disease": "기관지확장증",
  "section": "자주하는 질문",
  "category": "disease"
}</x:v>
      </x:c>
    </x:row>
    <x:row r="830" ht="54" customHeight="1">
      <x:c r="A830" s="8" t="str">
        <x:v>gold-disease-6452004f76fbe296</x:v>
      </x:c>
      <x:c r="B830" s="8" t="str">
        <x:v>kdca-1587-10</x:v>
      </x:c>
      <x:c r="C830" s="8" t="str">
        <x:v>kdca-1587-10</x:v>
      </x:c>
      <x:c r="D830" s="8" t="str">
        <x:v>근거와 함께 답변</x:v>
      </x:c>
      <x:c r="E830" s="15" t="n">
        <x:v>828</x:v>
      </x:c>
      <x:c r="F830" s="8" t="str">
        <x:v>VDB 후속 설명 보강</x:v>
      </x:c>
      <x:c r="G830" s="8" t="str">
        <x:v>https://health.kdca.go.kr/healthinfo/biz/health/gnrlzHealthInfo/gnrlzHealthInfo/gnrlzHealthInfoMain.do</x:v>
      </x:c>
      <x:c r="H830" s="8" t="str">
        <x:v>{
  "disease": "외이도염",
  "section": "증상 / 진단 및 검사",
  "category": "disease"
}</x:v>
      </x:c>
    </x:row>
    <x:row r="831" ht="54" customHeight="1">
      <x:c r="A831" s="8" t="str">
        <x:v>gold-disease-na-afc3a08ee4f9f727</x:v>
      </x:c>
      <x:c r="B831" s="8" t="str"/>
      <x:c r="C831" s="8" t="str"/>
      <x:c r="D831" s="8" t="str">
        <x:v>답변 거부 또는 추가 확인 요청</x:v>
      </x:c>
      <x:c r="E831" s="15" t="n">
        <x:v>829</x:v>
      </x:c>
      <x:c r="F831" s="8" t="str">
        <x:v>답변 거부 기준 문구</x:v>
      </x:c>
      <x:c r="G831" s="8" t="str">
        <x:v>https://health.kdca.go.kr/healthinfo/biz/health/gnrlzHealthInfo/gnrlzHealthInfo/gnrlzHealthInfoMain.do</x:v>
      </x:c>
      <x:c r="H831" s="8" t="str">
        <x:v>{
  "disease": "항문 가려움증",
  "section": "연관 증상 / 치료",
  "category": "disease"
}</x:v>
      </x:c>
    </x:row>
    <x:row r="832" ht="54" customHeight="1">
      <x:c r="A832" s="8" t="str">
        <x:v>gold-disease-na-1cb86e674dd18d18</x:v>
      </x:c>
      <x:c r="B832" s="8" t="str"/>
      <x:c r="C832" s="8" t="str"/>
      <x:c r="D832" s="8" t="str">
        <x:v>답변 거부 또는 추가 확인 요청</x:v>
      </x:c>
      <x:c r="E832" s="15" t="n">
        <x:v>830</x:v>
      </x:c>
      <x:c r="F832" s="8" t="str">
        <x:v>답변 거부 기준 문구</x:v>
      </x:c>
      <x:c r="G832" s="8" t="str">
        <x:v>https://health.kdca.go.kr/healthinfo/biz/health/gnrlzHealthInfo/gnrlzHealthInfo/gnrlzHealthInfoMain.do</x:v>
      </x:c>
      <x:c r="H832" s="8" t="str">
        <x:v>{
  "disease": "치통 및 만성 통증(치통)",
  "section": "요약문",
  "category": "symptom"
}</x:v>
      </x:c>
    </x:row>
    <x:row r="833" ht="54" customHeight="1">
      <x:c r="A833" s="8" t="str">
        <x:v>gold-disease-bcaf87def5ebc9e8</x:v>
      </x:c>
      <x:c r="B833" s="8" t="str">
        <x:v>kdca-5489-44</x:v>
      </x:c>
      <x:c r="C833" s="8" t="str">
        <x:v>kdca-5489-44</x:v>
      </x:c>
      <x:c r="D833" s="8" t="str">
        <x:v>근거와 함께 답변</x:v>
      </x:c>
      <x:c r="E833" s="15" t="n">
        <x:v>831</x:v>
      </x:c>
      <x:c r="F833" s="8" t="str">
        <x:v>기존 검증 정답</x:v>
      </x:c>
      <x:c r="G833" s="8" t="str">
        <x:v>https://health.kdca.go.kr/healthinfo/biz/health/gnrlzHealthInfo/gnrlzHealthInfo/gnrlzHealthInfoMain.do</x:v>
      </x:c>
      <x:c r="H833" s="8" t="str">
        <x:v>{
  "disease": "노인성난청",
  "section": "생활습관 관리 / 지원체계",
  "category": "disease"
}</x:v>
      </x:c>
    </x:row>
    <x:row r="834" ht="54" customHeight="1">
      <x:c r="A834" s="8" t="str">
        <x:v>gold-disease-fd95c7b2d35a40aa</x:v>
      </x:c>
      <x:c r="B834" s="8" t="str">
        <x:v>kdca-6721-6</x:v>
      </x:c>
      <x:c r="C834" s="8" t="str">
        <x:v>kdca-6721-6</x:v>
      </x:c>
      <x:c r="D834" s="8" t="str">
        <x:v>근거와 함께 답변</x:v>
      </x:c>
      <x:c r="E834" s="15" t="n">
        <x:v>832</x:v>
      </x:c>
      <x:c r="F834" s="8" t="str">
        <x:v>기존 검증 정답</x:v>
      </x:c>
      <x:c r="G834" s="8" t="str">
        <x:v>https://health.kdca.go.kr/healthinfo/biz/health/gnrlzHealthInfo/gnrlzHealthInfo/gnrlzHealthInfoMain.do</x:v>
      </x:c>
      <x:c r="H834" s="8" t="str">
        <x:v>{
  "disease": "소변이상(당뇨)",
  "section": "약물 치료 / 자주하는 질문",
  "category": "symptom"
}</x:v>
      </x:c>
    </x:row>
    <x:row r="835" ht="54" customHeight="1">
      <x:c r="A835" s="8" t="str">
        <x:v>gold-disease-na-6d49d0b0558420c0</x:v>
      </x:c>
      <x:c r="B835" s="8" t="str"/>
      <x:c r="C835" s="8" t="str"/>
      <x:c r="D835" s="8" t="str">
        <x:v>답변 거부 또는 추가 확인 요청</x:v>
      </x:c>
      <x:c r="E835" s="15" t="n">
        <x:v>833</x:v>
      </x:c>
      <x:c r="F835" s="8" t="str">
        <x:v>답변 거부 기준 문구</x:v>
      </x:c>
      <x:c r="G835" s="8" t="str">
        <x:v>https://health.kdca.go.kr/healthinfo/biz/health/gnrlzHealthInfo/gnrlzHealthInfo/gnrlzHealthInfoMain.do</x:v>
      </x:c>
      <x:c r="H835" s="8" t="str">
        <x:v>{
  "disease": "두근거림",
  "section": "정의 / 원인",
  "category": "symptom"
}</x:v>
      </x:c>
    </x:row>
    <x:row r="836" ht="54" customHeight="1">
      <x:c r="A836" s="8" t="str">
        <x:v>gold-disease-2c892c8495a1f30d</x:v>
      </x:c>
      <x:c r="B836" s="8" t="str">
        <x:v>kdca-5230-19</x:v>
      </x:c>
      <x:c r="C836" s="8" t="str">
        <x:v>kdca-5230-19</x:v>
      </x:c>
      <x:c r="D836" s="8" t="str">
        <x:v>근거와 함께 답변</x:v>
      </x:c>
      <x:c r="E836" s="15" t="n">
        <x:v>834</x:v>
      </x:c>
      <x:c r="F836" s="8" t="str">
        <x:v>기존 검증 정답</x:v>
      </x:c>
      <x:c r="G836" s="8" t="str">
        <x:v>https://health.kdca.go.kr/healthinfo/biz/health/gnrlzHealthInfo/gnrlzHealthInfo/gnrlzHealthInfoMain.do</x:v>
      </x:c>
      <x:c r="H836" s="8" t="str">
        <x:v>{
  "disease": "뎅기열, 치쿤구니야열",
  "section": "역학 및 통계 / 증상",
  "category": "disease"
}</x:v>
      </x:c>
    </x:row>
    <x:row r="837" ht="54" customHeight="1">
      <x:c r="A837" s="8" t="str">
        <x:v>gold-disease-51da5318f8b42c28</x:v>
      </x:c>
      <x:c r="B837" s="8" t="str">
        <x:v>kdca-1469-26</x:v>
      </x:c>
      <x:c r="C837" s="8" t="str">
        <x:v>kdca-1469-26</x:v>
      </x:c>
      <x:c r="D837" s="8" t="str">
        <x:v>근거와 함께 답변</x:v>
      </x:c>
      <x:c r="E837" s="15" t="n">
        <x:v>835</x:v>
      </x:c>
      <x:c r="F837" s="8" t="str">
        <x:v>기존 검증 정답</x:v>
      </x:c>
      <x:c r="G837" s="8" t="str">
        <x:v>https://health.kdca.go.kr/healthinfo/biz/health/gnrlzHealthInfo/gnrlzHealthInfo/gnrlzHealthInfoMain.do</x:v>
      </x:c>
      <x:c r="H837" s="8" t="str">
        <x:v>{
  "disease": "색각이상(색맹)",
  "section": "진단 및 검사",
  "category": "disease"
}</x:v>
      </x:c>
    </x:row>
    <x:row r="838" ht="54" customHeight="1">
      <x:c r="A838" s="8" t="str">
        <x:v>gold-disease-34d3107525bccc4b</x:v>
      </x:c>
      <x:c r="B838" s="8" t="str">
        <x:v>kdca-5679-0</x:v>
      </x:c>
      <x:c r="C838" s="8" t="str">
        <x:v>kdca-5679-0</x:v>
      </x:c>
      <x:c r="D838" s="8" t="str">
        <x:v>근거와 함께 답변</x:v>
      </x:c>
      <x:c r="E838" s="15" t="n">
        <x:v>836</x:v>
      </x:c>
      <x:c r="F838" s="8" t="str">
        <x:v>기존 검증 정답</x:v>
      </x:c>
      <x:c r="G838" s="8" t="str">
        <x:v>https://health.kdca.go.kr/healthinfo/biz/health/gnrlzHealthInfo/gnrlzHealthInfo/gnrlzHealthInfoMain.do</x:v>
      </x:c>
      <x:c r="H838" s="8" t="str">
        <x:v>{
  "disease": "열상",
  "section": "요약문",
  "category": "disease"
}</x:v>
      </x:c>
    </x:row>
    <x:row r="839" ht="54" customHeight="1">
      <x:c r="A839" s="8" t="str">
        <x:v>gold-disease-7240d0ac1bdf2040</x:v>
      </x:c>
      <x:c r="B839" s="8" t="str">
        <x:v>kdca-6675-46</x:v>
      </x:c>
      <x:c r="C839" s="8" t="str">
        <x:v>kdca-6675-46</x:v>
      </x:c>
      <x:c r="D839" s="8" t="str">
        <x:v>근거와 함께 답변</x:v>
      </x:c>
      <x:c r="E839" s="15" t="n">
        <x:v>837</x:v>
      </x:c>
      <x:c r="F839" s="8" t="str">
        <x:v>VDB 후속 설명 보강</x:v>
      </x:c>
      <x:c r="G839" s="8" t="str">
        <x:v>https://health.kdca.go.kr/healthinfo/biz/health/gnrlzHealthInfo/gnrlzHealthInfo/gnrlzHealthInfoMain.do</x:v>
      </x:c>
      <x:c r="H839" s="8" t="str">
        <x:v>{
  "disease": "렙토스피라증",
  "section": "위험요인 및 예방",
  "category": "disease"
}</x:v>
      </x:c>
    </x:row>
    <x:row r="840" ht="54" customHeight="1">
      <x:c r="A840" s="8" t="str">
        <x:v>gold-disease-19854e388b1bfd69</x:v>
      </x:c>
      <x:c r="B840" s="8" t="str">
        <x:v>kdca-6294-7</x:v>
      </x:c>
      <x:c r="C840" s="8" t="str">
        <x:v>kdca-6294-7</x:v>
      </x:c>
      <x:c r="D840" s="8" t="str">
        <x:v>근거와 함께 답변</x:v>
      </x:c>
      <x:c r="E840" s="15" t="n">
        <x:v>838</x:v>
      </x:c>
      <x:c r="F840" s="8" t="str">
        <x:v>기존 검증 정답</x:v>
      </x:c>
      <x:c r="G840" s="8" t="str">
        <x:v>https://health.kdca.go.kr/healthinfo/biz/health/gnrlzHealthInfo/gnrlzHealthInfo/gnrlzHealthInfoMain.do</x:v>
      </x:c>
      <x:c r="H840" s="8" t="str">
        <x:v>{
  "disease": "간흡충증",
  "section": "진단 및 검사 / 예방 및 예방접종",
  "category": "disease"
}</x:v>
      </x:c>
    </x:row>
    <x:row r="841" ht="54" customHeight="1">
      <x:c r="A841" s="8" t="str">
        <x:v>gold-disease-478adb0e9496d5ab</x:v>
      </x:c>
      <x:c r="B841" s="8" t="str">
        <x:v>kdca-5833-30</x:v>
      </x:c>
      <x:c r="C841" s="8" t="str">
        <x:v>kdca-5833-30</x:v>
      </x:c>
      <x:c r="D841" s="8" t="str">
        <x:v>근거와 함께 답변</x:v>
      </x:c>
      <x:c r="E841" s="15" t="n">
        <x:v>839</x:v>
      </x:c>
      <x:c r="F841" s="8" t="str">
        <x:v>VDB 후속 설명 보강</x:v>
      </x:c>
      <x:c r="G841" s="8" t="str">
        <x:v>https://health.kdca.go.kr/healthinfo/biz/health/gnrlzHealthInfo/gnrlzHealthInfo/gnrlzHealthInfoMain.do</x:v>
      </x:c>
      <x:c r="H841" s="8" t="str">
        <x:v>{
  "disease": "골다공증",
  "section": "연관 증상",
  "category": "disease"
}</x:v>
      </x:c>
    </x:row>
    <x:row r="842" ht="54" customHeight="1">
      <x:c r="A842" s="8" t="str">
        <x:v>gold-disease-75d0824a671e3b12</x:v>
      </x:c>
      <x:c r="B842" s="8" t="str">
        <x:v>kdca-4008-25</x:v>
      </x:c>
      <x:c r="C842" s="8" t="str">
        <x:v>kdca-4008-25</x:v>
      </x:c>
      <x:c r="D842" s="8" t="str">
        <x:v>근거와 함께 답변</x:v>
      </x:c>
      <x:c r="E842" s="15" t="n">
        <x:v>840</x:v>
      </x:c>
      <x:c r="F842" s="8" t="str">
        <x:v>기존 검증 정답</x:v>
      </x:c>
      <x:c r="G842" s="8" t="str">
        <x:v>https://health.kdca.go.kr/healthinfo/biz/health/gnrlzHealthInfo/gnrlzHealthInfo/gnrlzHealthInfoMain.do</x:v>
      </x:c>
      <x:c r="H842" s="8" t="str">
        <x:v>{
  "disease": "소아 비만",
  "section": "진단 및 검사 / 치료",
  "category": "disease"
}</x:v>
      </x:c>
    </x:row>
    <x:row r="843" ht="54" customHeight="1">
      <x:c r="A843" s="8" t="str">
        <x:v>gold-disease-dd5aa89d6be09edd</x:v>
      </x:c>
      <x:c r="B843" s="8" t="str">
        <x:v>kdca-1807-0</x:v>
      </x:c>
      <x:c r="C843" s="8" t="str">
        <x:v>kdca-1807-0</x:v>
      </x:c>
      <x:c r="D843" s="8" t="str">
        <x:v>근거와 함께 답변</x:v>
      </x:c>
      <x:c r="E843" s="15" t="n">
        <x:v>841</x:v>
      </x:c>
      <x:c r="F843" s="8" t="str">
        <x:v>기존 검증 정답</x:v>
      </x:c>
      <x:c r="G843" s="8" t="str">
        <x:v>https://health.kdca.go.kr/healthinfo/biz/health/gnrlzHealthInfo/gnrlzHealthInfo/gnrlzHealthInfoMain.do</x:v>
      </x:c>
      <x:c r="H843" s="8" t="str">
        <x:v>{
  "disease": "성조숙증",
  "section": "요약문",
  "category": "disease"
}</x:v>
      </x:c>
    </x:row>
    <x:row r="844" ht="54" customHeight="1">
      <x:c r="A844" s="8" t="str">
        <x:v>gold-disease-891304f92f5e1407</x:v>
      </x:c>
      <x:c r="B844" s="8" t="str">
        <x:v>kdca-1608-3</x:v>
      </x:c>
      <x:c r="C844" s="8" t="str">
        <x:v>kdca-1608-3</x:v>
      </x:c>
      <x:c r="D844" s="8" t="str">
        <x:v>근거와 함께 답변</x:v>
      </x:c>
      <x:c r="E844" s="15" t="n">
        <x:v>842</x:v>
      </x:c>
      <x:c r="F844" s="8" t="str">
        <x:v>VDB 후속 설명 보강</x:v>
      </x:c>
      <x:c r="G844" s="8" t="str">
        <x:v>https://health.kdca.go.kr/healthinfo/biz/health/gnrlzHealthInfo/gnrlzHealthInfo/gnrlzHealthInfoMain.do</x:v>
      </x:c>
      <x:c r="H844" s="8" t="str">
        <x:v>{
  "disease": "외이도염(악성 외이도염)",
  "section": "증상 / 진단 및 검사",
  "category": "disease"
}</x:v>
      </x:c>
    </x:row>
    <x:row r="845" ht="54" customHeight="1">
      <x:c r="A845" s="8" t="str">
        <x:v>gold-disease-639803329c67f98f</x:v>
      </x:c>
      <x:c r="B845" s="8" t="str">
        <x:v>kdca-6488-8</x:v>
      </x:c>
      <x:c r="C845" s="8" t="str">
        <x:v>kdca-6488-8</x:v>
      </x:c>
      <x:c r="D845" s="8" t="str">
        <x:v>근거와 함께 답변</x:v>
      </x:c>
      <x:c r="E845" s="15" t="n">
        <x:v>843</x:v>
      </x:c>
      <x:c r="F845" s="8" t="str">
        <x:v>VDB 후속 설명 보강</x:v>
      </x:c>
      <x:c r="G845" s="8" t="str">
        <x:v>https://health.kdca.go.kr/healthinfo/biz/health/gnrlzHealthInfo/gnrlzHealthInfo/gnrlzHealthInfoMain.do</x:v>
      </x:c>
      <x:c r="H845" s="8" t="str">
        <x:v>{
  "disease": "탈장(성인)",
  "section": "증상",
  "category": "disease"
}</x:v>
      </x:c>
    </x:row>
    <x:row r="846" ht="54" customHeight="1">
      <x:c r="A846" s="8" t="str">
        <x:v>gold-disease-4675ba11efb55155</x:v>
      </x:c>
      <x:c r="B846" s="8" t="str">
        <x:v>kdca-6260-4</x:v>
      </x:c>
      <x:c r="C846" s="8" t="str">
        <x:v>kdca-6260-4</x:v>
      </x:c>
      <x:c r="D846" s="8" t="str">
        <x:v>근거와 함께 답변</x:v>
      </x:c>
      <x:c r="E846" s="15" t="n">
        <x:v>844</x:v>
      </x:c>
      <x:c r="F846" s="8" t="str">
        <x:v>기존 검증 정답</x:v>
      </x:c>
      <x:c r="G846" s="8" t="str">
        <x:v>https://health.kdca.go.kr/healthinfo/biz/health/gnrlzHealthInfo/gnrlzHealthInfo/gnrlzHealthInfoMain.do</x:v>
      </x:c>
      <x:c r="H846" s="8" t="str">
        <x:v>{
  "disease": "흉막염과 농흉",
  "section": "증상 / 진단 및 검사",
  "category": "disease"
}</x:v>
      </x:c>
    </x:row>
    <x:row r="847" ht="54" customHeight="1">
      <x:c r="A847" s="8" t="str">
        <x:v>gold-disease-f46b308b13012cea</x:v>
      </x:c>
      <x:c r="B847" s="8" t="str">
        <x:v>kdca-3629-0</x:v>
      </x:c>
      <x:c r="C847" s="8" t="str">
        <x:v>kdca-3629-0</x:v>
      </x:c>
      <x:c r="D847" s="8" t="str">
        <x:v>근거와 함께 답변</x:v>
      </x:c>
      <x:c r="E847" s="15" t="n">
        <x:v>845</x:v>
      </x:c>
      <x:c r="F847" s="8" t="str">
        <x:v>기존 검증 정답</x:v>
      </x:c>
      <x:c r="G847" s="8" t="str">
        <x:v>https://health.kdca.go.kr/healthinfo/biz/health/gnrlzHealthInfo/gnrlzHealthInfo/gnrlzHealthInfoMain.do</x:v>
      </x:c>
      <x:c r="H847" s="8" t="str">
        <x:v>{
  "disease": "척추의 형태 이상(척추후만증)",
  "section": "요약문 / 정의 / 종류",
  "category": "disease"
}</x:v>
      </x:c>
    </x:row>
    <x:row r="848" ht="54" customHeight="1">
      <x:c r="A848" s="8" t="str">
        <x:v>gold-disease-2e173d05a2f9f2ce</x:v>
      </x:c>
      <x:c r="B848" s="8" t="str">
        <x:v>kdca-1361-3</x:v>
      </x:c>
      <x:c r="C848" s="8" t="str">
        <x:v>kdca-1361-3</x:v>
      </x:c>
      <x:c r="D848" s="8" t="str">
        <x:v>근거와 함께 답변</x:v>
      </x:c>
      <x:c r="E848" s="15" t="n">
        <x:v>846</x:v>
      </x:c>
      <x:c r="F848" s="8" t="str">
        <x:v>기존 검증 정답</x:v>
      </x:c>
      <x:c r="G848" s="8" t="str">
        <x:v>https://health.kdca.go.kr/healthinfo/biz/health/gnrlzHealthInfo/gnrlzHealthInfo/gnrlzHealthInfoMain.do</x:v>
      </x:c>
      <x:c r="H848" s="8" t="str">
        <x:v>{
  "disease": "안외상(전방출혈)",
  "section": "진단 및 검사",
  "category": "disease"
}</x:v>
      </x:c>
    </x:row>
    <x:row r="849" ht="54" customHeight="1">
      <x:c r="A849" s="8" t="str">
        <x:v>gold-disease-a9e26af64b13811a</x:v>
      </x:c>
      <x:c r="B849" s="8" t="str">
        <x:v>kdca-6557-41</x:v>
      </x:c>
      <x:c r="C849" s="8" t="str">
        <x:v>kdca-6557-41</x:v>
      </x:c>
      <x:c r="D849" s="8" t="str">
        <x:v>근거와 함께 답변</x:v>
      </x:c>
      <x:c r="E849" s="15" t="n">
        <x:v>847</x:v>
      </x:c>
      <x:c r="F849" s="8" t="str">
        <x:v>VDB 후속 설명 보강</x:v>
      </x:c>
      <x:c r="G849" s="8" t="str">
        <x:v>https://health.kdca.go.kr/healthinfo/biz/health/gnrlzHealthInfo/gnrlzHealthInfo/gnrlzHealthInfoMain.do</x:v>
      </x:c>
      <x:c r="H849" s="8" t="str">
        <x:v>{
  "disease": "편두통",
  "section": "약물 치료",
  "category": "disease"
}</x:v>
      </x:c>
    </x:row>
    <x:row r="850" ht="54" customHeight="1">
      <x:c r="A850" s="8" t="str">
        <x:v>gold-disease-b00f561216ffd2ce</x:v>
      </x:c>
      <x:c r="B850" s="8" t="str">
        <x:v>kdca-6744-7</x:v>
      </x:c>
      <x:c r="C850" s="8" t="str">
        <x:v>kdca-6744-7</x:v>
      </x:c>
      <x:c r="D850" s="8" t="str">
        <x:v>근거와 함께 답변</x:v>
      </x:c>
      <x:c r="E850" s="15" t="n">
        <x:v>848</x:v>
      </x:c>
      <x:c r="F850" s="8" t="str">
        <x:v>기존 검증 정답</x:v>
      </x:c>
      <x:c r="G850" s="8" t="str">
        <x:v>https://health.kdca.go.kr/healthinfo/biz/health/gnrlzHealthInfo/gnrlzHealthInfo/gnrlzHealthInfoMain.do</x:v>
      </x:c>
      <x:c r="H850" s="8" t="str">
        <x:v>{
  "disease": "무릎 관절 손상",
  "section": "자주하는 질문 / 참고문헌",
  "category": "disease"
}</x:v>
      </x:c>
    </x:row>
    <x:row r="851" ht="54" customHeight="1">
      <x:c r="A851" s="8" t="str">
        <x:v>gold-disease-aecad19b01c65a47</x:v>
      </x:c>
      <x:c r="B851" s="8" t="str">
        <x:v>kdca-5852-19</x:v>
      </x:c>
      <x:c r="C851" s="8" t="str">
        <x:v>kdca-5852-19</x:v>
      </x:c>
      <x:c r="D851" s="8" t="str">
        <x:v>근거와 함께 답변</x:v>
      </x:c>
      <x:c r="E851" s="15" t="n">
        <x:v>849</x:v>
      </x:c>
      <x:c r="F851" s="8" t="str">
        <x:v>VDB 후속 설명 보강</x:v>
      </x:c>
      <x:c r="G851" s="8" t="str">
        <x:v>https://health.kdca.go.kr/healthinfo/biz/health/gnrlzHealthInfo/gnrlzHealthInfo/gnrlzHealthInfoMain.do</x:v>
      </x:c>
      <x:c r="H851" s="8" t="str">
        <x:v>{
  "disease": "직장염",
  "section": "위험요인 및 예방",
  "category": "disease"
}</x:v>
      </x:c>
    </x:row>
    <x:row r="852" ht="54" customHeight="1">
      <x:c r="A852" s="8" t="str">
        <x:v>gold-disease-a45f1e40a6265f76</x:v>
      </x:c>
      <x:c r="B852" s="8" t="str">
        <x:v>kdca-5963-16</x:v>
      </x:c>
      <x:c r="C852" s="8" t="str">
        <x:v>kdca-5963-16</x:v>
      </x:c>
      <x:c r="D852" s="8" t="str">
        <x:v>근거와 함께 답변</x:v>
      </x:c>
      <x:c r="E852" s="15" t="n">
        <x:v>850</x:v>
      </x:c>
      <x:c r="F852" s="8" t="str">
        <x:v>기존 검증 정답</x:v>
      </x:c>
      <x:c r="G852" s="8" t="str">
        <x:v>https://health.kdca.go.kr/healthinfo/biz/health/gnrlzHealthInfo/gnrlzHealthInfo/gnrlzHealthInfoMain.do</x:v>
      </x:c>
      <x:c r="H852" s="8" t="str">
        <x:v>{
  "disease": "뇌동맥류",
  "section": "진단 및 검사",
  "category": "disease"
}</x:v>
      </x:c>
    </x:row>
    <x:row r="853" ht="54" customHeight="1">
      <x:c r="A853" s="8" t="str">
        <x:v>gold-disease-2cf333a00114561e</x:v>
      </x:c>
      <x:c r="B853" s="8" t="str">
        <x:v>kdca-5811-38</x:v>
      </x:c>
      <x:c r="C853" s="8" t="str">
        <x:v>kdca-5811-38</x:v>
      </x:c>
      <x:c r="D853" s="8" t="str">
        <x:v>근거와 함께 답변</x:v>
      </x:c>
      <x:c r="E853" s="15" t="n">
        <x:v>851</x:v>
      </x:c>
      <x:c r="F853" s="8" t="str">
        <x:v>기존 검증 정답</x:v>
      </x:c>
      <x:c r="G853" s="8" t="str">
        <x:v>https://health.kdca.go.kr/healthinfo/biz/health/gnrlzHealthInfo/gnrlzHealthInfo/gnrlzHealthInfoMain.do</x:v>
      </x:c>
      <x:c r="H853" s="8" t="str">
        <x:v>{
  "disease": "유루증",
  "section": "대상별 맞춤 정보",
  "category": "disease"
}</x:v>
      </x:c>
    </x:row>
    <x:row r="854" ht="54" customHeight="1">
      <x:c r="A854" s="8" t="str">
        <x:v>gold-disease-318916acd9a8e808</x:v>
      </x:c>
      <x:c r="B854" s="8" t="str">
        <x:v>kdca-6308-41</x:v>
      </x:c>
      <x:c r="C854" s="8" t="str">
        <x:v>kdca-6308-41</x:v>
      </x:c>
      <x:c r="D854" s="8" t="str">
        <x:v>근거와 함께 답변</x:v>
      </x:c>
      <x:c r="E854" s="15" t="n">
        <x:v>852</x:v>
      </x:c>
      <x:c r="F854" s="8" t="str">
        <x:v>기존 검증 정답</x:v>
      </x:c>
      <x:c r="G854" s="8" t="str">
        <x:v>https://health.kdca.go.kr/healthinfo/biz/health/gnrlzHealthInfo/gnrlzHealthInfo/gnrlzHealthInfoMain.do</x:v>
      </x:c>
      <x:c r="H854" s="8" t="str">
        <x:v>{
  "disease": "수면무호흡증",
  "section": "자주하는 질문",
  "category": "disease"
}</x:v>
      </x:c>
    </x:row>
    <x:row r="855" ht="54" customHeight="1">
      <x:c r="A855" s="8" t="str">
        <x:v>gold-disease-b3b00a8626e5cbc8</x:v>
      </x:c>
      <x:c r="B855" s="8" t="str">
        <x:v>kdca-2968-3</x:v>
      </x:c>
      <x:c r="C855" s="8" t="str">
        <x:v>kdca-2968-3</x:v>
      </x:c>
      <x:c r="D855" s="8" t="str">
        <x:v>근거와 함께 답변</x:v>
      </x:c>
      <x:c r="E855" s="15" t="n">
        <x:v>853</x:v>
      </x:c>
      <x:c r="F855" s="8" t="str">
        <x:v>VDB 후속 설명 보강</x:v>
      </x:c>
      <x:c r="G855" s="8" t="str">
        <x:v>https://health.kdca.go.kr/healthinfo/biz/health/gnrlzHealthInfo/gnrlzHealthInfo/gnrlzHealthInfoMain.do</x:v>
      </x:c>
      <x:c r="H855" s="8" t="str">
        <x:v>{
  "disease": "심낭염(급성 심낭염)",
  "section": "증상 / 진단 및 검사",
  "category": "disease"
}</x:v>
      </x:c>
    </x:row>
    <x:row r="856" ht="54" customHeight="1">
      <x:c r="A856" s="8" t="str">
        <x:v>gold-disease-d8db75a74d209a3a</x:v>
      </x:c>
      <x:c r="B856" s="8" t="str">
        <x:v>kdca-6745-9</x:v>
      </x:c>
      <x:c r="C856" s="8" t="str">
        <x:v>kdca-6745-9</x:v>
      </x:c>
      <x:c r="D856" s="8" t="str">
        <x:v>근거와 함께 답변</x:v>
      </x:c>
      <x:c r="E856" s="15" t="n">
        <x:v>854</x:v>
      </x:c>
      <x:c r="F856" s="8" t="str">
        <x:v>기존 검증 정답</x:v>
      </x:c>
      <x:c r="G856" s="8" t="str">
        <x:v>https://health.kdca.go.kr/healthinfo/biz/health/gnrlzHealthInfo/gnrlzHealthInfo/gnrlzHealthInfoMain.do</x:v>
      </x:c>
      <x:c r="H856" s="8" t="str">
        <x:v>{
  "disease": "무릎 관절 주위의 골절",
  "section": "합병증 / 참고문헌",
  "category": "disease"
}</x:v>
      </x:c>
    </x:row>
    <x:row r="857" ht="54" customHeight="1">
      <x:c r="A857" s="8" t="str">
        <x:v>gold-disease-c731eafbc1acaf49</x:v>
      </x:c>
      <x:c r="B857" s="8" t="str">
        <x:v>kdca-5485-24</x:v>
      </x:c>
      <x:c r="C857" s="8" t="str">
        <x:v>kdca-5485-24</x:v>
      </x:c>
      <x:c r="D857" s="8" t="str">
        <x:v>근거와 함께 답변</x:v>
      </x:c>
      <x:c r="E857" s="15" t="n">
        <x:v>855</x:v>
      </x:c>
      <x:c r="F857" s="8" t="str">
        <x:v>기존 검증 정답</x:v>
      </x:c>
      <x:c r="G857" s="8" t="str">
        <x:v>https://health.kdca.go.kr/healthinfo/biz/health/gnrlzHealthInfo/gnrlzHealthInfo/gnrlzHealthInfoMain.do</x:v>
      </x:c>
      <x:c r="H857" s="8" t="str">
        <x:v>{
  "disease": "구내염",
  "section": "진단 및 검사",
  "category": "disease"
}</x:v>
      </x:c>
    </x:row>
    <x:row r="858" ht="54" customHeight="1">
      <x:c r="A858" s="8" t="str">
        <x:v>gold-disease-2c7fea4acd43bf17</x:v>
      </x:c>
      <x:c r="B858" s="8" t="str">
        <x:v>kdca-2447-12</x:v>
      </x:c>
      <x:c r="C858" s="8" t="str">
        <x:v>kdca-2447-12</x:v>
      </x:c>
      <x:c r="D858" s="8" t="str">
        <x:v>근거와 함께 답변</x:v>
      </x:c>
      <x:c r="E858" s="15" t="n">
        <x:v>856</x:v>
      </x:c>
      <x:c r="F858" s="8" t="str">
        <x:v>기존 검증 정답</x:v>
      </x:c>
      <x:c r="G858" s="8" t="str">
        <x:v>https://health.kdca.go.kr/healthinfo/biz/health/gnrlzHealthInfo/gnrlzHealthInfo/gnrlzHealthInfoMain.do</x:v>
      </x:c>
      <x:c r="H858" s="8" t="str">
        <x:v>{
  "disease": "노인 변비",
  "section": "증상",
  "category": "disease"
}</x:v>
      </x:c>
    </x:row>
    <x:row r="859" ht="54" customHeight="1">
      <x:c r="A859" s="8" t="str">
        <x:v>gold-disease-1ab8e4e8c9fb76b4</x:v>
      </x:c>
      <x:c r="B859" s="8" t="str">
        <x:v>kdca-6528-5</x:v>
      </x:c>
      <x:c r="C859" s="8" t="str">
        <x:v>kdca-6528-5</x:v>
      </x:c>
      <x:c r="D859" s="8" t="str">
        <x:v>근거와 함께 답변</x:v>
      </x:c>
      <x:c r="E859" s="15" t="n">
        <x:v>857</x:v>
      </x:c>
      <x:c r="F859" s="8" t="str">
        <x:v>기존 검증 정답</x:v>
      </x:c>
      <x:c r="G859" s="8" t="str">
        <x:v>https://health.kdca.go.kr/healthinfo/biz/health/gnrlzHealthInfo/gnrlzHealthInfo/gnrlzHealthInfoMain.do</x:v>
      </x:c>
      <x:c r="H859" s="8" t="str">
        <x:v>{
  "disease": "직업성 호흡기질환(진폐증)",
  "section": "증상",
  "category": "disease"
}</x:v>
      </x:c>
    </x:row>
    <x:row r="860" ht="54" customHeight="1">
      <x:c r="A860" s="8" t="str">
        <x:v>gold-disease-ef8e8e91a383e4c4</x:v>
      </x:c>
      <x:c r="B860" s="8" t="str">
        <x:v>kdca-5529-12</x:v>
      </x:c>
      <x:c r="C860" s="8" t="str">
        <x:v>kdca-5529-12</x:v>
      </x:c>
      <x:c r="D860" s="8" t="str">
        <x:v>근거와 함께 답변</x:v>
      </x:c>
      <x:c r="E860" s="15" t="n">
        <x:v>858</x:v>
      </x:c>
      <x:c r="F860" s="8" t="str">
        <x:v>기존 검증 정답</x:v>
      </x:c>
      <x:c r="G860" s="8" t="str">
        <x:v>https://health.kdca.go.kr/healthinfo/biz/health/gnrlzHealthInfo/gnrlzHealthInfo/gnrlzHealthInfoMain.do</x:v>
      </x:c>
      <x:c r="H860" s="8" t="str">
        <x:v>{
  "disease": "포충증",
  "section": "치료",
  "category": "disease"
}</x:v>
      </x:c>
    </x:row>
    <x:row r="861" ht="54" customHeight="1">
      <x:c r="A861" s="8" t="str">
        <x:v>gold-disease-b201e70682e3f99a</x:v>
      </x:c>
      <x:c r="B861" s="8" t="str">
        <x:v>kdca-6569-78</x:v>
      </x:c>
      <x:c r="C861" s="8" t="str">
        <x:v>kdca-6569-78</x:v>
      </x:c>
      <x:c r="D861" s="8" t="str">
        <x:v>근거와 함께 답변</x:v>
      </x:c>
      <x:c r="E861" s="15" t="n">
        <x:v>859</x:v>
      </x:c>
      <x:c r="F861" s="8" t="str">
        <x:v>기존 검증 정답</x:v>
      </x:c>
      <x:c r="G861" s="8" t="str">
        <x:v>https://health.kdca.go.kr/healthinfo/biz/health/gnrlzHealthInfo/gnrlzHealthInfo/gnrlzHealthInfoMain.do</x:v>
      </x:c>
      <x:c r="H861" s="8" t="str">
        <x:v>{
  "disease": "뇌성마비",
  "section": "자주하는 질문",
  "category": "disease"
}</x:v>
      </x:c>
    </x:row>
    <x:row r="862" ht="54" customHeight="1">
      <x:c r="A862" s="8" t="str">
        <x:v>gold-disease-bfde08fce77c0694</x:v>
      </x:c>
      <x:c r="B862" s="8" t="str">
        <x:v>kdca-5343-4</x:v>
      </x:c>
      <x:c r="C862" s="8" t="str">
        <x:v>kdca-5343-4</x:v>
      </x:c>
      <x:c r="D862" s="8" t="str">
        <x:v>근거와 함께 답변</x:v>
      </x:c>
      <x:c r="E862" s="15" t="n">
        <x:v>860</x:v>
      </x:c>
      <x:c r="F862" s="8" t="str">
        <x:v>기존 검증 정답</x:v>
      </x:c>
      <x:c r="G862" s="8" t="str">
        <x:v>https://health.kdca.go.kr/healthinfo/biz/health/gnrlzHealthInfo/gnrlzHealthInfo/gnrlzHealthInfoMain.do</x:v>
      </x:c>
      <x:c r="H862" s="8" t="str">
        <x:v>{
  "disease": "장흡충증",
  "section": "역학 및 통계",
  "category": "disease"
}</x:v>
      </x:c>
    </x:row>
    <x:row r="863" ht="54" customHeight="1">
      <x:c r="A863" s="8" t="str">
        <x:v>gold-disease-e9c1c17283419b84</x:v>
      </x:c>
      <x:c r="B863" s="8" t="str">
        <x:v>kdca-2247-13</x:v>
      </x:c>
      <x:c r="C863" s="8" t="str">
        <x:v>kdca-2247-13</x:v>
      </x:c>
      <x:c r="D863" s="8" t="str">
        <x:v>근거와 함께 답변</x:v>
      </x:c>
      <x:c r="E863" s="15" t="n">
        <x:v>861</x:v>
      </x:c>
      <x:c r="F863" s="8" t="str">
        <x:v>기존 검증 정답</x:v>
      </x:c>
      <x:c r="G863" s="8" t="str">
        <x:v>https://health.kdca.go.kr/healthinfo/biz/health/gnrlzHealthInfo/gnrlzHealthInfo/gnrlzHealthInfoMain.do</x:v>
      </x:c>
      <x:c r="H863" s="8" t="str">
        <x:v>{
  "disease": "위용종",
  "section": "진단 및 검사",
  "category": "disease"
}</x:v>
      </x:c>
    </x:row>
    <x:row r="864" ht="54" customHeight="1">
      <x:c r="A864" s="8" t="str">
        <x:v>gold-disease-89973b669b3f57cf</x:v>
      </x:c>
      <x:c r="B864" s="8" t="str">
        <x:v>kdca-5259-36</x:v>
      </x:c>
      <x:c r="C864" s="8" t="str">
        <x:v>kdca-5259-36</x:v>
      </x:c>
      <x:c r="D864" s="8" t="str">
        <x:v>근거와 함께 답변</x:v>
      </x:c>
      <x:c r="E864" s="15" t="n">
        <x:v>862</x:v>
      </x:c>
      <x:c r="F864" s="8" t="str">
        <x:v>기존 검증 정답</x:v>
      </x:c>
      <x:c r="G864" s="8" t="str">
        <x:v>https://health.kdca.go.kr/healthinfo/biz/health/gnrlzHealthInfo/gnrlzHealthInfo/gnrlzHealthInfoMain.do</x:v>
      </x:c>
      <x:c r="H864" s="8" t="str">
        <x:v>{
  "disease": "저혈압",
  "section": "진단 및 검사",
  "category": "disease"
}</x:v>
      </x:c>
    </x:row>
    <x:row r="865" ht="54" customHeight="1">
      <x:c r="A865" s="8" t="str">
        <x:v>gold-disease-ccf27a140028446b</x:v>
      </x:c>
      <x:c r="B865" s="8" t="str">
        <x:v>kdca-6690-11</x:v>
      </x:c>
      <x:c r="C865" s="8" t="str">
        <x:v>kdca-6690-11</x:v>
      </x:c>
      <x:c r="D865" s="8" t="str">
        <x:v>근거와 함께 답변</x:v>
      </x:c>
      <x:c r="E865" s="15" t="n">
        <x:v>863</x:v>
      </x:c>
      <x:c r="F865" s="8" t="str">
        <x:v>기존 검증 정답</x:v>
      </x:c>
      <x:c r="G865" s="8" t="str">
        <x:v>https://health.kdca.go.kr/healthinfo/biz/health/gnrlzHealthInfo/gnrlzHealthInfo/gnrlzHealthInfoMain.do</x:v>
      </x:c>
      <x:c r="H865" s="8" t="str">
        <x:v>{
  "disease": "녹내장",
  "section": "증상",
  "category": "disease"
}</x:v>
      </x:c>
    </x:row>
    <x:row r="866" ht="54" customHeight="1">
      <x:c r="A866" s="8" t="str">
        <x:v>gold-disease-46e820168a63fdaf</x:v>
      </x:c>
      <x:c r="B866" s="8" t="str">
        <x:v>kdca-6581-24</x:v>
      </x:c>
      <x:c r="C866" s="8" t="str">
        <x:v>kdca-6581-24</x:v>
      </x:c>
      <x:c r="D866" s="8" t="str">
        <x:v>근거와 함께 답변</x:v>
      </x:c>
      <x:c r="E866" s="15" t="n">
        <x:v>864</x:v>
      </x:c>
      <x:c r="F866" s="8" t="str">
        <x:v>기존 검증 정답</x:v>
      </x:c>
      <x:c r="G866" s="8" t="str">
        <x:v>https://health.kdca.go.kr/healthinfo/biz/health/gnrlzHealthInfo/gnrlzHealthInfo/gnrlzHealthInfoMain.do</x:v>
      </x:c>
      <x:c r="H866" s="8" t="str">
        <x:v>{
  "disease": "두드러기",
  "section": "진단 및 검사",
  "category": "disease"
}</x:v>
      </x:c>
    </x:row>
    <x:row r="867" ht="54" customHeight="1">
      <x:c r="A867" s="8" t="str">
        <x:v>gold-disease-02023e3c5d197aa0</x:v>
      </x:c>
      <x:c r="B867" s="8" t="str">
        <x:v>kdca-5685-0</x:v>
      </x:c>
      <x:c r="C867" s="8" t="str">
        <x:v>kdca-5685-0</x:v>
      </x:c>
      <x:c r="D867" s="8" t="str">
        <x:v>근거와 함께 답변</x:v>
      </x:c>
      <x:c r="E867" s="15" t="n">
        <x:v>865</x:v>
      </x:c>
      <x:c r="F867" s="8" t="str">
        <x:v>기존 검증 정답</x:v>
      </x:c>
      <x:c r="G867" s="8" t="str">
        <x:v>https://health.kdca.go.kr/healthinfo/biz/health/gnrlzHealthInfo/gnrlzHealthInfo/gnrlzHealthInfoMain.do</x:v>
      </x:c>
      <x:c r="H867" s="8" t="str">
        <x:v>{
  "disease": "유두분비",
  "section": "요약문",
  "category": "symptom"
}</x:v>
      </x:c>
    </x:row>
    <x:row r="868" ht="54" customHeight="1">
      <x:c r="A868" s="8" t="str">
        <x:v>gold-disease-3529e47644ad1587</x:v>
      </x:c>
      <x:c r="B868" s="8" t="str">
        <x:v>kdca-6708-11</x:v>
      </x:c>
      <x:c r="C868" s="8" t="str">
        <x:v>kdca-6708-11</x:v>
      </x:c>
      <x:c r="D868" s="8" t="str">
        <x:v>근거와 함께 답변</x:v>
      </x:c>
      <x:c r="E868" s="15" t="n">
        <x:v>866</x:v>
      </x:c>
      <x:c r="F868" s="8" t="str">
        <x:v>기존 검증 정답</x:v>
      </x:c>
      <x:c r="G868" s="8" t="str">
        <x:v>https://health.kdca.go.kr/healthinfo/biz/health/gnrlzHealthInfo/gnrlzHealthInfo/gnrlzHealthInfoMain.do</x:v>
      </x:c>
      <x:c r="H868" s="8" t="str">
        <x:v>{
  "disease": "위십이지장 궤양",
  "section": "증상",
  "category": "disease"
}</x:v>
      </x:c>
    </x:row>
    <x:row r="869" ht="54" customHeight="1">
      <x:c r="A869" s="8" t="str">
        <x:v>gold-disease-na-62165e468afed9aa</x:v>
      </x:c>
      <x:c r="B869" s="8" t="str"/>
      <x:c r="C869" s="8" t="str"/>
      <x:c r="D869" s="8" t="str">
        <x:v>답변 거부 또는 추가 확인 요청</x:v>
      </x:c>
      <x:c r="E869" s="15" t="n">
        <x:v>867</x:v>
      </x:c>
      <x:c r="F869" s="8" t="str">
        <x:v>답변 거부 기준 문구</x:v>
      </x:c>
      <x:c r="G869" s="8" t="str">
        <x:v>https://health.kdca.go.kr/healthinfo/biz/health/gnrlzHealthInfo/gnrlzHealthInfo/gnrlzHealthInfoMain.do</x:v>
      </x:c>
      <x:c r="H869" s="8" t="str">
        <x:v>{
  "disease": "노안",
  "section": "경과 및 예후",
  "category": "disease"
}</x:v>
      </x:c>
    </x:row>
    <x:row r="870" ht="54" customHeight="1">
      <x:c r="A870" s="8" t="str">
        <x:v>gold-disease-07b47e92eeec7431</x:v>
      </x:c>
      <x:c r="B870" s="8" t="str">
        <x:v>kdca-5318-21</x:v>
      </x:c>
      <x:c r="C870" s="8" t="str">
        <x:v>kdca-5318-21</x:v>
      </x:c>
      <x:c r="D870" s="8" t="str">
        <x:v>근거와 함께 답변</x:v>
      </x:c>
      <x:c r="E870" s="15" t="n">
        <x:v>868</x:v>
      </x:c>
      <x:c r="F870" s="8" t="str">
        <x:v>기존 검증 정답</x:v>
      </x:c>
      <x:c r="G870" s="8" t="str">
        <x:v>https://health.kdca.go.kr/healthinfo/biz/health/gnrlzHealthInfo/gnrlzHealthInfo/gnrlzHealthInfoMain.do</x:v>
      </x:c>
      <x:c r="H870" s="8" t="str">
        <x:v>{
  "disease": "급성 충수염",
  "section": "대상별 맞춤 정보",
  "category": "disease"
}</x:v>
      </x:c>
    </x:row>
    <x:row r="871" ht="54" customHeight="1">
      <x:c r="A871" s="8" t="str">
        <x:v>gold-disease-6e132688348bbe87</x:v>
      </x:c>
      <x:c r="B871" s="8" t="str">
        <x:v>kdca-5865-57</x:v>
      </x:c>
      <x:c r="C871" s="8" t="str">
        <x:v>kdca-5865-57</x:v>
      </x:c>
      <x:c r="D871" s="8" t="str">
        <x:v>근거와 함께 답변</x:v>
      </x:c>
      <x:c r="E871" s="15" t="n">
        <x:v>869</x:v>
      </x:c>
      <x:c r="F871" s="8" t="str">
        <x:v>기존 검증 정답</x:v>
      </x:c>
      <x:c r="G871" s="8" t="str">
        <x:v>https://health.kdca.go.kr/healthinfo/biz/health/gnrlzHealthInfo/gnrlzHealthInfo/gnrlzHealthInfoMain.do</x:v>
      </x:c>
      <x:c r="H871" s="8" t="str">
        <x:v>{
  "disease": "림프절 종대",
  "section": "치료",
  "category": "disease"
}</x:v>
      </x:c>
    </x:row>
    <x:row r="872" ht="54" customHeight="1">
      <x:c r="A872" s="8" t="str">
        <x:v>gold-disease-b18ec4174723e954</x:v>
      </x:c>
      <x:c r="B872" s="8" t="str">
        <x:v>kdca-3768-27</x:v>
      </x:c>
      <x:c r="C872" s="8" t="str">
        <x:v>kdca-3768-27</x:v>
      </x:c>
      <x:c r="D872" s="8" t="str">
        <x:v>근거와 함께 답변</x:v>
      </x:c>
      <x:c r="E872" s="15" t="n">
        <x:v>870</x:v>
      </x:c>
      <x:c r="F872" s="8" t="str">
        <x:v>기존 검증 정답</x:v>
      </x:c>
      <x:c r="G872" s="8" t="str">
        <x:v>https://health.kdca.go.kr/healthinfo/biz/health/gnrlzHealthInfo/gnrlzHealthInfo/gnrlzHealthInfoMain.do</x:v>
      </x:c>
      <x:c r="H872" s="8" t="str">
        <x:v>{
  "disease": "코피(비출혈)",
  "section": "역학 및 통계 / 증상",
  "category": "disease"
}</x:v>
      </x:c>
    </x:row>
    <x:row r="873" ht="54" customHeight="1">
      <x:c r="A873" s="8" t="str">
        <x:v>gold-disease-39dcec51c5f5c69c</x:v>
      </x:c>
      <x:c r="B873" s="8" t="str">
        <x:v>kdca-5689-11</x:v>
      </x:c>
      <x:c r="C873" s="8" t="str">
        <x:v>kdca-5689-11</x:v>
      </x:c>
      <x:c r="D873" s="8" t="str">
        <x:v>근거와 함께 답변</x:v>
      </x:c>
      <x:c r="E873" s="15" t="n">
        <x:v>871</x:v>
      </x:c>
      <x:c r="F873" s="8" t="str">
        <x:v>VDB 원인·위험요인 청크 재선정</x:v>
      </x:c>
      <x:c r="G873" s="8" t="str">
        <x:v>https://health.kdca.go.kr/healthinfo/biz/health/gnrlzHealthInfo/gnrlzHealthInfo/gnrlzHealthInfoMain.do</x:v>
      </x:c>
      <x:c r="H873" s="8" t="str">
        <x:v>{
  "disease": "자극접촉피부염",
  "section": "합병증 / 위험요인 및 예방",
  "category": "disease"
}</x:v>
      </x:c>
    </x:row>
    <x:row r="874" ht="54" customHeight="1">
      <x:c r="A874" s="8" t="str">
        <x:v>gold-disease-2041d676b2b3ebd3</x:v>
      </x:c>
      <x:c r="B874" s="8" t="str">
        <x:v>kdca-6569-49</x:v>
      </x:c>
      <x:c r="C874" s="8" t="str">
        <x:v>kdca-6569-49</x:v>
      </x:c>
      <x:c r="D874" s="8" t="str">
        <x:v>근거와 함께 답변</x:v>
      </x:c>
      <x:c r="E874" s="15" t="n">
        <x:v>872</x:v>
      </x:c>
      <x:c r="F874" s="8" t="str">
        <x:v>VDB 후속 설명 보강</x:v>
      </x:c>
      <x:c r="G874" s="8" t="str">
        <x:v>https://health.kdca.go.kr/healthinfo/biz/health/gnrlzHealthInfo/gnrlzHealthInfo/gnrlzHealthInfoMain.do</x:v>
      </x:c>
      <x:c r="H874" s="8" t="str">
        <x:v>{
  "disease": "뇌성마비",
  "section": "치료",
  "category": "disease"
}</x:v>
      </x:c>
    </x:row>
    <x:row r="875" ht="54" customHeight="1">
      <x:c r="A875" s="8" t="str">
        <x:v>gold-disease-1de85ff24fce335d</x:v>
      </x:c>
      <x:c r="B875" s="8" t="str">
        <x:v>kdca-6266-14</x:v>
      </x:c>
      <x:c r="C875" s="8" t="str">
        <x:v>kdca-6266-14</x:v>
      </x:c>
      <x:c r="D875" s="8" t="str">
        <x:v>근거와 함께 답변</x:v>
      </x:c>
      <x:c r="E875" s="15" t="n">
        <x:v>873</x:v>
      </x:c>
      <x:c r="F875" s="8" t="str">
        <x:v>기존 검증 정답</x:v>
      </x:c>
      <x:c r="G875" s="8" t="str">
        <x:v>https://health.kdca.go.kr/healthinfo/biz/health/gnrlzHealthInfo/gnrlzHealthInfo/gnrlzHealthInfoMain.do</x:v>
      </x:c>
      <x:c r="H875" s="8" t="str">
        <x:v>{
  "disease": "웨스트나일열",
  "section": "예방 및 예방접종 / 치료",
  "category": "disease"
}</x:v>
      </x:c>
    </x:row>
    <x:row r="876" ht="54" customHeight="1">
      <x:c r="A876" s="8" t="str">
        <x:v>gold-disease-dada13db497a64fb</x:v>
      </x:c>
      <x:c r="B876" s="8" t="str">
        <x:v>kdca-5716-13</x:v>
      </x:c>
      <x:c r="C876" s="8" t="str">
        <x:v>kdca-5716-13</x:v>
      </x:c>
      <x:c r="D876" s="8" t="str">
        <x:v>근거와 함께 답변</x:v>
      </x:c>
      <x:c r="E876" s="15" t="n">
        <x:v>874</x:v>
      </x:c>
      <x:c r="F876" s="8" t="str">
        <x:v>기존 검증 정답</x:v>
      </x:c>
      <x:c r="G876" s="8" t="str">
        <x:v>https://health.kdca.go.kr/healthinfo/biz/health/gnrlzHealthInfo/gnrlzHealthInfo/gnrlzHealthInfoMain.do</x:v>
      </x:c>
      <x:c r="H876" s="8" t="str">
        <x:v>{
  "disease": "잇몸병(치주질환)",
  "section": "진단 및 검사",
  "category": "disease"
}</x:v>
      </x:c>
    </x:row>
    <x:row r="877" ht="54" customHeight="1">
      <x:c r="A877" s="8" t="str">
        <x:v>gold-disease-ba2e1b8d3d8b7d47</x:v>
      </x:c>
      <x:c r="B877" s="8" t="str">
        <x:v>kdca-5844-10</x:v>
      </x:c>
      <x:c r="C877" s="8" t="str">
        <x:v>kdca-5844-10</x:v>
      </x:c>
      <x:c r="D877" s="8" t="str">
        <x:v>근거와 함께 답변</x:v>
      </x:c>
      <x:c r="E877" s="15" t="n">
        <x:v>875</x:v>
      </x:c>
      <x:c r="F877" s="8" t="str">
        <x:v>기존 검증 정답</x:v>
      </x:c>
      <x:c r="G877" s="8" t="str">
        <x:v>https://health.kdca.go.kr/healthinfo/biz/health/gnrlzHealthInfo/gnrlzHealthInfo/gnrlzHealthInfoMain.do</x:v>
      </x:c>
      <x:c r="H877" s="8" t="str">
        <x:v>{
  "disease": "파라티푸스",
  "section": "증상",
  "category": "disease"
}</x:v>
      </x:c>
    </x:row>
    <x:row r="878" ht="54" customHeight="1">
      <x:c r="A878" s="8" t="str">
        <x:v>gold-disease-5cc80d00f27d6131</x:v>
      </x:c>
      <x:c r="B878" s="8" t="str">
        <x:v>kdca-5317-2</x:v>
      </x:c>
      <x:c r="C878" s="8" t="str">
        <x:v>kdca-5317-2</x:v>
      </x:c>
      <x:c r="D878" s="8" t="str">
        <x:v>근거와 함께 답변</x:v>
      </x:c>
      <x:c r="E878" s="15" t="n">
        <x:v>876</x:v>
      </x:c>
      <x:c r="F878" s="8" t="str">
        <x:v>기존 검증 정답</x:v>
      </x:c>
      <x:c r="G878" s="8" t="str">
        <x:v>https://health.kdca.go.kr/healthinfo/biz/health/gnrlzHealthInfo/gnrlzHealthInfo/gnrlzHealthInfoMain.do</x:v>
      </x:c>
      <x:c r="H878" s="8" t="str">
        <x:v>{
  "disease": "성홍열",
  "section": "개요",
  "category": "disease"
}</x:v>
      </x:c>
    </x:row>
    <x:row r="879" ht="54" customHeight="1">
      <x:c r="A879" s="8" t="str">
        <x:v>gold-disease-ff1df392df6546c0</x:v>
      </x:c>
      <x:c r="B879" s="8" t="str">
        <x:v>kdca-5317-15</x:v>
      </x:c>
      <x:c r="C879" s="8" t="str">
        <x:v>kdca-5317-15</x:v>
      </x:c>
      <x:c r="D879" s="8" t="str">
        <x:v>근거와 함께 답변</x:v>
      </x:c>
      <x:c r="E879" s="15" t="n">
        <x:v>877</x:v>
      </x:c>
      <x:c r="F879" s="8" t="str">
        <x:v>기존 검증 정답</x:v>
      </x:c>
      <x:c r="G879" s="8" t="str">
        <x:v>https://health.kdca.go.kr/healthinfo/biz/health/gnrlzHealthInfo/gnrlzHealthInfo/gnrlzHealthInfoMain.do</x:v>
      </x:c>
      <x:c r="H879" s="8" t="str">
        <x:v>{
  "disease": "성홍열",
  "section": "합병증 / 대상별 맞춤 정보",
  "category": "disease"
}</x:v>
      </x:c>
    </x:row>
    <x:row r="880" ht="54" customHeight="1">
      <x:c r="A880" s="8" t="str">
        <x:v>gold-disease-na-061d46b7a9b94f49</x:v>
      </x:c>
      <x:c r="B880" s="8" t="str"/>
      <x:c r="C880" s="8" t="str"/>
      <x:c r="D880" s="8" t="str">
        <x:v>답변 거부 또는 추가 확인 요청</x:v>
      </x:c>
      <x:c r="E880" s="15" t="n">
        <x:v>878</x:v>
      </x:c>
      <x:c r="F880" s="8" t="str">
        <x:v>답변 거부 기준 문구</x:v>
      </x:c>
      <x:c r="G880" s="8" t="str">
        <x:v>https://health.kdca.go.kr/healthinfo/biz/health/gnrlzHealthInfo/gnrlzHealthInfo/gnrlzHealthInfoMain.do</x:v>
      </x:c>
      <x:c r="H880" s="8" t="str">
        <x:v>{
  "disease": "엔테로바이러스 감염증",
  "section": "증상",
  "category": "disease"
}</x:v>
      </x:c>
    </x:row>
    <x:row r="881" ht="54" customHeight="1">
      <x:c r="A881" s="8" t="str">
        <x:v>gold-disease-7f49075f342aba66</x:v>
      </x:c>
      <x:c r="B881" s="8" t="str">
        <x:v>kdca-1362-0</x:v>
      </x:c>
      <x:c r="C881" s="8" t="str">
        <x:v>kdca-1362-0</x:v>
      </x:c>
      <x:c r="D881" s="8" t="str">
        <x:v>근거와 함께 답변</x:v>
      </x:c>
      <x:c r="E881" s="15" t="n">
        <x:v>879</x:v>
      </x:c>
      <x:c r="F881" s="8" t="str">
        <x:v>기존 검증 정답</x:v>
      </x:c>
      <x:c r="G881" s="8" t="str">
        <x:v>https://health.kdca.go.kr/healthinfo/biz/health/gnrlzHealthInfo/gnrlzHealthInfo/gnrlzHealthInfoMain.do</x:v>
      </x:c>
      <x:c r="H881" s="8" t="str">
        <x:v>{
  "disease": "안외상(각막찰과상)",
  "section": "요약문",
  "category": "disease"
}</x:v>
      </x:c>
    </x:row>
    <x:row r="882" ht="54" customHeight="1">
      <x:c r="A882" s="8" t="str">
        <x:v>gold-disease-9229007e0acb28c5</x:v>
      </x:c>
      <x:c r="B882" s="8" t="str">
        <x:v>kdca-6683-9</x:v>
      </x:c>
      <x:c r="C882" s="8" t="str">
        <x:v>kdca-6683-9</x:v>
      </x:c>
      <x:c r="D882" s="8" t="str">
        <x:v>근거와 함께 답변</x:v>
      </x:c>
      <x:c r="E882" s="15" t="n">
        <x:v>880</x:v>
      </x:c>
      <x:c r="F882" s="8" t="str">
        <x:v>기존 검증 정답</x:v>
      </x:c>
      <x:c r="G882" s="8" t="str">
        <x:v>https://health.kdca.go.kr/healthinfo/biz/health/gnrlzHealthInfo/gnrlzHealthInfo/gnrlzHealthInfoMain.do</x:v>
      </x:c>
      <x:c r="H882" s="8" t="str">
        <x:v>{
  "disease": "갑상선 결절",
  "section": "진단 및 검사",
  "category": "disease"
}</x:v>
      </x:c>
    </x:row>
    <x:row r="883" ht="54" customHeight="1">
      <x:c r="A883" s="8" t="str">
        <x:v>gold-disease-375b06c846115954</x:v>
      </x:c>
      <x:c r="B883" s="8" t="str">
        <x:v>kdca-6768-17</x:v>
      </x:c>
      <x:c r="C883" s="8" t="str">
        <x:v>kdca-6768-17</x:v>
      </x:c>
      <x:c r="D883" s="8" t="str">
        <x:v>근거와 함께 답변</x:v>
      </x:c>
      <x:c r="E883" s="15" t="n">
        <x:v>881</x:v>
      </x:c>
      <x:c r="F883" s="8" t="str">
        <x:v>기존 검증 정답</x:v>
      </x:c>
      <x:c r="G883" s="8" t="str">
        <x:v>https://health.kdca.go.kr/healthinfo/biz/health/gnrlzHealthInfo/gnrlzHealthInfo/gnrlzHealthInfoMain.do</x:v>
      </x:c>
      <x:c r="H883" s="8" t="str">
        <x:v>{
  "disease": "수족구병(손발입병)",
  "section": "증상",
  "category": "disease"
}</x:v>
      </x:c>
    </x:row>
    <x:row r="884" ht="54" customHeight="1">
      <x:c r="A884" s="8" t="str">
        <x:v>gold-disease-9186e60ca51d7c2a</x:v>
      </x:c>
      <x:c r="B884" s="8" t="str">
        <x:v>kdca-5714-2</x:v>
      </x:c>
      <x:c r="C884" s="8" t="str">
        <x:v>kdca-5714-2</x:v>
      </x:c>
      <x:c r="D884" s="8" t="str">
        <x:v>근거와 함께 답변</x:v>
      </x:c>
      <x:c r="E884" s="15" t="n">
        <x:v>882</x:v>
      </x:c>
      <x:c r="F884" s="8" t="str">
        <x:v>기존 검증 정답</x:v>
      </x:c>
      <x:c r="G884" s="8" t="str">
        <x:v>https://health.kdca.go.kr/healthinfo/biz/health/gnrlzHealthInfo/gnrlzHealthInfo/gnrlzHealthInfoMain.do</x:v>
      </x:c>
      <x:c r="H884" s="8" t="str">
        <x:v>{
  "disease": "사랑니",
  "section": "개요-정의 / 개요-종류",
  "category": "disease"
}</x:v>
      </x:c>
    </x:row>
    <x:row r="885" ht="54" customHeight="1">
      <x:c r="A885" s="8" t="str">
        <x:v>gold-disease-e097c4b162561b4d</x:v>
      </x:c>
      <x:c r="B885" s="8" t="str">
        <x:v>kdca-6481-2</x:v>
      </x:c>
      <x:c r="C885" s="8" t="str">
        <x:v>kdca-6481-2</x:v>
      </x:c>
      <x:c r="D885" s="8" t="str">
        <x:v>근거와 함께 답변</x:v>
      </x:c>
      <x:c r="E885" s="15" t="n">
        <x:v>883</x:v>
      </x:c>
      <x:c r="F885" s="8" t="str">
        <x:v>기존 검증 정답</x:v>
      </x:c>
      <x:c r="G885" s="8" t="str">
        <x:v>https://health.kdca.go.kr/healthinfo/biz/health/gnrlzHealthInfo/gnrlzHealthInfo/gnrlzHealthInfoMain.do</x:v>
      </x:c>
      <x:c r="H885" s="8" t="str">
        <x:v>{
  "disease": "얼굴떨림(얼굴연축)",
  "section": "개요",
  "category": "disease"
}</x:v>
      </x:c>
    </x:row>
    <x:row r="886" ht="54" customHeight="1">
      <x:c r="A886" s="8" t="str">
        <x:v>gold-disease-8f5330683041d80a</x:v>
      </x:c>
      <x:c r="B886" s="8" t="str">
        <x:v>kdca-5800-8</x:v>
      </x:c>
      <x:c r="C886" s="8" t="str">
        <x:v>kdca-5800-8</x:v>
      </x:c>
      <x:c r="D886" s="8" t="str">
        <x:v>근거와 함께 답변</x:v>
      </x:c>
      <x:c r="E886" s="15" t="n">
        <x:v>884</x:v>
      </x:c>
      <x:c r="F886" s="8" t="str">
        <x:v>기존 검증 정답</x:v>
      </x:c>
      <x:c r="G886" s="8" t="str">
        <x:v>https://health.kdca.go.kr/healthinfo/biz/health/gnrlzHealthInfo/gnrlzHealthInfo/gnrlzHealthInfoMain.do</x:v>
      </x:c>
      <x:c r="H886" s="8" t="str">
        <x:v>{
  "disease": "궤양대장염(궤양결장염)",
  "section": "경과 및 예후",
  "category": "disease"
}</x:v>
      </x:c>
    </x:row>
    <x:row r="887" ht="54" customHeight="1">
      <x:c r="A887" s="8" t="str">
        <x:v>gold-disease-cdede5fb4ba92d24</x:v>
      </x:c>
      <x:c r="B887" s="8" t="str">
        <x:v>kdca-5691-7</x:v>
      </x:c>
      <x:c r="C887" s="8" t="str">
        <x:v>kdca-5691-7</x:v>
      </x:c>
      <x:c r="D887" s="8" t="str">
        <x:v>근거와 함께 답변</x:v>
      </x:c>
      <x:c r="E887" s="15" t="n">
        <x:v>885</x:v>
      </x:c>
      <x:c r="F887" s="8" t="str">
        <x:v>VDB 후속 설명 보강</x:v>
      </x:c>
      <x:c r="G887" s="8" t="str">
        <x:v>https://health.kdca.go.kr/healthinfo/biz/health/gnrlzHealthInfo/gnrlzHealthInfo/gnrlzHealthInfoMain.do</x:v>
      </x:c>
      <x:c r="H887" s="8" t="str">
        <x:v>{
  "disease": "굳은살과 티눈",
  "section": "증상",
  "category": "disease"
}</x:v>
      </x:c>
    </x:row>
    <x:row r="888" ht="54" customHeight="1">
      <x:c r="A888" s="8" t="str">
        <x:v>gold-disease-7d8fddd866a0e387</x:v>
      </x:c>
      <x:c r="B888" s="8" t="str">
        <x:v>kdca-6710-10</x:v>
      </x:c>
      <x:c r="C888" s="8" t="str">
        <x:v>kdca-6710-10</x:v>
      </x:c>
      <x:c r="D888" s="8" t="str">
        <x:v>근거와 함께 답변</x:v>
      </x:c>
      <x:c r="E888" s="15" t="n">
        <x:v>886</x:v>
      </x:c>
      <x:c r="F888" s="8" t="str">
        <x:v>기존 검증 정답</x:v>
      </x:c>
      <x:c r="G888" s="8" t="str">
        <x:v>https://health.kdca.go.kr/healthinfo/biz/health/gnrlzHealthInfo/gnrlzHealthInfo/gnrlzHealthInfoMain.do</x:v>
      </x:c>
      <x:c r="H888" s="8" t="str">
        <x:v>{
  "disease": "소변이상(농뇨)",
  "section": "연관 증상",
  "category": "disease"
}</x:v>
      </x:c>
    </x:row>
    <x:row r="889" ht="54" customHeight="1">
      <x:c r="A889" s="8" t="str">
        <x:v>gold-disease-b195236e62551636</x:v>
      </x:c>
      <x:c r="B889" s="8" t="str">
        <x:v>kdca-6315-18</x:v>
      </x:c>
      <x:c r="C889" s="8" t="str">
        <x:v>kdca-6315-18</x:v>
      </x:c>
      <x:c r="D889" s="8" t="str">
        <x:v>근거와 함께 답변</x:v>
      </x:c>
      <x:c r="E889" s="15" t="n">
        <x:v>887</x:v>
      </x:c>
      <x:c r="F889" s="8" t="str">
        <x:v>VDB 후속 설명 보강</x:v>
      </x:c>
      <x:c r="G889" s="8" t="str">
        <x:v>https://health.kdca.go.kr/healthinfo/biz/health/gnrlzHealthInfo/gnrlzHealthInfo/gnrlzHealthInfoMain.do</x:v>
      </x:c>
      <x:c r="H889" s="8" t="str">
        <x:v>{
  "disease": "이갈이",
  "section": "연관 증상 / 치료",
  "category": "disease"
}</x:v>
      </x:c>
    </x:row>
    <x:row r="890" ht="54" customHeight="1">
      <x:c r="A890" s="8" t="str">
        <x:v>gold-disease-0e92f251b4447d30</x:v>
      </x:c>
      <x:c r="B890" s="8" t="str">
        <x:v>kdca-5430-20</x:v>
      </x:c>
      <x:c r="C890" s="8" t="str">
        <x:v>kdca-5430-20</x:v>
      </x:c>
      <x:c r="D890" s="8" t="str">
        <x:v>근거와 함께 답변</x:v>
      </x:c>
      <x:c r="E890" s="15" t="n">
        <x:v>888</x:v>
      </x:c>
      <x:c r="F890" s="8" t="str">
        <x:v>기존 검증 정답</x:v>
      </x:c>
      <x:c r="G890" s="8" t="str">
        <x:v>https://health.kdca.go.kr/healthinfo/biz/health/gnrlzHealthInfo/gnrlzHealthInfo/gnrlzHealthInfoMain.do</x:v>
      </x:c>
      <x:c r="H890" s="8" t="str">
        <x:v>{
  "disease": "입덧",
  "section": "연관 증상",
  "category": "disease"
}</x:v>
      </x:c>
    </x:row>
    <x:row r="891" ht="54" customHeight="1">
      <x:c r="A891" s="8" t="str">
        <x:v>gold-disease-e149d5825173df60</x:v>
      </x:c>
      <x:c r="B891" s="8" t="str">
        <x:v>kdca-5726-30</x:v>
      </x:c>
      <x:c r="C891" s="8" t="str">
        <x:v>kdca-5726-30</x:v>
      </x:c>
      <x:c r="D891" s="8" t="str">
        <x:v>근거와 함께 답변</x:v>
      </x:c>
      <x:c r="E891" s="15" t="n">
        <x:v>889</x:v>
      </x:c>
      <x:c r="F891" s="8" t="str">
        <x:v>기존 검증 정답</x:v>
      </x:c>
      <x:c r="G891" s="8" t="str">
        <x:v>https://health.kdca.go.kr/healthinfo/biz/health/gnrlzHealthInfo/gnrlzHealthInfo/gnrlzHealthInfoMain.do</x:v>
      </x:c>
      <x:c r="H891" s="8" t="str">
        <x:v>{
  "disease": "인두편도염",
  "section": "정기 진찰 / 합병증",
  "category": "disease"
}</x:v>
      </x:c>
    </x:row>
    <x:row r="892" ht="54" customHeight="1">
      <x:c r="A892" s="8" t="str">
        <x:v>gold-disease-66dc2c10e1adf06e</x:v>
      </x:c>
      <x:c r="B892" s="8" t="str">
        <x:v>kdca-6715-16</x:v>
      </x:c>
      <x:c r="C892" s="8" t="str">
        <x:v>kdca-6715-16</x:v>
      </x:c>
      <x:c r="D892" s="8" t="str">
        <x:v>근거와 함께 답변</x:v>
      </x:c>
      <x:c r="E892" s="15" t="n">
        <x:v>890</x:v>
      </x:c>
      <x:c r="F892" s="8" t="str">
        <x:v>기존 검증 정답</x:v>
      </x:c>
      <x:c r="G892" s="8" t="str">
        <x:v>https://health.kdca.go.kr/healthinfo/biz/health/gnrlzHealthInfo/gnrlzHealthInfo/gnrlzHealthInfoMain.do</x:v>
      </x:c>
      <x:c r="H892" s="8" t="str">
        <x:v>{
  "disease": "이상지질혈증",
  "section": "진단 및 검사",
  "category": "disease"
}</x:v>
      </x:c>
    </x:row>
    <x:row r="893" ht="54" customHeight="1">
      <x:c r="A893" s="8" t="str">
        <x:v>gold-disease-f5a701f97cd4384c</x:v>
      </x:c>
      <x:c r="B893" s="8" t="str">
        <x:v>kdca-5826-19</x:v>
      </x:c>
      <x:c r="C893" s="8" t="str">
        <x:v>kdca-5826-19</x:v>
      </x:c>
      <x:c r="D893" s="8" t="str">
        <x:v>근거와 함께 답변</x:v>
      </x:c>
      <x:c r="E893" s="15" t="n">
        <x:v>891</x:v>
      </x:c>
      <x:c r="F893" s="8" t="str">
        <x:v>VDB 후속 설명 보강</x:v>
      </x:c>
      <x:c r="G893" s="8" t="str">
        <x:v>https://health.kdca.go.kr/healthinfo/biz/health/gnrlzHealthInfo/gnrlzHealthInfo/gnrlzHealthInfoMain.do</x:v>
      </x:c>
      <x:c r="H893" s="8" t="str">
        <x:v>{
  "disease": "섬유근육통",
  "section": "치료",
  "category": "disease"
}</x:v>
      </x:c>
    </x:row>
    <x:row r="894" ht="54" customHeight="1">
      <x:c r="A894" s="8" t="str">
        <x:v>gold-disease-0493b67ae60307f7</x:v>
      </x:c>
      <x:c r="B894" s="8" t="str">
        <x:v>kdca-5226-7</x:v>
      </x:c>
      <x:c r="C894" s="8" t="str">
        <x:v>kdca-5226-7</x:v>
      </x:c>
      <x:c r="D894" s="8" t="str">
        <x:v>근거와 함께 답변</x:v>
      </x:c>
      <x:c r="E894" s="15" t="n">
        <x:v>892</x:v>
      </x:c>
      <x:c r="F894" s="8" t="str">
        <x:v>기존 검증 정답</x:v>
      </x:c>
      <x:c r="G894" s="8" t="str">
        <x:v>https://health.kdca.go.kr/healthinfo/biz/health/gnrlzHealthInfo/gnrlzHealthInfo/gnrlzHealthInfoMain.do</x:v>
      </x:c>
      <x:c r="H894" s="8" t="str">
        <x:v>{
  "disease": "노안",
  "section": "경과 및 예후",
  "category": "disease"
}</x:v>
      </x:c>
    </x:row>
    <x:row r="895" ht="54" customHeight="1">
      <x:c r="A895" s="8" t="str">
        <x:v>gold-disease-88762469c2ed0272</x:v>
      </x:c>
      <x:c r="B895" s="8" t="str">
        <x:v>kdca-5697-4</x:v>
      </x:c>
      <x:c r="C895" s="8" t="str">
        <x:v>kdca-5697-4</x:v>
      </x:c>
      <x:c r="D895" s="8" t="str">
        <x:v>근거와 함께 답변</x:v>
      </x:c>
      <x:c r="E895" s="15" t="n">
        <x:v>893</x:v>
      </x:c>
      <x:c r="F895" s="8" t="str">
        <x:v>VDB 원인·위험요인 청크 재선정</x:v>
      </x:c>
      <x:c r="G895" s="8" t="str">
        <x:v>https://health.kdca.go.kr/healthinfo/biz/health/gnrlzHealthInfo/gnrlzHealthInfo/gnrlzHealthInfoMain.do</x:v>
      </x:c>
      <x:c r="H895" s="8" t="str">
        <x:v>{
  "disease": "난소 양성 종양",
  "section": "종류 / 원인 / 증상",
  "category": "disease"
}</x:v>
      </x:c>
    </x:row>
    <x:row r="896" ht="54" customHeight="1">
      <x:c r="A896" s="8" t="str">
        <x:v>gold-disease-3efd3a9c4d4b036c</x:v>
      </x:c>
      <x:c r="B896" s="8" t="str">
        <x:v>kdca-6563-12</x:v>
      </x:c>
      <x:c r="C896" s="8" t="str">
        <x:v>kdca-6563-12</x:v>
      </x:c>
      <x:c r="D896" s="8" t="str">
        <x:v>근거와 함께 답변</x:v>
      </x:c>
      <x:c r="E896" s="15" t="n">
        <x:v>894</x:v>
      </x:c>
      <x:c r="F896" s="8" t="str">
        <x:v>VDB 후속 설명 보강</x:v>
      </x:c>
      <x:c r="G896" s="8" t="str">
        <x:v>https://health.kdca.go.kr/healthinfo/biz/health/gnrlzHealthInfo/gnrlzHealthInfo/gnrlzHealthInfoMain.do</x:v>
      </x:c>
      <x:c r="H896" s="8" t="str">
        <x:v>{
  "disease": "발달성 고관절 이형성증 및 탈구",
  "section": "치료",
  "category": "disease"
}</x:v>
      </x:c>
    </x:row>
    <x:row r="897" ht="54" customHeight="1">
      <x:c r="A897" s="8" t="str">
        <x:v>gold-disease-6352df3f42b8ddea</x:v>
      </x:c>
      <x:c r="B897" s="8" t="str">
        <x:v>kdca-5691-9</x:v>
      </x:c>
      <x:c r="C897" s="8" t="str">
        <x:v>kdca-5691-9</x:v>
      </x:c>
      <x:c r="D897" s="8" t="str">
        <x:v>근거와 함께 답변</x:v>
      </x:c>
      <x:c r="E897" s="15" t="n">
        <x:v>895</x:v>
      </x:c>
      <x:c r="F897" s="8" t="str">
        <x:v>기존 검증 정답</x:v>
      </x:c>
      <x:c r="G897" s="8" t="str">
        <x:v>https://health.kdca.go.kr/healthinfo/biz/health/gnrlzHealthInfo/gnrlzHealthInfo/gnrlzHealthInfoMain.do</x:v>
      </x:c>
      <x:c r="H897" s="8" t="str">
        <x:v>{
  "disease": "굳은살과 티눈",
  "section": "진단 및 검사",
  "category": "disease"
}</x:v>
      </x:c>
    </x:row>
    <x:row r="898" ht="54" customHeight="1">
      <x:c r="A898" s="8" t="str">
        <x:v>gold-disease-83f73f2b38ca232c</x:v>
      </x:c>
      <x:c r="B898" s="8" t="str">
        <x:v>kdca-3568-52</x:v>
      </x:c>
      <x:c r="C898" s="8" t="str">
        <x:v>kdca-3568-52</x:v>
      </x:c>
      <x:c r="D898" s="8" t="str">
        <x:v>근거와 함께 답변</x:v>
      </x:c>
      <x:c r="E898" s="15" t="n">
        <x:v>896</x:v>
      </x:c>
      <x:c r="F898" s="8" t="str">
        <x:v>VDB 원인·위험요인 청크 재선정</x:v>
      </x:c>
      <x:c r="G898" s="8" t="str">
        <x:v>https://health.kdca.go.kr/healthinfo/biz/health/gnrlzHealthInfo/gnrlzHealthInfo/gnrlzHealthInfoMain.do</x:v>
      </x:c>
      <x:c r="H898" s="8" t="str">
        <x:v>{
  "disease": "중이염",
  "section": "위험요인 및 예방",
  "category": "disease"
}</x:v>
      </x:c>
    </x:row>
    <x:row r="899" ht="54" customHeight="1">
      <x:c r="A899" s="8" t="str">
        <x:v>gold-disease-08d5f08a7061a81c</x:v>
      </x:c>
      <x:c r="B899" s="8" t="str">
        <x:v>kdca-5865-52</x:v>
      </x:c>
      <x:c r="C899" s="8" t="str">
        <x:v>kdca-5865-52</x:v>
      </x:c>
      <x:c r="D899" s="8" t="str">
        <x:v>근거와 함께 답변</x:v>
      </x:c>
      <x:c r="E899" s="15" t="n">
        <x:v>897</x:v>
      </x:c>
      <x:c r="F899" s="8" t="str">
        <x:v>기존 검증 정답</x:v>
      </x:c>
      <x:c r="G899" s="8" t="str">
        <x:v>https://health.kdca.go.kr/healthinfo/biz/health/gnrlzHealthInfo/gnrlzHealthInfo/gnrlzHealthInfoMain.do</x:v>
      </x:c>
      <x:c r="H899" s="8" t="str">
        <x:v>{
  "disease": "림프절 종대",
  "section": "진단 및 검사",
  "category": "disease"
}</x:v>
      </x:c>
    </x:row>
    <x:row r="900" ht="54" customHeight="1">
      <x:c r="A900" s="8" t="str">
        <x:v>gold-disease-0465831c0d574bd3</x:v>
      </x:c>
      <x:c r="B900" s="8" t="str">
        <x:v>kdca-1362-3</x:v>
      </x:c>
      <x:c r="C900" s="8" t="str">
        <x:v>kdca-1362-3</x:v>
      </x:c>
      <x:c r="D900" s="8" t="str">
        <x:v>근거와 함께 답변</x:v>
      </x:c>
      <x:c r="E900" s="15" t="n">
        <x:v>898</x:v>
      </x:c>
      <x:c r="F900" s="8" t="str">
        <x:v>기존 검증 정답</x:v>
      </x:c>
      <x:c r="G900" s="8" t="str">
        <x:v>https://health.kdca.go.kr/healthinfo/biz/health/gnrlzHealthInfo/gnrlzHealthInfo/gnrlzHealthInfoMain.do</x:v>
      </x:c>
      <x:c r="H900" s="8" t="str">
        <x:v>{
  "disease": "안외상(각막찰과상)",
  "section": "진단 및 검사 / 치료",
  "category": "disease"
}</x:v>
      </x:c>
    </x:row>
    <x:row r="901" ht="54" customHeight="1">
      <x:c r="A901" s="8" t="str">
        <x:v>gold-disease-7fbf8ed93e6adec8</x:v>
      </x:c>
      <x:c r="B901" s="8" t="str">
        <x:v>kdca-5441-9</x:v>
      </x:c>
      <x:c r="C901" s="8" t="str">
        <x:v>kdca-5441-9</x:v>
      </x:c>
      <x:c r="D901" s="8" t="str">
        <x:v>근거와 함께 답변</x:v>
      </x:c>
      <x:c r="E901" s="15" t="n">
        <x:v>899</x:v>
      </x:c>
      <x:c r="F901" s="8" t="str">
        <x:v>VDB 후속 설명 보강</x:v>
      </x:c>
      <x:c r="G901" s="8" t="str">
        <x:v>https://health.kdca.go.kr/healthinfo/biz/health/gnrlzHealthInfo/gnrlzHealthInfo/gnrlzHealthInfoMain.do</x:v>
      </x:c>
      <x:c r="H901" s="8" t="str">
        <x:v>{
  "disease": "염좌",
  "section": "증상",
  "category": "disease"
}</x:v>
      </x:c>
    </x:row>
    <x:row r="902" ht="54" customHeight="1">
      <x:c r="A902" s="8" t="str">
        <x:v>gold-disease-94da9c17a3a13728</x:v>
      </x:c>
      <x:c r="B902" s="8" t="str">
        <x:v>kdca-5265-13</x:v>
      </x:c>
      <x:c r="C902" s="8" t="str">
        <x:v>kdca-5265-13</x:v>
      </x:c>
      <x:c r="D902" s="8" t="str">
        <x:v>근거와 함께 답변</x:v>
      </x:c>
      <x:c r="E902" s="15" t="n">
        <x:v>900</x:v>
      </x:c>
      <x:c r="F902" s="8" t="str">
        <x:v>VDB 후속 설명 보강</x:v>
      </x:c>
      <x:c r="G902" s="8" t="str">
        <x:v>https://health.kdca.go.kr/healthinfo/biz/health/gnrlzHealthInfo/gnrlzHealthInfo/gnrlzHealthInfoMain.do</x:v>
      </x:c>
      <x:c r="H902" s="8" t="str">
        <x:v>{
  "disease": "다래끼와 콩다래끼",
  "section": "치료",
  "category": "disease"
}</x:v>
      </x:c>
    </x:row>
    <x:row r="903" ht="54" customHeight="1">
      <x:c r="A903" s="8" t="str">
        <x:v>gold-disease-42d198fb9bc46363</x:v>
      </x:c>
      <x:c r="B903" s="8" t="str">
        <x:v>kdca-5434-89</x:v>
      </x:c>
      <x:c r="C903" s="8" t="str">
        <x:v>kdca-5434-89</x:v>
      </x:c>
      <x:c r="D903" s="8" t="str">
        <x:v>근거와 함께 답변</x:v>
      </x:c>
      <x:c r="E903" s="15" t="n">
        <x:v>901</x:v>
      </x:c>
      <x:c r="F903" s="8" t="str">
        <x:v>기존 검증 정답</x:v>
      </x:c>
      <x:c r="G903" s="8" t="str">
        <x:v>https://health.kdca.go.kr/healthinfo/biz/health/gnrlzHealthInfo/gnrlzHealthInfo/gnrlzHealthInfoMain.do</x:v>
      </x:c>
      <x:c r="H903" s="8" t="str">
        <x:v>{
  "disease": "혈변 및 흑변(성인)",
  "section": "위험요인 및 예방 / 자주하는 질문",
  "category": "disease"
}</x:v>
      </x:c>
    </x:row>
    <x:row r="904" ht="54" customHeight="1">
      <x:c r="A904" s="8" t="str">
        <x:v>gold-disease-8db686a8372d1dd4</x:v>
      </x:c>
      <x:c r="B904" s="8" t="str">
        <x:v>kdca-6697-3</x:v>
      </x:c>
      <x:c r="C904" s="8" t="str">
        <x:v>kdca-6697-3</x:v>
      </x:c>
      <x:c r="D904" s="8" t="str">
        <x:v>근거와 함께 답변</x:v>
      </x:c>
      <x:c r="E904" s="15" t="n">
        <x:v>902</x:v>
      </x:c>
      <x:c r="F904" s="8" t="str">
        <x:v>VDB 원인·위험요인 청크 재선정</x:v>
      </x:c>
      <x:c r="G904" s="8" t="str">
        <x:v>https://health.kdca.go.kr/healthinfo/biz/health/gnrlzHealthInfo/gnrlzHealthInfo/gnrlzHealthInfoMain.do</x:v>
      </x:c>
      <x:c r="H904" s="8" t="str">
        <x:v>{
  "disease": "고혈압성 콩팥병",
  "section": "정의 / 원인",
  "category": "disease"
}</x:v>
      </x:c>
    </x:row>
    <x:row r="905" ht="54" customHeight="1">
      <x:c r="A905" s="8" t="str">
        <x:v>gold-disease-07b1b6e2d8153ee7</x:v>
      </x:c>
      <x:c r="B905" s="8" t="str">
        <x:v>kdca-6775-17</x:v>
      </x:c>
      <x:c r="C905" s="8" t="str">
        <x:v>kdca-6775-17</x:v>
      </x:c>
      <x:c r="D905" s="8" t="str">
        <x:v>근거와 함께 답변</x:v>
      </x:c>
      <x:c r="E905" s="15" t="n">
        <x:v>903</x:v>
      </x:c>
      <x:c r="F905" s="8" t="str">
        <x:v>기존 검증 정답</x:v>
      </x:c>
      <x:c r="G905" s="8" t="str">
        <x:v>https://health.kdca.go.kr/healthinfo/biz/health/gnrlzHealthInfo/gnrlzHealthInfo/gnrlzHealthInfoMain.do</x:v>
      </x:c>
      <x:c r="H905" s="8" t="str">
        <x:v>{
  "disease": "폐색성죽상동맥경화증",
  "section": "진단 및 검사",
  "category": "disease"
}</x:v>
      </x:c>
    </x:row>
    <x:row r="906" ht="54" customHeight="1">
      <x:c r="A906" s="8" t="str">
        <x:v>gold-disease-na-74d1928493d87618</x:v>
      </x:c>
      <x:c r="B906" s="8" t="str"/>
      <x:c r="C906" s="8" t="str"/>
      <x:c r="D906" s="8" t="str">
        <x:v>답변 거부 또는 추가 확인 요청</x:v>
      </x:c>
      <x:c r="E906" s="15" t="n">
        <x:v>904</x:v>
      </x:c>
      <x:c r="F906" s="8" t="str">
        <x:v>답변 거부 기준 문구</x:v>
      </x:c>
      <x:c r="G906" s="8" t="str">
        <x:v>https://health.kdca.go.kr/healthinfo/biz/health/gnrlzHealthInfo/gnrlzHealthInfo/gnrlzHealthInfoMain.do</x:v>
      </x:c>
      <x:c r="H906" s="8" t="str">
        <x:v>{
  "disease": "사람면역결핍바이러스",
  "section": "원인 및 감염경로",
  "category": "disease"
}</x:v>
      </x:c>
    </x:row>
    <x:row r="907" ht="54" customHeight="1">
      <x:c r="A907" s="8" t="str">
        <x:v>gold-disease-d874a08677cea985</x:v>
      </x:c>
      <x:c r="B907" s="8" t="str">
        <x:v>kdca-5682-11</x:v>
      </x:c>
      <x:c r="C907" s="8" t="str">
        <x:v>kdca-5682-11</x:v>
      </x:c>
      <x:c r="D907" s="8" t="str">
        <x:v>근거와 함께 답변</x:v>
      </x:c>
      <x:c r="E907" s="15" t="n">
        <x:v>905</x:v>
      </x:c>
      <x:c r="F907" s="8" t="str">
        <x:v>VDB 후속 설명 보강</x:v>
      </x:c>
      <x:c r="G907" s="8" t="str">
        <x:v>https://health.kdca.go.kr/healthinfo/biz/health/gnrlzHealthInfo/gnrlzHealthInfo/gnrlzHealthInfoMain.do</x:v>
      </x:c>
      <x:c r="H907" s="8" t="str">
        <x:v>{
  "disease": "메켈 게실",
  "section": "증상",
  "category": "disease"
}</x:v>
      </x:c>
    </x:row>
    <x:row r="908" ht="54" customHeight="1">
      <x:c r="A908" s="8" t="str">
        <x:v>gold-disease-78d05f67c7d80874</x:v>
      </x:c>
      <x:c r="B908" s="8" t="str">
        <x:v>kdca-6681-1</x:v>
      </x:c>
      <x:c r="C908" s="8" t="str">
        <x:v>kdca-6681-1</x:v>
      </x:c>
      <x:c r="D908" s="8" t="str">
        <x:v>근거와 함께 답변</x:v>
      </x:c>
      <x:c r="E908" s="15" t="n">
        <x:v>906</x:v>
      </x:c>
      <x:c r="F908" s="8" t="str">
        <x:v>기존 검증 정답</x:v>
      </x:c>
      <x:c r="G908" s="8" t="str">
        <x:v>https://health.kdca.go.kr/healthinfo/biz/health/gnrlzHealthInfo/gnrlzHealthInfo/gnrlzHealthInfoMain.do</x:v>
      </x:c>
      <x:c r="H908" s="8" t="str">
        <x:v>{
  "disease": "다제내성균감염증",
  "section": "요약문 / 개요",
  "category": "disease"
}</x:v>
      </x:c>
    </x:row>
    <x:row r="909" ht="54" customHeight="1">
      <x:c r="A909" s="8" t="str">
        <x:v>gold-disease-na-550e241a76d56869</x:v>
      </x:c>
      <x:c r="B909" s="8" t="str"/>
      <x:c r="C909" s="8" t="str"/>
      <x:c r="D909" s="8" t="str">
        <x:v>답변 거부 또는 추가 확인 요청</x:v>
      </x:c>
      <x:c r="E909" s="15" t="n">
        <x:v>907</x:v>
      </x:c>
      <x:c r="F909" s="8" t="str">
        <x:v>답변 거부 기준 문구</x:v>
      </x:c>
      <x:c r="G909" s="8" t="str">
        <x:v>https://health.kdca.go.kr/healthinfo/biz/health/gnrlzHealthInfo/gnrlzHealthInfo/gnrlzHealthInfoMain.do</x:v>
      </x:c>
      <x:c r="H909" s="8" t="str">
        <x:v>{
  "disease": "소변이상(단백뇨)",
  "section": "원인",
  "category": "symptom"
}</x:v>
      </x:c>
    </x:row>
    <x:row r="910" ht="54" customHeight="1">
      <x:c r="A910" s="8" t="str">
        <x:v>gold-disease-b57e9b18d8202f77</x:v>
      </x:c>
      <x:c r="B910" s="8" t="str">
        <x:v>kdca-6289-7</x:v>
      </x:c>
      <x:c r="C910" s="8" t="str">
        <x:v>kdca-6289-7</x:v>
      </x:c>
      <x:c r="D910" s="8" t="str">
        <x:v>근거와 함께 답변</x:v>
      </x:c>
      <x:c r="E910" s="15" t="n">
        <x:v>908</x:v>
      </x:c>
      <x:c r="F910" s="8" t="str">
        <x:v>VDB 후속 설명 보강</x:v>
      </x:c>
      <x:c r="G910" s="8" t="str">
        <x:v>https://health.kdca.go.kr/healthinfo/biz/health/gnrlzHealthInfo/gnrlzHealthInfo/gnrlzHealthInfoMain.do</x:v>
      </x:c>
      <x:c r="H910" s="8" t="str">
        <x:v>{
  "disease": "지루 피부염",
  "section": "증상",
  "category": "disease"
}</x:v>
      </x:c>
    </x:row>
    <x:row r="911" ht="54" customHeight="1">
      <x:c r="A911" s="8" t="str">
        <x:v>gold-disease-f000981c9eac164c</x:v>
      </x:c>
      <x:c r="B911" s="8" t="str">
        <x:v>kdca-2347-0</x:v>
      </x:c>
      <x:c r="C911" s="8" t="str">
        <x:v>kdca-2347-0</x:v>
      </x:c>
      <x:c r="D911" s="8" t="str">
        <x:v>근거와 함께 답변</x:v>
      </x:c>
      <x:c r="E911" s="15" t="n">
        <x:v>909</x:v>
      </x:c>
      <x:c r="F911" s="8" t="str">
        <x:v>기존 검증 정답</x:v>
      </x:c>
      <x:c r="G911" s="8" t="str">
        <x:v>https://health.kdca.go.kr/healthinfo/biz/health/gnrlzHealthInfo/gnrlzHealthInfo/gnrlzHealthInfoMain.do</x:v>
      </x:c>
      <x:c r="H911" s="8" t="str">
        <x:v>{
  "disease": "당뇨병 합병증(급성 합병증)",
  "section": "개요 / 참고문헌",
  "category": "disease"
}</x:v>
      </x:c>
    </x:row>
    <x:row r="912" ht="54" customHeight="1">
      <x:c r="A912" s="8" t="str">
        <x:v>gold-disease-d7e7cd1e396c8ddb</x:v>
      </x:c>
      <x:c r="B912" s="8" t="str">
        <x:v>kdca-5413-12</x:v>
      </x:c>
      <x:c r="C912" s="8" t="str">
        <x:v>kdca-5413-12</x:v>
      </x:c>
      <x:c r="D912" s="8" t="str">
        <x:v>근거와 함께 답변</x:v>
      </x:c>
      <x:c r="E912" s="15" t="n">
        <x:v>910</x:v>
      </x:c>
      <x:c r="F912" s="8" t="str">
        <x:v>VDB 후속 설명 보강</x:v>
      </x:c>
      <x:c r="G912" s="8" t="str">
        <x:v>https://health.kdca.go.kr/healthinfo/biz/health/gnrlzHealthInfo/gnrlzHealthInfo/gnrlzHealthInfoMain.do</x:v>
      </x:c>
      <x:c r="H912" s="8" t="str">
        <x:v>{
  "disease": "조기난소부전",
  "section": "약물 치료",
  "category": "disease"
}</x:v>
      </x:c>
    </x:row>
    <x:row r="913" ht="54" customHeight="1">
      <x:c r="A913" s="8" t="str">
        <x:v>gold-disease-na-df07d783745959b4</x:v>
      </x:c>
      <x:c r="B913" s="8" t="str"/>
      <x:c r="C913" s="8" t="str"/>
      <x:c r="D913" s="8" t="str">
        <x:v>답변 거부 또는 추가 확인 요청</x:v>
      </x:c>
      <x:c r="E913" s="15" t="n">
        <x:v>911</x:v>
      </x:c>
      <x:c r="F913" s="8" t="str">
        <x:v>답변 거부 기준 문구</x:v>
      </x:c>
      <x:c r="G913" s="8" t="str">
        <x:v>https://health.kdca.go.kr/healthinfo/biz/health/gnrlzHealthInfo/gnrlzHealthInfo/gnrlzHealthInfoMain.do</x:v>
      </x:c>
      <x:c r="H913" s="8" t="str">
        <x:v>{
  "disease": "추간판탈출증(디스크)",
  "section": "증상",
  "category": "disease"
}</x:v>
      </x:c>
    </x:row>
    <x:row r="914" ht="54" customHeight="1">
      <x:c r="A914" s="8" t="str">
        <x:v>gold-disease-c25e22832eb28dbd</x:v>
      </x:c>
      <x:c r="B914" s="8" t="str">
        <x:v>kdca-5291-29</x:v>
      </x:c>
      <x:c r="C914" s="8" t="str">
        <x:v>kdca-5291-29</x:v>
      </x:c>
      <x:c r="D914" s="8" t="str">
        <x:v>근거와 함께 답변</x:v>
      </x:c>
      <x:c r="E914" s="15" t="n">
        <x:v>912</x:v>
      </x:c>
      <x:c r="F914" s="8" t="str">
        <x:v>기존 검증 정답</x:v>
      </x:c>
      <x:c r="G914" s="8" t="str">
        <x:v>https://health.kdca.go.kr/healthinfo/biz/health/gnrlzHealthInfo/gnrlzHealthInfo/gnrlzHealthInfoMain.do</x:v>
      </x:c>
      <x:c r="H914" s="8" t="str">
        <x:v>{
  "disease": "디프테리아",
  "section": "대상별 맞춤 정보 / 자주하는 질문",
  "category": "disease"
}</x:v>
      </x:c>
    </x:row>
    <x:row r="915" ht="54" customHeight="1">
      <x:c r="A915" s="8" t="str">
        <x:v>gold-disease-01e2d62fbdb9e208</x:v>
      </x:c>
      <x:c r="B915" s="8" t="str">
        <x:v>kdca-3547-43</x:v>
      </x:c>
      <x:c r="C915" s="8" t="str">
        <x:v>kdca-3547-43</x:v>
      </x:c>
      <x:c r="D915" s="8" t="str">
        <x:v>근거와 함께 답변</x:v>
      </x:c>
      <x:c r="E915" s="15" t="n">
        <x:v>913</x:v>
      </x:c>
      <x:c r="F915" s="8" t="str">
        <x:v>VDB 후속 설명 보강</x:v>
      </x:c>
      <x:c r="G915" s="8" t="str">
        <x:v>https://health.kdca.go.kr/healthinfo/biz/health/gnrlzHealthInfo/gnrlzHealthInfo/gnrlzHealthInfoMain.do</x:v>
      </x:c>
      <x:c r="H915" s="8" t="str">
        <x:v>{
  "disease": "만성기관지염",
  "section": "위험요인 및 예방",
  "category": "disease"
}</x:v>
      </x:c>
    </x:row>
    <x:row r="916" ht="54" customHeight="1">
      <x:c r="A916" s="8" t="str">
        <x:v>gold-disease-0116073eb18d4556</x:v>
      </x:c>
      <x:c r="B916" s="8" t="str">
        <x:v>kdca-1241-6</x:v>
      </x:c>
      <x:c r="C916" s="8" t="str">
        <x:v>kdca-1241-6</x:v>
      </x:c>
      <x:c r="D916" s="8" t="str">
        <x:v>근거와 함께 답변</x:v>
      </x:c>
      <x:c r="E916" s="15" t="n">
        <x:v>914</x:v>
      </x:c>
      <x:c r="F916" s="8" t="str">
        <x:v>VDB 후속 설명 보강</x:v>
      </x:c>
      <x:c r="G916" s="8" t="str">
        <x:v>https://health.kdca.go.kr/healthinfo/biz/health/gnrlzHealthInfo/gnrlzHealthInfo/gnrlzHealthInfoMain.do</x:v>
      </x:c>
      <x:c r="H916" s="8" t="str">
        <x:v>{
  "disease": "간농양",
  "section": "증상",
  "category": "disease"
}</x:v>
      </x:c>
    </x:row>
    <x:row r="917" ht="54" customHeight="1">
      <x:c r="A917" s="8" t="str">
        <x:v>gold-disease-872867c0a8bcb39d</x:v>
      </x:c>
      <x:c r="B917" s="8" t="str">
        <x:v>kdca-5857-20</x:v>
      </x:c>
      <x:c r="C917" s="8" t="str">
        <x:v>kdca-5857-20</x:v>
      </x:c>
      <x:c r="D917" s="8" t="str">
        <x:v>근거와 함께 답변</x:v>
      </x:c>
      <x:c r="E917" s="15" t="n">
        <x:v>915</x:v>
      </x:c>
      <x:c r="F917" s="8" t="str">
        <x:v>VDB 후속 설명 보강</x:v>
      </x:c>
      <x:c r="G917" s="8" t="str">
        <x:v>https://health.kdca.go.kr/healthinfo/biz/health/gnrlzHealthInfo/gnrlzHealthInfo/gnrlzHealthInfoMain.do</x:v>
      </x:c>
      <x:c r="H917" s="8" t="str">
        <x:v>{
  "disease": "안면홍조",
  "section": "연관 증상 / 치료",
  "category": "disease"
}</x:v>
      </x:c>
    </x:row>
    <x:row r="918" ht="54" customHeight="1">
      <x:c r="A918" s="8" t="str">
        <x:v>gold-disease-cfe616cb0f29e2ad</x:v>
      </x:c>
      <x:c r="B918" s="8" t="str">
        <x:v>kdca-5468-8</x:v>
      </x:c>
      <x:c r="C918" s="8" t="str">
        <x:v>kdca-5468-8</x:v>
      </x:c>
      <x:c r="D918" s="8" t="str">
        <x:v>근거와 함께 답변</x:v>
      </x:c>
      <x:c r="E918" s="15" t="n">
        <x:v>916</x:v>
      </x:c>
      <x:c r="F918" s="8" t="str">
        <x:v>기존 검증 정답</x:v>
      </x:c>
      <x:c r="G918" s="8" t="str">
        <x:v>https://health.kdca.go.kr/healthinfo/biz/health/gnrlzHealthInfo/gnrlzHealthInfo/gnrlzHealthInfoMain.do</x:v>
      </x:c>
      <x:c r="H918" s="8" t="str">
        <x:v>{
  "disease": "탈장(소아)",
  "section": "진단 및 검사 / 치료",
  "category": "disease"
}</x:v>
      </x:c>
    </x:row>
    <x:row r="919" ht="54" customHeight="1">
      <x:c r="A919" s="8" t="str">
        <x:v>gold-disease-4f8f02c9a89a8c0b</x:v>
      </x:c>
      <x:c r="B919" s="8" t="str">
        <x:v>kdca-5964-12</x:v>
      </x:c>
      <x:c r="C919" s="8" t="str">
        <x:v>kdca-5964-12</x:v>
      </x:c>
      <x:c r="D919" s="8" t="str">
        <x:v>근거와 함께 답변</x:v>
      </x:c>
      <x:c r="E919" s="15" t="n">
        <x:v>917</x:v>
      </x:c>
      <x:c r="F919" s="8" t="str">
        <x:v>기존 검증 정답</x:v>
      </x:c>
      <x:c r="G919" s="8" t="str">
        <x:v>https://health.kdca.go.kr/healthinfo/biz/health/gnrlzHealthInfo/gnrlzHealthInfo/gnrlzHealthInfoMain.do</x:v>
      </x:c>
      <x:c r="H919" s="8" t="str">
        <x:v>{
  "disease": "메니에르병",
  "section": "진단 및 검사",
  "category": "disease"
}</x:v>
      </x:c>
    </x:row>
    <x:row r="920" ht="54" customHeight="1">
      <x:c r="A920" s="8" t="str">
        <x:v>gold-disease-a518a9f71045b0a7</x:v>
      </x:c>
      <x:c r="B920" s="8" t="str">
        <x:v>kdca-5224-9</x:v>
      </x:c>
      <x:c r="C920" s="8" t="str">
        <x:v>kdca-5224-9</x:v>
      </x:c>
      <x:c r="D920" s="8" t="str">
        <x:v>근거와 함께 답변</x:v>
      </x:c>
      <x:c r="E920" s="15" t="n">
        <x:v>918</x:v>
      </x:c>
      <x:c r="F920" s="8" t="str">
        <x:v>기존 검증 정답</x:v>
      </x:c>
      <x:c r="G920" s="8" t="str">
        <x:v>https://health.kdca.go.kr/healthinfo/biz/health/gnrlzHealthInfo/gnrlzHealthInfo/gnrlzHealthInfoMain.do</x:v>
      </x:c>
      <x:c r="H920" s="8" t="str">
        <x:v>{
  "disease": "저시력",
  "section": "진단 및 검사",
  "category": "disease"
}</x:v>
      </x:c>
    </x:row>
    <x:row r="921" ht="54" customHeight="1">
      <x:c r="A921" s="8" t="str">
        <x:v>gold-disease-bc779041fd3dadc1</x:v>
      </x:c>
      <x:c r="B921" s="8" t="str">
        <x:v>kdca-6-0</x:v>
      </x:c>
      <x:c r="C921" s="8" t="str">
        <x:v>kdca-6-0</x:v>
      </x:c>
      <x:c r="D921" s="8" t="str">
        <x:v>근거와 함께 답변</x:v>
      </x:c>
      <x:c r="E921" s="15" t="n">
        <x:v>919</x:v>
      </x:c>
      <x:c r="F921" s="8" t="str">
        <x:v>기존 검증 정답</x:v>
      </x:c>
      <x:c r="G921" s="8" t="str">
        <x:v>https://health.kdca.go.kr/healthinfo/biz/health/gnrlzHealthInfo/gnrlzHealthInfo/gnrlzHealthInfoMain.do</x:v>
      </x:c>
      <x:c r="H921" s="8" t="str">
        <x:v>{
  "disease": "두근거림",
  "section": "요약문",
  "category": "symptom"
}</x:v>
      </x:c>
    </x:row>
    <x:row r="922" ht="54" customHeight="1">
      <x:c r="A922" s="8" t="str">
        <x:v>gold-disease-e590d2a63dadf4e6</x:v>
      </x:c>
      <x:c r="B922" s="8" t="str">
        <x:v>kdca-1608-5</x:v>
      </x:c>
      <x:c r="C922" s="8" t="str">
        <x:v>kdca-1608-5</x:v>
      </x:c>
      <x:c r="D922" s="8" t="str">
        <x:v>근거와 함께 답변</x:v>
      </x:c>
      <x:c r="E922" s="15" t="n">
        <x:v>920</x:v>
      </x:c>
      <x:c r="F922" s="8" t="str">
        <x:v>기존 검증 정답</x:v>
      </x:c>
      <x:c r="G922" s="8" t="str">
        <x:v>https://health.kdca.go.kr/healthinfo/biz/health/gnrlzHealthInfo/gnrlzHealthInfo/gnrlzHealthInfoMain.do</x:v>
      </x:c>
      <x:c r="H922" s="8" t="str">
        <x:v>{
  "disease": "외이도염(악성 외이도염)",
  "section": "진단 및 검사",
  "category": "disease"
}</x:v>
      </x:c>
    </x:row>
    <x:row r="923" ht="54" customHeight="1">
      <x:c r="A923" s="8" t="str">
        <x:v>gold-disease-d121943f25868bea</x:v>
      </x:c>
      <x:c r="B923" s="8" t="str">
        <x:v>kdca-5687-18</x:v>
      </x:c>
      <x:c r="C923" s="8" t="str">
        <x:v>kdca-5687-18</x:v>
      </x:c>
      <x:c r="D923" s="8" t="str">
        <x:v>근거와 함께 답변</x:v>
      </x:c>
      <x:c r="E923" s="15" t="n">
        <x:v>921</x:v>
      </x:c>
      <x:c r="F923" s="8" t="str">
        <x:v>기존 검증 정답</x:v>
      </x:c>
      <x:c r="G923" s="8" t="str">
        <x:v>https://health.kdca.go.kr/healthinfo/biz/health/gnrlzHealthInfo/gnrlzHealthInfo/gnrlzHealthInfoMain.do</x:v>
      </x:c>
      <x:c r="H923" s="8" t="str">
        <x:v>{
  "disease": "하지정맥류",
  "section": "진단 및 검사",
  "category": "disease"
}</x:v>
      </x:c>
    </x:row>
    <x:row r="924" ht="54" customHeight="1">
      <x:c r="A924" s="8" t="str">
        <x:v>gold-disease-592f55a346734871</x:v>
      </x:c>
      <x:c r="B924" s="8" t="str">
        <x:v>kdca-5265-16</x:v>
      </x:c>
      <x:c r="C924" s="8" t="str">
        <x:v>kdca-5265-16</x:v>
      </x:c>
      <x:c r="D924" s="8" t="str">
        <x:v>근거와 함께 답변</x:v>
      </x:c>
      <x:c r="E924" s="15" t="n">
        <x:v>922</x:v>
      </x:c>
      <x:c r="F924" s="8" t="str">
        <x:v>VDB 후속 설명 보강</x:v>
      </x:c>
      <x:c r="G924" s="8" t="str">
        <x:v>https://health.kdca.go.kr/healthinfo/biz/health/gnrlzHealthInfo/gnrlzHealthInfo/gnrlzHealthInfoMain.do</x:v>
      </x:c>
      <x:c r="H924" s="8" t="str">
        <x:v>{
  "disease": "다래끼와 콩다래끼",
  "section": "위험요인 및 예방 / 참고문헌",
  "category": "disease"
}</x:v>
      </x:c>
    </x:row>
    <x:row r="925" ht="54" customHeight="1">
      <x:c r="A925" s="8" t="str">
        <x:v>gold-disease-4d9f76d7e0fbef6f</x:v>
      </x:c>
      <x:c r="B925" s="8" t="str">
        <x:v>kdca-3790-10</x:v>
      </x:c>
      <x:c r="C925" s="8" t="str">
        <x:v>kdca-3790-10</x:v>
      </x:c>
      <x:c r="D925" s="8" t="str">
        <x:v>근거와 함께 답변</x:v>
      </x:c>
      <x:c r="E925" s="15" t="n">
        <x:v>923</x:v>
      </x:c>
      <x:c r="F925" s="8" t="str">
        <x:v>기존 검증 정답</x:v>
      </x:c>
      <x:c r="G925" s="8" t="str">
        <x:v>https://health.kdca.go.kr/healthinfo/biz/health/gnrlzHealthInfo/gnrlzHealthInfo/gnrlzHealthInfoMain.do</x:v>
      </x:c>
      <x:c r="H925" s="8" t="str">
        <x:v>{
  "disease": "얼굴마비(말초성 마비)",
  "section": "증상 / 진단 및 검사",
  "category": "disease"
}</x:v>
      </x:c>
    </x:row>
    <x:row r="926" ht="54" customHeight="1">
      <x:c r="A926" s="8" t="str">
        <x:v>gold-disease-5ff0a53d8d03c951</x:v>
      </x:c>
      <x:c r="B926" s="8" t="str">
        <x:v>kdca-6766-20</x:v>
      </x:c>
      <x:c r="C926" s="8" t="str">
        <x:v>kdca-6766-20</x:v>
      </x:c>
      <x:c r="D926" s="8" t="str">
        <x:v>근거와 함께 답변</x:v>
      </x:c>
      <x:c r="E926" s="15" t="n">
        <x:v>924</x:v>
      </x:c>
      <x:c r="F926" s="8" t="str">
        <x:v>기존 검증 정답</x:v>
      </x:c>
      <x:c r="G926" s="8" t="str">
        <x:v>https://health.kdca.go.kr/healthinfo/biz/health/gnrlzHealthInfo/gnrlzHealthInfo/gnrlzHealthInfoMain.do</x:v>
      </x:c>
      <x:c r="H926" s="8" t="str">
        <x:v>{
  "disease": "노인 어지럼증",
  "section": "진단 및 검사",
  "category": "symptom"
}</x:v>
      </x:c>
    </x:row>
    <x:row r="927" ht="54" customHeight="1">
      <x:c r="A927" s="8" t="str">
        <x:v>gold-disease-bedfd540e03347a4</x:v>
      </x:c>
      <x:c r="B927" s="8" t="str">
        <x:v>kdca-6696-10</x:v>
      </x:c>
      <x:c r="C927" s="8" t="str">
        <x:v>kdca-6696-10</x:v>
      </x:c>
      <x:c r="D927" s="8" t="str">
        <x:v>근거와 함께 답변</x:v>
      </x:c>
      <x:c r="E927" s="15" t="n">
        <x:v>925</x:v>
      </x:c>
      <x:c r="F927" s="8" t="str">
        <x:v>VDB 후속 설명 보강</x:v>
      </x:c>
      <x:c r="G927" s="8" t="str">
        <x:v>https://health.kdca.go.kr/healthinfo/biz/health/gnrlzHealthInfo/gnrlzHealthInfo/gnrlzHealthInfoMain.do</x:v>
      </x:c>
      <x:c r="H927" s="8" t="str">
        <x:v>{
  "disease": "말더듬",
  "section": "증상",
  "category": "disease"
}</x:v>
      </x:c>
    </x:row>
    <x:row r="928" ht="54" customHeight="1">
      <x:c r="A928" s="8" t="str">
        <x:v>gold-disease-a4590fa2cea67fd0</x:v>
      </x:c>
      <x:c r="B928" s="8" t="str">
        <x:v>kdca-5701-11</x:v>
      </x:c>
      <x:c r="C928" s="8" t="str">
        <x:v>kdca-5701-11</x:v>
      </x:c>
      <x:c r="D928" s="8" t="str">
        <x:v>근거와 함께 답변</x:v>
      </x:c>
      <x:c r="E928" s="15" t="n">
        <x:v>926</x:v>
      </x:c>
      <x:c r="F928" s="8" t="str">
        <x:v>기존 검증 정답</x:v>
      </x:c>
      <x:c r="G928" s="8" t="str">
        <x:v>https://health.kdca.go.kr/healthinfo/biz/health/gnrlzHealthInfo/gnrlzHealthInfo/gnrlzHealthInfoMain.do</x:v>
      </x:c>
      <x:c r="H928" s="8" t="str">
        <x:v>{
  "disease": "질분비물",
  "section": "진단 및 검사 / 치료",
  "category": "disease"
}</x:v>
      </x:c>
    </x:row>
    <x:row r="929" ht="54" customHeight="1">
      <x:c r="A929" s="8" t="str">
        <x:v>gold-disease-5c5ccfe242534826</x:v>
      </x:c>
      <x:c r="B929" s="8" t="str">
        <x:v>kdca-5457-31</x:v>
      </x:c>
      <x:c r="C929" s="8" t="str">
        <x:v>kdca-5457-31</x:v>
      </x:c>
      <x:c r="D929" s="8" t="str">
        <x:v>근거와 함께 답변</x:v>
      </x:c>
      <x:c r="E929" s="15" t="n">
        <x:v>927</x:v>
      </x:c>
      <x:c r="F929" s="8" t="str">
        <x:v>기존 검증 정답</x:v>
      </x:c>
      <x:c r="G929" s="8" t="str">
        <x:v>https://health.kdca.go.kr/healthinfo/biz/health/gnrlzHealthInfo/gnrlzHealthInfo/gnrlzHealthInfoMain.do</x:v>
      </x:c>
      <x:c r="H929" s="8" t="str">
        <x:v>{
  "disease": "만성콩팥병",
  "section": "진단 및 검사",
  "category": "disease"
}</x:v>
      </x:c>
    </x:row>
    <x:row r="930" ht="54" customHeight="1">
      <x:c r="A930" s="8" t="str">
        <x:v>gold-disease-02c0b08b855a8315</x:v>
      </x:c>
      <x:c r="B930" s="8" t="str">
        <x:v>kdca-5457-0</x:v>
      </x:c>
      <x:c r="C930" s="8" t="str">
        <x:v>kdca-5457-0</x:v>
      </x:c>
      <x:c r="D930" s="8" t="str">
        <x:v>근거와 함께 답변</x:v>
      </x:c>
      <x:c r="E930" s="15" t="n">
        <x:v>928</x:v>
      </x:c>
      <x:c r="F930" s="8" t="str">
        <x:v>VDB 정의 문장 재선정</x:v>
      </x:c>
      <x:c r="G930" s="8" t="str">
        <x:v>https://health.kdca.go.kr/healthinfo/biz/health/gnrlzHealthInfo/gnrlzHealthInfo/gnrlzHealthInfoMain.do</x:v>
      </x:c>
      <x:c r="H930" s="8" t="str">
        <x:v>{
  "disease": "만성콩팥병",
  "section": "요약문",
  "category": "disease"
}</x:v>
      </x:c>
    </x:row>
    <x:row r="931" ht="54" customHeight="1">
      <x:c r="A931" s="8" t="str">
        <x:v>gold-disease-0905553a6f96b80c</x:v>
      </x:c>
      <x:c r="B931" s="8" t="str">
        <x:v>kdca-6478-7</x:v>
      </x:c>
      <x:c r="C931" s="8" t="str">
        <x:v>kdca-6478-7</x:v>
      </x:c>
      <x:c r="D931" s="8" t="str">
        <x:v>근거와 함께 답변</x:v>
      </x:c>
      <x:c r="E931" s="15" t="n">
        <x:v>929</x:v>
      </x:c>
      <x:c r="F931" s="8" t="str">
        <x:v>기존 검증 정답</x:v>
      </x:c>
      <x:c r="G931" s="8" t="str">
        <x:v>https://health.kdca.go.kr/healthinfo/biz/health/gnrlzHealthInfo/gnrlzHealthInfo/gnrlzHealthInfoMain.do</x:v>
      </x:c>
      <x:c r="H931" s="8" t="str">
        <x:v>{
  "disease": "귀의 형태 이상(돌출귀)",
  "section": "합병증 / 참고문헌",
  "category": "disease"
}</x:v>
      </x:c>
    </x:row>
    <x:row r="932" ht="54" customHeight="1">
      <x:c r="A932" s="8" t="str">
        <x:v>gold-disease-852faed7f8711afc</x:v>
      </x:c>
      <x:c r="B932" s="8" t="str">
        <x:v>kdca-6524-12</x:v>
      </x:c>
      <x:c r="C932" s="8" t="str">
        <x:v>kdca-6524-12</x:v>
      </x:c>
      <x:c r="D932" s="8" t="str">
        <x:v>근거와 함께 답변</x:v>
      </x:c>
      <x:c r="E932" s="15" t="n">
        <x:v>930</x:v>
      </x:c>
      <x:c r="F932" s="8" t="str">
        <x:v>VDB 후속 설명 보강</x:v>
      </x:c>
      <x:c r="G932" s="8" t="str">
        <x:v>https://health.kdca.go.kr/healthinfo/biz/health/gnrlzHealthInfo/gnrlzHealthInfo/gnrlzHealthInfoMain.do</x:v>
      </x:c>
      <x:c r="H932" s="8" t="str">
        <x:v>{
  "disease": "직업성 호흡기질환(직업성 폐암, 악성중피종)",
  "section": "치료 / 위험요인 및 예방",
  "category": "disease"
}</x:v>
      </x:c>
    </x:row>
    <x:row r="933" ht="54" customHeight="1">
      <x:c r="A933" s="8" t="str">
        <x:v>gold-disease-b04fc8ee1cc4f828</x:v>
      </x:c>
      <x:c r="B933" s="8" t="str">
        <x:v>kdca-5474-27</x:v>
      </x:c>
      <x:c r="C933" s="8" t="str">
        <x:v>kdca-5474-27</x:v>
      </x:c>
      <x:c r="D933" s="8" t="str">
        <x:v>근거와 함께 답변</x:v>
      </x:c>
      <x:c r="E933" s="15" t="n">
        <x:v>931</x:v>
      </x:c>
      <x:c r="F933" s="8" t="str">
        <x:v>기존 검증 정답</x:v>
      </x:c>
      <x:c r="G933" s="8" t="str">
        <x:v>https://health.kdca.go.kr/healthinfo/biz/health/gnrlzHealthInfo/gnrlzHealthInfo/gnrlzHealthInfoMain.do</x:v>
      </x:c>
      <x:c r="H933" s="8" t="str">
        <x:v>{
  "disease": "폐렴(소아)",
  "section": "진단 및 검사 / 치료",
  "category": "disease"
}</x:v>
      </x:c>
    </x:row>
    <x:row r="934" ht="54" customHeight="1">
      <x:c r="A934" s="8" t="str">
        <x:v>gold-disease-19f2bad8361f1f81</x:v>
      </x:c>
      <x:c r="B934" s="8" t="str">
        <x:v>kdca-5703-56</x:v>
      </x:c>
      <x:c r="C934" s="8" t="str">
        <x:v>kdca-5703-56</x:v>
      </x:c>
      <x:c r="D934" s="8" t="str">
        <x:v>근거와 함께 답변</x:v>
      </x:c>
      <x:c r="E934" s="15" t="n">
        <x:v>932</x:v>
      </x:c>
      <x:c r="F934" s="8" t="str">
        <x:v>VDB 후속 설명 보강</x:v>
      </x:c>
      <x:c r="G934" s="8" t="str">
        <x:v>https://health.kdca.go.kr/healthinfo/biz/health/gnrlzHealthInfo/gnrlzHealthInfo/gnrlzHealthInfoMain.do</x:v>
      </x:c>
      <x:c r="H934" s="8" t="str">
        <x:v>{
  "disease": "만성비염",
  "section": "위험요인 및 예방 / 생활습관 관리",
  "category": "disease"
}</x:v>
      </x:c>
    </x:row>
    <x:row r="935" ht="54" customHeight="1">
      <x:c r="A935" s="8" t="str">
        <x:v>gold-disease-9bdcb75f105a104b</x:v>
      </x:c>
      <x:c r="B935" s="8" t="str">
        <x:v>kdca-6546-5</x:v>
      </x:c>
      <x:c r="C935" s="8" t="str">
        <x:v>kdca-6546-5</x:v>
      </x:c>
      <x:c r="D935" s="8" t="str">
        <x:v>근거와 함께 답변</x:v>
      </x:c>
      <x:c r="E935" s="15" t="n">
        <x:v>933</x:v>
      </x:c>
      <x:c r="F935" s="8" t="str">
        <x:v>기존 검증 정답</x:v>
      </x:c>
      <x:c r="G935" s="8" t="str">
        <x:v>https://health.kdca.go.kr/healthinfo/biz/health/gnrlzHealthInfo/gnrlzHealthInfo/gnrlzHealthInfoMain.do</x:v>
      </x:c>
      <x:c r="H935" s="8" t="str">
        <x:v>{
  "disease": "체중 감소",
  "section": "정의",
  "category": "symptom"
}</x:v>
      </x:c>
    </x:row>
    <x:row r="936" ht="54" customHeight="1">
      <x:c r="A936" s="8" t="str">
        <x:v>gold-disease-9639560a32328523</x:v>
      </x:c>
      <x:c r="B936" s="8" t="str">
        <x:v>kdca-5468-11</x:v>
      </x:c>
      <x:c r="C936" s="8" t="str">
        <x:v>kdca-5468-11</x:v>
      </x:c>
      <x:c r="D936" s="8" t="str">
        <x:v>근거와 함께 답변</x:v>
      </x:c>
      <x:c r="E936" s="15" t="n">
        <x:v>934</x:v>
      </x:c>
      <x:c r="F936" s="8" t="str">
        <x:v>기존 검증 정답</x:v>
      </x:c>
      <x:c r="G936" s="8" t="str">
        <x:v>https://health.kdca.go.kr/healthinfo/biz/health/gnrlzHealthInfo/gnrlzHealthInfo/gnrlzHealthInfoMain.do</x:v>
      </x:c>
      <x:c r="H936" s="8" t="str">
        <x:v>{
  "disease": "탈장(소아)",
  "section": "합병증 / 위험요인 및 예방 / 참고문헌",
  "category": "disease"
}</x:v>
      </x:c>
    </x:row>
    <x:row r="937" ht="54" customHeight="1">
      <x:c r="A937" s="8" t="str">
        <x:v>gold-disease-aaf2ecbc3b2de25e</x:v>
      </x:c>
      <x:c r="B937" s="8" t="str">
        <x:v>kdca-2971-4</x:v>
      </x:c>
      <x:c r="C937" s="8" t="str">
        <x:v>kdca-2971-4</x:v>
      </x:c>
      <x:c r="D937" s="8" t="str">
        <x:v>근거와 함께 답변</x:v>
      </x:c>
      <x:c r="E937" s="15" t="n">
        <x:v>935</x:v>
      </x:c>
      <x:c r="F937" s="8" t="str">
        <x:v>기존 검증 정답</x:v>
      </x:c>
      <x:c r="G937" s="8" t="str">
        <x:v>https://health.kdca.go.kr/healthinfo/biz/health/gnrlzHealthInfo/gnrlzHealthInfo/gnrlzHealthInfoMain.do</x:v>
      </x:c>
      <x:c r="H937" s="8" t="str">
        <x:v>{
  "disease": "심낭염(교착 심낭염)",
  "section": "진단 및 검사",
  "category": "disease"
}</x:v>
      </x:c>
    </x:row>
    <x:row r="938" ht="54" customHeight="1">
      <x:c r="A938" s="8" t="str">
        <x:v>gold-disease-ab0cadf6894b9f86</x:v>
      </x:c>
      <x:c r="B938" s="8" t="str">
        <x:v>kdca-1103-8</x:v>
      </x:c>
      <x:c r="C938" s="8" t="str">
        <x:v>kdca-1103-8</x:v>
      </x:c>
      <x:c r="D938" s="8" t="str">
        <x:v>근거와 함께 답변</x:v>
      </x:c>
      <x:c r="E938" s="15" t="n">
        <x:v>936</x:v>
      </x:c>
      <x:c r="F938" s="8" t="str">
        <x:v>기존 검증 정답</x:v>
      </x:c>
      <x:c r="G938" s="8" t="str">
        <x:v>https://health.kdca.go.kr/healthinfo/biz/health/gnrlzHealthInfo/gnrlzHealthInfo/gnrlzHealthInfoMain.do</x:v>
      </x:c>
      <x:c r="H938" s="8" t="str">
        <x:v>{
  "disease": "비뇨기계 외상",
  "section": "증상",
  "category": "disease"
}</x:v>
      </x:c>
    </x:row>
    <x:row r="939" ht="54" customHeight="1">
      <x:c r="A939" s="8" t="str">
        <x:v>gold-disease-na-cb3e140b7cb8435b</x:v>
      </x:c>
      <x:c r="B939" s="8" t="str"/>
      <x:c r="C939" s="8" t="str"/>
      <x:c r="D939" s="8" t="str">
        <x:v>답변 거부 또는 추가 확인 요청</x:v>
      </x:c>
      <x:c r="E939" s="15" t="n">
        <x:v>937</x:v>
      </x:c>
      <x:c r="F939" s="8" t="str">
        <x:v>답변 거부 기준 문구</x:v>
      </x:c>
      <x:c r="G939" s="8" t="str">
        <x:v>https://health.kdca.go.kr/healthinfo/biz/health/gnrlzHealthInfo/gnrlzHealthInfo/gnrlzHealthInfoMain.do</x:v>
      </x:c>
      <x:c r="H939" s="8" t="str">
        <x:v>{
  "disease": "습진",
  "section": "요약문",
  "category": "disease"
}</x:v>
      </x:c>
    </x:row>
    <x:row r="940" ht="54" customHeight="1">
      <x:c r="A940" s="8" t="str">
        <x:v>gold-disease-65f3065d2552d011</x:v>
      </x:c>
      <x:c r="B940" s="8" t="str">
        <x:v>kdca-6580-28</x:v>
      </x:c>
      <x:c r="C940" s="8" t="str">
        <x:v>kdca-6580-28</x:v>
      </x:c>
      <x:c r="D940" s="8" t="str">
        <x:v>근거와 함께 답변</x:v>
      </x:c>
      <x:c r="E940" s="15" t="n">
        <x:v>938</x:v>
      </x:c>
      <x:c r="F940" s="8" t="str">
        <x:v>VDB 후속 설명 보강</x:v>
      </x:c>
      <x:c r="G940" s="8" t="str">
        <x:v>https://health.kdca.go.kr/healthinfo/biz/health/gnrlzHealthInfo/gnrlzHealthInfo/gnrlzHealthInfoMain.do</x:v>
      </x:c>
      <x:c r="H940" s="8" t="str">
        <x:v>{
  "disease": "동맥관 개존증",
  "section": "생활습관 관리 / 자주하는 질문",
  "category": "disease"
}</x:v>
      </x:c>
    </x:row>
    <x:row r="941" ht="54" customHeight="1">
      <x:c r="A941" s="8" t="str">
        <x:v>gold-disease-dcbcfe4be31c9481</x:v>
      </x:c>
      <x:c r="B941" s="8" t="str">
        <x:v>kdca-5523-3</x:v>
      </x:c>
      <x:c r="C941" s="8" t="str">
        <x:v>kdca-5523-3</x:v>
      </x:c>
      <x:c r="D941" s="8" t="str">
        <x:v>근거와 함께 답변</x:v>
      </x:c>
      <x:c r="E941" s="15" t="n">
        <x:v>939</x:v>
      </x:c>
      <x:c r="F941" s="8" t="str">
        <x:v>VDB 원인·위험요인 청크 재선정</x:v>
      </x:c>
      <x:c r="G941" s="8" t="str">
        <x:v>https://health.kdca.go.kr/healthinfo/biz/health/gnrlzHealthInfo/gnrlzHealthInfo/gnrlzHealthInfoMain.do</x:v>
      </x:c>
      <x:c r="H941" s="8" t="str">
        <x:v>{
  "disease": "아프리카수면병",
  "section": "신고 대상 및 방법 / 원인 및 감염경로 / 역학 및 통계",
  "category": "disease"
}</x:v>
      </x:c>
    </x:row>
    <x:row r="942" ht="54" customHeight="1">
      <x:c r="A942" s="8" t="str">
        <x:v>gold-disease-268cda0851a7dbea</x:v>
      </x:c>
      <x:c r="B942" s="8" t="str">
        <x:v>kdca-5698-0</x:v>
      </x:c>
      <x:c r="C942" s="8" t="str">
        <x:v>kdca-5698-0</x:v>
      </x:c>
      <x:c r="D942" s="8" t="str">
        <x:v>근거와 함께 답변</x:v>
      </x:c>
      <x:c r="E942" s="15" t="n">
        <x:v>940</x:v>
      </x:c>
      <x:c r="F942" s="8" t="str">
        <x:v>VDB 정의 문장 재선정</x:v>
      </x:c>
      <x:c r="G942" s="8" t="str">
        <x:v>https://health.kdca.go.kr/healthinfo/biz/health/gnrlzHealthInfo/gnrlzHealthInfo/gnrlzHealthInfoMain.do</x:v>
      </x:c>
      <x:c r="H942" s="8" t="str">
        <x:v>{
  "disease": "생리통",
  "section": "요약문",
  "category": "disease"
}</x:v>
      </x:c>
    </x:row>
    <x:row r="943" ht="54" customHeight="1">
      <x:c r="A943" s="8" t="str">
        <x:v>gold-disease-063ee7d73fa4235e</x:v>
      </x:c>
      <x:c r="B943" s="8" t="str">
        <x:v>kdca-5487-22</x:v>
      </x:c>
      <x:c r="C943" s="8" t="str">
        <x:v>kdca-5487-22</x:v>
      </x:c>
      <x:c r="D943" s="8" t="str">
        <x:v>근거와 함께 답변</x:v>
      </x:c>
      <x:c r="E943" s="15" t="n">
        <x:v>941</x:v>
      </x:c>
      <x:c r="F943" s="8" t="str">
        <x:v>VDB 후속 설명 보강</x:v>
      </x:c>
      <x:c r="G943" s="8" t="str">
        <x:v>https://health.kdca.go.kr/healthinfo/biz/health/gnrlzHealthInfo/gnrlzHealthInfo/gnrlzHealthInfoMain.do</x:v>
      </x:c>
      <x:c r="H943" s="8" t="str">
        <x:v>{
  "disease": "외상성 고막 천공",
  "section": "위험요인 및 예방",
  "category": "disease"
}</x:v>
      </x:c>
    </x:row>
    <x:row r="944" ht="54" customHeight="1">
      <x:c r="A944" s="8" t="str">
        <x:v>gold-disease-8c16369453b2517b</x:v>
      </x:c>
      <x:c r="B944" s="8" t="str">
        <x:v>kdca-6276-0</x:v>
      </x:c>
      <x:c r="C944" s="8" t="str">
        <x:v>kdca-6276-0</x:v>
      </x:c>
      <x:c r="D944" s="8" t="str">
        <x:v>근거와 함께 답변</x:v>
      </x:c>
      <x:c r="E944" s="15" t="n">
        <x:v>942</x:v>
      </x:c>
      <x:c r="F944" s="8" t="str">
        <x:v>기존 검증 정답</x:v>
      </x:c>
      <x:c r="G944" s="8" t="str">
        <x:v>https://health.kdca.go.kr/healthinfo/biz/health/gnrlzHealthInfo/gnrlzHealthInfo/gnrlzHealthInfoMain.do</x:v>
      </x:c>
      <x:c r="H944" s="8" t="str">
        <x:v>{
  "disease": "얼굴떨림(얼굴연축_반얼굴연축)",
  "section": "개요",
  "category": "disease"
}</x:v>
      </x:c>
    </x:row>
    <x:row r="945" ht="54" customHeight="1">
      <x:c r="A945" s="8" t="str">
        <x:v>gold-disease-af7ad6dce5177559</x:v>
      </x:c>
      <x:c r="B945" s="8" t="str">
        <x:v>kdca-5249-8</x:v>
      </x:c>
      <x:c r="C945" s="8" t="str">
        <x:v>kdca-5249-8</x:v>
      </x:c>
      <x:c r="D945" s="8" t="str">
        <x:v>근거와 함께 답변</x:v>
      </x:c>
      <x:c r="E945" s="15" t="n">
        <x:v>943</x:v>
      </x:c>
      <x:c r="F945" s="8" t="str">
        <x:v>기존 검증 정답</x:v>
      </x:c>
      <x:c r="G945" s="8" t="str">
        <x:v>https://health.kdca.go.kr/healthinfo/biz/health/gnrlzHealthInfo/gnrlzHealthInfo/gnrlzHealthInfoMain.do</x:v>
      </x:c>
      <x:c r="H945" s="8" t="str">
        <x:v>{
  "disease": "폐렴(성인)",
  "section": "진단 및 검사",
  "category": "disease"
}</x:v>
      </x:c>
    </x:row>
    <x:row r="946" ht="54" customHeight="1">
      <x:c r="A946" s="8" t="str">
        <x:v>gold-disease-039d4c4557b3d369</x:v>
      </x:c>
      <x:c r="B946" s="8" t="str">
        <x:v>kdca-5528-7</x:v>
      </x:c>
      <x:c r="C946" s="8" t="str">
        <x:v>kdca-5528-7</x:v>
      </x:c>
      <x:c r="D946" s="8" t="str">
        <x:v>근거와 함께 답변</x:v>
      </x:c>
      <x:c r="E946" s="15" t="n">
        <x:v>944</x:v>
      </x:c>
      <x:c r="F946" s="8" t="str">
        <x:v>VDB 후속 설명 보강</x:v>
      </x:c>
      <x:c r="G946" s="8" t="str">
        <x:v>https://health.kdca.go.kr/healthinfo/biz/health/gnrlzHealthInfo/gnrlzHealthInfo/gnrlzHealthInfoMain.do</x:v>
      </x:c>
      <x:c r="H946" s="8" t="str">
        <x:v>{
  "disease": "사상충증",
  "section": "증상",
  "category": "disease"
}</x:v>
      </x:c>
    </x:row>
    <x:row r="947" ht="54" customHeight="1">
      <x:c r="A947" s="8" t="str">
        <x:v>gold-disease-na-e5c7fdacf5f84a7b</x:v>
      </x:c>
      <x:c r="B947" s="8" t="str"/>
      <x:c r="C947" s="8" t="str"/>
      <x:c r="D947" s="8" t="str">
        <x:v>답변 거부 또는 추가 확인 요청</x:v>
      </x:c>
      <x:c r="E947" s="15" t="n">
        <x:v>945</x:v>
      </x:c>
      <x:c r="F947" s="8" t="str">
        <x:v>답변 거부 기준 문구</x:v>
      </x:c>
      <x:c r="G947" s="8" t="str">
        <x:v>https://health.kdca.go.kr/healthinfo/biz/health/gnrlzHealthInfo/gnrlzHealthInfo/gnrlzHealthInfoMain.do</x:v>
      </x:c>
      <x:c r="H947" s="8" t="str">
        <x:v>{
  "disease": "귀의 통증 및 분비물",
  "section": "원인",
  "category": "symptom"
}</x:v>
      </x:c>
    </x:row>
    <x:row r="948" ht="54" customHeight="1">
      <x:c r="A948" s="8" t="str">
        <x:v>gold-disease-bcef3ad121f276ee</x:v>
      </x:c>
      <x:c r="B948" s="8" t="str">
        <x:v>kdca-6551-14</x:v>
      </x:c>
      <x:c r="C948" s="8" t="str">
        <x:v>kdca-6551-14</x:v>
      </x:c>
      <x:c r="D948" s="8" t="str">
        <x:v>근거와 함께 답변</x:v>
      </x:c>
      <x:c r="E948" s="15" t="n">
        <x:v>946</x:v>
      </x:c>
      <x:c r="F948" s="8" t="str">
        <x:v>기존 검증 정답</x:v>
      </x:c>
      <x:c r="G948" s="8" t="str">
        <x:v>https://health.kdca.go.kr/healthinfo/biz/health/gnrlzHealthInfo/gnrlzHealthInfo/gnrlzHealthInfoMain.do</x:v>
      </x:c>
      <x:c r="H948" s="8" t="str">
        <x:v>{
  "disease": "탈수",
  "section": "생활습관 관리 / 자주하는 질문",
  "category": "disease"
}</x:v>
      </x:c>
    </x:row>
    <x:row r="949" ht="54" customHeight="1">
      <x:c r="A949" s="8" t="str">
        <x:v>gold-disease-4acd0f0d870f421b</x:v>
      </x:c>
      <x:c r="B949" s="8" t="str">
        <x:v>kdca-5818-28</x:v>
      </x:c>
      <x:c r="C949" s="8" t="str">
        <x:v>kdca-5818-28</x:v>
      </x:c>
      <x:c r="D949" s="8" t="str">
        <x:v>근거와 함께 답변</x:v>
      </x:c>
      <x:c r="E949" s="15" t="n">
        <x:v>947</x:v>
      </x:c>
      <x:c r="F949" s="8" t="str">
        <x:v>기존 검증 정답</x:v>
      </x:c>
      <x:c r="G949" s="8" t="str">
        <x:v>https://health.kdca.go.kr/healthinfo/biz/health/gnrlzHealthInfo/gnrlzHealthInfo/gnrlzHealthInfoMain.do</x:v>
      </x:c>
      <x:c r="H949" s="8" t="str">
        <x:v>{
  "disease": "치핵",
  "section": "대상별 맞춤 정보 / 참고문헌",
  "category": "disease"
}</x:v>
      </x:c>
    </x:row>
    <x:row r="950" ht="54" customHeight="1">
      <x:c r="A950" s="8" t="str">
        <x:v>gold-disease-fa6693569475f025</x:v>
      </x:c>
      <x:c r="B950" s="8" t="str">
        <x:v>kdca-1607-0</x:v>
      </x:c>
      <x:c r="C950" s="8" t="str">
        <x:v>kdca-1607-0</x:v>
      </x:c>
      <x:c r="D950" s="8" t="str">
        <x:v>근거와 함께 답변</x:v>
      </x:c>
      <x:c r="E950" s="15" t="n">
        <x:v>948</x:v>
      </x:c>
      <x:c r="F950" s="8" t="str">
        <x:v>VDB 원인·위험요인 청크 재선정</x:v>
      </x:c>
      <x:c r="G950" s="8" t="str">
        <x:v>https://health.kdca.go.kr/healthinfo/biz/health/gnrlzHealthInfo/gnrlzHealthInfo/gnrlzHealthInfoMain.do</x:v>
      </x:c>
      <x:c r="H950" s="8" t="str">
        <x:v>{
  "disease": "외이도염(알레르기외이도염)",
  "section": "개요 / 원인",
  "category": "disease"
}</x:v>
      </x:c>
    </x:row>
    <x:row r="951" ht="54" customHeight="1">
      <x:c r="A951" s="8" t="str">
        <x:v>gold-disease-e9ba624e1d8bf03a</x:v>
      </x:c>
      <x:c r="B951" s="8" t="str">
        <x:v>kdca-6712-16</x:v>
      </x:c>
      <x:c r="C951" s="8" t="str">
        <x:v>kdca-6712-16</x:v>
      </x:c>
      <x:c r="D951" s="8" t="str">
        <x:v>근거와 함께 답변</x:v>
      </x:c>
      <x:c r="E951" s="15" t="n">
        <x:v>949</x:v>
      </x:c>
      <x:c r="F951" s="8" t="str">
        <x:v>VDB 후속 설명 보강</x:v>
      </x:c>
      <x:c r="G951" s="8" t="str">
        <x:v>https://health.kdca.go.kr/healthinfo/biz/health/gnrlzHealthInfo/gnrlzHealthInfo/gnrlzHealthInfoMain.do</x:v>
      </x:c>
      <x:c r="H951" s="8" t="str">
        <x:v>{
  "disease": "소변이상(혈뇨)",
  "section": "연관 증상",
  "category": "symptom"
}</x:v>
      </x:c>
    </x:row>
    <x:row r="952" ht="54" customHeight="1">
      <x:c r="A952" s="8" t="str">
        <x:v>gold-disease-17920f94ad4951cf</x:v>
      </x:c>
      <x:c r="B952" s="8" t="str">
        <x:v>kdca-6680-7</x:v>
      </x:c>
      <x:c r="C952" s="8" t="str">
        <x:v>kdca-6680-7</x:v>
      </x:c>
      <x:c r="D952" s="8" t="str">
        <x:v>근거와 함께 답변</x:v>
      </x:c>
      <x:c r="E952" s="15" t="n">
        <x:v>950</x:v>
      </x:c>
      <x:c r="F952" s="8" t="str">
        <x:v>기존 검증 정답</x:v>
      </x:c>
      <x:c r="G952" s="8" t="str">
        <x:v>https://health.kdca.go.kr/healthinfo/biz/health/gnrlzHealthInfo/gnrlzHealthInfo/gnrlzHealthInfoMain.do</x:v>
      </x:c>
      <x:c r="H952" s="8" t="str">
        <x:v>{
  "disease": "급성호흡기바이러스감염증",
  "section": "경과 및 예후",
  "category": "disease"
}</x:v>
      </x:c>
    </x:row>
    <x:row r="953" ht="54" customHeight="1">
      <x:c r="A953" s="8" t="str">
        <x:v>gold-disease-b5e82174e282f8ff</x:v>
      </x:c>
      <x:c r="B953" s="8" t="str">
        <x:v>kdca-6680-13</x:v>
      </x:c>
      <x:c r="C953" s="8" t="str">
        <x:v>kdca-6680-13</x:v>
      </x:c>
      <x:c r="D953" s="8" t="str">
        <x:v>근거와 함께 답변</x:v>
      </x:c>
      <x:c r="E953" s="15" t="n">
        <x:v>951</x:v>
      </x:c>
      <x:c r="F953" s="8" t="str">
        <x:v>기존 검증 정답</x:v>
      </x:c>
      <x:c r="G953" s="8" t="str">
        <x:v>https://health.kdca.go.kr/healthinfo/biz/health/gnrlzHealthInfo/gnrlzHealthInfo/gnrlzHealthInfoMain.do</x:v>
      </x:c>
      <x:c r="H953" s="8" t="str">
        <x:v>{
  "disease": "급성호흡기바이러스감염증",
  "section": "역학 및 통계 / 증상",
  "category": "disease"
}</x:v>
      </x:c>
    </x:row>
    <x:row r="954" ht="54" customHeight="1">
      <x:c r="A954" s="8" t="str">
        <x:v>gold-disease-41dca6b8d65c2fad</x:v>
      </x:c>
      <x:c r="B954" s="8" t="str">
        <x:v>kdca-5718-0</x:v>
      </x:c>
      <x:c r="C954" s="8" t="str">
        <x:v>kdca-5718-0</x:v>
      </x:c>
      <x:c r="D954" s="8" t="str">
        <x:v>근거와 함께 답변</x:v>
      </x:c>
      <x:c r="E954" s="15" t="n">
        <x:v>952</x:v>
      </x:c>
      <x:c r="F954" s="8" t="str">
        <x:v>기존 검증 정답</x:v>
      </x:c>
      <x:c r="G954" s="8" t="str">
        <x:v>https://health.kdca.go.kr/healthinfo/biz/health/gnrlzHealthInfo/gnrlzHealthInfo/gnrlzHealthInfoMain.do</x:v>
      </x:c>
      <x:c r="H954" s="8" t="str">
        <x:v>{
  "disease": "전신질환과 치주치료",
  "section": "요약문",
  "category": "disease"
}</x:v>
      </x:c>
    </x:row>
    <x:row r="955" ht="54" customHeight="1">
      <x:c r="A955" s="8" t="str">
        <x:v>gold-disease-5158b8501937999a</x:v>
      </x:c>
      <x:c r="B955" s="8" t="str">
        <x:v>kdca-2057-16</x:v>
      </x:c>
      <x:c r="C955" s="8" t="str">
        <x:v>kdca-2057-16</x:v>
      </x:c>
      <x:c r="D955" s="8" t="str">
        <x:v>근거와 함께 답변</x:v>
      </x:c>
      <x:c r="E955" s="15" t="n">
        <x:v>953</x:v>
      </x:c>
      <x:c r="F955" s="8" t="str">
        <x:v>기존 검증 정답</x:v>
      </x:c>
      <x:c r="G955" s="8" t="str">
        <x:v>https://health.kdca.go.kr/healthinfo/biz/health/gnrlzHealthInfo/gnrlzHealthInfo/gnrlzHealthInfoMain.do</x:v>
      </x:c>
      <x:c r="H955" s="8" t="str">
        <x:v>{
  "disease": "위식도역류질환",
  "section": "증상 / 진단 및 검사",
  "category": "disease"
}</x:v>
      </x:c>
    </x:row>
    <x:row r="956" ht="54" customHeight="1">
      <x:c r="A956" s="8" t="str">
        <x:v>gold-disease-na-77baddfba7d81b83</x:v>
      </x:c>
      <x:c r="B956" s="8" t="str"/>
      <x:c r="C956" s="8" t="str"/>
      <x:c r="D956" s="8" t="str">
        <x:v>답변 거부 또는 추가 확인 요청</x:v>
      </x:c>
      <x:c r="E956" s="15" t="n">
        <x:v>954</x:v>
      </x:c>
      <x:c r="F956" s="8" t="str">
        <x:v>답변 거부 기준 문구</x:v>
      </x:c>
      <x:c r="G956" s="8" t="str">
        <x:v>https://health.kdca.go.kr/healthinfo/biz/health/gnrlzHealthInfo/gnrlzHealthInfo/gnrlzHealthInfoMain.do</x:v>
      </x:c>
      <x:c r="H956" s="8" t="str">
        <x:v>{
  "disease": "신생아 황달",
  "section": "요약문",
  "category": "disease"
}</x:v>
      </x:c>
    </x:row>
    <x:row r="957" ht="54" customHeight="1">
      <x:c r="A957" s="8" t="str">
        <x:v>gold-disease-1da7399d17731d48</x:v>
      </x:c>
      <x:c r="B957" s="8" t="str">
        <x:v>kdca-5305-172</x:v>
      </x:c>
      <x:c r="C957" s="8" t="str">
        <x:v>kdca-5305-172</x:v>
      </x:c>
      <x:c r="D957" s="8" t="str">
        <x:v>근거와 함께 답변</x:v>
      </x:c>
      <x:c r="E957" s="15" t="n">
        <x:v>955</x:v>
      </x:c>
      <x:c r="F957" s="8" t="str">
        <x:v>기존 검증 정답</x:v>
      </x:c>
      <x:c r="G957" s="8" t="str">
        <x:v>https://health.kdca.go.kr/healthinfo/biz/health/gnrlzHealthInfo/gnrlzHealthInfo/gnrlzHealthInfoMain.do</x:v>
      </x:c>
      <x:c r="H957" s="8" t="str">
        <x:v>{
  "disease": "당뇨병",
  "section": "대상별 맞춤 정보",
  "category": "disease"
}</x:v>
      </x:c>
    </x:row>
    <x:row r="958" ht="54" customHeight="1">
      <x:c r="A958" s="8" t="str">
        <x:v>gold-disease-211ab934a4c487e4</x:v>
      </x:c>
      <x:c r="B958" s="8" t="str">
        <x:v>kdca-5279-30</x:v>
      </x:c>
      <x:c r="C958" s="8" t="str">
        <x:v>kdca-5279-30</x:v>
      </x:c>
      <x:c r="D958" s="8" t="str">
        <x:v>근거와 함께 답변</x:v>
      </x:c>
      <x:c r="E958" s="15" t="n">
        <x:v>956</x:v>
      </x:c>
      <x:c r="F958" s="8" t="str">
        <x:v>VDB 후속 설명 보강</x:v>
      </x:c>
      <x:c r="G958" s="8" t="str">
        <x:v>https://health.kdca.go.kr/healthinfo/biz/health/gnrlzHealthInfo/gnrlzHealthInfo/gnrlzHealthInfoMain.do</x:v>
      </x:c>
      <x:c r="H958" s="8" t="str">
        <x:v>{
  "disease": "신증후군출혈열(한타바이러스감염증)",
  "section": "자주하는 질문",
  "category": "disease"
}</x:v>
      </x:c>
    </x:row>
    <x:row r="959" ht="54" customHeight="1">
      <x:c r="A959" s="8" t="str">
        <x:v>gold-disease-140ebf9bd62a56a0</x:v>
      </x:c>
      <x:c r="B959" s="8" t="str">
        <x:v>kdca-5372-16</x:v>
      </x:c>
      <x:c r="C959" s="8" t="str">
        <x:v>kdca-5372-16</x:v>
      </x:c>
      <x:c r="D959" s="8" t="str">
        <x:v>근거와 함께 답변</x:v>
      </x:c>
      <x:c r="E959" s="15" t="n">
        <x:v>957</x:v>
      </x:c>
      <x:c r="F959" s="8" t="str">
        <x:v>기존 검증 정답</x:v>
      </x:c>
      <x:c r="G959" s="8" t="str">
        <x:v>https://health.kdca.go.kr/healthinfo/biz/health/gnrlzHealthInfo/gnrlzHealthInfo/gnrlzHealthInfoMain.do</x:v>
      </x:c>
      <x:c r="H959" s="8" t="str">
        <x:v>{
  "disease": "비브리오 패혈증",
  "section": "진단 및 검사",
  "category": "disease"
}</x:v>
      </x:c>
    </x:row>
    <x:row r="960" ht="54" customHeight="1">
      <x:c r="A960" s="8" t="str">
        <x:v>gold-disease-4693254fd96a72db</x:v>
      </x:c>
      <x:c r="B960" s="8" t="str">
        <x:v>kdca-2971-0</x:v>
      </x:c>
      <x:c r="C960" s="8" t="str">
        <x:v>kdca-2971-0</x:v>
      </x:c>
      <x:c r="D960" s="8" t="str">
        <x:v>근거와 함께 답변</x:v>
      </x:c>
      <x:c r="E960" s="15" t="n">
        <x:v>958</x:v>
      </x:c>
      <x:c r="F960" s="8" t="str">
        <x:v>기존 검증 정답</x:v>
      </x:c>
      <x:c r="G960" s="8" t="str">
        <x:v>https://health.kdca.go.kr/healthinfo/biz/health/gnrlzHealthInfo/gnrlzHealthInfo/gnrlzHealthInfoMain.do</x:v>
      </x:c>
      <x:c r="H960" s="8" t="str">
        <x:v>{
  "disease": "심낭염(교착 심낭염)",
  "section": "요약문",
  "category": "disease"
}</x:v>
      </x:c>
    </x:row>
    <x:row r="961" ht="54" customHeight="1">
      <x:c r="A961" s="8" t="str">
        <x:v>gold-disease-dfc0f67f529024b4</x:v>
      </x:c>
      <x:c r="B961" s="8" t="str">
        <x:v>kdca-5307-10</x:v>
      </x:c>
      <x:c r="C961" s="8" t="str">
        <x:v>kdca-5307-10</x:v>
      </x:c>
      <x:c r="D961" s="8" t="str">
        <x:v>근거와 함께 답변</x:v>
      </x:c>
      <x:c r="E961" s="15" t="n">
        <x:v>959</x:v>
      </x:c>
      <x:c r="F961" s="8" t="str">
        <x:v>기존 검증 정답</x:v>
      </x:c>
      <x:c r="G961" s="8" t="str">
        <x:v>https://health.kdca.go.kr/healthinfo/biz/health/gnrlzHealthInfo/gnrlzHealthInfo/gnrlzHealthInfoMain.do</x:v>
      </x:c>
      <x:c r="H961" s="8" t="str">
        <x:v>{
  "disease": "A형간염",
  "section": "증상",
  "category": "disease"
}</x:v>
      </x:c>
    </x:row>
    <x:row r="962" ht="54" customHeight="1">
      <x:c r="A962" s="8" t="str">
        <x:v>gold-disease-977e4bfe2dda5a2e</x:v>
      </x:c>
      <x:c r="B962" s="8" t="str">
        <x:v>kdca-5350-1</x:v>
      </x:c>
      <x:c r="C962" s="8" t="str">
        <x:v>kdca-5350-1</x:v>
      </x:c>
      <x:c r="D962" s="8" t="str">
        <x:v>근거와 함께 답변</x:v>
      </x:c>
      <x:c r="E962" s="15" t="n">
        <x:v>960</x:v>
      </x:c>
      <x:c r="F962" s="8" t="str">
        <x:v>기존 검증 정답</x:v>
      </x:c>
      <x:c r="G962" s="8" t="str">
        <x:v>https://health.kdca.go.kr/healthinfo/biz/health/gnrlzHealthInfo/gnrlzHealthInfo/gnrlzHealthInfoMain.do</x:v>
      </x:c>
      <x:c r="H962" s="8" t="str">
        <x:v>{
  "disease": "편충증",
  "section": "요약문 / 개요 / 신고 대상 및 방법",
  "category": "disease"
}</x:v>
      </x:c>
    </x:row>
    <x:row r="963" ht="54" customHeight="1">
      <x:c r="A963" s="8" t="str">
        <x:v>gold-disease-55c2222bfd17c36e</x:v>
      </x:c>
      <x:c r="B963" s="8" t="str">
        <x:v>kdca-5701-7</x:v>
      </x:c>
      <x:c r="C963" s="8" t="str">
        <x:v>kdca-5701-7</x:v>
      </x:c>
      <x:c r="D963" s="8" t="str">
        <x:v>근거와 함께 답변</x:v>
      </x:c>
      <x:c r="E963" s="15" t="n">
        <x:v>961</x:v>
      </x:c>
      <x:c r="F963" s="8" t="str">
        <x:v>기존 검증 정답</x:v>
      </x:c>
      <x:c r="G963" s="8" t="str">
        <x:v>https://health.kdca.go.kr/healthinfo/biz/health/gnrlzHealthInfo/gnrlzHealthInfo/gnrlzHealthInfoMain.do</x:v>
      </x:c>
      <x:c r="H963" s="8" t="str">
        <x:v>{
  "disease": "질분비물",
  "section": "경과 및 예후",
  "category": "disease"
}</x:v>
      </x:c>
    </x:row>
    <x:row r="964" ht="54" customHeight="1">
      <x:c r="A964" s="8" t="str">
        <x:v>gold-disease-na-09a47ff018551105</x:v>
      </x:c>
      <x:c r="B964" s="8" t="str"/>
      <x:c r="C964" s="8" t="str"/>
      <x:c r="D964" s="8" t="str">
        <x:v>답변 거부 또는 추가 확인 요청</x:v>
      </x:c>
      <x:c r="E964" s="15" t="n">
        <x:v>962</x:v>
      </x:c>
      <x:c r="F964" s="8" t="str">
        <x:v>답변 거부 기준 문구</x:v>
      </x:c>
      <x:c r="G964" s="8" t="str">
        <x:v>https://health.kdca.go.kr/healthinfo/biz/health/gnrlzHealthInfo/gnrlzHealthInfo/gnrlzHealthInfoMain.do</x:v>
      </x:c>
      <x:c r="H964" s="8" t="str">
        <x:v>{
  "disease": "배뇨 관련 증상 또는 이상",
  "section": "증상",
  "category": "disease"
}</x:v>
      </x:c>
    </x:row>
    <x:row r="965" ht="54" customHeight="1">
      <x:c r="A965" s="8" t="str">
        <x:v>gold-disease-09520f73fb2f0b45</x:v>
      </x:c>
      <x:c r="B965" s="8" t="str">
        <x:v>kdca-6526-14</x:v>
      </x:c>
      <x:c r="C965" s="8" t="str">
        <x:v>kdca-6526-14</x:v>
      </x:c>
      <x:c r="D965" s="8" t="str">
        <x:v>근거와 함께 답변</x:v>
      </x:c>
      <x:c r="E965" s="15" t="n">
        <x:v>963</x:v>
      </x:c>
      <x:c r="F965" s="8" t="str">
        <x:v>VDB 후속 설명 보강</x:v>
      </x:c>
      <x:c r="G965" s="8" t="str">
        <x:v>https://health.kdca.go.kr/healthinfo/biz/health/gnrlzHealthInfo/gnrlzHealthInfo/gnrlzHealthInfoMain.do</x:v>
      </x:c>
      <x:c r="H965" s="8" t="str">
        <x:v>{
  "disease": "직업성 호흡기질환(직업성 만성폐쇄성폐질환)",
  "section": "자주하는 질문",
  "category": "disease"
}</x:v>
      </x:c>
    </x:row>
    <x:row r="966" ht="54" customHeight="1">
      <x:c r="A966" s="8" t="str">
        <x:v>gold-disease-c94fd9c439b0ab93</x:v>
      </x:c>
      <x:c r="B966" s="8" t="str">
        <x:v>kdca-6555-25</x:v>
      </x:c>
      <x:c r="C966" s="8" t="str">
        <x:v>kdca-6555-25</x:v>
      </x:c>
      <x:c r="D966" s="8" t="str">
        <x:v>근거와 함께 답변</x:v>
      </x:c>
      <x:c r="E966" s="15" t="n">
        <x:v>964</x:v>
      </x:c>
      <x:c r="F966" s="8" t="str">
        <x:v>VDB 후속 설명 보강</x:v>
      </x:c>
      <x:c r="G966" s="8" t="str">
        <x:v>https://health.kdca.go.kr/healthinfo/biz/health/gnrlzHealthInfo/gnrlzHealthInfo/gnrlzHealthInfoMain.do</x:v>
      </x:c>
      <x:c r="H966" s="8" t="str">
        <x:v>{
  "disease": "강직척추염",
  "section": "치료 / 약물 치료",
  "category": "disease"
}</x:v>
      </x:c>
    </x:row>
    <x:row r="967" ht="54" customHeight="1">
      <x:c r="A967" s="8" t="str">
        <x:v>gold-disease-na-38ee3fdd2cc435f2</x:v>
      </x:c>
      <x:c r="B967" s="8" t="str"/>
      <x:c r="C967" s="8" t="str"/>
      <x:c r="D967" s="8" t="str">
        <x:v>답변 거부 또는 추가 확인 요청</x:v>
      </x:c>
      <x:c r="E967" s="15" t="n">
        <x:v>965</x:v>
      </x:c>
      <x:c r="F967" s="8" t="str">
        <x:v>답변 거부 기준 문구</x:v>
      </x:c>
      <x:c r="G967" s="8" t="str">
        <x:v>https://health.kdca.go.kr/healthinfo/biz/health/gnrlzHealthInfo/gnrlzHealthInfo/gnrlzHealthInfoMain.do</x:v>
      </x:c>
      <x:c r="H967" s="8" t="str">
        <x:v>{
  "disease": "B형간염",
  "section": "예방 및 예방접종 / 치료",
  "category": "disease"
}</x:v>
      </x:c>
    </x:row>
    <x:row r="968" ht="54" customHeight="1">
      <x:c r="A968" s="8" t="str">
        <x:v>gold-disease-2d4d8d343498fd3f</x:v>
      </x:c>
      <x:c r="B968" s="8" t="str">
        <x:v>kdca-1729-22</x:v>
      </x:c>
      <x:c r="C968" s="8" t="str">
        <x:v>kdca-1729-22</x:v>
      </x:c>
      <x:c r="D968" s="8" t="str">
        <x:v>근거와 함께 답변</x:v>
      </x:c>
      <x:c r="E968" s="15" t="n">
        <x:v>966</x:v>
      </x:c>
      <x:c r="F968" s="8" t="str">
        <x:v>기존 검증 정답</x:v>
      </x:c>
      <x:c r="G968" s="8" t="str">
        <x:v>https://health.kdca.go.kr/healthinfo/biz/health/gnrlzHealthInfo/gnrlzHealthInfo/gnrlzHealthInfoMain.do</x:v>
      </x:c>
      <x:c r="H968" s="8" t="str">
        <x:v>{
  "disease": "성대결절",
  "section": "위험요인 및 예방",
  "category": "disease"
}</x:v>
      </x:c>
    </x:row>
    <x:row r="969" ht="54" customHeight="1">
      <x:c r="A969" s="8" t="str">
        <x:v>gold-disease-na-76c93f6e26f21bab</x:v>
      </x:c>
      <x:c r="B969" s="8" t="str"/>
      <x:c r="C969" s="8" t="str"/>
      <x:c r="D969" s="8" t="str">
        <x:v>답변 거부 또는 추가 확인 요청</x:v>
      </x:c>
      <x:c r="E969" s="15" t="n">
        <x:v>967</x:v>
      </x:c>
      <x:c r="F969" s="8" t="str">
        <x:v>답변 거부 기준 문구</x:v>
      </x:c>
      <x:c r="G969" s="8" t="str">
        <x:v>https://health.kdca.go.kr/healthinfo/biz/health/gnrlzHealthInfo/gnrlzHealthInfo/gnrlzHealthInfoMain.do</x:v>
      </x:c>
      <x:c r="H969" s="8" t="str">
        <x:v>{
  "disease": "간의 양성종양(간혈관종)",
  "section": "역학 및 통계 / 증상",
  "category": "disease"
}</x:v>
      </x:c>
    </x:row>
    <x:row r="970" ht="54" customHeight="1">
      <x:c r="A970" s="8" t="str">
        <x:v>gold-disease-7870c9b426987c0b</x:v>
      </x:c>
      <x:c r="B970" s="8" t="str">
        <x:v>kdca-5480-24</x:v>
      </x:c>
      <x:c r="C970" s="8" t="str">
        <x:v>kdca-5480-24</x:v>
      </x:c>
      <x:c r="D970" s="8" t="str">
        <x:v>근거와 함께 답변</x:v>
      </x:c>
      <x:c r="E970" s="15" t="n">
        <x:v>968</x:v>
      </x:c>
      <x:c r="F970" s="8" t="str">
        <x:v>기존 검증 정답</x:v>
      </x:c>
      <x:c r="G970" s="8" t="str">
        <x:v>https://health.kdca.go.kr/healthinfo/biz/health/gnrlzHealthInfo/gnrlzHealthInfo/gnrlzHealthInfoMain.do</x:v>
      </x:c>
      <x:c r="H970" s="8" t="str">
        <x:v>{
  "disease": "조루증",
  "section": "자주하는 질문",
  "category": "disease"
}</x:v>
      </x:c>
    </x:row>
    <x:row r="971" ht="54" customHeight="1">
      <x:c r="A971" s="8" t="str">
        <x:v>gold-disease-82f121169d2220b1</x:v>
      </x:c>
      <x:c r="B971" s="8" t="str">
        <x:v>kdca-5526-7</x:v>
      </x:c>
      <x:c r="C971" s="8" t="str">
        <x:v>kdca-5526-7</x:v>
      </x:c>
      <x:c r="D971" s="8" t="str">
        <x:v>근거와 함께 답변</x:v>
      </x:c>
      <x:c r="E971" s="15" t="n">
        <x:v>969</x:v>
      </x:c>
      <x:c r="F971" s="8" t="str">
        <x:v>기존 검증 정답</x:v>
      </x:c>
      <x:c r="G971" s="8" t="str">
        <x:v>https://health.kdca.go.kr/healthinfo/biz/health/gnrlzHealthInfo/gnrlzHealthInfo/gnrlzHealthInfoMain.do</x:v>
      </x:c>
      <x:c r="H971" s="8" t="str">
        <x:v>{
  "disease": "광동주혈선충증",
  "section": "진단 및 검사",
  "category": "disease"
}</x:v>
      </x:c>
    </x:row>
    <x:row r="972" ht="54" customHeight="1">
      <x:c r="A972" s="8" t="str">
        <x:v>gold-disease-ed10390571070dfb</x:v>
      </x:c>
      <x:c r="B972" s="8" t="str">
        <x:v>kdca-6759-29</x:v>
      </x:c>
      <x:c r="C972" s="8" t="str">
        <x:v>kdca-6759-29</x:v>
      </x:c>
      <x:c r="D972" s="8" t="str">
        <x:v>근거와 함께 답변</x:v>
      </x:c>
      <x:c r="E972" s="15" t="n">
        <x:v>970</x:v>
      </x:c>
      <x:c r="F972" s="8" t="str">
        <x:v>기존 검증 정답</x:v>
      </x:c>
      <x:c r="G972" s="8" t="str">
        <x:v>https://health.kdca.go.kr/healthinfo/biz/health/gnrlzHealthInfo/gnrlzHealthInfo/gnrlzHealthInfoMain.do</x:v>
      </x:c>
      <x:c r="H972" s="8" t="str">
        <x:v>{
  "disease": "사람면역결핍바이러스",
  "section": "역학 및 통계",
  "category": "disease"
}</x:v>
      </x:c>
    </x:row>
    <x:row r="973" ht="54" customHeight="1">
      <x:c r="A973" s="8" t="str">
        <x:v>gold-disease-e6a7df2d09d5e1a3</x:v>
      </x:c>
      <x:c r="B973" s="8" t="str">
        <x:v>kdca-5486-37</x:v>
      </x:c>
      <x:c r="C973" s="8" t="str">
        <x:v>kdca-5486-37</x:v>
      </x:c>
      <x:c r="D973" s="8" t="str">
        <x:v>근거와 함께 답변</x:v>
      </x:c>
      <x:c r="E973" s="15" t="n">
        <x:v>971</x:v>
      </x:c>
      <x:c r="F973" s="8" t="str">
        <x:v>기존 검증 정답</x:v>
      </x:c>
      <x:c r="G973" s="8" t="str">
        <x:v>https://health.kdca.go.kr/healthinfo/biz/health/gnrlzHealthInfo/gnrlzHealthInfo/gnrlzHealthInfoMain.do</x:v>
      </x:c>
      <x:c r="H973" s="8" t="str">
        <x:v>{
  "disease": "유소아 난청",
  "section": "정기 진찰 / 위험요인 및 예방",
  "category": "disease"
}</x:v>
      </x:c>
    </x:row>
    <x:row r="974" ht="54" customHeight="1">
      <x:c r="A974" s="8" t="str">
        <x:v>gold-disease-26bf8cb02f1763f4</x:v>
      </x:c>
      <x:c r="B974" s="8" t="str">
        <x:v>kdca-6772-25</x:v>
      </x:c>
      <x:c r="C974" s="8" t="str">
        <x:v>kdca-6772-25</x:v>
      </x:c>
      <x:c r="D974" s="8" t="str">
        <x:v>근거와 함께 답변</x:v>
      </x:c>
      <x:c r="E974" s="15" t="n">
        <x:v>972</x:v>
      </x:c>
      <x:c r="F974" s="8" t="str">
        <x:v>VDB 원인·위험요인 청크 재선정</x:v>
      </x:c>
      <x:c r="G974" s="8" t="str">
        <x:v>https://health.kdca.go.kr/healthinfo/biz/health/gnrlzHealthInfo/gnrlzHealthInfo/gnrlzHealthInfoMain.do</x:v>
      </x:c>
      <x:c r="H974" s="8" t="str">
        <x:v>{
  "disease": "사시",
  "section": "종류 / 원인",
  "category": "disease"
}</x:v>
      </x:c>
    </x:row>
    <x:row r="975" ht="54" customHeight="1">
      <x:c r="A975" s="8" t="str">
        <x:v>gold-disease-337c5f47031c109f</x:v>
      </x:c>
      <x:c r="B975" s="8" t="str">
        <x:v>kdca-2348-2</x:v>
      </x:c>
      <x:c r="C975" s="8" t="str">
        <x:v>kdca-2348-2</x:v>
      </x:c>
      <x:c r="D975" s="8" t="str">
        <x:v>근거와 함께 답변</x:v>
      </x:c>
      <x:c r="E975" s="15" t="n">
        <x:v>973</x:v>
      </x:c>
      <x:c r="F975" s="8" t="str">
        <x:v>VDB 원인·위험요인 청크 재선정</x:v>
      </x:c>
      <x:c r="G975" s="8" t="str">
        <x:v>https://health.kdca.go.kr/healthinfo/biz/health/gnrlzHealthInfo/gnrlzHealthInfo/gnrlzHealthInfoMain.do</x:v>
      </x:c>
      <x:c r="H975" s="8" t="str">
        <x:v>{
  "disease": "당뇨병 합병증(급성 합병증_당뇨병케토산증, 고혈당고삼투질상태)",
  "section": "원인 / 증상",
  "category": "disease"
}</x:v>
      </x:c>
    </x:row>
    <x:row r="976" ht="54" customHeight="1">
      <x:c r="A976" s="8" t="str">
        <x:v>gold-disease-637cd57ecc984c0e</x:v>
      </x:c>
      <x:c r="B976" s="8" t="str">
        <x:v>kdca-1567-37</x:v>
      </x:c>
      <x:c r="C976" s="8" t="str">
        <x:v>kdca-1567-37</x:v>
      </x:c>
      <x:c r="D976" s="8" t="str">
        <x:v>근거와 함께 답변</x:v>
      </x:c>
      <x:c r="E976" s="15" t="n">
        <x:v>974</x:v>
      </x:c>
      <x:c r="F976" s="8" t="str">
        <x:v>기존 검증 정답</x:v>
      </x:c>
      <x:c r="G976" s="8" t="str">
        <x:v>https://health.kdca.go.kr/healthinfo/biz/health/gnrlzHealthInfo/gnrlzHealthInfo/gnrlzHealthInfoMain.do</x:v>
      </x:c>
      <x:c r="H976" s="8" t="str">
        <x:v>{
  "disease": "오십견(동결견, 유착관절낭염)",
  "section": "자주하는 질문",
  "category": "disease"
}</x:v>
      </x:c>
    </x:row>
    <x:row r="977" ht="54" customHeight="1">
      <x:c r="A977" s="8" t="str">
        <x:v>gold-disease-8ab54c1328456425</x:v>
      </x:c>
      <x:c r="B977" s="8" t="str">
        <x:v>kdca-3509-12</x:v>
      </x:c>
      <x:c r="C977" s="8" t="str">
        <x:v>kdca-3509-12</x:v>
      </x:c>
      <x:c r="D977" s="8" t="str">
        <x:v>근거와 함께 답변</x:v>
      </x:c>
      <x:c r="E977" s="15" t="n">
        <x:v>975</x:v>
      </x:c>
      <x:c r="F977" s="8" t="str">
        <x:v>VDB 후속 설명 보강</x:v>
      </x:c>
      <x:c r="G977" s="8" t="str">
        <x:v>https://health.kdca.go.kr/healthinfo/biz/health/gnrlzHealthInfo/gnrlzHealthInfo/gnrlzHealthInfoMain.do</x:v>
      </x:c>
      <x:c r="H977" s="8" t="str">
        <x:v>{
  "disease": "조갑감입(파고드는 발톱_감입발톱)",
  "section": "치료",
  "category": "disease"
}</x:v>
      </x:c>
    </x:row>
    <x:row r="978" ht="54" customHeight="1">
      <x:c r="A978" s="8" t="str">
        <x:v>gold-disease-04cb9049a6d45f7c</x:v>
      </x:c>
      <x:c r="B978" s="8" t="str">
        <x:v>kdca-5684-0</x:v>
      </x:c>
      <x:c r="C978" s="8" t="str">
        <x:v>kdca-5684-0</x:v>
      </x:c>
      <x:c r="D978" s="8" t="str">
        <x:v>근거와 함께 답변</x:v>
      </x:c>
      <x:c r="E978" s="15" t="n">
        <x:v>976</x:v>
      </x:c>
      <x:c r="F978" s="8" t="str">
        <x:v>VDB 정의 문장 재선정</x:v>
      </x:c>
      <x:c r="G978" s="8" t="str">
        <x:v>https://health.kdca.go.kr/healthinfo/biz/health/gnrlzHealthInfo/gnrlzHealthInfo/gnrlzHealthInfoMain.do</x:v>
      </x:c>
      <x:c r="H978" s="8" t="str">
        <x:v>{
  "disease": "직장탈출증",
  "section": "요약문",
  "category": "disease"
}</x:v>
      </x:c>
    </x:row>
    <x:row r="979" ht="54" customHeight="1">
      <x:c r="A979" s="8" t="str">
        <x:v>gold-disease-na-8bbc737b3e8444ab</x:v>
      </x:c>
      <x:c r="B979" s="8" t="str"/>
      <x:c r="C979" s="8" t="str"/>
      <x:c r="D979" s="8" t="str">
        <x:v>답변 거부 또는 추가 확인 요청</x:v>
      </x:c>
      <x:c r="E979" s="15" t="n">
        <x:v>977</x:v>
      </x:c>
      <x:c r="F979" s="8" t="str">
        <x:v>답변 거부 기준 문구</x:v>
      </x:c>
      <x:c r="G979" s="8" t="str">
        <x:v>https://health.kdca.go.kr/healthinfo/biz/health/gnrlzHealthInfo/gnrlzHealthInfo/gnrlzHealthInfoMain.do</x:v>
      </x:c>
      <x:c r="H979" s="8" t="str">
        <x:v>{
  "disease": "소아청소년기고혈압",
  "section": "개요",
  "category": "disease"
}</x:v>
      </x:c>
    </x:row>
    <x:row r="980" ht="54" customHeight="1">
      <x:c r="A980" s="8" t="str">
        <x:v>gold-disease-ee2b4328240e5472</x:v>
      </x:c>
      <x:c r="B980" s="8" t="str">
        <x:v>kdca-6306-62</x:v>
      </x:c>
      <x:c r="C980" s="8" t="str">
        <x:v>kdca-6306-62</x:v>
      </x:c>
      <x:c r="D980" s="8" t="str">
        <x:v>근거와 함께 답변</x:v>
      </x:c>
      <x:c r="E980" s="15" t="n">
        <x:v>978</x:v>
      </x:c>
      <x:c r="F980" s="8" t="str">
        <x:v>VDB 후속 설명 보강</x:v>
      </x:c>
      <x:c r="G980" s="8" t="str">
        <x:v>https://health.kdca.go.kr/healthinfo/biz/health/gnrlzHealthInfo/gnrlzHealthInfo/gnrlzHealthInfoMain.do</x:v>
      </x:c>
      <x:c r="H980" s="8" t="str">
        <x:v>{
  "disease": "안구건조증",
  "section": "자주하는 질문",
  "category": "disease"
}</x:v>
      </x:c>
    </x:row>
    <x:row r="981" ht="54" customHeight="1">
      <x:c r="A981" s="8" t="str">
        <x:v>gold-disease-746feac2ebe020f8</x:v>
      </x:c>
      <x:c r="B981" s="8" t="str">
        <x:v>kdca-6478-1</x:v>
      </x:c>
      <x:c r="C981" s="8" t="str">
        <x:v>kdca-6478-1</x:v>
      </x:c>
      <x:c r="D981" s="8" t="str">
        <x:v>근거와 함께 답변</x:v>
      </x:c>
      <x:c r="E981" s="15" t="n">
        <x:v>979</x:v>
      </x:c>
      <x:c r="F981" s="8" t="str">
        <x:v>기존 검증 정답</x:v>
      </x:c>
      <x:c r="G981" s="8" t="str">
        <x:v>https://health.kdca.go.kr/healthinfo/biz/health/gnrlzHealthInfo/gnrlzHealthInfo/gnrlzHealthInfoMain.do</x:v>
      </x:c>
      <x:c r="H981" s="8" t="str">
        <x:v>{
  "disease": "귀의 형태 이상(돌출귀)",
  "section": "개요",
  "category": "disease"
}</x:v>
      </x:c>
    </x:row>
    <x:row r="982" ht="54" customHeight="1">
      <x:c r="A982" s="8" t="str">
        <x:v>gold-disease-eb6b9d757df8ccc9</x:v>
      </x:c>
      <x:c r="B982" s="8" t="str">
        <x:v>kdca-6528-8</x:v>
      </x:c>
      <x:c r="C982" s="8" t="str">
        <x:v>kdca-6528-8</x:v>
      </x:c>
      <x:c r="D982" s="8" t="str">
        <x:v>근거와 함께 답변</x:v>
      </x:c>
      <x:c r="E982" s="15" t="n">
        <x:v>980</x:v>
      </x:c>
      <x:c r="F982" s="8" t="str">
        <x:v>VDB 후속 설명 보강</x:v>
      </x:c>
      <x:c r="G982" s="8" t="str">
        <x:v>https://health.kdca.go.kr/healthinfo/biz/health/gnrlzHealthInfo/gnrlzHealthInfo/gnrlzHealthInfoMain.do</x:v>
      </x:c>
      <x:c r="H982" s="8" t="str">
        <x:v>{
  "disease": "직업성 호흡기질환(진폐증)",
  "section": "치료",
  "category": "disease"
}</x:v>
      </x:c>
    </x:row>
    <x:row r="983" ht="54" customHeight="1">
      <x:c r="A983" s="8" t="str">
        <x:v>gold-disease-171b39f2499e431d</x:v>
      </x:c>
      <x:c r="B983" s="8" t="str">
        <x:v>kdca-5693-13</x:v>
      </x:c>
      <x:c r="C983" s="8" t="str">
        <x:v>kdca-5693-13</x:v>
      </x:c>
      <x:c r="D983" s="8" t="str">
        <x:v>근거와 함께 답변</x:v>
      </x:c>
      <x:c r="E983" s="15" t="n">
        <x:v>981</x:v>
      </x:c>
      <x:c r="F983" s="8" t="str">
        <x:v>VDB 후속 설명 보강</x:v>
      </x:c>
      <x:c r="G983" s="8" t="str">
        <x:v>https://health.kdca.go.kr/healthinfo/biz/health/gnrlzHealthInfo/gnrlzHealthInfo/gnrlzHealthInfoMain.do</x:v>
      </x:c>
      <x:c r="H983" s="8" t="str">
        <x:v>{
  "disease": "발 백선(무좀)",
  "section": "치료",
  "category": "disease"
}</x:v>
      </x:c>
    </x:row>
    <x:row r="984" ht="54" customHeight="1">
      <x:c r="A984" s="8" t="str">
        <x:v>gold-disease-f211537f4ee00ae8</x:v>
      </x:c>
      <x:c r="B984" s="8" t="str">
        <x:v>kdca-5265-9</x:v>
      </x:c>
      <x:c r="C984" s="8" t="str">
        <x:v>kdca-5265-9</x:v>
      </x:c>
      <x:c r="D984" s="8" t="str">
        <x:v>근거와 함께 답변</x:v>
      </x:c>
      <x:c r="E984" s="15" t="n">
        <x:v>982</x:v>
      </x:c>
      <x:c r="F984" s="8" t="str">
        <x:v>기존 검증 정답</x:v>
      </x:c>
      <x:c r="G984" s="8" t="str">
        <x:v>https://health.kdca.go.kr/healthinfo/biz/health/gnrlzHealthInfo/gnrlzHealthInfo/gnrlzHealthInfoMain.do</x:v>
      </x:c>
      <x:c r="H984" s="8" t="str">
        <x:v>{
  "disease": "다래끼와 콩다래끼",
  "section": "증상 / 진단 및 검사",
  "category": "disease"
}</x:v>
      </x:c>
    </x:row>
    <x:row r="985" ht="54" customHeight="1">
      <x:c r="A985" s="8" t="str">
        <x:v>gold-disease-c9efaa28a9a5c3a2</x:v>
      </x:c>
      <x:c r="B985" s="8" t="str">
        <x:v>kdca-5809-40</x:v>
      </x:c>
      <x:c r="C985" s="8" t="str">
        <x:v>kdca-5809-40</x:v>
      </x:c>
      <x:c r="D985" s="8" t="str">
        <x:v>근거와 함께 답변</x:v>
      </x:c>
      <x:c r="E985" s="15" t="n">
        <x:v>983</x:v>
      </x:c>
      <x:c r="F985" s="8" t="str">
        <x:v>기존 검증 정답</x:v>
      </x:c>
      <x:c r="G985" s="8" t="str">
        <x:v>https://health.kdca.go.kr/healthinfo/biz/health/gnrlzHealthInfo/gnrlzHealthInfo/gnrlzHealthInfoMain.do</x:v>
      </x:c>
      <x:c r="H985" s="8" t="str">
        <x:v>{
  "disease": "파킨슨병",
  "section": "증상 / 진단 및 검사",
  "category": "disease"
}</x:v>
      </x:c>
    </x:row>
    <x:row r="986" ht="54" customHeight="1">
      <x:c r="A986" s="8" t="str">
        <x:v>gold-disease-95a256465c90c6db</x:v>
      </x:c>
      <x:c r="B986" s="8" t="str">
        <x:v>kdca-2447-28</x:v>
      </x:c>
      <x:c r="C986" s="8" t="str">
        <x:v>kdca-2447-28</x:v>
      </x:c>
      <x:c r="D986" s="8" t="str">
        <x:v>근거와 함께 답변</x:v>
      </x:c>
      <x:c r="E986" s="15" t="n">
        <x:v>984</x:v>
      </x:c>
      <x:c r="F986" s="8" t="str">
        <x:v>기존 검증 정답</x:v>
      </x:c>
      <x:c r="G986" s="8" t="str">
        <x:v>https://health.kdca.go.kr/healthinfo/biz/health/gnrlzHealthInfo/gnrlzHealthInfo/gnrlzHealthInfoMain.do</x:v>
      </x:c>
      <x:c r="H986" s="8" t="str">
        <x:v>{
  "disease": "노인 변비",
  "section": "자주하는 질문",
  "category": "disease"
}</x:v>
      </x:c>
    </x:row>
    <x:row r="987" ht="54" customHeight="1">
      <x:c r="A987" s="8" t="str">
        <x:v>gold-disease-0140ed501ea1eb56</x:v>
      </x:c>
      <x:c r="B987" s="8" t="str">
        <x:v>kdca-6313-3</x:v>
      </x:c>
      <x:c r="C987" s="8" t="str">
        <x:v>kdca-6313-3</x:v>
      </x:c>
      <x:c r="D987" s="8" t="str">
        <x:v>근거와 함께 답변</x:v>
      </x:c>
      <x:c r="E987" s="15" t="n">
        <x:v>985</x:v>
      </x:c>
      <x:c r="F987" s="8" t="str">
        <x:v>VDB 원인·위험요인 청크 재선정</x:v>
      </x:c>
      <x:c r="G987" s="8" t="str">
        <x:v>https://health.kdca.go.kr/healthinfo/biz/health/gnrlzHealthInfo/gnrlzHealthInfo/gnrlzHealthInfoMain.do</x:v>
      </x:c>
      <x:c r="H987" s="8" t="str">
        <x:v>{
  "disease": "야토병",
  "section": "개요 / 역학 및 통계",
  "category": "disease"
}</x:v>
      </x:c>
    </x:row>
    <x:row r="988" ht="54" customHeight="1">
      <x:c r="A988" s="8" t="str">
        <x:v>gold-disease-802a51c7f2d10b3b</x:v>
      </x:c>
      <x:c r="B988" s="8" t="str">
        <x:v>kdca-3796-38</x:v>
      </x:c>
      <x:c r="C988" s="8" t="str">
        <x:v>kdca-3796-38</x:v>
      </x:c>
      <x:c r="D988" s="8" t="str">
        <x:v>근거와 함께 답변</x:v>
      </x:c>
      <x:c r="E988" s="15" t="n">
        <x:v>986</x:v>
      </x:c>
      <x:c r="F988" s="8" t="str">
        <x:v>VDB 후속 설명 보강</x:v>
      </x:c>
      <x:c r="G988" s="8" t="str">
        <x:v>https://health.kdca.go.kr/healthinfo/biz/health/gnrlzHealthInfo/gnrlzHealthInfo/gnrlzHealthInfoMain.do</x:v>
      </x:c>
      <x:c r="H988" s="8" t="str">
        <x:v>{
  "disease": "요통",
  "section": "약물 치료",
  "category": "disease"
}</x:v>
      </x:c>
    </x:row>
    <x:row r="989" ht="54" customHeight="1">
      <x:c r="A989" s="8" t="str">
        <x:v>gold-disease-5a52377be7bf9f5a</x:v>
      </x:c>
      <x:c r="B989" s="8" t="str">
        <x:v>kdca-6698-13</x:v>
      </x:c>
      <x:c r="C989" s="8" t="str">
        <x:v>kdca-6698-13</x:v>
      </x:c>
      <x:c r="D989" s="8" t="str">
        <x:v>근거와 함께 답변</x:v>
      </x:c>
      <x:c r="E989" s="15" t="n">
        <x:v>987</x:v>
      </x:c>
      <x:c r="F989" s="8" t="str">
        <x:v>기존 검증 정답</x:v>
      </x:c>
      <x:c r="G989" s="8" t="str">
        <x:v>https://health.kdca.go.kr/healthinfo/biz/health/gnrlzHealthInfo/gnrlzHealthInfo/gnrlzHealthInfoMain.do</x:v>
      </x:c>
      <x:c r="H989" s="8" t="str">
        <x:v>{
  "disease": "노인 고혈압",
  "section": "진단 및 검사",
  "category": "disease"
}</x:v>
      </x:c>
    </x:row>
    <x:row r="990" ht="54" customHeight="1">
      <x:c r="A990" s="8" t="str">
        <x:v>gold-disease-f39fa9be4cb4268f</x:v>
      </x:c>
      <x:c r="B990" s="8" t="str">
        <x:v>kdca-6725-8</x:v>
      </x:c>
      <x:c r="C990" s="8" t="str">
        <x:v>kdca-6725-8</x:v>
      </x:c>
      <x:c r="D990" s="8" t="str">
        <x:v>근거와 함께 답변</x:v>
      </x:c>
      <x:c r="E990" s="15" t="n">
        <x:v>988</x:v>
      </x:c>
      <x:c r="F990" s="8" t="str">
        <x:v>VDB 원인·위험요인 청크 재선정</x:v>
      </x:c>
      <x:c r="G990" s="8" t="str">
        <x:v>https://health.kdca.go.kr/healthinfo/biz/health/gnrlzHealthInfo/gnrlzHealthInfo/gnrlzHealthInfoMain.do</x:v>
      </x:c>
      <x:c r="H990" s="8" t="str">
        <x:v>{
  "disease": "정상노화의 이해",
  "section": "종류 / 원인",
  "category": "disease"
}</x:v>
      </x:c>
    </x:row>
    <x:row r="991" ht="54" customHeight="1">
      <x:c r="A991" s="8" t="str">
        <x:v>gold-disease-c6e8fcf836d5a1ff</x:v>
      </x:c>
      <x:c r="B991" s="8" t="str">
        <x:v>kdca-5858-15</x:v>
      </x:c>
      <x:c r="C991" s="8" t="str">
        <x:v>kdca-5858-15</x:v>
      </x:c>
      <x:c r="D991" s="8" t="str">
        <x:v>근거와 함께 답변</x:v>
      </x:c>
      <x:c r="E991" s="15" t="n">
        <x:v>989</x:v>
      </x:c>
      <x:c r="F991" s="8" t="str">
        <x:v>VDB 원인·위험요인 청크 재선정</x:v>
      </x:c>
      <x:c r="G991" s="8" t="str">
        <x:v>https://health.kdca.go.kr/healthinfo/biz/health/gnrlzHealthInfo/gnrlzHealthInfo/gnrlzHealthInfoMain.do</x:v>
      </x:c>
      <x:c r="H991" s="8" t="str">
        <x:v>{
  "disease": "복부 팽만",
  "section": "치료",
  "category": "symptom"
}</x:v>
      </x:c>
    </x:row>
    <x:row r="992" ht="54" customHeight="1">
      <x:c r="A992" s="8" t="str">
        <x:v>gold-disease-f7cd6af9cc784556</x:v>
      </x:c>
      <x:c r="B992" s="8" t="str">
        <x:v>kdca-1266-2</x:v>
      </x:c>
      <x:c r="C992" s="8" t="str">
        <x:v>kdca-1266-2</x:v>
      </x:c>
      <x:c r="D992" s="8" t="str">
        <x:v>근거와 함께 답변</x:v>
      </x:c>
      <x:c r="E992" s="15" t="n">
        <x:v>990</x:v>
      </x:c>
      <x:c r="F992" s="8" t="str">
        <x:v>기존 검증 정답</x:v>
      </x:c>
      <x:c r="G992" s="8" t="str">
        <x:v>https://health.kdca.go.kr/healthinfo/biz/health/gnrlzHealthInfo/gnrlzHealthInfo/gnrlzHealthInfoMain.do</x:v>
      </x:c>
      <x:c r="H992" s="8" t="str">
        <x:v>{
  "disease": "간의 양성종양(담관낭선종)",
  "section": "진단 및 검사 / 치료 / 자주하는 질문",
  "category": "disease"
}</x:v>
      </x:c>
    </x:row>
    <x:row r="993" ht="54" customHeight="1">
      <x:c r="A993" s="8" t="str">
        <x:v>gold-disease-d56809b551e28f6d</x:v>
      </x:c>
      <x:c r="B993" s="8" t="str">
        <x:v>kdca-5841-8</x:v>
      </x:c>
      <x:c r="C993" s="8" t="str">
        <x:v>kdca-5841-8</x:v>
      </x:c>
      <x:c r="D993" s="8" t="str">
        <x:v>근거와 함께 답변</x:v>
      </x:c>
      <x:c r="E993" s="15" t="n">
        <x:v>991</x:v>
      </x:c>
      <x:c r="F993" s="8" t="str">
        <x:v>VDB 원인·위험요인 청크 재선정</x:v>
      </x:c>
      <x:c r="G993" s="8" t="str">
        <x:v>https://health.kdca.go.kr/healthinfo/biz/health/gnrlzHealthInfo/gnrlzHealthInfo/gnrlzHealthInfoMain.do</x:v>
      </x:c>
      <x:c r="H993" s="8" t="str">
        <x:v>{
  "disease": "구취",
  "section": "원인",
  "category": "disease"
}</x:v>
      </x:c>
    </x:row>
    <x:row r="994" ht="54" customHeight="1">
      <x:c r="A994" s="8" t="str">
        <x:v>gold-disease-62c4f202c44b875f</x:v>
      </x:c>
      <x:c r="B994" s="8" t="str">
        <x:v>kdca-2727-8</x:v>
      </x:c>
      <x:c r="C994" s="8" t="str">
        <x:v>kdca-2727-8</x:v>
      </x:c>
      <x:c r="D994" s="8" t="str">
        <x:v>근거와 함께 답변</x:v>
      </x:c>
      <x:c r="E994" s="15" t="n">
        <x:v>992</x:v>
      </x:c>
      <x:c r="F994" s="8" t="str">
        <x:v>VDB 후속 설명 보강</x:v>
      </x:c>
      <x:c r="G994" s="8" t="str">
        <x:v>https://health.kdca.go.kr/healthinfo/biz/health/gnrlzHealthInfo/gnrlzHealthInfo/gnrlzHealthInfoMain.do</x:v>
      </x:c>
      <x:c r="H994" s="8" t="str">
        <x:v>{
  "disease": "자궁외 임신",
  "section": "증상",
  "category": "disease"
}</x:v>
      </x:c>
    </x:row>
    <x:row r="995" ht="54" customHeight="1">
      <x:c r="A995" s="8" t="str">
        <x:v>gold-disease-6b81087875fb0db4</x:v>
      </x:c>
      <x:c r="B995" s="8" t="str">
        <x:v>kdca-5524-10</x:v>
      </x:c>
      <x:c r="C995" s="8" t="str">
        <x:v>kdca-5524-10</x:v>
      </x:c>
      <x:c r="D995" s="8" t="str">
        <x:v>근거와 함께 답변</x:v>
      </x:c>
      <x:c r="E995" s="15" t="n">
        <x:v>993</x:v>
      </x:c>
      <x:c r="F995" s="8" t="str">
        <x:v>기존 검증 정답</x:v>
      </x:c>
      <x:c r="G995" s="8" t="str">
        <x:v>https://health.kdca.go.kr/healthinfo/biz/health/gnrlzHealthInfo/gnrlzHealthInfo/gnrlzHealthInfoMain.do</x:v>
      </x:c>
      <x:c r="H995" s="8" t="str">
        <x:v>{
  "disease": "주혈흡충증",
  "section": "진단 및 검사 / 예방 및 예방접종",
  "category": "disease"
}</x:v>
      </x:c>
    </x:row>
    <x:row r="996" ht="54" customHeight="1">
      <x:c r="A996" s="8" t="str">
        <x:v>gold-disease-na-52c5d335325ae3e7</x:v>
      </x:c>
      <x:c r="B996" s="8" t="str"/>
      <x:c r="C996" s="8" t="str"/>
      <x:c r="D996" s="8" t="str">
        <x:v>답변 거부 또는 추가 확인 요청</x:v>
      </x:c>
      <x:c r="E996" s="15" t="n">
        <x:v>994</x:v>
      </x:c>
      <x:c r="F996" s="8" t="str">
        <x:v>답변 거부 기준 문구</x:v>
      </x:c>
      <x:c r="G996" s="8" t="str">
        <x:v>https://health.kdca.go.kr/healthinfo/biz/health/gnrlzHealthInfo/gnrlzHealthInfo/gnrlzHealthInfoMain.do</x:v>
      </x:c>
      <x:c r="H996" s="8" t="str">
        <x:v>{
  "disease": "족저근막염",
  "section": "요약문",
  "category": "disease"
}</x:v>
      </x:c>
    </x:row>
    <x:row r="997" ht="54" customHeight="1">
      <x:c r="A997" s="8" t="str">
        <x:v>gold-disease-c0db3d675d90a1d5</x:v>
      </x:c>
      <x:c r="B997" s="8" t="str">
        <x:v>kdca-5253-29</x:v>
      </x:c>
      <x:c r="C997" s="8" t="str">
        <x:v>kdca-5253-29</x:v>
      </x:c>
      <x:c r="D997" s="8" t="str">
        <x:v>근거와 함께 답변</x:v>
      </x:c>
      <x:c r="E997" s="15" t="n">
        <x:v>995</x:v>
      </x:c>
      <x:c r="F997" s="8" t="str">
        <x:v>기존 검증 정답</x:v>
      </x:c>
      <x:c r="G997" s="8" t="str">
        <x:v>https://health.kdca.go.kr/healthinfo/biz/health/gnrlzHealthInfo/gnrlzHealthInfo/gnrlzHealthInfoMain.do</x:v>
      </x:c>
      <x:c r="H997" s="8" t="str">
        <x:v>{
  "disease": "노인 호흡곤란",
  "section": "자주하는 질문",
  "category": "symptom"
}</x:v>
      </x:c>
    </x:row>
    <x:row r="998" ht="54" customHeight="1">
      <x:c r="A998" s="8" t="str">
        <x:v>gold-disease-43f7d83bddddbaec</x:v>
      </x:c>
      <x:c r="B998" s="8" t="str">
        <x:v>kdca-1301-10</x:v>
      </x:c>
      <x:c r="C998" s="8" t="str">
        <x:v>kdca-1301-10</x:v>
      </x:c>
      <x:c r="D998" s="8" t="str">
        <x:v>근거와 함께 답변</x:v>
      </x:c>
      <x:c r="E998" s="15" t="n">
        <x:v>996</x:v>
      </x:c>
      <x:c r="F998" s="8" t="str">
        <x:v>VDB 후속 설명 보강</x:v>
      </x:c>
      <x:c r="G998" s="8" t="str">
        <x:v>https://health.kdca.go.kr/healthinfo/biz/health/gnrlzHealthInfo/gnrlzHealthInfo/gnrlzHealthInfoMain.do</x:v>
      </x:c>
      <x:c r="H998" s="8" t="str">
        <x:v>{
  "disease": "갈색세포종",
  "section": "증상",
  "category": "disease"
}</x:v>
      </x:c>
    </x:row>
    <x:row r="999" ht="54" customHeight="1">
      <x:c r="A999" s="8" t="str">
        <x:v>gold-disease-a274b609b7d971d6</x:v>
      </x:c>
      <x:c r="B999" s="8" t="str">
        <x:v>kdca-5843-12</x:v>
      </x:c>
      <x:c r="C999" s="8" t="str">
        <x:v>kdca-5843-12</x:v>
      </x:c>
      <x:c r="D999" s="8" t="str">
        <x:v>근거와 함께 답변</x:v>
      </x:c>
      <x:c r="E999" s="15" t="n">
        <x:v>997</x:v>
      </x:c>
      <x:c r="F999" s="8" t="str">
        <x:v>VDB 후속 설명 보강</x:v>
      </x:c>
      <x:c r="G999" s="8" t="str">
        <x:v>https://health.kdca.go.kr/healthinfo/biz/health/gnrlzHealthInfo/gnrlzHealthInfo/gnrlzHealthInfoMain.do</x:v>
      </x:c>
      <x:c r="H999" s="8" t="str">
        <x:v>{
  "disease": "엔테로바이러스 감염증",
  "section": "증상",
  "category": "disease"
}</x:v>
      </x:c>
    </x:row>
    <x:row r="1000" ht="54" customHeight="1">
      <x:c r="A1000" s="8" t="str">
        <x:v>gold-disease-bf3a616c208d1ff2</x:v>
      </x:c>
      <x:c r="B1000" s="8" t="str">
        <x:v>kdca-5820-35</x:v>
      </x:c>
      <x:c r="C1000" s="8" t="str">
        <x:v>kdca-5820-35</x:v>
      </x:c>
      <x:c r="D1000" s="8" t="str">
        <x:v>근거와 함께 답변</x:v>
      </x:c>
      <x:c r="E1000" s="15" t="n">
        <x:v>998</x:v>
      </x:c>
      <x:c r="F1000" s="8" t="str">
        <x:v>VDB 원인·위험요인 청크 재선정</x:v>
      </x:c>
      <x:c r="G1000" s="8" t="str">
        <x:v>https://health.kdca.go.kr/healthinfo/biz/health/gnrlzHealthInfo/gnrlzHealthInfo/gnrlzHealthInfoMain.do</x:v>
      </x:c>
      <x:c r="H1000" s="8" t="str">
        <x:v>{
  "disease": "담낭염",
  "section": "위험요인 및 예방",
  "category": "disease"
}</x:v>
      </x:c>
    </x:row>
    <x:row r="1001" ht="54" customHeight="1">
      <x:c r="A1001" s="8" t="str">
        <x:v>gold-disease-4bdbcac4c82d20fa</x:v>
      </x:c>
      <x:c r="B1001" s="8" t="str">
        <x:v>kdca-5860-11</x:v>
      </x:c>
      <x:c r="C1001" s="8" t="str">
        <x:v>kdca-5860-11</x:v>
      </x:c>
      <x:c r="D1001" s="8" t="str">
        <x:v>근거와 함께 답변</x:v>
      </x:c>
      <x:c r="E1001" s="15" t="n">
        <x:v>999</x:v>
      </x:c>
      <x:c r="F1001" s="8" t="str">
        <x:v>VDB 원인·위험요인 청크 재선정</x:v>
      </x:c>
      <x:c r="G1001" s="8" t="str">
        <x:v>https://health.kdca.go.kr/healthinfo/biz/health/gnrlzHealthInfo/gnrlzHealthInfo/gnrlzHealthInfoMain.do</x:v>
      </x:c>
      <x:c r="H1001" s="8" t="str">
        <x:v>{
  "disease": "다한증",
  "section": "원인",
  "category": "disease"
}</x:v>
      </x:c>
    </x:row>
    <x:row r="1002" ht="54" customHeight="1">
      <x:c r="A1002" s="8" t="str">
        <x:v>gold-disease-a30c3ad3421d9565</x:v>
      </x:c>
      <x:c r="B1002" s="8" t="str">
        <x:v>kdca-5309-9</x:v>
      </x:c>
      <x:c r="C1002" s="8" t="str">
        <x:v>kdca-5309-9</x:v>
      </x:c>
      <x:c r="D1002" s="8" t="str">
        <x:v>근거와 함께 답변</x:v>
      </x:c>
      <x:c r="E1002" s="15" t="n">
        <x:v>1000</x:v>
      </x:c>
      <x:c r="F1002" s="8" t="str">
        <x:v>기존 검증 정답</x:v>
      </x:c>
      <x:c r="G1002" s="8" t="str">
        <x:v>https://health.kdca.go.kr/healthinfo/biz/health/gnrlzHealthInfo/gnrlzHealthInfo/gnrlzHealthInfoMain.do</x:v>
      </x:c>
      <x:c r="H1002" s="8" t="str">
        <x:v>{
  "disease": "C형간염",
  "section": "증상",
  "category": "disease"
}</x:v>
      </x:c>
    </x:row>
    <x:row r="1003" ht="54" customHeight="1">
      <x:c r="A1003" s="8" t="str">
        <x:v>gold-disease-ee477b2afe1fc1ed</x:v>
      </x:c>
      <x:c r="B1003" s="8" t="str">
        <x:v>kdca-1301-0</x:v>
      </x:c>
      <x:c r="C1003" s="8" t="str">
        <x:v>kdca-1301-0</x:v>
      </x:c>
      <x:c r="D1003" s="8" t="str">
        <x:v>근거와 함께 답변</x:v>
      </x:c>
      <x:c r="E1003" s="15" t="n">
        <x:v>1001</x:v>
      </x:c>
      <x:c r="F1003" s="8" t="str">
        <x:v>기존 검증 정답</x:v>
      </x:c>
      <x:c r="G1003" s="8" t="str">
        <x:v>https://health.kdca.go.kr/healthinfo/biz/health/gnrlzHealthInfo/gnrlzHealthInfo/gnrlzHealthInfoMain.do</x:v>
      </x:c>
      <x:c r="H1003" s="8" t="str">
        <x:v>{
  "disease": "갈색세포종",
  "section": "요약문",
  "category": "disease"
}</x:v>
      </x:c>
    </x:row>
    <x:row r="1004" ht="54" customHeight="1">
      <x:c r="A1004" s="8" t="str">
        <x:v>gold-disease-95f0f1b87406ec3d</x:v>
      </x:c>
      <x:c r="B1004" s="8" t="str">
        <x:v>kdca-1265-2</x:v>
      </x:c>
      <x:c r="C1004" s="8" t="str">
        <x:v>kdca-1265-2</x:v>
      </x:c>
      <x:c r="D1004" s="8" t="str">
        <x:v>근거와 함께 답변</x:v>
      </x:c>
      <x:c r="E1004" s="15" t="n">
        <x:v>1002</x:v>
      </x:c>
      <x:c r="F1004" s="8" t="str">
        <x:v>기존 검증 정답</x:v>
      </x:c>
      <x:c r="G1004" s="8" t="str">
        <x:v>https://health.kdca.go.kr/healthinfo/biz/health/gnrlzHealthInfo/gnrlzHealthInfo/gnrlzHealthInfoMain.do</x:v>
      </x:c>
      <x:c r="H1004" s="8" t="str">
        <x:v>{
  "disease": "간의 양성종양(국소결절증식증)",
  "section": "진단 및 검사 / 치료 / 참고문헌",
  "category": "disease"
}</x:v>
      </x:c>
    </x:row>
    <x:row r="1005" ht="54" customHeight="1">
      <x:c r="A1005" s="8" t="str">
        <x:v>gold-disease-526cc13993274192</x:v>
      </x:c>
      <x:c r="B1005" s="8" t="str">
        <x:v>kdca-6673-17</x:v>
      </x:c>
      <x:c r="C1005" s="8" t="str">
        <x:v>kdca-6673-17</x:v>
      </x:c>
      <x:c r="D1005" s="8" t="str">
        <x:v>근거와 함께 답변</x:v>
      </x:c>
      <x:c r="E1005" s="15" t="n">
        <x:v>1003</x:v>
      </x:c>
      <x:c r="F1005" s="8" t="str">
        <x:v>기존 검증 정답</x:v>
      </x:c>
      <x:c r="G1005" s="8" t="str">
        <x:v>https://health.kdca.go.kr/healthinfo/biz/health/gnrlzHealthInfo/gnrlzHealthInfo/gnrlzHealthInfoMain.do</x:v>
      </x:c>
      <x:c r="H1005" s="8" t="str">
        <x:v>{
  "disease": "대사이상지방간질환",
  "section": "약물 치료",
  "category": "disease"
}</x:v>
      </x:c>
    </x:row>
    <x:row r="1006" ht="54" customHeight="1">
      <x:c r="A1006" s="8" t="str">
        <x:v>gold-disease-fe9bad9f986f0cc4</x:v>
      </x:c>
      <x:c r="B1006" s="8" t="str">
        <x:v>kdca-6722-20</x:v>
      </x:c>
      <x:c r="C1006" s="8" t="str">
        <x:v>kdca-6722-20</x:v>
      </x:c>
      <x:c r="D1006" s="8" t="str">
        <x:v>근거와 함께 답변</x:v>
      </x:c>
      <x:c r="E1006" s="15" t="n">
        <x:v>1004</x:v>
      </x:c>
      <x:c r="F1006" s="8" t="str">
        <x:v>기존 검증 정답</x:v>
      </x:c>
      <x:c r="G1006" s="8" t="str">
        <x:v>https://health.kdca.go.kr/healthinfo/biz/health/gnrlzHealthInfo/gnrlzHealthInfo/gnrlzHealthInfoMain.do</x:v>
      </x:c>
      <x:c r="H1006" s="8" t="str">
        <x:v>{
  "disease": "근 손실",
  "section": "연관 증상",
  "category": "disease"
}</x:v>
      </x:c>
    </x:row>
    <x:row r="1007" ht="54" customHeight="1">
      <x:c r="A1007" s="8" t="str">
        <x:v>gold-disease-457676d1c47a849c</x:v>
      </x:c>
      <x:c r="B1007" s="8" t="str">
        <x:v>kdca-5423-36</x:v>
      </x:c>
      <x:c r="C1007" s="8" t="str">
        <x:v>kdca-5423-36</x:v>
      </x:c>
      <x:c r="D1007" s="8" t="str">
        <x:v>근거와 함께 답변</x:v>
      </x:c>
      <x:c r="E1007" s="15" t="n">
        <x:v>1005</x:v>
      </x:c>
      <x:c r="F1007" s="8" t="str">
        <x:v>기존 검증 정답</x:v>
      </x:c>
      <x:c r="G1007" s="8" t="str">
        <x:v>https://health.kdca.go.kr/healthinfo/biz/health/gnrlzHealthInfo/gnrlzHealthInfo/gnrlzHealthInfoMain.do</x:v>
      </x:c>
      <x:c r="H1007" s="8" t="str">
        <x:v>{
  "disease": "감기",
  "section": "합병증 / 위험요인 및 예방",
  "category": "disease"
}</x:v>
      </x:c>
    </x:row>
    <x:row r="1008" ht="54" customHeight="1">
      <x:c r="A1008" s="8" t="str">
        <x:v>gold-disease-na-579c8e71241368eb</x:v>
      </x:c>
      <x:c r="B1008" s="8" t="str"/>
      <x:c r="C1008" s="8" t="str"/>
      <x:c r="D1008" s="8" t="str">
        <x:v>답변 거부 또는 추가 확인 요청</x:v>
      </x:c>
      <x:c r="E1008" s="15" t="n">
        <x:v>1006</x:v>
      </x:c>
      <x:c r="F1008" s="8" t="str">
        <x:v>답변 거부 기준 문구</x:v>
      </x:c>
      <x:c r="G1008" s="8" t="str">
        <x:v>https://health.kdca.go.kr/healthinfo/biz/health/gnrlzHealthInfo/gnrlzHealthInfo/gnrlzHealthInfoMain.do</x:v>
      </x:c>
      <x:c r="H1008" s="8" t="str">
        <x:v>{
  "disease": "임신당뇨병",
  "section": "역학 및 통계",
  "category": "disease"
}</x:v>
      </x:c>
    </x:row>
    <x:row r="1009" ht="54" customHeight="1">
      <x:c r="A1009" s="8" t="str">
        <x:v>gold-disease-2c3a281547645abc</x:v>
      </x:c>
      <x:c r="B1009" s="8" t="str">
        <x:v>kdca-5842-21</x:v>
      </x:c>
      <x:c r="C1009" s="8" t="str">
        <x:v>kdca-5842-21</x:v>
      </x:c>
      <x:c r="D1009" s="8" t="str">
        <x:v>근거와 함께 답변</x:v>
      </x:c>
      <x:c r="E1009" s="15" t="n">
        <x:v>1007</x:v>
      </x:c>
      <x:c r="F1009" s="8" t="str">
        <x:v>기존 검증 정답</x:v>
      </x:c>
      <x:c r="G1009" s="8" t="str">
        <x:v>https://health.kdca.go.kr/healthinfo/biz/health/gnrlzHealthInfo/gnrlzHealthInfo/gnrlzHealthInfoMain.do</x:v>
      </x:c>
      <x:c r="H1009" s="8" t="str">
        <x:v>{
  "disease": "보툴리눔독소증",
  "section": "예방 및 예방접종",
  "category": "disease"
}</x:v>
      </x:c>
    </x:row>
    <x:row r="1010" ht="54" customHeight="1">
      <x:c r="A1010" s="8" t="str">
        <x:v>gold-disease-3d2f6806b1baa36b</x:v>
      </x:c>
      <x:c r="B1010" s="8" t="str">
        <x:v>kdca-6556-15</x:v>
      </x:c>
      <x:c r="C1010" s="8" t="str">
        <x:v>kdca-6556-15</x:v>
      </x:c>
      <x:c r="D1010" s="8" t="str">
        <x:v>근거와 함께 답변</x:v>
      </x:c>
      <x:c r="E1010" s="15" t="n">
        <x:v>1008</x:v>
      </x:c>
      <x:c r="F1010" s="8" t="str">
        <x:v>기존 검증 정답</x:v>
      </x:c>
      <x:c r="G1010" s="8" t="str">
        <x:v>https://health.kdca.go.kr/healthinfo/biz/health/gnrlzHealthInfo/gnrlzHealthInfo/gnrlzHealthInfoMain.do</x:v>
      </x:c>
      <x:c r="H1010" s="8" t="str">
        <x:v>{
  "disease": "류마티스관절염",
  "section": "증상",
  "category": "disease"
}</x:v>
      </x:c>
    </x:row>
    <x:row r="1011" ht="54" customHeight="1">
      <x:c r="A1011" s="8" t="str">
        <x:v>gold-disease-9a1f39b489eb3eb3</x:v>
      </x:c>
      <x:c r="B1011" s="8" t="str">
        <x:v>kdca-2087-6</x:v>
      </x:c>
      <x:c r="C1011" s="8" t="str">
        <x:v>kdca-2087-6</x:v>
      </x:c>
      <x:c r="D1011" s="8" t="str">
        <x:v>근거와 함께 답변</x:v>
      </x:c>
      <x:c r="E1011" s="15" t="n">
        <x:v>1009</x:v>
      </x:c>
      <x:c r="F1011" s="8" t="str">
        <x:v>VDB 후속 설명 보강</x:v>
      </x:c>
      <x:c r="G1011" s="8" t="str">
        <x:v>https://health.kdca.go.kr/healthinfo/biz/health/gnrlzHealthInfo/gnrlzHealthInfo/gnrlzHealthInfoMain.do</x:v>
      </x:c>
      <x:c r="H1011" s="8" t="str">
        <x:v>{
  "disease": "농가진",
  "section": "증상",
  "category": "disease"
}</x:v>
      </x:c>
    </x:row>
    <x:row r="1012" ht="54" customHeight="1">
      <x:c r="A1012" s="8" t="str">
        <x:v>gold-disease-ad959f1319d4922d</x:v>
      </x:c>
      <x:c r="B1012" s="8" t="str">
        <x:v>kdca-3012-7</x:v>
      </x:c>
      <x:c r="C1012" s="8" t="str">
        <x:v>kdca-3012-7</x:v>
      </x:c>
      <x:c r="D1012" s="8" t="str">
        <x:v>근거와 함께 답변</x:v>
      </x:c>
      <x:c r="E1012" s="15" t="n">
        <x:v>1010</x:v>
      </x:c>
      <x:c r="F1012" s="8" t="str">
        <x:v>기존 검증 정답</x:v>
      </x:c>
      <x:c r="G1012" s="8" t="str">
        <x:v>https://health.kdca.go.kr/healthinfo/biz/health/gnrlzHealthInfo/gnrlzHealthInfo/gnrlzHealthInfoMain.do</x:v>
      </x:c>
      <x:c r="H1012" s="8" t="str">
        <x:v>{
  "disease": "여성형유방",
  "section": "역학 및 통계 / 증상",
  "category": "disease"
}</x:v>
      </x:c>
    </x:row>
    <x:row r="1013" ht="54" customHeight="1">
      <x:c r="A1013" s="8" t="str">
        <x:v>gold-disease-4bdcb52231439047</x:v>
      </x:c>
      <x:c r="B1013" s="8" t="str">
        <x:v>kdca-6529-1</x:v>
      </x:c>
      <x:c r="C1013" s="8" t="str">
        <x:v>kdca-6529-1</x:v>
      </x:c>
      <x:c r="D1013" s="8" t="str">
        <x:v>근거와 함께 답변</x:v>
      </x:c>
      <x:c r="E1013" s="15" t="n">
        <x:v>1011</x:v>
      </x:c>
      <x:c r="F1013" s="8" t="str">
        <x:v>기존 검증 정답</x:v>
      </x:c>
      <x:c r="G1013" s="8" t="str">
        <x:v>https://health.kdca.go.kr/healthinfo/biz/health/gnrlzHealthInfo/gnrlzHealthInfo/gnrlzHealthInfoMain.do</x:v>
      </x:c>
      <x:c r="H1013" s="8" t="str">
        <x:v>{
  "disease": "직업성 호흡기질환",
  "section": "개요",
  "category": "disease"
}</x:v>
      </x:c>
    </x:row>
    <x:row r="1014" ht="54" customHeight="1">
      <x:c r="A1014" s="8" t="str">
        <x:v>gold-disease-2938669527553b35</x:v>
      </x:c>
      <x:c r="B1014" s="8" t="str">
        <x:v>kdca-5528-0</x:v>
      </x:c>
      <x:c r="C1014" s="8" t="str">
        <x:v>kdca-5528-0</x:v>
      </x:c>
      <x:c r="D1014" s="8" t="str">
        <x:v>근거와 함께 답변</x:v>
      </x:c>
      <x:c r="E1014" s="15" t="n">
        <x:v>1012</x:v>
      </x:c>
      <x:c r="F1014" s="8" t="str">
        <x:v>VDB 정의 문장 재선정</x:v>
      </x:c>
      <x:c r="G1014" s="8" t="str">
        <x:v>https://health.kdca.go.kr/healthinfo/biz/health/gnrlzHealthInfo/gnrlzHealthInfo/gnrlzHealthInfoMain.do</x:v>
      </x:c>
      <x:c r="H1014" s="8" t="str">
        <x:v>{
  "disease": "사상충증",
  "section": "요약문",
  "category": "disease"
}</x:v>
      </x:c>
    </x:row>
    <x:row r="1015" ht="54" customHeight="1">
      <x:c r="A1015" s="8" t="str">
        <x:v>gold-disease-c28e1ec80fba70c9</x:v>
      </x:c>
      <x:c r="B1015" s="8" t="str">
        <x:v>kdca-5223-18</x:v>
      </x:c>
      <x:c r="C1015" s="8" t="str">
        <x:v>kdca-5223-18</x:v>
      </x:c>
      <x:c r="D1015" s="8" t="str">
        <x:v>근거와 함께 답변</x:v>
      </x:c>
      <x:c r="E1015" s="15" t="n">
        <x:v>1013</x:v>
      </x:c>
      <x:c r="F1015" s="8" t="str">
        <x:v>기존 검증 정답</x:v>
      </x:c>
      <x:c r="G1015" s="8" t="str">
        <x:v>https://health.kdca.go.kr/healthinfo/biz/health/gnrlzHealthInfo/gnrlzHealthInfo/gnrlzHealthInfoMain.do</x:v>
      </x:c>
      <x:c r="H1015" s="8" t="str">
        <x:v>{
  "disease": "비문증(날파리증)",
  "section": "진단 및 검사",
  "category": "disease"
}</x:v>
      </x:c>
    </x:row>
    <x:row r="1016" ht="54" customHeight="1">
      <x:c r="A1016" s="8" t="str">
        <x:v>gold-disease-215f6ddd8afc4274</x:v>
      </x:c>
      <x:c r="B1016" s="8" t="str">
        <x:v>kdca-6765-13</x:v>
      </x:c>
      <x:c r="C1016" s="8" t="str">
        <x:v>kdca-6765-13</x:v>
      </x:c>
      <x:c r="D1016" s="8" t="str">
        <x:v>근거와 함께 답변</x:v>
      </x:c>
      <x:c r="E1016" s="15" t="n">
        <x:v>1014</x:v>
      </x:c>
      <x:c r="F1016" s="8" t="str">
        <x:v>VDB 후속 설명 보강</x:v>
      </x:c>
      <x:c r="G1016" s="8" t="str">
        <x:v>https://health.kdca.go.kr/healthinfo/biz/health/gnrlzHealthInfo/gnrlzHealthInfo/gnrlzHealthInfoMain.do</x:v>
      </x:c>
      <x:c r="H1016" s="8" t="str">
        <x:v>{
  "disease": "고혈압",
  "section": "역학 및 통계",
  "category": "disease"
}</x:v>
      </x:c>
    </x:row>
    <x:row r="1017" ht="54" customHeight="1">
      <x:c r="A1017" s="8" t="str">
        <x:v>gold-disease-10d3e85fbf73f962</x:v>
      </x:c>
      <x:c r="B1017" s="8" t="str">
        <x:v>kdca-5500-12</x:v>
      </x:c>
      <x:c r="C1017" s="8" t="str">
        <x:v>kdca-5500-12</x:v>
      </x:c>
      <x:c r="D1017" s="8" t="str">
        <x:v>근거와 함께 답변</x:v>
      </x:c>
      <x:c r="E1017" s="15" t="n">
        <x:v>1015</x:v>
      </x:c>
      <x:c r="F1017" s="8" t="str">
        <x:v>VDB 후속 설명 보강</x:v>
      </x:c>
      <x:c r="G1017" s="8" t="str">
        <x:v>https://health.kdca.go.kr/healthinfo/biz/health/gnrlzHealthInfo/gnrlzHealthInfo/gnrlzHealthInfoMain.do</x:v>
      </x:c>
      <x:c r="H1017" s="8" t="str">
        <x:v>{
  "disease": "일광화상",
  "section": "자주하는 질문",
  "category": "disease"
}</x:v>
      </x:c>
    </x:row>
    <x:row r="1018" ht="54" customHeight="1">
      <x:c r="A1018" s="8" t="str">
        <x:v>gold-disease-08ca48f79e505747</x:v>
      </x:c>
      <x:c r="B1018" s="8" t="str">
        <x:v>kdca-1141-23</x:v>
      </x:c>
      <x:c r="C1018" s="8" t="str">
        <x:v>kdca-1141-23</x:v>
      </x:c>
      <x:c r="D1018" s="8" t="str">
        <x:v>근거와 함께 답변</x:v>
      </x:c>
      <x:c r="E1018" s="15" t="n">
        <x:v>1016</x:v>
      </x:c>
      <x:c r="F1018" s="8" t="str">
        <x:v>VDB 원인·위험요인 청크 재선정</x:v>
      </x:c>
      <x:c r="G1018" s="8" t="str">
        <x:v>https://health.kdca.go.kr/healthinfo/biz/health/gnrlzHealthInfo/gnrlzHealthInfo/gnrlzHealthInfoMain.do</x:v>
      </x:c>
      <x:c r="H1018" s="8" t="str">
        <x:v>{
  "disease": "액취증",
  "section": "위험요인 및 예방 / 자주하는 질문",
  "category": "disease"
}</x:v>
      </x:c>
    </x:row>
    <x:row r="1019" ht="54" customHeight="1">
      <x:c r="A1019" s="8" t="str">
        <x:v>gold-disease-b17c0c11ff531c48</x:v>
      </x:c>
      <x:c r="B1019" s="8" t="str">
        <x:v>kdca-5960-13</x:v>
      </x:c>
      <x:c r="C1019" s="8" t="str">
        <x:v>kdca-5960-13</x:v>
      </x:c>
      <x:c r="D1019" s="8" t="str">
        <x:v>근거와 함께 답변</x:v>
      </x:c>
      <x:c r="E1019" s="15" t="n">
        <x:v>1017</x:v>
      </x:c>
      <x:c r="F1019" s="8" t="str">
        <x:v>기존 검증 정답</x:v>
      </x:c>
      <x:c r="G1019" s="8" t="str">
        <x:v>https://health.kdca.go.kr/healthinfo/biz/health/gnrlzHealthInfo/gnrlzHealthInfo/gnrlzHealthInfoMain.do</x:v>
      </x:c>
      <x:c r="H1019" s="8" t="str">
        <x:v>{
  "disease": "질염",
  "section": "증상",
  "category": "disease"
}</x:v>
      </x:c>
    </x:row>
    <x:row r="1020" ht="54" customHeight="1">
      <x:c r="A1020" s="8" t="str">
        <x:v>gold-disease-cda756b3d15e6b7f</x:v>
      </x:c>
      <x:c r="B1020" s="8" t="str">
        <x:v>kdca-5339-4</x:v>
      </x:c>
      <x:c r="C1020" s="8" t="str">
        <x:v>kdca-5339-4</x:v>
      </x:c>
      <x:c r="D1020" s="8" t="str">
        <x:v>근거와 함께 답변</x:v>
      </x:c>
      <x:c r="E1020" s="15" t="n">
        <x:v>1018</x:v>
      </x:c>
      <x:c r="F1020" s="8" t="str">
        <x:v>기존 검증 정답</x:v>
      </x:c>
      <x:c r="G1020" s="8" t="str">
        <x:v>https://health.kdca.go.kr/healthinfo/biz/health/gnrlzHealthInfo/gnrlzHealthInfo/gnrlzHealthInfoMain.do</x:v>
      </x:c>
      <x:c r="H1020" s="8" t="str">
        <x:v>{
  "disease": "폐흡충증",
  "section": "역학 및 통계 / 증상",
  "category": "disease"
}</x:v>
      </x:c>
    </x:row>
    <x:row r="1021" ht="54" customHeight="1">
      <x:c r="A1021" s="8" t="str">
        <x:v>gold-disease-0ffe47aa9c7d63a1</x:v>
      </x:c>
      <x:c r="B1021" s="8" t="str">
        <x:v>kdca-6303-12</x:v>
      </x:c>
      <x:c r="C1021" s="8" t="str">
        <x:v>kdca-6303-12</x:v>
      </x:c>
      <x:c r="D1021" s="8" t="str">
        <x:v>근거와 함께 답변</x:v>
      </x:c>
      <x:c r="E1021" s="15" t="n">
        <x:v>1019</x:v>
      </x:c>
      <x:c r="F1021" s="8" t="str">
        <x:v>기존 검증 정답</x:v>
      </x:c>
      <x:c r="G1021" s="8" t="str">
        <x:v>https://health.kdca.go.kr/healthinfo/biz/health/gnrlzHealthInfo/gnrlzHealthInfo/gnrlzHealthInfoMain.do</x:v>
      </x:c>
      <x:c r="H1021" s="8" t="str">
        <x:v>{
  "disease": "라임병",
  "section": "합병증 / 대상별 맞춤 정보 / 자주하는 질문",
  "category": "disease"
}</x:v>
      </x:c>
    </x:row>
    <x:row r="1022" ht="54" customHeight="1">
      <x:c r="A1022" s="8" t="str">
        <x:v>gold-disease-na-7d6d63afd15d61ba</x:v>
      </x:c>
      <x:c r="B1022" s="8" t="str"/>
      <x:c r="C1022" s="8" t="str"/>
      <x:c r="D1022" s="8" t="str">
        <x:v>답변 거부 또는 추가 확인 요청</x:v>
      </x:c>
      <x:c r="E1022" s="15" t="n">
        <x:v>1020</x:v>
      </x:c>
      <x:c r="F1022" s="8" t="str">
        <x:v>답변 거부 기준 문구</x:v>
      </x:c>
      <x:c r="G1022" s="8" t="str">
        <x:v>https://health.kdca.go.kr/healthinfo/biz/health/gnrlzHealthInfo/gnrlzHealthInfo/gnrlzHealthInfoMain.do</x:v>
      </x:c>
      <x:c r="H1022" s="8" t="str">
        <x:v>{
  "disease": "폐렴(성인)",
  "section": "진단 및 검사",
  "category": "disease"
}</x:v>
      </x:c>
    </x:row>
    <x:row r="1023" ht="54" customHeight="1">
      <x:c r="A1023" s="8" t="str">
        <x:v>gold-disease-1a68fe002fa7c122</x:v>
      </x:c>
      <x:c r="B1023" s="8" t="str">
        <x:v>kdca-1261-0</x:v>
      </x:c>
      <x:c r="C1023" s="8" t="str">
        <x:v>kdca-1261-0</x:v>
      </x:c>
      <x:c r="D1023" s="8" t="str">
        <x:v>근거와 함께 답변</x:v>
      </x:c>
      <x:c r="E1023" s="15" t="n">
        <x:v>1021</x:v>
      </x:c>
      <x:c r="F1023" s="8" t="str">
        <x:v>기존 검증 정답</x:v>
      </x:c>
      <x:c r="G1023" s="8" t="str">
        <x:v>https://health.kdca.go.kr/healthinfo/biz/health/gnrlzHealthInfo/gnrlzHealthInfo/gnrlzHealthInfoMain.do</x:v>
      </x:c>
      <x:c r="H1023" s="8" t="str">
        <x:v>{
  "disease": "간의 양성종양",
  "section": "개요",
  "category": "disease"
}</x:v>
      </x:c>
    </x:row>
    <x:row r="1024" ht="54" customHeight="1">
      <x:c r="A1024" s="8" t="str">
        <x:v>gold-disease-05abc77cbfa73158</x:v>
      </x:c>
      <x:c r="B1024" s="8" t="str">
        <x:v>kdca-1301-13</x:v>
      </x:c>
      <x:c r="C1024" s="8" t="str">
        <x:v>kdca-1301-13</x:v>
      </x:c>
      <x:c r="D1024" s="8" t="str">
        <x:v>근거와 함께 답변</x:v>
      </x:c>
      <x:c r="E1024" s="15" t="n">
        <x:v>1022</x:v>
      </x:c>
      <x:c r="F1024" s="8" t="str">
        <x:v>기존 검증 정답</x:v>
      </x:c>
      <x:c r="G1024" s="8" t="str">
        <x:v>https://health.kdca.go.kr/healthinfo/biz/health/gnrlzHealthInfo/gnrlzHealthInfo/gnrlzHealthInfoMain.do</x:v>
      </x:c>
      <x:c r="H1024" s="8" t="str">
        <x:v>{
  "disease": "갈색세포종",
  "section": "진단 및 검사",
  "category": "disease"
}</x:v>
      </x:c>
    </x:row>
    <x:row r="1025" ht="54" customHeight="1">
      <x:c r="A1025" s="8" t="str">
        <x:v>gold-disease-0fd88227c1150b3a</x:v>
      </x:c>
      <x:c r="B1025" s="8" t="str">
        <x:v>kdca-6708-74</x:v>
      </x:c>
      <x:c r="C1025" s="8" t="str">
        <x:v>kdca-6708-74</x:v>
      </x:c>
      <x:c r="D1025" s="8" t="str">
        <x:v>근거와 함께 답변</x:v>
      </x:c>
      <x:c r="E1025" s="15" t="n">
        <x:v>1023</x:v>
      </x:c>
      <x:c r="F1025" s="8" t="str">
        <x:v>VDB 후속 설명 보강</x:v>
      </x:c>
      <x:c r="G1025" s="8" t="str">
        <x:v>https://health.kdca.go.kr/healthinfo/biz/health/gnrlzHealthInfo/gnrlzHealthInfo/gnrlzHealthInfoMain.do</x:v>
      </x:c>
      <x:c r="H1025" s="8" t="str">
        <x:v>{
  "disease": "위십이지장 궤양",
  "section": "위험요인 및 예방",
  "category": "disease"
}</x:v>
      </x:c>
    </x:row>
    <x:row r="1026" ht="54" customHeight="1">
      <x:c r="A1026" s="8" t="str">
        <x:v>gold-disease-9b4f4f818efb1053</x:v>
      </x:c>
      <x:c r="B1026" s="8" t="str">
        <x:v>kdca-6303-9</x:v>
      </x:c>
      <x:c r="C1026" s="8" t="str">
        <x:v>kdca-6303-9</x:v>
      </x:c>
      <x:c r="D1026" s="8" t="str">
        <x:v>근거와 함께 답변</x:v>
      </x:c>
      <x:c r="E1026" s="15" t="n">
        <x:v>1024</x:v>
      </x:c>
      <x:c r="F1026" s="8" t="str">
        <x:v>기존 검증 정답</x:v>
      </x:c>
      <x:c r="G1026" s="8" t="str">
        <x:v>https://health.kdca.go.kr/healthinfo/biz/health/gnrlzHealthInfo/gnrlzHealthInfo/gnrlzHealthInfoMain.do</x:v>
      </x:c>
      <x:c r="H1026" s="8" t="str">
        <x:v>{
  "disease": "라임병",
  "section": "증상",
  "category": "disease"
}</x:v>
      </x:c>
    </x:row>
    <x:row r="1027" ht="54" customHeight="1">
      <x:c r="A1027" s="8" t="str">
        <x:v>gold-disease-d21930664bfdbf97</x:v>
      </x:c>
      <x:c r="B1027" s="8" t="str">
        <x:v>kdca-6697-22</x:v>
      </x:c>
      <x:c r="C1027" s="8" t="str">
        <x:v>kdca-6697-22</x:v>
      </x:c>
      <x:c r="D1027" s="8" t="str">
        <x:v>근거와 함께 답변</x:v>
      </x:c>
      <x:c r="E1027" s="15" t="n">
        <x:v>1025</x:v>
      </x:c>
      <x:c r="F1027" s="8" t="str">
        <x:v>기존 검증 정답</x:v>
      </x:c>
      <x:c r="G1027" s="8" t="str">
        <x:v>https://health.kdca.go.kr/healthinfo/biz/health/gnrlzHealthInfo/gnrlzHealthInfo/gnrlzHealthInfoMain.do</x:v>
      </x:c>
      <x:c r="H1027" s="8" t="str">
        <x:v>{
  "disease": "고혈압성 콩팥병",
  "section": "약물 치료",
  "category": "disease"
}</x:v>
      </x:c>
    </x:row>
    <x:row r="1028" ht="54" customHeight="1">
      <x:c r="A1028" s="8" t="str">
        <x:v>gold-disease-a1e71f14c71f38c1</x:v>
      </x:c>
      <x:c r="B1028" s="8" t="str">
        <x:v>kdca-2970-3</x:v>
      </x:c>
      <x:c r="C1028" s="8" t="str">
        <x:v>kdca-2970-3</x:v>
      </x:c>
      <x:c r="D1028" s="8" t="str">
        <x:v>근거와 함께 답변</x:v>
      </x:c>
      <x:c r="E1028" s="15" t="n">
        <x:v>1026</x:v>
      </x:c>
      <x:c r="F1028" s="8" t="str">
        <x:v>VDB 후속 설명 보강</x:v>
      </x:c>
      <x:c r="G1028" s="8" t="str">
        <x:v>https://health.kdca.go.kr/healthinfo/biz/health/gnrlzHealthInfo/gnrlzHealthInfo/gnrlzHealthInfoMain.do</x:v>
      </x:c>
      <x:c r="H1028" s="8" t="str">
        <x:v>{
  "disease": "심낭염(심장눌림증)",
  "section": "증상 / 진단 및 검사",
  "category": "disease"
}</x:v>
      </x:c>
    </x:row>
    <x:row r="1029" ht="54" customHeight="1">
      <x:c r="A1029" s="8" t="str">
        <x:v>gold-disease-189cdbd7a5ec2b8e</x:v>
      </x:c>
      <x:c r="B1029" s="8" t="str">
        <x:v>kdca-6540-38</x:v>
      </x:c>
      <x:c r="C1029" s="8" t="str">
        <x:v>kdca-6540-38</x:v>
      </x:c>
      <x:c r="D1029" s="8" t="str">
        <x:v>근거와 함께 답변</x:v>
      </x:c>
      <x:c r="E1029" s="15" t="n">
        <x:v>1027</x:v>
      </x:c>
      <x:c r="F1029" s="8" t="str">
        <x:v>기존 검증 정답</x:v>
      </x:c>
      <x:c r="G1029" s="8" t="str">
        <x:v>https://health.kdca.go.kr/healthinfo/biz/health/gnrlzHealthInfo/gnrlzHealthInfo/gnrlzHealthInfoMain.do</x:v>
      </x:c>
      <x:c r="H1029" s="8" t="str">
        <x:v>{
  "disease": "폐 색전증",
  "section": "합병증",
  "category": "disease"
}</x:v>
      </x:c>
    </x:row>
    <x:row r="1030" ht="54" customHeight="1">
      <x:c r="A1030" s="8" t="str">
        <x:v>gold-disease-ca153f8f4a2eb409</x:v>
      </x:c>
      <x:c r="B1030" s="8" t="str">
        <x:v>kdca-6246-12</x:v>
      </x:c>
      <x:c r="C1030" s="8" t="str">
        <x:v>kdca-6246-12</x:v>
      </x:c>
      <x:c r="D1030" s="8" t="str">
        <x:v>근거와 함께 답변</x:v>
      </x:c>
      <x:c r="E1030" s="15" t="n">
        <x:v>1028</x:v>
      </x:c>
      <x:c r="F1030" s="8" t="str">
        <x:v>기존 검증 정답</x:v>
      </x:c>
      <x:c r="G1030" s="8" t="str">
        <x:v>https://health.kdca.go.kr/healthinfo/biz/health/gnrlzHealthInfo/gnrlzHealthInfo/gnrlzHealthInfoMain.do</x:v>
      </x:c>
      <x:c r="H1030" s="8" t="str">
        <x:v>{
  "disease": "폴리오",
  "section": "예방 및 예방접종",
  "category": "disease"
}</x:v>
      </x:c>
    </x:row>
    <x:row r="1031" ht="54" customHeight="1">
      <x:c r="A1031" s="8" t="str">
        <x:v>gold-disease-6db5eb742efdbc61</x:v>
      </x:c>
      <x:c r="B1031" s="8" t="str">
        <x:v>kdca-5495-0</x:v>
      </x:c>
      <x:c r="C1031" s="8" t="str">
        <x:v>kdca-5495-0</x:v>
      </x:c>
      <x:c r="D1031" s="8" t="str">
        <x:v>근거와 함께 답변</x:v>
      </x:c>
      <x:c r="E1031" s="15" t="n">
        <x:v>1029</x:v>
      </x:c>
      <x:c r="F1031" s="8" t="str">
        <x:v>VDB 정의 문장 재선정</x:v>
      </x:c>
      <x:c r="G1031" s="8" t="str">
        <x:v>https://health.kdca.go.kr/healthinfo/biz/health/gnrlzHealthInfo/gnrlzHealthInfo/gnrlzHealthInfoMain.do</x:v>
      </x:c>
      <x:c r="H1031" s="8" t="str">
        <x:v>{
  "disease": "뇌졸중",
  "section": "요약문",
  "category": "disease"
}</x:v>
      </x:c>
    </x:row>
    <x:row r="1032" ht="54" customHeight="1">
      <x:c r="A1032" s="8" t="str">
        <x:v>gold-disease-3dc289f7a128e1df</x:v>
      </x:c>
      <x:c r="B1032" s="8" t="str">
        <x:v>kdca-2587-7</x:v>
      </x:c>
      <x:c r="C1032" s="8" t="str">
        <x:v>kdca-2587-7</x:v>
      </x:c>
      <x:c r="D1032" s="8" t="str">
        <x:v>근거와 함께 답변</x:v>
      </x:c>
      <x:c r="E1032" s="15" t="n">
        <x:v>1030</x:v>
      </x:c>
      <x:c r="F1032" s="8" t="str">
        <x:v>VDB 정의 문장 재선정</x:v>
      </x:c>
      <x:c r="G1032" s="8" t="str">
        <x:v>https://health.kdca.go.kr/healthinfo/biz/health/gnrlzHealthInfo/gnrlzHealthInfo/gnrlzHealthInfoMain.do</x:v>
      </x:c>
      <x:c r="H1032" s="8" t="str">
        <x:v>{
  "disease": "비정상 자궁출혈",
  "section": "원인",
  "category": "disease"
}</x:v>
      </x:c>
    </x:row>
    <x:row r="1033" ht="54" customHeight="1">
      <x:c r="A1033" s="8" t="str">
        <x:v>gold-disease-463603fb9f521f17</x:v>
      </x:c>
      <x:c r="B1033" s="8" t="str">
        <x:v>kdca-1750-7</x:v>
      </x:c>
      <x:c r="C1033" s="8" t="str">
        <x:v>kdca-1750-7</x:v>
      </x:c>
      <x:c r="D1033" s="8" t="str">
        <x:v>근거와 함께 답변</x:v>
      </x:c>
      <x:c r="E1033" s="15" t="n">
        <x:v>1031</x:v>
      </x:c>
      <x:c r="F1033" s="8" t="str">
        <x:v>기존 검증 정답</x:v>
      </x:c>
      <x:c r="G1033" s="8" t="str">
        <x:v>https://health.kdca.go.kr/healthinfo/biz/health/gnrlzHealthInfo/gnrlzHealthInfo/gnrlzHealthInfoMain.do</x:v>
      </x:c>
      <x:c r="H1033" s="8" t="str">
        <x:v>{
  "disease": "발진티푸스",
  "section": "대상별 맞춤 정보",
  "category": "disease"
}</x:v>
      </x:c>
    </x:row>
    <x:row r="1034" ht="54" customHeight="1">
      <x:c r="A1034" s="8" t="str">
        <x:v>gold-disease-552c77629cd46965</x:v>
      </x:c>
      <x:c r="B1034" s="8" t="str">
        <x:v>kdca-5499-21</x:v>
      </x:c>
      <x:c r="C1034" s="8" t="str">
        <x:v>kdca-5499-21</x:v>
      </x:c>
      <x:c r="D1034" s="8" t="str">
        <x:v>근거와 함께 답변</x:v>
      </x:c>
      <x:c r="E1034" s="15" t="n">
        <x:v>1032</x:v>
      </x:c>
      <x:c r="F1034" s="8" t="str">
        <x:v>VDB 후속 설명 보강</x:v>
      </x:c>
      <x:c r="G1034" s="8" t="str">
        <x:v>https://health.kdca.go.kr/healthinfo/biz/health/gnrlzHealthInfo/gnrlzHealthInfo/gnrlzHealthInfoMain.do</x:v>
      </x:c>
      <x:c r="H1034" s="8" t="str">
        <x:v>{
  "disease": "모호한 외부생식기 및 성 발달 이상",
  "section": "비약물 치료 / 정기 진찰",
  "category": "disease"
}</x:v>
      </x:c>
    </x:row>
    <x:row r="1035" ht="54" customHeight="1">
      <x:c r="A1035" s="8" t="str">
        <x:v>gold-disease-na-e09e0e2b170f5f2a</x:v>
      </x:c>
      <x:c r="B1035" s="8" t="str"/>
      <x:c r="C1035" s="8" t="str"/>
      <x:c r="D1035" s="8" t="str">
        <x:v>답변 거부 또는 추가 확인 요청</x:v>
      </x:c>
      <x:c r="E1035" s="15" t="n">
        <x:v>1033</x:v>
      </x:c>
      <x:c r="F1035" s="8" t="str">
        <x:v>답변 거부 기준 문구</x:v>
      </x:c>
      <x:c r="G1035" s="8" t="str">
        <x:v>https://health.kdca.go.kr/healthinfo/biz/health/gnrlzHealthInfo/gnrlzHealthInfo/gnrlzHealthInfoMain.do</x:v>
      </x:c>
      <x:c r="H1035" s="8" t="str">
        <x:v>{
  "disease": "죽상경화증",
  "section": "증상",
  "category": "disease"
}</x:v>
      </x:c>
    </x:row>
    <x:row r="1036" ht="54" customHeight="1">
      <x:c r="A1036" s="8" t="str">
        <x:v>gold-disease-7e0163d18aeca96a</x:v>
      </x:c>
      <x:c r="B1036" s="8" t="str">
        <x:v>kdca-6307-7</x:v>
      </x:c>
      <x:c r="C1036" s="8" t="str">
        <x:v>kdca-6307-7</x:v>
      </x:c>
      <x:c r="D1036" s="8" t="str">
        <x:v>근거와 함께 답변</x:v>
      </x:c>
      <x:c r="E1036" s="15" t="n">
        <x:v>1034</x:v>
      </x:c>
      <x:c r="F1036" s="8" t="str">
        <x:v>기존 검증 정답</x:v>
      </x:c>
      <x:c r="G1036" s="8" t="str">
        <x:v>https://health.kdca.go.kr/healthinfo/biz/health/gnrlzHealthInfo/gnrlzHealthInfo/gnrlzHealthInfoMain.do</x:v>
      </x:c>
      <x:c r="H1036" s="8" t="str">
        <x:v>{
  "disease": "심잡음",
  "section": "종류",
  "category": "symptom"
}</x:v>
      </x:c>
    </x:row>
    <x:row r="1037" ht="54" customHeight="1">
      <x:c r="A1037" s="8" t="str">
        <x:v>gold-disease-4d1a8018374885c8</x:v>
      </x:c>
      <x:c r="B1037" s="8" t="str">
        <x:v>kdca-1081-24</x:v>
      </x:c>
      <x:c r="C1037" s="8" t="str">
        <x:v>kdca-1081-24</x:v>
      </x:c>
      <x:c r="D1037" s="8" t="str">
        <x:v>근거와 함께 답변</x:v>
      </x:c>
      <x:c r="E1037" s="15" t="n">
        <x:v>1035</x:v>
      </x:c>
      <x:c r="F1037" s="8" t="str">
        <x:v>VDB 후속 설명 보강</x:v>
      </x:c>
      <x:c r="G1037" s="8" t="str">
        <x:v>https://health.kdca.go.kr/healthinfo/biz/health/gnrlzHealthInfo/gnrlzHealthInfo/gnrlzHealthInfoMain.do</x:v>
      </x:c>
      <x:c r="H1037" s="8" t="str">
        <x:v>{
  "disease": "복통",
  "section": "관련 질환 / 자주하는 질문",
  "category": "symptom"
}</x:v>
      </x:c>
    </x:row>
    <x:row r="1038" ht="54" customHeight="1">
      <x:c r="A1038" s="8" t="str">
        <x:v>gold-disease-6198b5b5a101242b</x:v>
      </x:c>
      <x:c r="B1038" s="8" t="str">
        <x:v>kdca-6262-14</x:v>
      </x:c>
      <x:c r="C1038" s="8" t="str">
        <x:v>kdca-6262-14</x:v>
      </x:c>
      <x:c r="D1038" s="8" t="str">
        <x:v>근거와 함께 답변</x:v>
      </x:c>
      <x:c r="E1038" s="15" t="n">
        <x:v>1036</x:v>
      </x:c>
      <x:c r="F1038" s="8" t="str">
        <x:v>기존 검증 정답</x:v>
      </x:c>
      <x:c r="G1038" s="8" t="str">
        <x:v>https://health.kdca.go.kr/healthinfo/biz/health/gnrlzHealthInfo/gnrlzHealthInfo/gnrlzHealthInfoMain.do</x:v>
      </x:c>
      <x:c r="H1038" s="8" t="str">
        <x:v>{
  "disease": "노인 부종",
  "section": "진단 및 검사",
  "category": "symptom"
}</x:v>
      </x:c>
    </x:row>
    <x:row r="1039" ht="54" customHeight="1">
      <x:c r="A1039" s="8" t="str">
        <x:v>gold-disease-fc03dd2aa7f30e7e</x:v>
      </x:c>
      <x:c r="B1039" s="8" t="str">
        <x:v>kdca-6489-1</x:v>
      </x:c>
      <x:c r="C1039" s="8" t="str">
        <x:v>kdca-6489-1</x:v>
      </x:c>
      <x:c r="D1039" s="8" t="str">
        <x:v>근거와 함께 답변</x:v>
      </x:c>
      <x:c r="E1039" s="15" t="n">
        <x:v>1037</x:v>
      </x:c>
      <x:c r="F1039" s="8" t="str">
        <x:v>기존 검증 정답</x:v>
      </x:c>
      <x:c r="G1039" s="8" t="str">
        <x:v>https://health.kdca.go.kr/healthinfo/biz/health/gnrlzHealthInfo/gnrlzHealthInfo/gnrlzHealthInfoMain.do</x:v>
      </x:c>
      <x:c r="H1039" s="8" t="str">
        <x:v>{
  "disease": "건막염(통풍성 건막염)",
  "section": "역학 및 통계 / 증상",
  "category": "disease"
}</x:v>
      </x:c>
    </x:row>
    <x:row r="1040" ht="54" customHeight="1">
      <x:c r="A1040" s="8" t="str">
        <x:v>gold-disease-a306ec58254bd235</x:v>
      </x:c>
      <x:c r="B1040" s="8" t="str">
        <x:v>kdca-6775-34</x:v>
      </x:c>
      <x:c r="C1040" s="8" t="str">
        <x:v>kdca-6775-34</x:v>
      </x:c>
      <x:c r="D1040" s="8" t="str">
        <x:v>근거와 함께 답변</x:v>
      </x:c>
      <x:c r="E1040" s="15" t="n">
        <x:v>1038</x:v>
      </x:c>
      <x:c r="F1040" s="8" t="str">
        <x:v>VDB 후속 설명 보강</x:v>
      </x:c>
      <x:c r="G1040" s="8" t="str">
        <x:v>https://health.kdca.go.kr/healthinfo/biz/health/gnrlzHealthInfo/gnrlzHealthInfo/gnrlzHealthInfoMain.do</x:v>
      </x:c>
      <x:c r="H1040" s="8" t="str">
        <x:v>{
  "disease": "폐색성죽상동맥경화증",
  "section": "위험요인 및 예방 / 생활습관 관리",
  "category": "disease"
}</x:v>
      </x:c>
    </x:row>
    <x:row r="1041" ht="54" customHeight="1">
      <x:c r="A1041" s="8" t="str">
        <x:v>gold-disease-e54bb1b8bbefe8a3</x:v>
      </x:c>
      <x:c r="B1041" s="8" t="str">
        <x:v>kdca-5364-0</x:v>
      </x:c>
      <x:c r="C1041" s="8" t="str">
        <x:v>kdca-5364-0</x:v>
      </x:c>
      <x:c r="D1041" s="8" t="str">
        <x:v>근거와 함께 답변</x:v>
      </x:c>
      <x:c r="E1041" s="15" t="n">
        <x:v>1039</x:v>
      </x:c>
      <x:c r="F1041" s="8" t="str">
        <x:v>기존 검증 정답</x:v>
      </x:c>
      <x:c r="G1041" s="8" t="str">
        <x:v>https://health.kdca.go.kr/healthinfo/biz/health/gnrlzHealthInfo/gnrlzHealthInfo/gnrlzHealthInfoMain.do</x:v>
      </x:c>
      <x:c r="H1041" s="8" t="str">
        <x:v>{
  "disease": "잠복고환",
  "section": "요약문",
  "category": "disease"
}</x:v>
      </x:c>
    </x:row>
    <x:row r="1042" ht="54" customHeight="1">
      <x:c r="A1042" s="8" t="str">
        <x:v>gold-disease-c60ae500697e3c50</x:v>
      </x:c>
      <x:c r="B1042" s="8" t="str">
        <x:v>kdca-5719-7</x:v>
      </x:c>
      <x:c r="C1042" s="8" t="str">
        <x:v>kdca-5719-7</x:v>
      </x:c>
      <x:c r="D1042" s="8" t="str">
        <x:v>근거와 함께 답변</x:v>
      </x:c>
      <x:c r="E1042" s="15" t="n">
        <x:v>1040</x:v>
      </x:c>
      <x:c r="F1042" s="8" t="str">
        <x:v>VDB 원인·위험요인 청크 재선정</x:v>
      </x:c>
      <x:c r="G1042" s="8" t="str">
        <x:v>https://health.kdca.go.kr/healthinfo/biz/health/gnrlzHealthInfo/gnrlzHealthInfo/gnrlzHealthInfoMain.do</x:v>
      </x:c>
      <x:c r="H1042" s="8" t="str">
        <x:v>{
  "disease": "야뇨증(소아)",
  "section": "원인",
  "category": "disease"
}</x:v>
      </x:c>
    </x:row>
    <x:row r="1043" ht="54" customHeight="1">
      <x:c r="A1043" s="8" t="str">
        <x:v>gold-disease-01925777afe8cfbd</x:v>
      </x:c>
      <x:c r="B1043" s="8" t="str">
        <x:v>kdca-5362-1</x:v>
      </x:c>
      <x:c r="C1043" s="8" t="str">
        <x:v>kdca-5362-1</x:v>
      </x:c>
      <x:c r="D1043" s="8" t="str">
        <x:v>근거와 함께 답변</x:v>
      </x:c>
      <x:c r="E1043" s="15" t="n">
        <x:v>1041</x:v>
      </x:c>
      <x:c r="F1043" s="8" t="str">
        <x:v>기존 검증 정답</x:v>
      </x:c>
      <x:c r="G1043" s="8" t="str">
        <x:v>https://health.kdca.go.kr/healthinfo/biz/health/gnrlzHealthInfo/gnrlzHealthInfo/gnrlzHealthInfoMain.do</x:v>
      </x:c>
      <x:c r="H1043" s="8" t="str">
        <x:v>{
  "disease": "코골이",
  "section": "요약문 / 개요",
  "category": "disease"
}</x:v>
      </x:c>
    </x:row>
    <x:row r="1044" ht="54" customHeight="1">
      <x:c r="A1044" s="8" t="str">
        <x:v>gold-disease-12dfb3633d506c32</x:v>
      </x:c>
      <x:c r="B1044" s="8" t="str">
        <x:v>kdca-6754-9</x:v>
      </x:c>
      <x:c r="C1044" s="8" t="str">
        <x:v>kdca-6754-9</x:v>
      </x:c>
      <x:c r="D1044" s="8" t="str">
        <x:v>근거와 함께 답변</x:v>
      </x:c>
      <x:c r="E1044" s="15" t="n">
        <x:v>1042</x:v>
      </x:c>
      <x:c r="F1044" s="8" t="str">
        <x:v>기존 검증 정답</x:v>
      </x:c>
      <x:c r="G1044" s="8" t="str">
        <x:v>https://health.kdca.go.kr/healthinfo/biz/health/gnrlzHealthInfo/gnrlzHealthInfo/gnrlzHealthInfoMain.do</x:v>
      </x:c>
      <x:c r="H1044" s="8" t="str">
        <x:v>{
  "disease": "남성갱년기",
  "section": "관련 질환 / 연관 증상",
  "category": "disease"
}</x:v>
      </x:c>
    </x:row>
    <x:row r="1045" ht="54" customHeight="1">
      <x:c r="A1045" s="8" t="str">
        <x:v>gold-disease-f7650f8ec0982ce2</x:v>
      </x:c>
      <x:c r="B1045" s="8" t="str">
        <x:v>kdca-3547-27</x:v>
      </x:c>
      <x:c r="C1045" s="8" t="str">
        <x:v>kdca-3547-27</x:v>
      </x:c>
      <x:c r="D1045" s="8" t="str">
        <x:v>근거와 함께 답변</x:v>
      </x:c>
      <x:c r="E1045" s="15" t="n">
        <x:v>1043</x:v>
      </x:c>
      <x:c r="F1045" s="8" t="str">
        <x:v>기존 검증 정답</x:v>
      </x:c>
      <x:c r="G1045" s="8" t="str">
        <x:v>https://health.kdca.go.kr/healthinfo/biz/health/gnrlzHealthInfo/gnrlzHealthInfo/gnrlzHealthInfoMain.do</x:v>
      </x:c>
      <x:c r="H1045" s="8" t="str">
        <x:v>{
  "disease": "만성기관지염",
  "section": "진단 및 검사",
  "category": "disease"
}</x:v>
      </x:c>
    </x:row>
    <x:row r="1046" ht="54" customHeight="1">
      <x:c r="A1046" s="8" t="str">
        <x:v>gold-disease-ff9b3e6de76a44d9</x:v>
      </x:c>
      <x:c r="B1046" s="8" t="str">
        <x:v>kdca-3136-5</x:v>
      </x:c>
      <x:c r="C1046" s="8" t="str">
        <x:v>kdca-3136-5</x:v>
      </x:c>
      <x:c r="D1046" s="8" t="str">
        <x:v>근거와 함께 답변</x:v>
      </x:c>
      <x:c r="E1046" s="15" t="n">
        <x:v>1044</x:v>
      </x:c>
      <x:c r="F1046" s="8" t="str">
        <x:v>VDB 원인·위험요인 청크 재선정</x:v>
      </x:c>
      <x:c r="G1046" s="8" t="str">
        <x:v>https://health.kdca.go.kr/healthinfo/biz/health/gnrlzHealthInfo/gnrlzHealthInfo/gnrlzHealthInfoMain.do</x:v>
      </x:c>
      <x:c r="H1046" s="8" t="str">
        <x:v>{
  "disease": "항문직장농양과 치루(치루)",
  "section": "원인",
  "category": "disease"
}</x:v>
      </x:c>
    </x:row>
    <x:row r="1047" ht="54" customHeight="1">
      <x:c r="A1047" s="8" t="str">
        <x:v>gold-disease-76904308643b82ec</x:v>
      </x:c>
      <x:c r="B1047" s="8" t="str">
        <x:v>kdca-6679-24</x:v>
      </x:c>
      <x:c r="C1047" s="8" t="str">
        <x:v>kdca-6679-24</x:v>
      </x:c>
      <x:c r="D1047" s="8" t="str">
        <x:v>근거와 함께 답변</x:v>
      </x:c>
      <x:c r="E1047" s="15" t="n">
        <x:v>1045</x:v>
      </x:c>
      <x:c r="F1047" s="8" t="str">
        <x:v>VDB 후속 설명 보강</x:v>
      </x:c>
      <x:c r="G1047" s="8" t="str">
        <x:v>https://health.kdca.go.kr/healthinfo/biz/health/gnrlzHealthInfo/gnrlzHealthInfo/gnrlzHealthInfoMain.do</x:v>
      </x:c>
      <x:c r="H1047" s="8" t="str">
        <x:v>{
  "disease": "수두와 대상포진",
  "section": "약물 치료",
  "category": "disease"
}</x:v>
      </x:c>
    </x:row>
    <x:row r="1048" ht="54" customHeight="1">
      <x:c r="A1048" s="8" t="str">
        <x:v>gold-disease-69f699bc65d998ad</x:v>
      </x:c>
      <x:c r="B1048" s="8" t="str">
        <x:v>kdca-5485-7</x:v>
      </x:c>
      <x:c r="C1048" s="8" t="str">
        <x:v>kdca-5485-7</x:v>
      </x:c>
      <x:c r="D1048" s="8" t="str">
        <x:v>근거와 함께 답변</x:v>
      </x:c>
      <x:c r="E1048" s="15" t="n">
        <x:v>1046</x:v>
      </x:c>
      <x:c r="F1048" s="8" t="str">
        <x:v>VDB 원인·위험요인 청크 재선정</x:v>
      </x:c>
      <x:c r="G1048" s="8" t="str">
        <x:v>https://health.kdca.go.kr/healthinfo/biz/health/gnrlzHealthInfo/gnrlzHealthInfo/gnrlzHealthInfoMain.do</x:v>
      </x:c>
      <x:c r="H1048" s="8" t="str">
        <x:v>{
  "disease": "구내염",
  "section": "원인",
  "category": "disease"
}</x:v>
      </x:c>
    </x:row>
    <x:row r="1049" ht="54" customHeight="1">
      <x:c r="A1049" s="8" t="str">
        <x:v>gold-disease-na-c985330264b403c7</x:v>
      </x:c>
      <x:c r="B1049" s="8" t="str"/>
      <x:c r="C1049" s="8" t="str"/>
      <x:c r="D1049" s="8" t="str">
        <x:v>답변 거부 또는 추가 확인 요청</x:v>
      </x:c>
      <x:c r="E1049" s="15" t="n">
        <x:v>1047</x:v>
      </x:c>
      <x:c r="F1049" s="8" t="str">
        <x:v>답변 거부 기준 문구</x:v>
      </x:c>
      <x:c r="G1049" s="8" t="str">
        <x:v>https://health.kdca.go.kr/healthinfo/biz/health/gnrlzHealthInfo/gnrlzHealthInfo/gnrlzHealthInfoMain.do</x:v>
      </x:c>
      <x:c r="H1049" s="8" t="str">
        <x:v>{
  "disease": "퇴행슬관절염",
  "section": "진단 및 검사",
  "category": "disease"
}</x:v>
      </x:c>
    </x:row>
    <x:row r="1050" ht="54" customHeight="1">
      <x:c r="A1050" s="8" t="str">
        <x:v>gold-disease-77f7344e62a358fa</x:v>
      </x:c>
      <x:c r="B1050" s="8" t="str">
        <x:v>kdca-6579-0</x:v>
      </x:c>
      <x:c r="C1050" s="8" t="str">
        <x:v>kdca-6579-0</x:v>
      </x:c>
      <x:c r="D1050" s="8" t="str">
        <x:v>근거와 함께 답변</x:v>
      </x:c>
      <x:c r="E1050" s="15" t="n">
        <x:v>1048</x:v>
      </x:c>
      <x:c r="F1050" s="8" t="str">
        <x:v>기존 검증 정답</x:v>
      </x:c>
      <x:c r="G1050" s="8" t="str">
        <x:v>https://health.kdca.go.kr/healthinfo/biz/health/gnrlzHealthInfo/gnrlzHealthInfo/gnrlzHealthInfoMain.do</x:v>
      </x:c>
      <x:c r="H1050" s="8" t="str">
        <x:v>{
  "disease": "다태임신",
  "section": "요약문",
  "category": "disease"
}</x:v>
      </x:c>
    </x:row>
    <x:row r="1051" ht="54" customHeight="1">
      <x:c r="A1051" s="8" t="str">
        <x:v>gold-disease-24c35edacc44bd14</x:v>
      </x:c>
      <x:c r="B1051" s="8" t="str">
        <x:v>kdca-5818-19</x:v>
      </x:c>
      <x:c r="C1051" s="8" t="str">
        <x:v>kdca-5818-19</x:v>
      </x:c>
      <x:c r="D1051" s="8" t="str">
        <x:v>근거와 함께 답변</x:v>
      </x:c>
      <x:c r="E1051" s="15" t="n">
        <x:v>1049</x:v>
      </x:c>
      <x:c r="F1051" s="8" t="str">
        <x:v>VDB 후속 설명 보강</x:v>
      </x:c>
      <x:c r="G1051" s="8" t="str">
        <x:v>https://health.kdca.go.kr/healthinfo/biz/health/gnrlzHealthInfo/gnrlzHealthInfo/gnrlzHealthInfoMain.do</x:v>
      </x:c>
      <x:c r="H1051" s="8" t="str">
        <x:v>{
  "disease": "치핵",
  "section": "비약물 치료",
  "category": "disease"
}</x:v>
      </x:c>
    </x:row>
    <x:row r="1052" ht="54" customHeight="1">
      <x:c r="A1052" s="8" t="str">
        <x:v>gold-disease-e3269062dfbb43c8</x:v>
      </x:c>
      <x:c r="B1052" s="8" t="str">
        <x:v>kdca-6315-3</x:v>
      </x:c>
      <x:c r="C1052" s="8" t="str">
        <x:v>kdca-6315-3</x:v>
      </x:c>
      <x:c r="D1052" s="8" t="str">
        <x:v>근거와 함께 답변</x:v>
      </x:c>
      <x:c r="E1052" s="15" t="n">
        <x:v>1050</x:v>
      </x:c>
      <x:c r="F1052" s="8" t="str">
        <x:v>VDB 원인·위험요인 청크 재선정</x:v>
      </x:c>
      <x:c r="G1052" s="8" t="str">
        <x:v>https://health.kdca.go.kr/healthinfo/biz/health/gnrlzHealthInfo/gnrlzHealthInfo/gnrlzHealthInfoMain.do</x:v>
      </x:c>
      <x:c r="H1052" s="8" t="str">
        <x:v>{
  "disease": "이갈이",
  "section": "원인",
  "category": "disease"
}</x:v>
      </x:c>
    </x:row>
    <x:row r="1053" ht="54" customHeight="1">
      <x:c r="A1053" s="8" t="str">
        <x:v>gold-disease-d249549a1441ded1</x:v>
      </x:c>
      <x:c r="B1053" s="8" t="str">
        <x:v>kdca-5495-18</x:v>
      </x:c>
      <x:c r="C1053" s="8" t="str">
        <x:v>kdca-5495-18</x:v>
      </x:c>
      <x:c r="D1053" s="8" t="str">
        <x:v>근거와 함께 답변</x:v>
      </x:c>
      <x:c r="E1053" s="15" t="n">
        <x:v>1051</x:v>
      </x:c>
      <x:c r="F1053" s="8" t="str">
        <x:v>기존 검증 정답</x:v>
      </x:c>
      <x:c r="G1053" s="8" t="str">
        <x:v>https://health.kdca.go.kr/healthinfo/biz/health/gnrlzHealthInfo/gnrlzHealthInfo/gnrlzHealthInfoMain.do</x:v>
      </x:c>
      <x:c r="H1053" s="8" t="str">
        <x:v>{
  "disease": "뇌졸중",
  "section": "경과 및 예후",
  "category": "disease"
}</x:v>
      </x:c>
    </x:row>
    <x:row r="1054" ht="54" customHeight="1">
      <x:c r="A1054" s="8" t="str">
        <x:v>gold-disease-e6e12939f812b685</x:v>
      </x:c>
      <x:c r="B1054" s="8" t="str">
        <x:v>kdca-6767-37</x:v>
      </x:c>
      <x:c r="C1054" s="8" t="str">
        <x:v>kdca-6767-37</x:v>
      </x:c>
      <x:c r="D1054" s="8" t="str">
        <x:v>근거와 함께 답변</x:v>
      </x:c>
      <x:c r="E1054" s="15" t="n">
        <x:v>1052</x:v>
      </x:c>
      <x:c r="F1054" s="8" t="str">
        <x:v>VDB 원인·위험요인 청크 재선정</x:v>
      </x:c>
      <x:c r="G1054" s="8" t="str">
        <x:v>https://health.kdca.go.kr/healthinfo/biz/health/gnrlzHealthInfo/gnrlzHealthInfo/gnrlzHealthInfoMain.do</x:v>
      </x:c>
      <x:c r="H1054" s="8" t="str">
        <x:v>{
  "disease": "성장 장애",
  "section": "원인",
  "category": "disease"
}</x:v>
      </x:c>
    </x:row>
    <x:row r="1055" ht="54" customHeight="1">
      <x:c r="A1055" s="8" t="str">
        <x:v>gold-disease-ca62aaa81f31a903</x:v>
      </x:c>
      <x:c r="B1055" s="8" t="str">
        <x:v>kdca-5840-3</x:v>
      </x:c>
      <x:c r="C1055" s="8" t="str">
        <x:v>kdca-5840-3</x:v>
      </x:c>
      <x:c r="D1055" s="8" t="str">
        <x:v>근거와 함께 답변</x:v>
      </x:c>
      <x:c r="E1055" s="15" t="n">
        <x:v>1053</x:v>
      </x:c>
      <x:c r="F1055" s="8" t="str">
        <x:v>VDB 정의 문장 재선정</x:v>
      </x:c>
      <x:c r="G1055" s="8" t="str">
        <x:v>https://health.kdca.go.kr/healthinfo/biz/health/gnrlzHealthInfo/gnrlzHealthInfo/gnrlzHealthInfoMain.do</x:v>
      </x:c>
      <x:c r="H1055" s="8" t="str">
        <x:v>{
  "disease": "평발(편평족)",
  "section": "정의 / 종류",
  "category": "disease"
}</x:v>
      </x:c>
    </x:row>
    <x:row r="1056" ht="54" customHeight="1">
      <x:c r="A1056" s="8" t="str">
        <x:v>gold-disease-72a6b6bea70f888b</x:v>
      </x:c>
      <x:c r="B1056" s="8" t="str">
        <x:v>kdca-5220-7</x:v>
      </x:c>
      <x:c r="C1056" s="8" t="str">
        <x:v>kdca-5220-7</x:v>
      </x:c>
      <x:c r="D1056" s="8" t="str">
        <x:v>근거와 함께 답변</x:v>
      </x:c>
      <x:c r="E1056" s="15" t="n">
        <x:v>1054</x:v>
      </x:c>
      <x:c r="F1056" s="8" t="str">
        <x:v>기존 검증 정답</x:v>
      </x:c>
      <x:c r="G1056" s="8" t="str">
        <x:v>https://health.kdca.go.kr/healthinfo/biz/health/gnrlzHealthInfo/gnrlzHealthInfo/gnrlzHealthInfoMain.do</x:v>
      </x:c>
      <x:c r="H1056" s="8" t="str">
        <x:v>{
  "disease": "덧눈꺼풀",
  "section": "진단 및 검사 / 치료",
  "category": "disease"
}</x:v>
      </x:c>
    </x:row>
    <x:row r="1057" ht="54" customHeight="1">
      <x:c r="A1057" s="8" t="str">
        <x:v>gold-disease-28e3d0ce151d07de</x:v>
      </x:c>
      <x:c r="B1057" s="8" t="str">
        <x:v>kdca-6-3</x:v>
      </x:c>
      <x:c r="C1057" s="8" t="str">
        <x:v>kdca-6-3</x:v>
      </x:c>
      <x:c r="D1057" s="8" t="str">
        <x:v>근거와 함께 답변</x:v>
      </x:c>
      <x:c r="E1057" s="15" t="n">
        <x:v>1055</x:v>
      </x:c>
      <x:c r="F1057" s="8" t="str">
        <x:v>VDB 원인·위험요인 청크 재선정</x:v>
      </x:c>
      <x:c r="G1057" s="8" t="str">
        <x:v>https://health.kdca.go.kr/healthinfo/biz/health/gnrlzHealthInfo/gnrlzHealthInfo/gnrlzHealthInfoMain.do</x:v>
      </x:c>
      <x:c r="H1057" s="8" t="str">
        <x:v>{
  "disease": "두근거림",
  "section": "정의 / 원인",
  "category": "symptom"
}</x:v>
      </x:c>
    </x:row>
    <x:row r="1058" ht="54" customHeight="1">
      <x:c r="A1058" s="8" t="str">
        <x:v>gold-disease-262de1936294c92f</x:v>
      </x:c>
      <x:c r="B1058" s="8" t="str">
        <x:v>kdca-6315-11</x:v>
      </x:c>
      <x:c r="C1058" s="8" t="str">
        <x:v>kdca-6315-11</x:v>
      </x:c>
      <x:c r="D1058" s="8" t="str">
        <x:v>근거와 함께 답변</x:v>
      </x:c>
      <x:c r="E1058" s="15" t="n">
        <x:v>1056</x:v>
      </x:c>
      <x:c r="F1058" s="8" t="str">
        <x:v>기존 검증 정답</x:v>
      </x:c>
      <x:c r="G1058" s="8" t="str">
        <x:v>https://health.kdca.go.kr/healthinfo/biz/health/gnrlzHealthInfo/gnrlzHealthInfo/gnrlzHealthInfoMain.do</x:v>
      </x:c>
      <x:c r="H1058" s="8" t="str">
        <x:v>{
  "disease": "이갈이",
  "section": "진단 및 검사",
  "category": "disease"
}</x:v>
      </x:c>
    </x:row>
    <x:row r="1059" ht="54" customHeight="1">
      <x:c r="A1059" s="8" t="str">
        <x:v>gold-disease-910c4bcda18b52bc</x:v>
      </x:c>
      <x:c r="B1059" s="8" t="str">
        <x:v>kdca-6560-17</x:v>
      </x:c>
      <x:c r="C1059" s="8" t="str">
        <x:v>kdca-6560-17</x:v>
      </x:c>
      <x:c r="D1059" s="8" t="str">
        <x:v>근거와 함께 답변</x:v>
      </x:c>
      <x:c r="E1059" s="15" t="n">
        <x:v>1057</x:v>
      </x:c>
      <x:c r="F1059" s="8" t="str">
        <x:v>기존 검증 정답</x:v>
      </x:c>
      <x:c r="G1059" s="8" t="str">
        <x:v>https://health.kdca.go.kr/healthinfo/biz/health/gnrlzHealthInfo/gnrlzHealthInfo/gnrlzHealthInfoMain.do</x:v>
      </x:c>
      <x:c r="H1059" s="8" t="str">
        <x:v>{
  "disease": "간경변증",
  "section": "역학 및 통계 / 증상",
  "category": "disease"
}</x:v>
      </x:c>
    </x:row>
    <x:row r="1060" ht="54" customHeight="1">
      <x:c r="A1060" s="8" t="str">
        <x:v>gold-disease-cd3f040e2206d00f</x:v>
      </x:c>
      <x:c r="B1060" s="8" t="str">
        <x:v>kdca-1102-26</x:v>
      </x:c>
      <x:c r="C1060" s="8" t="str">
        <x:v>kdca-1102-26</x:v>
      </x:c>
      <x:c r="D1060" s="8" t="str">
        <x:v>근거와 함께 답변</x:v>
      </x:c>
      <x:c r="E1060" s="15" t="n">
        <x:v>1058</x:v>
      </x:c>
      <x:c r="F1060" s="8" t="str">
        <x:v>기존 검증 정답</x:v>
      </x:c>
      <x:c r="G1060" s="8" t="str">
        <x:v>https://health.kdca.go.kr/healthinfo/biz/health/gnrlzHealthInfo/gnrlzHealthInfo/gnrlzHealthInfoMain.do</x:v>
      </x:c>
      <x:c r="H1060" s="8" t="str">
        <x:v>{
  "disease": "부정맥",
  "section": "증상",
  "category": "disease"
}</x:v>
      </x:c>
    </x:row>
    <x:row r="1061" ht="54" customHeight="1">
      <x:c r="A1061" s="8" t="str">
        <x:v>gold-disease-0b21513bb5837000</x:v>
      </x:c>
      <x:c r="B1061" s="8" t="str">
        <x:v>kdca-5493-9</x:v>
      </x:c>
      <x:c r="C1061" s="8" t="str">
        <x:v>kdca-5493-9</x:v>
      </x:c>
      <x:c r="D1061" s="8" t="str">
        <x:v>근거와 함께 답변</x:v>
      </x:c>
      <x:c r="E1061" s="15" t="n">
        <x:v>1059</x:v>
      </x:c>
      <x:c r="F1061" s="8" t="str">
        <x:v>VDB 후속 설명 보강</x:v>
      </x:c>
      <x:c r="G1061" s="8" t="str">
        <x:v>https://health.kdca.go.kr/healthinfo/biz/health/gnrlzHealthInfo/gnrlzHealthInfo/gnrlzHealthInfoMain.do</x:v>
      </x:c>
      <x:c r="H1061" s="8" t="str">
        <x:v>{
  "disease": "기흉",
  "section": "종류 / 증상",
  "category": "disease"
}</x:v>
      </x:c>
    </x:row>
    <x:row r="1062" ht="54" customHeight="1">
      <x:c r="A1062" s="8" t="str">
        <x:v>gold-disease-6f1109fa33e2c0d2</x:v>
      </x:c>
      <x:c r="B1062" s="8" t="str">
        <x:v>kdca-6188-12</x:v>
      </x:c>
      <x:c r="C1062" s="8" t="str">
        <x:v>kdca-6188-12</x:v>
      </x:c>
      <x:c r="D1062" s="8" t="str">
        <x:v>근거와 함께 답변</x:v>
      </x:c>
      <x:c r="E1062" s="15" t="n">
        <x:v>1060</x:v>
      </x:c>
      <x:c r="F1062" s="8" t="str">
        <x:v>기존 검증 정답</x:v>
      </x:c>
      <x:c r="G1062" s="8" t="str">
        <x:v>https://health.kdca.go.kr/healthinfo/biz/health/gnrlzHealthInfo/gnrlzHealthInfo/gnrlzHealthInfoMain.do</x:v>
      </x:c>
      <x:c r="H1062" s="8" t="str">
        <x:v>{
  "disease": "언어장애(아동 언어장애의 진단과 치료)",
  "section": "종류",
  "category": "disease"
}</x:v>
      </x:c>
    </x:row>
    <x:row r="1063" ht="54" customHeight="1">
      <x:c r="A1063" s="8" t="str">
        <x:v>gold-disease-5e25540396390b65</x:v>
      </x:c>
      <x:c r="B1063" s="8" t="str">
        <x:v>kdca-6304-30</x:v>
      </x:c>
      <x:c r="C1063" s="8" t="str">
        <x:v>kdca-6304-30</x:v>
      </x:c>
      <x:c r="D1063" s="8" t="str">
        <x:v>근거와 함께 답변</x:v>
      </x:c>
      <x:c r="E1063" s="15" t="n">
        <x:v>1061</x:v>
      </x:c>
      <x:c r="F1063" s="8" t="str">
        <x:v>VDB 후속 설명 보강</x:v>
      </x:c>
      <x:c r="G1063" s="8" t="str">
        <x:v>https://health.kdca.go.kr/healthinfo/biz/health/gnrlzHealthInfo/gnrlzHealthInfo/gnrlzHealthInfoMain.do</x:v>
      </x:c>
      <x:c r="H1063" s="8" t="str">
        <x:v>{
  "disease": "미숙아",
  "section": "자가 관리",
  "category": "disease"
}</x:v>
      </x:c>
    </x:row>
    <x:row r="1064" ht="54" customHeight="1">
      <x:c r="A1064" s="8" t="str">
        <x:v>gold-disease-6b592906cabc78aa</x:v>
      </x:c>
      <x:c r="B1064" s="8" t="str">
        <x:v>kdca-5413-8</x:v>
      </x:c>
      <x:c r="C1064" s="8" t="str">
        <x:v>kdca-5413-8</x:v>
      </x:c>
      <x:c r="D1064" s="8" t="str">
        <x:v>근거와 함께 답변</x:v>
      </x:c>
      <x:c r="E1064" s="15" t="n">
        <x:v>1062</x:v>
      </x:c>
      <x:c r="F1064" s="8" t="str">
        <x:v>VDB 후속 설명 보강</x:v>
      </x:c>
      <x:c r="G1064" s="8" t="str">
        <x:v>https://health.kdca.go.kr/healthinfo/biz/health/gnrlzHealthInfo/gnrlzHealthInfo/gnrlzHealthInfoMain.do</x:v>
      </x:c>
      <x:c r="H1064" s="8" t="str">
        <x:v>{
  "disease": "조기난소부전",
  "section": "증상 / 진단 및 검사",
  "category": "disease"
}</x:v>
      </x:c>
    </x:row>
    <x:row r="1065" ht="54" customHeight="1">
      <x:c r="A1065" s="8" t="str">
        <x:v>gold-disease-ed3b524c50a12ec6</x:v>
      </x:c>
      <x:c r="B1065" s="8" t="str">
        <x:v>kdca-6755-47</x:v>
      </x:c>
      <x:c r="C1065" s="8" t="str">
        <x:v>kdca-6755-47</x:v>
      </x:c>
      <x:c r="D1065" s="8" t="str">
        <x:v>근거와 함께 답변</x:v>
      </x:c>
      <x:c r="E1065" s="15" t="n">
        <x:v>1063</x:v>
      </x:c>
      <x:c r="F1065" s="8" t="str">
        <x:v>VDB 후속 설명 보강</x:v>
      </x:c>
      <x:c r="G1065" s="8" t="str">
        <x:v>https://health.kdca.go.kr/healthinfo/biz/health/gnrlzHealthInfo/gnrlzHealthInfo/gnrlzHealthInfoMain.do</x:v>
      </x:c>
      <x:c r="H1065" s="8" t="str">
        <x:v>{
  "disease": "패혈증",
  "section": "위험요인 및 예방",
  "category": "disease"
}</x:v>
      </x:c>
    </x:row>
    <x:row r="1066" ht="54" customHeight="1">
      <x:c r="A1066" s="8" t="str">
        <x:v>gold-disease-6116172820018c2b</x:v>
      </x:c>
      <x:c r="B1066" s="8" t="str">
        <x:v>kdca-5854-0</x:v>
      </x:c>
      <x:c r="C1066" s="8" t="str">
        <x:v>kdca-5854-0</x:v>
      </x:c>
      <x:c r="D1066" s="8" t="str">
        <x:v>근거와 함께 답변</x:v>
      </x:c>
      <x:c r="E1066" s="15" t="n">
        <x:v>1064</x:v>
      </x:c>
      <x:c r="F1066" s="8" t="str">
        <x:v>VDB 정의 문장 재선정</x:v>
      </x:c>
      <x:c r="G1066" s="8" t="str">
        <x:v>https://health.kdca.go.kr/healthinfo/biz/health/gnrlzHealthInfo/gnrlzHealthInfo/gnrlzHealthInfoMain.do</x:v>
      </x:c>
      <x:c r="H1066" s="8" t="str">
        <x:v>{
  "disease": "심부 정맥 혈전증",
  "section": "요약문",
  "category": "disease"
}</x:v>
      </x:c>
    </x:row>
    <x:row r="1067" ht="54" customHeight="1">
      <x:c r="A1067" s="8" t="str">
        <x:v>gold-disease-na-8a24ba2d2f0f76fd</x:v>
      </x:c>
      <x:c r="B1067" s="8" t="str"/>
      <x:c r="C1067" s="8" t="str"/>
      <x:c r="D1067" s="8" t="str">
        <x:v>답변 거부 또는 추가 확인 요청</x:v>
      </x:c>
      <x:c r="E1067" s="15" t="n">
        <x:v>1065</x:v>
      </x:c>
      <x:c r="F1067" s="8" t="str">
        <x:v>답변 거부 기준 문구</x:v>
      </x:c>
      <x:c r="G1067" s="8" t="str">
        <x:v>https://health.kdca.go.kr/healthinfo/biz/health/gnrlzHealthInfo/gnrlzHealthInfo/gnrlzHealthInfoMain.do</x:v>
      </x:c>
      <x:c r="H1067" s="8" t="str">
        <x:v>{
  "disease": "직업성 호흡기질환",
  "section": "개요",
  "category": "disease"
}</x:v>
      </x:c>
    </x:row>
    <x:row r="1068" ht="54" customHeight="1">
      <x:c r="A1068" s="8" t="str">
        <x:v>gold-disease-da3ca37f7e2bafd7</x:v>
      </x:c>
      <x:c r="B1068" s="8" t="str">
        <x:v>kdca-6748-6</x:v>
      </x:c>
      <x:c r="C1068" s="8" t="str">
        <x:v>kdca-6748-6</x:v>
      </x:c>
      <x:c r="D1068" s="8" t="str">
        <x:v>근거와 함께 답변</x:v>
      </x:c>
      <x:c r="E1068" s="15" t="n">
        <x:v>1066</x:v>
      </x:c>
      <x:c r="F1068" s="8" t="str">
        <x:v>기존 검증 정답</x:v>
      </x:c>
      <x:c r="G1068" s="8" t="str">
        <x:v>https://health.kdca.go.kr/healthinfo/biz/health/gnrlzHealthInfo/gnrlzHealthInfo/gnrlzHealthInfoMain.do</x:v>
      </x:c>
      <x:c r="H1068" s="8" t="str">
        <x:v>{
  "disease": "반월상 연골판 손상",
  "section": "진단 및 검사",
  "category": "disease"
}</x:v>
      </x:c>
    </x:row>
    <x:row r="1069" ht="54" customHeight="1">
      <x:c r="A1069" s="8" t="str">
        <x:v>gold-disease-na-032a58556010f32a</x:v>
      </x:c>
      <x:c r="B1069" s="8" t="str"/>
      <x:c r="C1069" s="8" t="str"/>
      <x:c r="D1069" s="8" t="str">
        <x:v>답변 거부 또는 추가 확인 요청</x:v>
      </x:c>
      <x:c r="E1069" s="15" t="n">
        <x:v>1067</x:v>
      </x:c>
      <x:c r="F1069" s="8" t="str">
        <x:v>답변 거부 기준 문구</x:v>
      </x:c>
      <x:c r="G1069" s="8" t="str">
        <x:v>https://health.kdca.go.kr/healthinfo/biz/health/gnrlzHealthInfo/gnrlzHealthInfo/gnrlzHealthInfoMain.do</x:v>
      </x:c>
      <x:c r="H1069" s="8" t="str">
        <x:v>{
  "disease": "갈색세포종",
  "section": "요약문",
  "category": "disease"
}</x:v>
      </x:c>
    </x:row>
    <x:row r="1070" ht="54" customHeight="1">
      <x:c r="A1070" s="8" t="str">
        <x:v>gold-disease-4410ec7d2db63770</x:v>
      </x:c>
      <x:c r="B1070" s="8" t="str">
        <x:v>kdca-6527-7</x:v>
      </x:c>
      <x:c r="C1070" s="8" t="str">
        <x:v>kdca-6527-7</x:v>
      </x:c>
      <x:c r="D1070" s="8" t="str">
        <x:v>근거와 함께 답변</x:v>
      </x:c>
      <x:c r="E1070" s="15" t="n">
        <x:v>1068</x:v>
      </x:c>
      <x:c r="F1070" s="8" t="str">
        <x:v>기존 검증 정답</x:v>
      </x:c>
      <x:c r="G1070" s="8" t="str">
        <x:v>https://health.kdca.go.kr/healthinfo/biz/health/gnrlzHealthInfo/gnrlzHealthInfo/gnrlzHealthInfoMain.do</x:v>
      </x:c>
      <x:c r="H1070" s="8" t="str">
        <x:v>{
  "disease": "직업성 호흡기질환(직업성 천식)",
  "section": "역학 및 통계 / 증상 / 진단 및 검사",
  "category": "disease"
}</x:v>
      </x:c>
    </x:row>
    <x:row r="1071" ht="54" customHeight="1">
      <x:c r="A1071" s="8" t="str">
        <x:v>gold-disease-1d09be1ce32437e7</x:v>
      </x:c>
      <x:c r="B1071" s="8" t="str">
        <x:v>kdca-5284-22</x:v>
      </x:c>
      <x:c r="C1071" s="8" t="str">
        <x:v>kdca-5284-22</x:v>
      </x:c>
      <x:c r="D1071" s="8" t="str">
        <x:v>근거와 함께 답변</x:v>
      </x:c>
      <x:c r="E1071" s="15" t="n">
        <x:v>1069</x:v>
      </x:c>
      <x:c r="F1071" s="8" t="str">
        <x:v>VDB 후속 설명 보강</x:v>
      </x:c>
      <x:c r="G1071" s="8" t="str">
        <x:v>https://health.kdca.go.kr/healthinfo/biz/health/gnrlzHealthInfo/gnrlzHealthInfo/gnrlzHealthInfoMain.do</x:v>
      </x:c>
      <x:c r="H1071" s="8" t="str">
        <x:v>{
  "disease": "뇌수막염",
  "section": "치료",
  "category": "disease"
}</x:v>
      </x:c>
    </x:row>
    <x:row r="1072" ht="54" customHeight="1">
      <x:c r="A1072" s="8" t="str">
        <x:v>gold-disease-9c5056275f5e5d9d</x:v>
      </x:c>
      <x:c r="B1072" s="8" t="str">
        <x:v>kdca-3796-16</x:v>
      </x:c>
      <x:c r="C1072" s="8" t="str">
        <x:v>kdca-3796-16</x:v>
      </x:c>
      <x:c r="D1072" s="8" t="str">
        <x:v>근거와 함께 답변</x:v>
      </x:c>
      <x:c r="E1072" s="15" t="n">
        <x:v>1070</x:v>
      </x:c>
      <x:c r="F1072" s="8" t="str">
        <x:v>기존 검증 정답</x:v>
      </x:c>
      <x:c r="G1072" s="8" t="str">
        <x:v>https://health.kdca.go.kr/healthinfo/biz/health/gnrlzHealthInfo/gnrlzHealthInfo/gnrlzHealthInfoMain.do</x:v>
      </x:c>
      <x:c r="H1072" s="8" t="str">
        <x:v>{
  "disease": "요통",
  "section": "역학 및 통계",
  "category": "disease"
}</x:v>
      </x:c>
    </x:row>
    <x:row r="1073" ht="54" customHeight="1">
      <x:c r="A1073" s="8" t="str">
        <x:v>gold-disease-f6cfd77d6bc33ced</x:v>
      </x:c>
      <x:c r="B1073" s="8" t="str">
        <x:v>kdca-6773-17</x:v>
      </x:c>
      <x:c r="C1073" s="8" t="str">
        <x:v>kdca-6773-17</x:v>
      </x:c>
      <x:c r="D1073" s="8" t="str">
        <x:v>근거와 함께 답변</x:v>
      </x:c>
      <x:c r="E1073" s="15" t="n">
        <x:v>1071</x:v>
      </x:c>
      <x:c r="F1073" s="8" t="str">
        <x:v>기존 검증 정답</x:v>
      </x:c>
      <x:c r="G1073" s="8" t="str">
        <x:v>https://health.kdca.go.kr/healthinfo/biz/health/gnrlzHealthInfo/gnrlzHealthInfo/gnrlzHealthInfoMain.do</x:v>
      </x:c>
      <x:c r="H1073" s="8" t="str">
        <x:v>{
  "disease": "포도막염",
  "section": "증상",
  "category": "disease"
}</x:v>
      </x:c>
    </x:row>
    <x:row r="1074" ht="54" customHeight="1">
      <x:c r="A1074" s="8" t="str">
        <x:v>gold-disease-620bdc6a1b29d93a</x:v>
      </x:c>
      <x:c r="B1074" s="8" t="str">
        <x:v>kdca-6736-9</x:v>
      </x:c>
      <x:c r="C1074" s="8" t="str">
        <x:v>kdca-6736-9</x:v>
      </x:c>
      <x:c r="D1074" s="8" t="str">
        <x:v>근거와 함께 답변</x:v>
      </x:c>
      <x:c r="E1074" s="15" t="n">
        <x:v>1072</x:v>
      </x:c>
      <x:c r="F1074" s="8" t="str">
        <x:v>VDB 후속 설명 보강</x:v>
      </x:c>
      <x:c r="G1074" s="8" t="str">
        <x:v>https://health.kdca.go.kr/healthinfo/biz/health/gnrlzHealthInfo/gnrlzHealthInfo/gnrlzHealthInfoMain.do</x:v>
      </x:c>
      <x:c r="H1074" s="8" t="str">
        <x:v>{
  "disease": "세기관지염",
  "section": "증상",
  "category": "disease"
}</x:v>
      </x:c>
    </x:row>
    <x:row r="1075" ht="54" customHeight="1">
      <x:c r="A1075" s="8" t="str">
        <x:v>gold-disease-21fdf274c93c684c</x:v>
      </x:c>
      <x:c r="B1075" s="8" t="str">
        <x:v>kdca-2067-9</x:v>
      </x:c>
      <x:c r="C1075" s="8" t="str">
        <x:v>kdca-2067-9</x:v>
      </x:c>
      <x:c r="D1075" s="8" t="str">
        <x:v>근거와 함께 답변</x:v>
      </x:c>
      <x:c r="E1075" s="15" t="n">
        <x:v>1073</x:v>
      </x:c>
      <x:c r="F1075" s="8" t="str">
        <x:v>VDB 후속 설명 보강</x:v>
      </x:c>
      <x:c r="G1075" s="8" t="str">
        <x:v>https://health.kdca.go.kr/healthinfo/biz/health/gnrlzHealthInfo/gnrlzHealthInfo/gnrlzHealthInfoMain.do</x:v>
      </x:c>
      <x:c r="H1075" s="8" t="str">
        <x:v>{
  "disease": "남성형 탈모",
  "section": "약물 치료",
  "category": "disease"
}</x:v>
      </x:c>
    </x:row>
    <x:row r="1076" ht="54" customHeight="1">
      <x:c r="A1076" s="8" t="str">
        <x:v>gold-disease-22b9c8ccc7519384</x:v>
      </x:c>
      <x:c r="B1076" s="8" t="str">
        <x:v>kdca-5719-15</x:v>
      </x:c>
      <x:c r="C1076" s="8" t="str">
        <x:v>kdca-5719-15</x:v>
      </x:c>
      <x:c r="D1076" s="8" t="str">
        <x:v>근거와 함께 답변</x:v>
      </x:c>
      <x:c r="E1076" s="15" t="n">
        <x:v>1074</x:v>
      </x:c>
      <x:c r="F1076" s="8" t="str">
        <x:v>기존 검증 정답</x:v>
      </x:c>
      <x:c r="G1076" s="8" t="str">
        <x:v>https://health.kdca.go.kr/healthinfo/biz/health/gnrlzHealthInfo/gnrlzHealthInfo/gnrlzHealthInfoMain.do</x:v>
      </x:c>
      <x:c r="H1076" s="8" t="str">
        <x:v>{
  "disease": "야뇨증(소아)",
  "section": "진단 및 검사",
  "category": "disease"
}</x:v>
      </x:c>
    </x:row>
    <x:row r="1077" ht="54" customHeight="1">
      <x:c r="A1077" s="8" t="str">
        <x:v>gold-disease-e067e3cee9dd4072</x:v>
      </x:c>
      <x:c r="B1077" s="8" t="str">
        <x:v>kdca-1729-18</x:v>
      </x:c>
      <x:c r="C1077" s="8" t="str">
        <x:v>kdca-1729-18</x:v>
      </x:c>
      <x:c r="D1077" s="8" t="str">
        <x:v>근거와 함께 답변</x:v>
      </x:c>
      <x:c r="E1077" s="15" t="n">
        <x:v>1075</x:v>
      </x:c>
      <x:c r="F1077" s="8" t="str">
        <x:v>VDB 후속 설명 보강</x:v>
      </x:c>
      <x:c r="G1077" s="8" t="str">
        <x:v>https://health.kdca.go.kr/healthinfo/biz/health/gnrlzHealthInfo/gnrlzHealthInfo/gnrlzHealthInfoMain.do</x:v>
      </x:c>
      <x:c r="H1077" s="8" t="str">
        <x:v>{
  "disease": "성대결절",
  "section": "비약물 치료",
  "category": "disease"
}</x:v>
      </x:c>
    </x:row>
    <x:row r="1078" ht="54" customHeight="1">
      <x:c r="A1078" s="8" t="str">
        <x:v>gold-disease-4d793cc726b1fbf5</x:v>
      </x:c>
      <x:c r="B1078" s="8" t="str">
        <x:v>kdca-5494-5</x:v>
      </x:c>
      <x:c r="C1078" s="8" t="str">
        <x:v>kdca-5494-5</x:v>
      </x:c>
      <x:c r="D1078" s="8" t="str">
        <x:v>근거와 함께 답변</x:v>
      </x:c>
      <x:c r="E1078" s="15" t="n">
        <x:v>1076</x:v>
      </x:c>
      <x:c r="F1078" s="8" t="str">
        <x:v>기존 검증 정답</x:v>
      </x:c>
      <x:c r="G1078" s="8" t="str">
        <x:v>https://health.kdca.go.kr/healthinfo/biz/health/gnrlzHealthInfo/gnrlzHealthInfo/gnrlzHealthInfoMain.do</x:v>
      </x:c>
      <x:c r="H1078" s="8" t="str">
        <x:v>{
  "disease": "흉곽기형(오목가슴, 함몰흉, 누두흉)",
  "section": "진단 및 검사",
  "category": "disease"
}</x:v>
      </x:c>
    </x:row>
    <x:row r="1079" ht="54" customHeight="1">
      <x:c r="A1079" s="8" t="str">
        <x:v>gold-disease-dd6e4355995494dc</x:v>
      </x:c>
      <x:c r="B1079" s="8" t="str">
        <x:v>kdca-1261-4</x:v>
      </x:c>
      <x:c r="C1079" s="8" t="str">
        <x:v>kdca-1261-4</x:v>
      </x:c>
      <x:c r="D1079" s="8" t="str">
        <x:v>근거와 함께 답변</x:v>
      </x:c>
      <x:c r="E1079" s="15" t="n">
        <x:v>1077</x:v>
      </x:c>
      <x:c r="F1079" s="8" t="str">
        <x:v>기존 검증 정답</x:v>
      </x:c>
      <x:c r="G1079" s="8" t="str">
        <x:v>https://health.kdca.go.kr/healthinfo/biz/health/gnrlzHealthInfo/gnrlzHealthInfo/gnrlzHealthInfoMain.do</x:v>
      </x:c>
      <x:c r="H1079" s="8" t="str">
        <x:v>{
  "disease": "간의 양성종양",
  "section": "자주하는 질문",
  "category": "disease"
}</x:v>
      </x:c>
    </x:row>
    <x:row r="1080" ht="54" customHeight="1">
      <x:c r="A1080" s="8" t="str">
        <x:v>gold-disease-9be7367ab489548c</x:v>
      </x:c>
      <x:c r="B1080" s="8" t="str">
        <x:v>kdca-2055-11</x:v>
      </x:c>
      <x:c r="C1080" s="8" t="str">
        <x:v>kdca-2055-11</x:v>
      </x:c>
      <x:c r="D1080" s="8" t="str">
        <x:v>근거와 함께 답변</x:v>
      </x:c>
      <x:c r="E1080" s="15" t="n">
        <x:v>1078</x:v>
      </x:c>
      <x:c r="F1080" s="8" t="str">
        <x:v>VDB 후속 설명 보강</x:v>
      </x:c>
      <x:c r="G1080" s="8" t="str">
        <x:v>https://health.kdca.go.kr/healthinfo/biz/health/gnrlzHealthInfo/gnrlzHealthInfo/gnrlzHealthInfoMain.do</x:v>
      </x:c>
      <x:c r="H1080" s="8" t="str">
        <x:v>{
  "disease": "급성부고환염",
  "section": "약물 치료",
  "category": "disease"
}</x:v>
      </x:c>
    </x:row>
    <x:row r="1081" ht="54" customHeight="1">
      <x:c r="A1081" s="8" t="str">
        <x:v>gold-disease-81d8b7ac766538c9</x:v>
      </x:c>
      <x:c r="B1081" s="8" t="str">
        <x:v>kdca-6581-26</x:v>
      </x:c>
      <x:c r="C1081" s="8" t="str">
        <x:v>kdca-6581-26</x:v>
      </x:c>
      <x:c r="D1081" s="8" t="str">
        <x:v>근거와 함께 답변</x:v>
      </x:c>
      <x:c r="E1081" s="15" t="n">
        <x:v>1079</x:v>
      </x:c>
      <x:c r="F1081" s="8" t="str">
        <x:v>기존 검증 정답</x:v>
      </x:c>
      <x:c r="G1081" s="8" t="str">
        <x:v>https://health.kdca.go.kr/healthinfo/biz/health/gnrlzHealthInfo/gnrlzHealthInfo/gnrlzHealthInfoMain.do</x:v>
      </x:c>
      <x:c r="H1081" s="8" t="str">
        <x:v>{
  "disease": "두드러기",
  "section": "치료",
  "category": "disease"
}</x:v>
      </x:c>
    </x:row>
    <x:row r="1082" ht="54" customHeight="1">
      <x:c r="A1082" s="8" t="str">
        <x:v>gold-disease-5653ff1fda1008e4</x:v>
      </x:c>
      <x:c r="B1082" s="8" t="str">
        <x:v>kdca-5217-24</x:v>
      </x:c>
      <x:c r="C1082" s="8" t="str">
        <x:v>kdca-5217-24</x:v>
      </x:c>
      <x:c r="D1082" s="8" t="str">
        <x:v>근거와 함께 답변</x:v>
      </x:c>
      <x:c r="E1082" s="15" t="n">
        <x:v>1080</x:v>
      </x:c>
      <x:c r="F1082" s="8" t="str">
        <x:v>기존 검증 정답</x:v>
      </x:c>
      <x:c r="G1082" s="8" t="str">
        <x:v>https://health.kdca.go.kr/healthinfo/biz/health/gnrlzHealthInfo/gnrlzHealthInfo/gnrlzHealthInfoMain.do</x:v>
      </x:c>
      <x:c r="H1082" s="8" t="str">
        <x:v>{
  "disease": "굴절이상(근시, 원시, 난시)",
  "section": "증상",
  "category": "disease"
}</x:v>
      </x:c>
    </x:row>
    <x:row r="1083" ht="54" customHeight="1">
      <x:c r="A1083" s="8" t="str">
        <x:v>gold-disease-f7b222b0c698f229</x:v>
      </x:c>
      <x:c r="B1083" s="8" t="str">
        <x:v>kdca-6674-15</x:v>
      </x:c>
      <x:c r="C1083" s="8" t="str">
        <x:v>kdca-6674-15</x:v>
      </x:c>
      <x:c r="D1083" s="8" t="str">
        <x:v>근거와 함께 답변</x:v>
      </x:c>
      <x:c r="E1083" s="15" t="n">
        <x:v>1081</x:v>
      </x:c>
      <x:c r="F1083" s="8" t="str">
        <x:v>기존 검증 정답</x:v>
      </x:c>
      <x:c r="G1083" s="8" t="str">
        <x:v>https://health.kdca.go.kr/healthinfo/biz/health/gnrlzHealthInfo/gnrlzHealthInfo/gnrlzHealthInfoMain.do</x:v>
      </x:c>
      <x:c r="H1083" s="8" t="str">
        <x:v>{
  "disease": "요로감염",
  "section": "진단 및 검사",
  "category": "disease"
}</x:v>
      </x:c>
    </x:row>
    <x:row r="1084" ht="54" customHeight="1">
      <x:c r="A1084" s="8" t="str">
        <x:v>gold-disease-be8383782a2a01c1</x:v>
      </x:c>
      <x:c r="B1084" s="8" t="str">
        <x:v>kdca-6254-9</x:v>
      </x:c>
      <x:c r="C1084" s="8" t="str">
        <x:v>kdca-6254-9</x:v>
      </x:c>
      <x:c r="D1084" s="8" t="str">
        <x:v>근거와 함께 답변</x:v>
      </x:c>
      <x:c r="E1084" s="15" t="n">
        <x:v>1082</x:v>
      </x:c>
      <x:c r="F1084" s="8" t="str">
        <x:v>기존 검증 정답</x:v>
      </x:c>
      <x:c r="G1084" s="8" t="str">
        <x:v>https://health.kdca.go.kr/healthinfo/biz/health/gnrlzHealthInfo/gnrlzHealthInfo/gnrlzHealthInfoMain.do</x:v>
      </x:c>
      <x:c r="H1084" s="8" t="str">
        <x:v>{
  "disease": "고혈압과 눈(고혈압망막병증)",
  "section": "증상 / 진단 및 검사",
  "category": "disease"
}</x:v>
      </x:c>
    </x:row>
    <x:row r="1085" ht="54" customHeight="1">
      <x:c r="A1085" s="8" t="str">
        <x:v>gold-disease-2ca77122f9914cf8</x:v>
      </x:c>
      <x:c r="B1085" s="8" t="str">
        <x:v>kdca-5266-0</x:v>
      </x:c>
      <x:c r="C1085" s="8" t="str">
        <x:v>kdca-5266-0</x:v>
      </x:c>
      <x:c r="D1085" s="8" t="str">
        <x:v>근거와 함께 답변</x:v>
      </x:c>
      <x:c r="E1085" s="15" t="n">
        <x:v>1083</x:v>
      </x:c>
      <x:c r="F1085" s="8" t="str">
        <x:v>VDB 정의 문장 재선정</x:v>
      </x:c>
      <x:c r="G1085" s="8" t="str">
        <x:v>https://health.kdca.go.kr/healthinfo/biz/health/gnrlzHealthInfo/gnrlzHealthInfo/gnrlzHealthInfoMain.do</x:v>
      </x:c>
      <x:c r="H1085" s="8" t="str">
        <x:v>{
  "disease": "알레르기결막염",
  "section": "요약문",
  "category": "disease"
}</x:v>
      </x:c>
    </x:row>
    <x:row r="1086" ht="54" customHeight="1">
      <x:c r="A1086" s="8" t="str">
        <x:v>gold-disease-d5cdf6b4db43884a</x:v>
      </x:c>
      <x:c r="B1086" s="8" t="str">
        <x:v>kdca-6766-1</x:v>
      </x:c>
      <x:c r="C1086" s="8" t="str">
        <x:v>kdca-6766-1</x:v>
      </x:c>
      <x:c r="D1086" s="8" t="str">
        <x:v>근거와 함께 답변</x:v>
      </x:c>
      <x:c r="E1086" s="15" t="n">
        <x:v>1084</x:v>
      </x:c>
      <x:c r="F1086" s="8" t="str">
        <x:v>기존 검증 정답</x:v>
      </x:c>
      <x:c r="G1086" s="8" t="str">
        <x:v>https://health.kdca.go.kr/healthinfo/biz/health/gnrlzHealthInfo/gnrlzHealthInfo/gnrlzHealthInfoMain.do</x:v>
      </x:c>
      <x:c r="H1086" s="8" t="str">
        <x:v>{
  "disease": "노인 어지럼증",
  "section": "개요",
  "category": "symptom"
}</x:v>
      </x:c>
    </x:row>
    <x:row r="1087" ht="54" customHeight="1">
      <x:c r="A1087" s="8" t="str">
        <x:v>gold-disease-c3c5dad47368b288</x:v>
      </x:c>
      <x:c r="B1087" s="8" t="str">
        <x:v>kdca-6771-10</x:v>
      </x:c>
      <x:c r="C1087" s="8" t="str">
        <x:v>kdca-6771-10</x:v>
      </x:c>
      <x:c r="D1087" s="8" t="str">
        <x:v>근거와 함께 답변</x:v>
      </x:c>
      <x:c r="E1087" s="15" t="n">
        <x:v>1085</x:v>
      </x:c>
      <x:c r="F1087" s="8" t="str">
        <x:v>기존 검증 정답</x:v>
      </x:c>
      <x:c r="G1087" s="8" t="str">
        <x:v>https://health.kdca.go.kr/healthinfo/biz/health/gnrlzHealthInfo/gnrlzHealthInfo/gnrlzHealthInfoMain.do</x:v>
      </x:c>
      <x:c r="H1087" s="8" t="str">
        <x:v>{
  "disease": "심장 판막 질환",
  "section": "경과 및 예후",
  "category": "disease"
}</x:v>
      </x:c>
    </x:row>
    <x:row r="1088" ht="54" customHeight="1">
      <x:c r="A1088" s="8" t="str">
        <x:v>gold-disease-5590360719f07296</x:v>
      </x:c>
      <x:c r="B1088" s="8" t="str">
        <x:v>kdca-1102-46</x:v>
      </x:c>
      <x:c r="C1088" s="8" t="str">
        <x:v>kdca-1102-46</x:v>
      </x:c>
      <x:c r="D1088" s="8" t="str">
        <x:v>근거와 함께 답변</x:v>
      </x:c>
      <x:c r="E1088" s="15" t="n">
        <x:v>1086</x:v>
      </x:c>
      <x:c r="F1088" s="8" t="str">
        <x:v>VDB 후속 설명 보강</x:v>
      </x:c>
      <x:c r="G1088" s="8" t="str">
        <x:v>https://health.kdca.go.kr/healthinfo/biz/health/gnrlzHealthInfo/gnrlzHealthInfo/gnrlzHealthInfoMain.do</x:v>
      </x:c>
      <x:c r="H1088" s="8" t="str">
        <x:v>{
  "disease": "부정맥",
  "section": "위험요인 및 예방 / 생활습관 관리",
  "category": "disease"
}</x:v>
      </x:c>
    </x:row>
    <x:row r="1089" ht="54" customHeight="1">
      <x:c r="A1089" s="8" t="str">
        <x:v>gold-disease-27e8f2ad9cdabd37</x:v>
      </x:c>
      <x:c r="B1089" s="8" t="str">
        <x:v>kdca-6295-2</x:v>
      </x:c>
      <x:c r="C1089" s="8" t="str">
        <x:v>kdca-6295-2</x:v>
      </x:c>
      <x:c r="D1089" s="8" t="str">
        <x:v>근거와 함께 답변</x:v>
      </x:c>
      <x:c r="E1089" s="15" t="n">
        <x:v>1087</x:v>
      </x:c>
      <x:c r="F1089" s="8" t="str">
        <x:v>기존 검증 정답</x:v>
      </x:c>
      <x:c r="G1089" s="8" t="str">
        <x:v>https://health.kdca.go.kr/healthinfo/biz/health/gnrlzHealthInfo/gnrlzHealthInfo/gnrlzHealthInfoMain.do</x:v>
      </x:c>
      <x:c r="H1089" s="8" t="str">
        <x:v>{
  "disease": "각막혼탁 및 반흔",
  "section": "정의 / 원인",
  "category": "disease"
}</x:v>
      </x:c>
    </x:row>
    <x:row r="1090" ht="54" customHeight="1">
      <x:c r="A1090" s="8" t="str">
        <x:v>gold-disease-987eeac97d113c26</x:v>
      </x:c>
      <x:c r="B1090" s="8" t="str">
        <x:v>kdca-5727-25</x:v>
      </x:c>
      <x:c r="C1090" s="8" t="str">
        <x:v>kdca-5727-25</x:v>
      </x:c>
      <x:c r="D1090" s="8" t="str">
        <x:v>근거와 함께 답변</x:v>
      </x:c>
      <x:c r="E1090" s="15" t="n">
        <x:v>1088</x:v>
      </x:c>
      <x:c r="F1090" s="8" t="str">
        <x:v>VDB 후속 설명 보강</x:v>
      </x:c>
      <x:c r="G1090" s="8" t="str">
        <x:v>https://health.kdca.go.kr/healthinfo/biz/health/gnrlzHealthInfo/gnrlzHealthInfo/gnrlzHealthInfoMain.do</x:v>
      </x:c>
      <x:c r="H1090" s="8" t="str">
        <x:v>{
  "disease": "크루프(후두염)",
  "section": "위험요인 및 예방 / 참고문헌",
  "category": "disease"
}</x:v>
      </x:c>
    </x:row>
    <x:row r="1091" ht="54" customHeight="1">
      <x:c r="A1091" s="8" t="str">
        <x:v>gold-disease-77e596c2a916fc07</x:v>
      </x:c>
      <x:c r="B1091" s="8" t="str">
        <x:v>kdca-2351-10</x:v>
      </x:c>
      <x:c r="C1091" s="8" t="str">
        <x:v>kdca-2351-10</x:v>
      </x:c>
      <x:c r="D1091" s="8" t="str">
        <x:v>근거와 함께 답변</x:v>
      </x:c>
      <x:c r="E1091" s="15" t="n">
        <x:v>1089</x:v>
      </x:c>
      <x:c r="F1091" s="8" t="str">
        <x:v>VDB 후속 설명 보강</x:v>
      </x:c>
      <x:c r="G1091" s="8" t="str">
        <x:v>https://health.kdca.go.kr/healthinfo/biz/health/gnrlzHealthInfo/gnrlzHealthInfo/gnrlzHealthInfoMain.do</x:v>
      </x:c>
      <x:c r="H1091" s="8" t="str">
        <x:v>{
  "disease": "당뇨병 합병증(만성 합병증)",
  "section": "위험요인 및 예방 / 자주하는 질문",
  "category": "disease"
}</x:v>
      </x:c>
    </x:row>
    <x:row r="1092" ht="54" customHeight="1">
      <x:c r="A1092" s="8" t="str">
        <x:v>gold-disease-b30e2abb093cf57d</x:v>
      </x:c>
      <x:c r="B1092" s="8" t="str">
        <x:v>kdca-6550-11</x:v>
      </x:c>
      <x:c r="C1092" s="8" t="str">
        <x:v>kdca-6550-11</x:v>
      </x:c>
      <x:c r="D1092" s="8" t="str">
        <x:v>근거와 함께 답변</x:v>
      </x:c>
      <x:c r="E1092" s="15" t="n">
        <x:v>1090</x:v>
      </x:c>
      <x:c r="F1092" s="8" t="str">
        <x:v>기존 검증 정답</x:v>
      </x:c>
      <x:c r="G1092" s="8" t="str">
        <x:v>https://health.kdca.go.kr/healthinfo/biz/health/gnrlzHealthInfo/gnrlzHealthInfo/gnrlzHealthInfoMain.do</x:v>
      </x:c>
      <x:c r="H1092" s="8" t="str">
        <x:v>{
  "disease": "어지럼",
  "section": "진단 및 검사",
  "category": "symptom"
}</x:v>
      </x:c>
    </x:row>
    <x:row r="1093" ht="54" customHeight="1">
      <x:c r="A1093" s="8" t="str">
        <x:v>gold-disease-e2005adbf422244d</x:v>
      </x:c>
      <x:c r="B1093" s="8" t="str">
        <x:v>kdca-6493-4</x:v>
      </x:c>
      <x:c r="C1093" s="8" t="str">
        <x:v>kdca-6493-4</x:v>
      </x:c>
      <x:c r="D1093" s="8" t="str">
        <x:v>근거와 함께 답변</x:v>
      </x:c>
      <x:c r="E1093" s="15" t="n">
        <x:v>1091</x:v>
      </x:c>
      <x:c r="F1093" s="8" t="str">
        <x:v>기존 검증 정답</x:v>
      </x:c>
      <x:c r="G1093" s="8" t="str">
        <x:v>https://health.kdca.go.kr/healthinfo/biz/health/gnrlzHealthInfo/gnrlzHealthInfo/gnrlzHealthInfoMain.do</x:v>
      </x:c>
      <x:c r="H1093" s="8" t="str">
        <x:v>{
  "disease": "연조직염과 종기(종기)",
  "section": "치료",
  "category": "disease"
}</x:v>
      </x:c>
    </x:row>
    <x:row r="1094" ht="54" customHeight="1">
      <x:c r="A1094" s="8" t="str">
        <x:v>gold-disease-35677a77cbaf129c</x:v>
      </x:c>
      <x:c r="B1094" s="8" t="str">
        <x:v>kdca-5849-9</x:v>
      </x:c>
      <x:c r="C1094" s="8" t="str">
        <x:v>kdca-5849-9</x:v>
      </x:c>
      <x:c r="D1094" s="8" t="str">
        <x:v>근거와 함께 답변</x:v>
      </x:c>
      <x:c r="E1094" s="15" t="n">
        <x:v>1092</x:v>
      </x:c>
      <x:c r="F1094" s="8" t="str">
        <x:v>기존 검증 정답</x:v>
      </x:c>
      <x:c r="G1094" s="8" t="str">
        <x:v>https://health.kdca.go.kr/healthinfo/biz/health/gnrlzHealthInfo/gnrlzHealthInfo/gnrlzHealthInfoMain.do</x:v>
      </x:c>
      <x:c r="H1094" s="8" t="str">
        <x:v>{
  "disease": "외상성 척추손상",
  "section": "종류",
  "category": "disease"
}</x:v>
      </x:c>
    </x:row>
    <x:row r="1095" ht="54" customHeight="1">
      <x:c r="A1095" s="8" t="str">
        <x:v>gold-disease-cdbb7535a2f0a21f</x:v>
      </x:c>
      <x:c r="B1095" s="8" t="str">
        <x:v>kdca-5479-12</x:v>
      </x:c>
      <x:c r="C1095" s="8" t="str">
        <x:v>kdca-5479-12</x:v>
      </x:c>
      <x:c r="D1095" s="8" t="str">
        <x:v>근거와 함께 답변</x:v>
      </x:c>
      <x:c r="E1095" s="15" t="n">
        <x:v>1093</x:v>
      </x:c>
      <x:c r="F1095" s="8" t="str">
        <x:v>VDB 후속 설명 보강</x:v>
      </x:c>
      <x:c r="G1095" s="8" t="str">
        <x:v>https://health.kdca.go.kr/healthinfo/biz/health/gnrlzHealthInfo/gnrlzHealthInfo/gnrlzHealthInfoMain.do</x:v>
      </x:c>
      <x:c r="H1095" s="8" t="str">
        <x:v>{
  "disease": "정계정맥류",
  "section": "치료",
  "category": "disease"
}</x:v>
      </x:c>
    </x:row>
    <x:row r="1096" ht="54" customHeight="1">
      <x:c r="A1096" s="8" t="str">
        <x:v>gold-disease-bd6aa059e6d67b22</x:v>
      </x:c>
      <x:c r="B1096" s="8" t="str">
        <x:v>kdca-5709-38</x:v>
      </x:c>
      <x:c r="C1096" s="8" t="str">
        <x:v>kdca-5709-38</x:v>
      </x:c>
      <x:c r="D1096" s="8" t="str">
        <x:v>근거와 함께 답변</x:v>
      </x:c>
      <x:c r="E1096" s="15" t="n">
        <x:v>1094</x:v>
      </x:c>
      <x:c r="F1096" s="8" t="str">
        <x:v>VDB 후속 설명 보강</x:v>
      </x:c>
      <x:c r="G1096" s="8" t="str">
        <x:v>https://health.kdca.go.kr/healthinfo/biz/health/gnrlzHealthInfo/gnrlzHealthInfo/gnrlzHealthInfoMain.do</x:v>
      </x:c>
      <x:c r="H1096" s="8" t="str">
        <x:v>{
  "disease": "시린이(치아지각과민)",
  "section": "예방",
  "category": "disease"
}</x:v>
      </x:c>
    </x:row>
    <x:row r="1097" ht="54" customHeight="1">
      <x:c r="A1097" s="8" t="str">
        <x:v>gold-disease-1425fbc58ef472fc</x:v>
      </x:c>
      <x:c r="B1097" s="8" t="str">
        <x:v>kdca-5441-26</x:v>
      </x:c>
      <x:c r="C1097" s="8" t="str">
        <x:v>kdca-5441-26</x:v>
      </x:c>
      <x:c r="D1097" s="8" t="str">
        <x:v>근거와 함께 답변</x:v>
      </x:c>
      <x:c r="E1097" s="15" t="n">
        <x:v>1095</x:v>
      </x:c>
      <x:c r="F1097" s="8" t="str">
        <x:v>VDB 후속 설명 보강</x:v>
      </x:c>
      <x:c r="G1097" s="8" t="str">
        <x:v>https://health.kdca.go.kr/healthinfo/biz/health/gnrlzHealthInfo/gnrlzHealthInfo/gnrlzHealthInfoMain.do</x:v>
      </x:c>
      <x:c r="H1097" s="8" t="str">
        <x:v>{
  "disease": "염좌",
  "section": "치료",
  "category": "disease"
}</x:v>
      </x:c>
    </x:row>
    <x:row r="1098" ht="54" customHeight="1">
      <x:c r="A1098" s="8" t="str">
        <x:v>gold-disease-49ded5aa354eb722</x:v>
      </x:c>
      <x:c r="B1098" s="8" t="str">
        <x:v>kdca-6566-46</x:v>
      </x:c>
      <x:c r="C1098" s="8" t="str">
        <x:v>kdca-6566-46</x:v>
      </x:c>
      <x:c r="D1098" s="8" t="str">
        <x:v>근거와 함께 답변</x:v>
      </x:c>
      <x:c r="E1098" s="15" t="n">
        <x:v>1096</x:v>
      </x:c>
      <x:c r="F1098" s="8" t="str">
        <x:v>VDB 후속 설명 보강</x:v>
      </x:c>
      <x:c r="G1098" s="8" t="str">
        <x:v>https://health.kdca.go.kr/healthinfo/biz/health/gnrlzHealthInfo/gnrlzHealthInfo/gnrlzHealthInfoMain.do</x:v>
      </x:c>
      <x:c r="H1098" s="8" t="str">
        <x:v>{
  "disease": "협심증",
  "section": "자가 관리 / 정기 진찰",
  "category": "disease"
}</x:v>
      </x:c>
    </x:row>
    <x:row r="1099" ht="54" customHeight="1">
      <x:c r="A1099" s="8" t="str">
        <x:v>gold-disease-0d4b73ccc33250e6</x:v>
      </x:c>
      <x:c r="B1099" s="8" t="str">
        <x:v>kdca-5709-10</x:v>
      </x:c>
      <x:c r="C1099" s="8" t="str">
        <x:v>kdca-5709-10</x:v>
      </x:c>
      <x:c r="D1099" s="8" t="str">
        <x:v>근거와 함께 답변</x:v>
      </x:c>
      <x:c r="E1099" s="15" t="n">
        <x:v>1097</x:v>
      </x:c>
      <x:c r="F1099" s="8" t="str">
        <x:v>VDB 원인·위험요인 청크 재선정</x:v>
      </x:c>
      <x:c r="G1099" s="8" t="str">
        <x:v>https://health.kdca.go.kr/healthinfo/biz/health/gnrlzHealthInfo/gnrlzHealthInfo/gnrlzHealthInfoMain.do</x:v>
      </x:c>
      <x:c r="H1099" s="8" t="str">
        <x:v>{
  "disease": "시린이(치아지각과민)",
  "section": "원인",
  "category": "disease"
}</x:v>
      </x:c>
    </x:row>
    <x:row r="1100" ht="54" customHeight="1">
      <x:c r="A1100" s="8" t="str">
        <x:v>gold-disease-d432532a151bae10</x:v>
      </x:c>
      <x:c r="B1100" s="8" t="str">
        <x:v>kdca-5707-17</x:v>
      </x:c>
      <x:c r="C1100" s="8" t="str">
        <x:v>kdca-5707-17</x:v>
      </x:c>
      <x:c r="D1100" s="8" t="str">
        <x:v>근거와 함께 답변</x:v>
      </x:c>
      <x:c r="E1100" s="15" t="n">
        <x:v>1098</x:v>
      </x:c>
      <x:c r="F1100" s="8" t="str">
        <x:v>VDB 후속 설명 보강</x:v>
      </x:c>
      <x:c r="G1100" s="8" t="str">
        <x:v>https://health.kdca.go.kr/healthinfo/biz/health/gnrlzHealthInfo/gnrlzHealthInfo/gnrlzHealthInfoMain.do</x:v>
      </x:c>
      <x:c r="H1100" s="8" t="str">
        <x:v>{
  "disease": "편도염",
  "section": "치료",
  "category": "disease"
}</x:v>
      </x:c>
    </x:row>
    <x:row r="1101" ht="54" customHeight="1">
      <x:c r="A1101" s="8" t="str">
        <x:v>gold-disease-7b92a9410bb25361</x:v>
      </x:c>
      <x:c r="B1101" s="8" t="str">
        <x:v>kdca-5688-0</x:v>
      </x:c>
      <x:c r="C1101" s="8" t="str">
        <x:v>kdca-5688-0</x:v>
      </x:c>
      <x:c r="D1101" s="8" t="str">
        <x:v>근거와 함께 답변</x:v>
      </x:c>
      <x:c r="E1101" s="15" t="n">
        <x:v>1099</x:v>
      </x:c>
      <x:c r="F1101" s="8" t="str">
        <x:v>기존 검증 정답</x:v>
      </x:c>
      <x:c r="G1101" s="8" t="str">
        <x:v>https://health.kdca.go.kr/healthinfo/biz/health/gnrlzHealthInfo/gnrlzHealthInfo/gnrlzHealthInfoMain.do</x:v>
      </x:c>
      <x:c r="H1101" s="8" t="str">
        <x:v>{
  "disease": "백선증",
  "section": "요약문",
  "category": "disease"
}</x:v>
      </x:c>
    </x:row>
    <x:row r="1102" ht="54" customHeight="1">
      <x:c r="A1102" s="8" t="str">
        <x:v>gold-disease-9a2bcbab5e9afe9a</x:v>
      </x:c>
      <x:c r="B1102" s="8" t="str">
        <x:v>kdca-6481-4</x:v>
      </x:c>
      <x:c r="C1102" s="8" t="str">
        <x:v>kdca-6481-4</x:v>
      </x:c>
      <x:c r="D1102" s="8" t="str">
        <x:v>근거와 함께 답변</x:v>
      </x:c>
      <x:c r="E1102" s="15" t="n">
        <x:v>1100</x:v>
      </x:c>
      <x:c r="F1102" s="8" t="str">
        <x:v>VDB 후속 설명 보강</x:v>
      </x:c>
      <x:c r="G1102" s="8" t="str">
        <x:v>https://health.kdca.go.kr/healthinfo/biz/health/gnrlzHealthInfo/gnrlzHealthInfo/gnrlzHealthInfoMain.do</x:v>
      </x:c>
      <x:c r="H1102" s="8" t="str">
        <x:v>{
  "disease": "얼굴떨림(얼굴연축)",
  "section": "종류",
  "category": "disease"
}</x:v>
      </x:c>
    </x:row>
    <x:row r="1103" ht="54" customHeight="1">
      <x:c r="A1103" s="8" t="str">
        <x:v>gold-disease-d60435803d23da21</x:v>
      </x:c>
      <x:c r="B1103" s="8" t="str">
        <x:v>kdca-5522-6</x:v>
      </x:c>
      <x:c r="C1103" s="8" t="str">
        <x:v>kdca-5522-6</x:v>
      </x:c>
      <x:c r="D1103" s="8" t="str">
        <x:v>근거와 함께 답변</x:v>
      </x:c>
      <x:c r="E1103" s="15" t="n">
        <x:v>1101</x:v>
      </x:c>
      <x:c r="F1103" s="8" t="str">
        <x:v>기존 검증 정답</x:v>
      </x:c>
      <x:c r="G1103" s="8" t="str">
        <x:v>https://health.kdca.go.kr/healthinfo/biz/health/gnrlzHealthInfo/gnrlzHealthInfo/gnrlzHealthInfoMain.do</x:v>
      </x:c>
      <x:c r="H1103" s="8" t="str">
        <x:v>{
  "disease": "바베스열원충증",
  "section": "진단 및 검사 / 예방 및 예방접종",
  "category": "disease"
}</x:v>
      </x:c>
    </x:row>
    <x:row r="1104" ht="54" customHeight="1">
      <x:c r="A1104" s="8" t="str">
        <x:v>gold-disease-14f3949fc1db3f38</x:v>
      </x:c>
      <x:c r="B1104" s="8" t="str">
        <x:v>kdca-6769-6</x:v>
      </x:c>
      <x:c r="C1104" s="8" t="str">
        <x:v>kdca-6769-6</x:v>
      </x:c>
      <x:c r="D1104" s="8" t="str">
        <x:v>근거와 함께 답변</x:v>
      </x:c>
      <x:c r="E1104" s="15" t="n">
        <x:v>1102</x:v>
      </x:c>
      <x:c r="F1104" s="8" t="str">
        <x:v>VDB 후속 설명 보강</x:v>
      </x:c>
      <x:c r="G1104" s="8" t="str">
        <x:v>https://health.kdca.go.kr/healthinfo/biz/health/gnrlzHealthInfo/gnrlzHealthInfo/gnrlzHealthInfoMain.do</x:v>
      </x:c>
      <x:c r="H1104" s="8" t="str">
        <x:v>{
  "disease": "시신경염",
  "section": "증상",
  "category": "disease"
}</x:v>
      </x:c>
    </x:row>
    <x:row r="1105" ht="54" customHeight="1">
      <x:c r="A1105" s="8" t="str">
        <x:v>gold-disease-98ddd08f81365bfb</x:v>
      </x:c>
      <x:c r="B1105" s="8" t="str">
        <x:v>kdca-6698-11</x:v>
      </x:c>
      <x:c r="C1105" s="8" t="str">
        <x:v>kdca-6698-11</x:v>
      </x:c>
      <x:c r="D1105" s="8" t="str">
        <x:v>근거와 함께 답변</x:v>
      </x:c>
      <x:c r="E1105" s="15" t="n">
        <x:v>1103</x:v>
      </x:c>
      <x:c r="F1105" s="8" t="str">
        <x:v>기존 검증 정답</x:v>
      </x:c>
      <x:c r="G1105" s="8" t="str">
        <x:v>https://health.kdca.go.kr/healthinfo/biz/health/gnrlzHealthInfo/gnrlzHealthInfo/gnrlzHealthInfoMain.do</x:v>
      </x:c>
      <x:c r="H1105" s="8" t="str">
        <x:v>{
  "disease": "노인 고혈압",
  "section": "증상 / 진단 및 검사",
  "category": "disease"
}</x:v>
      </x:c>
    </x:row>
    <x:row r="1106" ht="54" customHeight="1">
      <x:c r="A1106" s="8" t="str">
        <x:v>gold-disease-c4e0057b29af3d18</x:v>
      </x:c>
      <x:c r="B1106" s="8" t="str">
        <x:v>kdca-6767-49</x:v>
      </x:c>
      <x:c r="C1106" s="8" t="str">
        <x:v>kdca-6767-49</x:v>
      </x:c>
      <x:c r="D1106" s="8" t="str">
        <x:v>근거와 함께 답변</x:v>
      </x:c>
      <x:c r="E1106" s="15" t="n">
        <x:v>1104</x:v>
      </x:c>
      <x:c r="F1106" s="8" t="str">
        <x:v>기존 검증 정답</x:v>
      </x:c>
      <x:c r="G1106" s="8" t="str">
        <x:v>https://health.kdca.go.kr/healthinfo/biz/health/gnrlzHealthInfo/gnrlzHealthInfo/gnrlzHealthInfoMain.do</x:v>
      </x:c>
      <x:c r="H1106" s="8" t="str">
        <x:v>{
  "disease": "성장 장애",
  "section": "약물 치료",
  "category": "disease"
}</x:v>
      </x:c>
    </x:row>
    <x:row r="1107" ht="54" customHeight="1">
      <x:c r="A1107" s="8" t="str">
        <x:v>gold-disease-9be9deba4a65d784</x:v>
      </x:c>
      <x:c r="B1107" s="8" t="str">
        <x:v>kdca-5257-0</x:v>
      </x:c>
      <x:c r="C1107" s="8" t="str">
        <x:v>kdca-5257-0</x:v>
      </x:c>
      <x:c r="D1107" s="8" t="str">
        <x:v>근거와 함께 답변</x:v>
      </x:c>
      <x:c r="E1107" s="15" t="n">
        <x:v>1105</x:v>
      </x:c>
      <x:c r="F1107" s="8" t="str">
        <x:v>기존 검증 정답</x:v>
      </x:c>
      <x:c r="G1107" s="8" t="str">
        <x:v>https://health.kdca.go.kr/healthinfo/biz/health/gnrlzHealthInfo/gnrlzHealthInfo/gnrlzHealthInfoMain.do</x:v>
      </x:c>
      <x:c r="H1107" s="8" t="str">
        <x:v>{
  "disease": "부신부전증",
  "section": "요약문",
  "category": "disease"
}</x:v>
      </x:c>
    </x:row>
    <x:row r="1108" ht="54" customHeight="1">
      <x:c r="A1108" s="8" t="str">
        <x:v>gold-disease-4a3784ddb8aaec14</x:v>
      </x:c>
      <x:c r="B1108" s="8" t="str">
        <x:v>kdca-5687-13</x:v>
      </x:c>
      <x:c r="C1108" s="8" t="str">
        <x:v>kdca-5687-13</x:v>
      </x:c>
      <x:c r="D1108" s="8" t="str">
        <x:v>근거와 함께 답변</x:v>
      </x:c>
      <x:c r="E1108" s="15" t="n">
        <x:v>1106</x:v>
      </x:c>
      <x:c r="F1108" s="8" t="str">
        <x:v>기존 검증 정답</x:v>
      </x:c>
      <x:c r="G1108" s="8" t="str">
        <x:v>https://health.kdca.go.kr/healthinfo/biz/health/gnrlzHealthInfo/gnrlzHealthInfo/gnrlzHealthInfoMain.do</x:v>
      </x:c>
      <x:c r="H1108" s="8" t="str">
        <x:v>{
  "disease": "하지정맥류",
  "section": "증상",
  "category": "disease"
}</x:v>
      </x:c>
    </x:row>
    <x:row r="1109" ht="54" customHeight="1">
      <x:c r="A1109" s="8" t="str">
        <x:v>gold-disease-0aa9a8adeb63e34f</x:v>
      </x:c>
      <x:c r="B1109" s="8" t="str">
        <x:v>kdca-6272-42</x:v>
      </x:c>
      <x:c r="C1109" s="8" t="str">
        <x:v>kdca-6272-42</x:v>
      </x:c>
      <x:c r="D1109" s="8" t="str">
        <x:v>근거와 함께 답변</x:v>
      </x:c>
      <x:c r="E1109" s="15" t="n">
        <x:v>1107</x:v>
      </x:c>
      <x:c r="F1109" s="8" t="str">
        <x:v>VDB 후속 설명 보강</x:v>
      </x:c>
      <x:c r="G1109" s="8" t="str">
        <x:v>https://health.kdca.go.kr/healthinfo/biz/health/gnrlzHealthInfo/gnrlzHealthInfo/gnrlzHealthInfoMain.do</x:v>
      </x:c>
      <x:c r="H1109" s="8" t="str">
        <x:v>{
  "disease": "배뇨 관련 증상 또는 이상",
  "section": "증상",
  "category": "disease"
}</x:v>
      </x:c>
    </x:row>
    <x:row r="1110" ht="54" customHeight="1">
      <x:c r="A1110" s="8" t="str">
        <x:v>gold-disease-c32cb94ad96730c6</x:v>
      </x:c>
      <x:c r="B1110" s="8" t="str">
        <x:v>kdca-5845-14</x:v>
      </x:c>
      <x:c r="C1110" s="8" t="str">
        <x:v>kdca-5845-14</x:v>
      </x:c>
      <x:c r="D1110" s="8" t="str">
        <x:v>근거와 함께 답변</x:v>
      </x:c>
      <x:c r="E1110" s="15" t="n">
        <x:v>1108</x:v>
      </x:c>
      <x:c r="F1110" s="8" t="str">
        <x:v>VDB 후속 설명 보강</x:v>
      </x:c>
      <x:c r="G1110" s="8" t="str">
        <x:v>https://health.kdca.go.kr/healthinfo/biz/health/gnrlzHealthInfo/gnrlzHealthInfo/gnrlzHealthInfoMain.do</x:v>
      </x:c>
      <x:c r="H1110" s="8" t="str">
        <x:v>{
  "disease": "눈꺼풀처짐(안검하수)",
  "section": "치료",
  "category": "disease"
}</x:v>
      </x:c>
    </x:row>
    <x:row r="1111" ht="54" customHeight="1">
      <x:c r="A1111" s="8" t="str">
        <x:v>gold-disease-81c91b0374b14237</x:v>
      </x:c>
      <x:c r="B1111" s="8" t="str">
        <x:v>kdca-3136-0</x:v>
      </x:c>
      <x:c r="C1111" s="8" t="str">
        <x:v>kdca-3136-0</x:v>
      </x:c>
      <x:c r="D1111" s="8" t="str">
        <x:v>근거와 함께 답변</x:v>
      </x:c>
      <x:c r="E1111" s="15" t="n">
        <x:v>1109</x:v>
      </x:c>
      <x:c r="F1111" s="8" t="str">
        <x:v>기존 검증 정답</x:v>
      </x:c>
      <x:c r="G1111" s="8" t="str">
        <x:v>https://health.kdca.go.kr/healthinfo/biz/health/gnrlzHealthInfo/gnrlzHealthInfo/gnrlzHealthInfoMain.do</x:v>
      </x:c>
      <x:c r="H1111" s="8" t="str">
        <x:v>{
  "disease": "항문직장농양과 치루(치루)",
  "section": "개요",
  "category": "disease"
}</x:v>
      </x:c>
    </x:row>
    <x:row r="1112" ht="54" customHeight="1">
      <x:c r="A1112" s="8" t="str">
        <x:v>gold-disease-544102ce7d6c4873</x:v>
      </x:c>
      <x:c r="B1112" s="8" t="str">
        <x:v>kdca-5684-10</x:v>
      </x:c>
      <x:c r="C1112" s="8" t="str">
        <x:v>kdca-5684-10</x:v>
      </x:c>
      <x:c r="D1112" s="8" t="str">
        <x:v>근거와 함께 답변</x:v>
      </x:c>
      <x:c r="E1112" s="15" t="n">
        <x:v>1110</x:v>
      </x:c>
      <x:c r="F1112" s="8" t="str">
        <x:v>VDB 후속 설명 보강</x:v>
      </x:c>
      <x:c r="G1112" s="8" t="str">
        <x:v>https://health.kdca.go.kr/healthinfo/biz/health/gnrlzHealthInfo/gnrlzHealthInfo/gnrlzHealthInfoMain.do</x:v>
      </x:c>
      <x:c r="H1112" s="8" t="str">
        <x:v>{
  "disease": "직장탈출증",
  "section": "증상",
  "category": "disease"
}</x:v>
      </x:c>
    </x:row>
    <x:row r="1113" ht="54" customHeight="1">
      <x:c r="A1113" s="8" t="str">
        <x:v>gold-disease-2d6fb3187801cba8</x:v>
      </x:c>
      <x:c r="B1113" s="8" t="str">
        <x:v>kdca-3012-7</x:v>
      </x:c>
      <x:c r="C1113" s="8" t="str">
        <x:v>kdca-3012-7</x:v>
      </x:c>
      <x:c r="D1113" s="8" t="str">
        <x:v>근거와 함께 답변</x:v>
      </x:c>
      <x:c r="E1113" s="15" t="n">
        <x:v>1111</x:v>
      </x:c>
      <x:c r="F1113" s="8" t="str">
        <x:v>VDB 후속 설명 보강</x:v>
      </x:c>
      <x:c r="G1113" s="8" t="str">
        <x:v>https://health.kdca.go.kr/healthinfo/biz/health/gnrlzHealthInfo/gnrlzHealthInfo/gnrlzHealthInfoMain.do</x:v>
      </x:c>
      <x:c r="H1113" s="8" t="str">
        <x:v>{
  "disease": "여성형유방",
  "section": "역학 및 통계 / 증상",
  "category": "disease"
}</x:v>
      </x:c>
    </x:row>
    <x:row r="1114" ht="54" customHeight="1">
      <x:c r="A1114" s="8" t="str">
        <x:v>gold-disease-8fb6ab0c76689974</x:v>
      </x:c>
      <x:c r="B1114" s="8" t="str">
        <x:v>kdca-6679-40</x:v>
      </x:c>
      <x:c r="C1114" s="8" t="str">
        <x:v>kdca-6679-40</x:v>
      </x:c>
      <x:c r="D1114" s="8" t="str">
        <x:v>근거와 함께 답변</x:v>
      </x:c>
      <x:c r="E1114" s="15" t="n">
        <x:v>1112</x:v>
      </x:c>
      <x:c r="F1114" s="8" t="str">
        <x:v>VDB 원인·위험요인 청크 재선정</x:v>
      </x:c>
      <x:c r="G1114" s="8" t="str">
        <x:v>https://health.kdca.go.kr/healthinfo/biz/health/gnrlzHealthInfo/gnrlzHealthInfo/gnrlzHealthInfoMain.do</x:v>
      </x:c>
      <x:c r="H1114" s="8" t="str">
        <x:v>{
  "disease": "수두와 대상포진",
  "section": "위험요인 및 예방",
  "category": "disease"
}</x:v>
      </x:c>
    </x:row>
    <x:row r="1115" ht="54" customHeight="1">
      <x:c r="A1115" s="8" t="str">
        <x:v>gold-disease-31e4d8e36b743d41</x:v>
      </x:c>
      <x:c r="B1115" s="8" t="str">
        <x:v>kdca-2087-8</x:v>
      </x:c>
      <x:c r="C1115" s="8" t="str">
        <x:v>kdca-2087-8</x:v>
      </x:c>
      <x:c r="D1115" s="8" t="str">
        <x:v>근거와 함께 답변</x:v>
      </x:c>
      <x:c r="E1115" s="15" t="n">
        <x:v>1113</x:v>
      </x:c>
      <x:c r="F1115" s="8" t="str">
        <x:v>기존 검증 정답</x:v>
      </x:c>
      <x:c r="G1115" s="8" t="str">
        <x:v>https://health.kdca.go.kr/healthinfo/biz/health/gnrlzHealthInfo/gnrlzHealthInfo/gnrlzHealthInfoMain.do</x:v>
      </x:c>
      <x:c r="H1115" s="8" t="str">
        <x:v>{
  "disease": "농가진",
  "section": "증상",
  "category": "disease"
}</x:v>
      </x:c>
    </x:row>
    <x:row r="1116" ht="54" customHeight="1">
      <x:c r="A1116" s="8" t="str">
        <x:v>gold-disease-302eabc6ba2c3afd</x:v>
      </x:c>
      <x:c r="B1116" s="8" t="str">
        <x:v>kdca-5233-11</x:v>
      </x:c>
      <x:c r="C1116" s="8" t="str">
        <x:v>kdca-5233-11</x:v>
      </x:c>
      <x:c r="D1116" s="8" t="str">
        <x:v>근거와 함께 답변</x:v>
      </x:c>
      <x:c r="E1116" s="15" t="n">
        <x:v>1114</x:v>
      </x:c>
      <x:c r="F1116" s="8" t="str">
        <x:v>기존 검증 정답</x:v>
      </x:c>
      <x:c r="G1116" s="8" t="str">
        <x:v>https://health.kdca.go.kr/healthinfo/biz/health/gnrlzHealthInfo/gnrlzHealthInfo/gnrlzHealthInfoMain.do</x:v>
      </x:c>
      <x:c r="H1116" s="8" t="str">
        <x:v>{
  "disease": "중증열성혈소판감소증후군(SFTS)",
  "section": "증상",
  "category": "disease"
}</x:v>
      </x:c>
    </x:row>
    <x:row r="1117" ht="54" customHeight="1">
      <x:c r="A1117" s="8" t="str">
        <x:v>gold-disease-698c01ef9943ea2f</x:v>
      </x:c>
      <x:c r="B1117" s="8" t="str">
        <x:v>kdca-6479-0</x:v>
      </x:c>
      <x:c r="C1117" s="8" t="str">
        <x:v>kdca-6479-0</x:v>
      </x:c>
      <x:c r="D1117" s="8" t="str">
        <x:v>근거와 함께 답변</x:v>
      </x:c>
      <x:c r="E1117" s="15" t="n">
        <x:v>1115</x:v>
      </x:c>
      <x:c r="F1117" s="8" t="str">
        <x:v>VDB 후속 설명 보강</x:v>
      </x:c>
      <x:c r="G1117" s="8" t="str">
        <x:v>https://health.kdca.go.kr/healthinfo/biz/health/gnrlzHealthInfo/gnrlzHealthInfo/gnrlzHealthInfoMain.do</x:v>
      </x:c>
      <x:c r="H1117" s="8" t="str">
        <x:v>{
  "disease": "귀의 형태 이상(기타)",
  "section": "종류",
  "category": "disease"
}</x:v>
      </x:c>
    </x:row>
    <x:row r="1118" ht="54" customHeight="1">
      <x:c r="A1118" s="8" t="str">
        <x:v>gold-disease-7c8bfffd9dfe2b16</x:v>
      </x:c>
      <x:c r="B1118" s="8" t="str">
        <x:v>kdca-3828-1</x:v>
      </x:c>
      <x:c r="C1118" s="8" t="str">
        <x:v>kdca-3828-1</x:v>
      </x:c>
      <x:c r="D1118" s="8" t="str">
        <x:v>근거와 함께 답변</x:v>
      </x:c>
      <x:c r="E1118" s="15" t="n">
        <x:v>1116</x:v>
      </x:c>
      <x:c r="F1118" s="8" t="str">
        <x:v>기존 검증 정답</x:v>
      </x:c>
      <x:c r="G1118" s="8" t="str">
        <x:v>https://health.kdca.go.kr/healthinfo/biz/health/gnrlzHealthInfo/gnrlzHealthInfo/gnrlzHealthInfoMain.do</x:v>
      </x:c>
      <x:c r="H1118" s="8" t="str">
        <x:v>{
  "disease": "심부전",
  "section": "정의 / 종류 / 원인",
  "category": "disease"
}</x:v>
      </x:c>
    </x:row>
    <x:row r="1119" ht="54" customHeight="1">
      <x:c r="A1119" s="8" t="str">
        <x:v>gold-disease-5a351c862c67c97f</x:v>
      </x:c>
      <x:c r="B1119" s="8" t="str">
        <x:v>kdca-5430-19</x:v>
      </x:c>
      <x:c r="C1119" s="8" t="str">
        <x:v>kdca-5430-19</x:v>
      </x:c>
      <x:c r="D1119" s="8" t="str">
        <x:v>근거와 함께 답변</x:v>
      </x:c>
      <x:c r="E1119" s="15" t="n">
        <x:v>1117</x:v>
      </x:c>
      <x:c r="F1119" s="8" t="str">
        <x:v>VDB 후속 설명 보강</x:v>
      </x:c>
      <x:c r="G1119" s="8" t="str">
        <x:v>https://health.kdca.go.kr/healthinfo/biz/health/gnrlzHealthInfo/gnrlzHealthInfo/gnrlzHealthInfoMain.do</x:v>
      </x:c>
      <x:c r="H1119" s="8" t="str">
        <x:v>{
  "disease": "입덧",
  "section": "관련 질환 / 연관 증상",
  "category": "disease"
}</x:v>
      </x:c>
    </x:row>
    <x:row r="1120" ht="54" customHeight="1">
      <x:c r="A1120" s="8" t="str">
        <x:v>gold-disease-18f0639acb6f1fd1</x:v>
      </x:c>
      <x:c r="B1120" s="8" t="str">
        <x:v>kdca-6678-99</x:v>
      </x:c>
      <x:c r="C1120" s="8" t="str">
        <x:v>kdca-6678-99</x:v>
      </x:c>
      <x:c r="D1120" s="8" t="str">
        <x:v>근거와 함께 답변</x:v>
      </x:c>
      <x:c r="E1120" s="15" t="n">
        <x:v>1118</x:v>
      </x:c>
      <x:c r="F1120" s="8" t="str">
        <x:v>VDB 후속 설명 보강</x:v>
      </x:c>
      <x:c r="G1120" s="8" t="str">
        <x:v>https://health.kdca.go.kr/healthinfo/biz/health/gnrlzHealthInfo/gnrlzHealthInfo/gnrlzHealthInfoMain.do</x:v>
      </x:c>
      <x:c r="H1120" s="8" t="str">
        <x:v>{
  "disease": "성매개감염병",
  "section": "생활습관 관리 / 지원체계 / 자주하는 질문",
  "category": "disease"
}</x:v>
      </x:c>
    </x:row>
    <x:row r="1121" ht="54" customHeight="1">
      <x:c r="A1121" s="8" t="str">
        <x:v>gold-disease-6d8a2b92ef76668f</x:v>
      </x:c>
      <x:c r="B1121" s="8" t="str">
        <x:v>kdca-1667-19</x:v>
      </x:c>
      <x:c r="C1121" s="8" t="str">
        <x:v>kdca-1667-19</x:v>
      </x:c>
      <x:c r="D1121" s="8" t="str">
        <x:v>근거와 함께 답변</x:v>
      </x:c>
      <x:c r="E1121" s="15" t="n">
        <x:v>1119</x:v>
      </x:c>
      <x:c r="F1121" s="8" t="str">
        <x:v>기존 검증 정답</x:v>
      </x:c>
      <x:c r="G1121" s="8" t="str">
        <x:v>https://health.kdca.go.kr/healthinfo/biz/health/gnrlzHealthInfo/gnrlzHealthInfo/gnrlzHealthInfoMain.do</x:v>
      </x:c>
      <x:c r="H1121" s="8" t="str">
        <x:v>{
  "disease": "설사",
  "section": "관련 질환",
  "category": "disease"
}</x:v>
      </x:c>
    </x:row>
    <x:row r="1122" ht="54" customHeight="1">
      <x:c r="A1122" s="8" t="str">
        <x:v>gold-disease-827383fb255f5ec7</x:v>
      </x:c>
      <x:c r="B1122" s="8" t="str">
        <x:v>kdca-6534-33</x:v>
      </x:c>
      <x:c r="C1122" s="8" t="str">
        <x:v>kdca-6534-33</x:v>
      </x:c>
      <x:c r="D1122" s="8" t="str">
        <x:v>근거와 함께 답변</x:v>
      </x:c>
      <x:c r="E1122" s="15" t="n">
        <x:v>1120</x:v>
      </x:c>
      <x:c r="F1122" s="8" t="str">
        <x:v>VDB 후속 설명 보강</x:v>
      </x:c>
      <x:c r="G1122" s="8" t="str">
        <x:v>https://health.kdca.go.kr/healthinfo/biz/health/gnrlzHealthInfo/gnrlzHealthInfo/gnrlzHealthInfoMain.do</x:v>
      </x:c>
      <x:c r="H1122" s="8" t="str">
        <x:v>{
  "disease": "자연분만과정",
  "section": "자가 관리",
  "category": "disease"
}</x:v>
      </x:c>
    </x:row>
    <x:row r="1123" ht="54" customHeight="1">
      <x:c r="A1123" s="8" t="str">
        <x:v>gold-disease-b851c78a33eb2714</x:v>
      </x:c>
      <x:c r="B1123" s="8" t="str">
        <x:v>kdca-5232-23</x:v>
      </x:c>
      <x:c r="C1123" s="8" t="str">
        <x:v>kdca-5232-23</x:v>
      </x:c>
      <x:c r="D1123" s="8" t="str">
        <x:v>근거와 함께 답변</x:v>
      </x:c>
      <x:c r="E1123" s="15" t="n">
        <x:v>1121</x:v>
      </x:c>
      <x:c r="F1123" s="8" t="str">
        <x:v>VDB 후속 설명 보강</x:v>
      </x:c>
      <x:c r="G1123" s="8" t="str">
        <x:v>https://health.kdca.go.kr/healthinfo/biz/health/gnrlzHealthInfo/gnrlzHealthInfo/gnrlzHealthInfoMain.do</x:v>
      </x:c>
      <x:c r="H1123" s="8" t="str">
        <x:v>{
  "disease": "인플루엔자",
  "section": "예방 및 예방접종",
  "category": "disease"
}</x:v>
      </x:c>
    </x:row>
    <x:row r="1124" ht="54" customHeight="1">
      <x:c r="A1124" s="8" t="str">
        <x:v>gold-disease-b495d02ab0b14376</x:v>
      </x:c>
      <x:c r="B1124" s="8" t="str">
        <x:v>kdca-6288-17</x:v>
      </x:c>
      <x:c r="C1124" s="8" t="str">
        <x:v>kdca-6288-17</x:v>
      </x:c>
      <x:c r="D1124" s="8" t="str">
        <x:v>근거와 함께 답변</x:v>
      </x:c>
      <x:c r="E1124" s="15" t="n">
        <x:v>1122</x:v>
      </x:c>
      <x:c r="F1124" s="8" t="str">
        <x:v>VDB 후속 설명 보강</x:v>
      </x:c>
      <x:c r="G1124" s="8" t="str">
        <x:v>https://health.kdca.go.kr/healthinfo/biz/health/gnrlzHealthInfo/gnrlzHealthInfo/gnrlzHealthInfoMain.do</x:v>
      </x:c>
      <x:c r="H1124" s="8" t="str">
        <x:v>{
  "disease": "충치",
  "section": "치료 / 비약물 치료",
  "category": "disease"
}</x:v>
      </x:c>
    </x:row>
    <x:row r="1125" ht="54" customHeight="1">
      <x:c r="A1125" s="8" t="str">
        <x:v>gold-disease-53ba3862dbe3e879</x:v>
      </x:c>
      <x:c r="B1125" s="8" t="str">
        <x:v>kdca-5462-13</x:v>
      </x:c>
      <x:c r="C1125" s="8" t="str">
        <x:v>kdca-5462-13</x:v>
      </x:c>
      <x:c r="D1125" s="8" t="str">
        <x:v>근거와 함께 답변</x:v>
      </x:c>
      <x:c r="E1125" s="15" t="n">
        <x:v>1123</x:v>
      </x:c>
      <x:c r="F1125" s="8" t="str">
        <x:v>기존 검증 정답</x:v>
      </x:c>
      <x:c r="G1125" s="8" t="str">
        <x:v>https://health.kdca.go.kr/healthinfo/biz/health/gnrlzHealthInfo/gnrlzHealthInfo/gnrlzHealthInfoMain.do</x:v>
      </x:c>
      <x:c r="H1125" s="8" t="str">
        <x:v>{
  "disease": "황달",
  "section": "자주하는 질문 / 참고문헌",
  "category": "disease"
}</x:v>
      </x:c>
    </x:row>
    <x:row r="1126" ht="54" customHeight="1">
      <x:c r="A1126" s="8" t="str">
        <x:v>gold-disease-154a9564f9d0ca2e</x:v>
      </x:c>
      <x:c r="B1126" s="8" t="str">
        <x:v>kdca-6272-49</x:v>
      </x:c>
      <x:c r="C1126" s="8" t="str">
        <x:v>kdca-6272-49</x:v>
      </x:c>
      <x:c r="D1126" s="8" t="str">
        <x:v>근거와 함께 답변</x:v>
      </x:c>
      <x:c r="E1126" s="15" t="n">
        <x:v>1124</x:v>
      </x:c>
      <x:c r="F1126" s="8" t="str">
        <x:v>기존 검증 정답</x:v>
      </x:c>
      <x:c r="G1126" s="8" t="str">
        <x:v>https://health.kdca.go.kr/healthinfo/biz/health/gnrlzHealthInfo/gnrlzHealthInfo/gnrlzHealthInfoMain.do</x:v>
      </x:c>
      <x:c r="H1126" s="8" t="str">
        <x:v>{
  "disease": "배뇨 관련 증상 또는 이상",
  "section": "진단 및 검사",
  "category": "disease"
}</x:v>
      </x:c>
    </x:row>
    <x:row r="1127" ht="54" customHeight="1">
      <x:c r="A1127" s="8" t="str">
        <x:v>gold-disease-1c3443c04b5eed24</x:v>
      </x:c>
      <x:c r="B1127" s="8" t="str">
        <x:v>kdca-6319-3</x:v>
      </x:c>
      <x:c r="C1127" s="8" t="str">
        <x:v>kdca-6319-3</x:v>
      </x:c>
      <x:c r="D1127" s="8" t="str">
        <x:v>근거와 함께 답변</x:v>
      </x:c>
      <x:c r="E1127" s="15" t="n">
        <x:v>1125</x:v>
      </x:c>
      <x:c r="F1127" s="8" t="str">
        <x:v>기존 검증 정답</x:v>
      </x:c>
      <x:c r="G1127" s="8" t="str">
        <x:v>https://health.kdca.go.kr/healthinfo/biz/health/gnrlzHealthInfo/gnrlzHealthInfo/gnrlzHealthInfoMain.do</x:v>
      </x:c>
      <x:c r="H1127" s="8" t="str">
        <x:v>{
  "disease": "망막박리",
  "section": "증상",
  "category": "disease"
}</x:v>
      </x:c>
    </x:row>
    <x:row r="1128" ht="54" customHeight="1">
      <x:c r="A1128" s="8" t="str">
        <x:v>gold-disease-96ca0cfdc7beeff4</x:v>
      </x:c>
      <x:c r="B1128" s="8" t="str">
        <x:v>kdca-6695-13</x:v>
      </x:c>
      <x:c r="C1128" s="8" t="str">
        <x:v>kdca-6695-13</x:v>
      </x:c>
      <x:c r="D1128" s="8" t="str">
        <x:v>근거와 함께 답변</x:v>
      </x:c>
      <x:c r="E1128" s="15" t="n">
        <x:v>1126</x:v>
      </x:c>
      <x:c r="F1128" s="8" t="str">
        <x:v>기존 검증 정답</x:v>
      </x:c>
      <x:c r="G1128" s="8" t="str">
        <x:v>https://health.kdca.go.kr/healthinfo/biz/health/gnrlzHealthInfo/gnrlzHealthInfo/gnrlzHealthInfoMain.do</x:v>
      </x:c>
      <x:c r="H1128" s="8" t="str">
        <x:v>{
  "disease": "노인 보행장애",
  "section": "증상",
  "category": "disease"
}</x:v>
      </x:c>
    </x:row>
    <x:row r="1129" ht="54" customHeight="1">
      <x:c r="A1129" s="8" t="str">
        <x:v>gold-disease-61e007f923056efe</x:v>
      </x:c>
      <x:c r="B1129" s="8" t="str">
        <x:v>kdca-5706-1</x:v>
      </x:c>
      <x:c r="C1129" s="8" t="str">
        <x:v>kdca-5706-1</x:v>
      </x:c>
      <x:c r="D1129" s="8" t="str">
        <x:v>근거와 함께 답변</x:v>
      </x:c>
      <x:c r="E1129" s="15" t="n">
        <x:v>1127</x:v>
      </x:c>
      <x:c r="F1129" s="8" t="str">
        <x:v>기존 검증 정답</x:v>
      </x:c>
      <x:c r="G1129" s="8" t="str">
        <x:v>https://health.kdca.go.kr/healthinfo/biz/health/gnrlzHealthInfo/gnrlzHealthInfo/gnrlzHealthInfoMain.do</x:v>
      </x:c>
      <x:c r="H1129" s="8" t="str">
        <x:v>{
  "disease": "이명",
  "section": "요약문 / 정의",
  "category": "disease"
}</x:v>
      </x:c>
    </x:row>
    <x:row r="1130" ht="54" customHeight="1">
      <x:c r="A1130" s="8" t="str">
        <x:v>gold-disease-b95c54bd0a5b815d</x:v>
      </x:c>
      <x:c r="B1130" s="8" t="str">
        <x:v>kdca-6263-14</x:v>
      </x:c>
      <x:c r="C1130" s="8" t="str">
        <x:v>kdca-6263-14</x:v>
      </x:c>
      <x:c r="D1130" s="8" t="str">
        <x:v>근거와 함께 답변</x:v>
      </x:c>
      <x:c r="E1130" s="15" t="n">
        <x:v>1128</x:v>
      </x:c>
      <x:c r="F1130" s="8" t="str">
        <x:v>VDB 후속 설명 보강</x:v>
      </x:c>
      <x:c r="G1130" s="8" t="str">
        <x:v>https://health.kdca.go.kr/healthinfo/biz/health/gnrlzHealthInfo/gnrlzHealthInfo/gnrlzHealthInfoMain.do</x:v>
      </x:c>
      <x:c r="H1130" s="8" t="str">
        <x:v>{
  "disease": "소화불량",
  "section": "역학 및 통계",
  "category": "disease"
}</x:v>
      </x:c>
    </x:row>
    <x:row r="1131" ht="54" customHeight="1">
      <x:c r="A1131" s="8" t="str">
        <x:v>gold-disease-57ab6dcc0e0ffd33</x:v>
      </x:c>
      <x:c r="B1131" s="8" t="str">
        <x:v>kdca-5493-13</x:v>
      </x:c>
      <x:c r="C1131" s="8" t="str">
        <x:v>kdca-5493-13</x:v>
      </x:c>
      <x:c r="D1131" s="8" t="str">
        <x:v>근거와 함께 답변</x:v>
      </x:c>
      <x:c r="E1131" s="15" t="n">
        <x:v>1129</x:v>
      </x:c>
      <x:c r="F1131" s="8" t="str">
        <x:v>기존 검증 정답</x:v>
      </x:c>
      <x:c r="G1131" s="8" t="str">
        <x:v>https://health.kdca.go.kr/healthinfo/biz/health/gnrlzHealthInfo/gnrlzHealthInfo/gnrlzHealthInfoMain.do</x:v>
      </x:c>
      <x:c r="H1131" s="8" t="str">
        <x:v>{
  "disease": "기흉",
  "section": "진단 및 검사 / 치료",
  "category": "disease"
}</x:v>
      </x:c>
    </x:row>
    <x:row r="1132" ht="54" customHeight="1">
      <x:c r="A1132" s="8" t="str">
        <x:v>gold-disease-0aaa5473f3eebbb9</x:v>
      </x:c>
      <x:c r="B1132" s="8" t="str">
        <x:v>kdca-5485-40</x:v>
      </x:c>
      <x:c r="C1132" s="8" t="str">
        <x:v>kdca-5485-40</x:v>
      </x:c>
      <x:c r="D1132" s="8" t="str">
        <x:v>근거와 함께 답변</x:v>
      </x:c>
      <x:c r="E1132" s="15" t="n">
        <x:v>1130</x:v>
      </x:c>
      <x:c r="F1132" s="8" t="str">
        <x:v>VDB 후속 설명 보강</x:v>
      </x:c>
      <x:c r="G1132" s="8" t="str">
        <x:v>https://health.kdca.go.kr/healthinfo/biz/health/gnrlzHealthInfo/gnrlzHealthInfo/gnrlzHealthInfoMain.do</x:v>
      </x:c>
      <x:c r="H1132" s="8" t="str">
        <x:v>{
  "disease": "구내염",
  "section": "위험요인 및 예방 / 참고문헌",
  "category": "disease"
}</x:v>
      </x:c>
    </x:row>
    <x:row r="1133" ht="54" customHeight="1">
      <x:c r="A1133" s="8" t="str">
        <x:v>gold-disease-e339ac9c688ad1d7</x:v>
      </x:c>
      <x:c r="B1133" s="8" t="str">
        <x:v>kdca-5830-14</x:v>
      </x:c>
      <x:c r="C1133" s="8" t="str">
        <x:v>kdca-5830-14</x:v>
      </x:c>
      <x:c r="D1133" s="8" t="str">
        <x:v>근거와 함께 답변</x:v>
      </x:c>
      <x:c r="E1133" s="15" t="n">
        <x:v>1131</x:v>
      </x:c>
      <x:c r="F1133" s="8" t="str">
        <x:v>VDB 후속 설명 보강</x:v>
      </x:c>
      <x:c r="G1133" s="8" t="str">
        <x:v>https://health.kdca.go.kr/healthinfo/biz/health/gnrlzHealthInfo/gnrlzHealthInfo/gnrlzHealthInfoMain.do</x:v>
      </x:c>
      <x:c r="H1133" s="8" t="str">
        <x:v>{
  "disease": "두통",
  "section": "연관 증상",
  "category": "symptom"
}</x:v>
      </x:c>
    </x:row>
    <x:row r="1134" ht="54" customHeight="1">
      <x:c r="A1134" s="8" t="str">
        <x:v>gold-disease-261879a950dbf5e4</x:v>
      </x:c>
      <x:c r="B1134" s="8" t="str">
        <x:v>kdca-5858-14</x:v>
      </x:c>
      <x:c r="C1134" s="8" t="str">
        <x:v>kdca-5858-14</x:v>
      </x:c>
      <x:c r="D1134" s="8" t="str">
        <x:v>근거와 함께 답변</x:v>
      </x:c>
      <x:c r="E1134" s="15" t="n">
        <x:v>1132</x:v>
      </x:c>
      <x:c r="F1134" s="8" t="str">
        <x:v>기존 검증 정답</x:v>
      </x:c>
      <x:c r="G1134" s="8" t="str">
        <x:v>https://health.kdca.go.kr/healthinfo/biz/health/gnrlzHealthInfo/gnrlzHealthInfo/gnrlzHealthInfoMain.do</x:v>
      </x:c>
      <x:c r="H1134" s="8" t="str">
        <x:v>{
  "disease": "복부 팽만",
  "section": "관련 질환 / 연관 증상",
  "category": "symptom"
}</x:v>
      </x:c>
    </x:row>
    <x:row r="1135" ht="54" customHeight="1">
      <x:c r="A1135" s="8" t="str">
        <x:v>gold-disease-2cfd4f649c3c60dc</x:v>
      </x:c>
      <x:c r="B1135" s="8" t="str">
        <x:v>kdca-5439-13</x:v>
      </x:c>
      <x:c r="C1135" s="8" t="str">
        <x:v>kdca-5439-13</x:v>
      </x:c>
      <x:c r="D1135" s="8" t="str">
        <x:v>근거와 함께 답변</x:v>
      </x:c>
      <x:c r="E1135" s="15" t="n">
        <x:v>1133</x:v>
      </x:c>
      <x:c r="F1135" s="8" t="str">
        <x:v>VDB 후속 설명 보강</x:v>
      </x:c>
      <x:c r="G1135" s="8" t="str">
        <x:v>https://health.kdca.go.kr/healthinfo/biz/health/gnrlzHealthInfo/gnrlzHealthInfo/gnrlzHealthInfoMain.do</x:v>
      </x:c>
      <x:c r="H1135" s="8" t="str">
        <x:v>{
  "disease": "이 사면발이 감염증",
  "section": "역학 및 통계 / 증상",
  "category": "disease"
}</x:v>
      </x:c>
    </x:row>
    <x:row r="1136" ht="54" customHeight="1">
      <x:c r="A1136" s="8" t="str">
        <x:v>gold-disease-c31795ab0290f744</x:v>
      </x:c>
      <x:c r="B1136" s="8" t="str">
        <x:v>kdca-5334-5</x:v>
      </x:c>
      <x:c r="C1136" s="8" t="str">
        <x:v>kdca-5334-5</x:v>
      </x:c>
      <x:c r="D1136" s="8" t="str">
        <x:v>근거와 함께 답변</x:v>
      </x:c>
      <x:c r="E1136" s="15" t="n">
        <x:v>1134</x:v>
      </x:c>
      <x:c r="F1136" s="8" t="str">
        <x:v>VDB 원인·위험요인 청크 재선정</x:v>
      </x:c>
      <x:c r="G1136" s="8" t="str">
        <x:v>https://health.kdca.go.kr/healthinfo/biz/health/gnrlzHealthInfo/gnrlzHealthInfo/gnrlzHealthInfoMain.do</x:v>
      </x:c>
      <x:c r="H1136" s="8" t="str">
        <x:v>{
  "disease": "사람 브루셀라증",
  "section": "원인 및 감염경로",
  "category": "disease"
}</x:v>
      </x:c>
    </x:row>
    <x:row r="1137" ht="54" customHeight="1">
      <x:c r="A1137" s="8" t="str">
        <x:v>gold-disease-d0cfc73a85af2876</x:v>
      </x:c>
      <x:c r="B1137" s="8" t="str">
        <x:v>kdca-6492-1</x:v>
      </x:c>
      <x:c r="C1137" s="8" t="str">
        <x:v>kdca-6492-1</x:v>
      </x:c>
      <x:c r="D1137" s="8" t="str">
        <x:v>근거와 함께 답변</x:v>
      </x:c>
      <x:c r="E1137" s="15" t="n">
        <x:v>1135</x:v>
      </x:c>
      <x:c r="F1137" s="8" t="str">
        <x:v>기존 검증 정답</x:v>
      </x:c>
      <x:c r="G1137" s="8" t="str">
        <x:v>https://health.kdca.go.kr/healthinfo/biz/health/gnrlzHealthInfo/gnrlzHealthInfo/gnrlzHealthInfoMain.do</x:v>
      </x:c>
      <x:c r="H1137" s="8" t="str">
        <x:v>{
  "disease": "건막염(특발성 건막염)",
  "section": "개요",
  "category": "disease"
}</x:v>
      </x:c>
    </x:row>
    <x:row r="1138" ht="54" customHeight="1">
      <x:c r="A1138" s="8" t="str">
        <x:v>gold-disease-d38b12115bd1c70d</x:v>
      </x:c>
      <x:c r="B1138" s="8" t="str">
        <x:v>kdca-5250-31</x:v>
      </x:c>
      <x:c r="C1138" s="8" t="str">
        <x:v>kdca-5250-31</x:v>
      </x:c>
      <x:c r="D1138" s="8" t="str">
        <x:v>근거와 함께 답변</x:v>
      </x:c>
      <x:c r="E1138" s="15" t="n">
        <x:v>1136</x:v>
      </x:c>
      <x:c r="F1138" s="8" t="str">
        <x:v>기존 검증 정답</x:v>
      </x:c>
      <x:c r="G1138" s="8" t="str">
        <x:v>https://health.kdca.go.kr/healthinfo/biz/health/gnrlzHealthInfo/gnrlzHealthInfo/gnrlzHealthInfoMain.do</x:v>
      </x:c>
      <x:c r="H1138" s="8" t="str">
        <x:v>{
  "disease": "과민성장증후군",
  "section": "약물 치료",
  "category": "disease"
}</x:v>
      </x:c>
    </x:row>
    <x:row r="1139" ht="54" customHeight="1">
      <x:c r="A1139" s="8" t="str">
        <x:v>gold-disease-8aefe85a89b7d26e</x:v>
      </x:c>
      <x:c r="B1139" s="8" t="str">
        <x:v>kdca-3467-16</x:v>
      </x:c>
      <x:c r="C1139" s="8" t="str">
        <x:v>kdca-3467-16</x:v>
      </x:c>
      <x:c r="D1139" s="8" t="str">
        <x:v>근거와 함께 답변</x:v>
      </x:c>
      <x:c r="E1139" s="15" t="n">
        <x:v>1137</x:v>
      </x:c>
      <x:c r="F1139" s="8" t="str">
        <x:v>기존 검증 정답</x:v>
      </x:c>
      <x:c r="G1139" s="8" t="str">
        <x:v>https://health.kdca.go.kr/healthinfo/biz/health/gnrlzHealthInfo/gnrlzHealthInfo/gnrlzHealthInfoMain.do</x:v>
      </x:c>
      <x:c r="H1139" s="8" t="str">
        <x:v>{
  "disease": "대퇴골두 무혈성 괴사",
  "section": "치료",
  "category": "disease"
}</x:v>
      </x:c>
    </x:row>
    <x:row r="1140" ht="54" customHeight="1">
      <x:c r="A1140" s="8" t="str">
        <x:v>gold-disease-na-c608ef63cd7f0c4b</x:v>
      </x:c>
      <x:c r="B1140" s="8" t="str"/>
      <x:c r="C1140" s="8" t="str"/>
      <x:c r="D1140" s="8" t="str">
        <x:v>답변 거부 또는 추가 확인 요청</x:v>
      </x:c>
      <x:c r="E1140" s="15" t="n">
        <x:v>1138</x:v>
      </x:c>
      <x:c r="F1140" s="8" t="str">
        <x:v>답변 거부 기준 문구</x:v>
      </x:c>
      <x:c r="G1140" s="8" t="str">
        <x:v>https://health.kdca.go.kr/healthinfo/biz/health/gnrlzHealthInfo/gnrlzHealthInfo/gnrlzHealthInfoMain.do</x:v>
      </x:c>
      <x:c r="H1140" s="8" t="str">
        <x:v>{
  "disease": "안외상(외상성 백내장 및 수정체 이탈)",
  "section": "치료 / 합병증",
  "category": "disease"
}</x:v>
      </x:c>
    </x:row>
    <x:row r="1141" ht="54" customHeight="1">
      <x:c r="A1141" s="8" t="str">
        <x:v>gold-disease-c5995dd1b03c34cf</x:v>
      </x:c>
      <x:c r="B1141" s="8" t="str">
        <x:v>kdca-6262-0</x:v>
      </x:c>
      <x:c r="C1141" s="8" t="str">
        <x:v>kdca-6262-0</x:v>
      </x:c>
      <x:c r="D1141" s="8" t="str">
        <x:v>근거와 함께 답변</x:v>
      </x:c>
      <x:c r="E1141" s="15" t="n">
        <x:v>1139</x:v>
      </x:c>
      <x:c r="F1141" s="8" t="str">
        <x:v>기존 검증 정답</x:v>
      </x:c>
      <x:c r="G1141" s="8" t="str">
        <x:v>https://health.kdca.go.kr/healthinfo/biz/health/gnrlzHealthInfo/gnrlzHealthInfo/gnrlzHealthInfoMain.do</x:v>
      </x:c>
      <x:c r="H1141" s="8" t="str">
        <x:v>{
  "disease": "노인 부종",
  "section": "정의",
  "category": "symptom"
}</x:v>
      </x:c>
    </x:row>
    <x:row r="1142" ht="54" customHeight="1">
      <x:c r="A1142" s="8" t="str">
        <x:v>gold-disease-126be2211610258e</x:v>
      </x:c>
      <x:c r="B1142" s="8" t="str">
        <x:v>kdca-5498-36</x:v>
      </x:c>
      <x:c r="C1142" s="8" t="str">
        <x:v>kdca-5498-36</x:v>
      </x:c>
      <x:c r="D1142" s="8" t="str">
        <x:v>근거와 함께 답변</x:v>
      </x:c>
      <x:c r="E1142" s="15" t="n">
        <x:v>1140</x:v>
      </x:c>
      <x:c r="F1142" s="8" t="str">
        <x:v>VDB 후속 설명 보강</x:v>
      </x:c>
      <x:c r="G1142" s="8" t="str">
        <x:v>https://health.kdca.go.kr/healthinfo/biz/health/gnrlzHealthInfo/gnrlzHealthInfo/gnrlzHealthInfoMain.do</x:v>
      </x:c>
      <x:c r="H1142" s="8" t="str">
        <x:v>{
  "disease": "뇌하수체기능저하증(소아)",
  "section": "위험요인 및 예방 / 생활습관 관리 / 자주하는 질문",
  "category": "disease"
}</x:v>
      </x:c>
    </x:row>
    <x:row r="1143" ht="54" customHeight="1">
      <x:c r="A1143" s="8" t="str">
        <x:v>gold-disease-99f66961f6ca87a1</x:v>
      </x:c>
      <x:c r="B1143" s="8" t="str">
        <x:v>kdca-6683-8</x:v>
      </x:c>
      <x:c r="C1143" s="8" t="str">
        <x:v>kdca-6683-8</x:v>
      </x:c>
      <x:c r="D1143" s="8" t="str">
        <x:v>근거와 함께 답변</x:v>
      </x:c>
      <x:c r="E1143" s="15" t="n">
        <x:v>1141</x:v>
      </x:c>
      <x:c r="F1143" s="8" t="str">
        <x:v>VDB 후속 설명 보강</x:v>
      </x:c>
      <x:c r="G1143" s="8" t="str">
        <x:v>https://health.kdca.go.kr/healthinfo/biz/health/gnrlzHealthInfo/gnrlzHealthInfo/gnrlzHealthInfoMain.do</x:v>
      </x:c>
      <x:c r="H1143" s="8" t="str">
        <x:v>{
  "disease": "갑상선 결절",
  "section": "증상 / 진단 및 검사",
  "category": "disease"
}</x:v>
      </x:c>
    </x:row>
    <x:row r="1144" ht="54" customHeight="1">
      <x:c r="A1144" s="8" t="str">
        <x:v>gold-disease-cc68fb860c758a4d</x:v>
      </x:c>
      <x:c r="B1144" s="8" t="str">
        <x:v>kdca-5304-6</x:v>
      </x:c>
      <x:c r="C1144" s="8" t="str">
        <x:v>kdca-5304-6</x:v>
      </x:c>
      <x:c r="D1144" s="8" t="str">
        <x:v>근거와 함께 답변</x:v>
      </x:c>
      <x:c r="E1144" s="15" t="n">
        <x:v>1142</x:v>
      </x:c>
      <x:c r="F1144" s="8" t="str">
        <x:v>기존 검증 정답</x:v>
      </x:c>
      <x:c r="G1144" s="8" t="str">
        <x:v>https://health.kdca.go.kr/healthinfo/biz/health/gnrlzHealthInfo/gnrlzHealthInfo/gnrlzHealthInfoMain.do</x:v>
      </x:c>
      <x:c r="H1144" s="8" t="str">
        <x:v>{
  "disease": "고혈당",
  "section": "경과 및 예후 / 진단 및 검사",
  "category": "symptom"
}</x:v>
      </x:c>
    </x:row>
    <x:row r="1145" ht="54" customHeight="1">
      <x:c r="A1145" s="8" t="str">
        <x:v>gold-disease-8f5e4540de9dfe5a</x:v>
      </x:c>
      <x:c r="B1145" s="8" t="str">
        <x:v>kdca-5708-7</x:v>
      </x:c>
      <x:c r="C1145" s="8" t="str">
        <x:v>kdca-5708-7</x:v>
      </x:c>
      <x:c r="D1145" s="8" t="str">
        <x:v>근거와 함께 답변</x:v>
      </x:c>
      <x:c r="E1145" s="15" t="n">
        <x:v>1143</x:v>
      </x:c>
      <x:c r="F1145" s="8" t="str">
        <x:v>기존 검증 정답</x:v>
      </x:c>
      <x:c r="G1145" s="8" t="str">
        <x:v>https://health.kdca.go.kr/healthinfo/biz/health/gnrlzHealthInfo/gnrlzHealthInfo/gnrlzHealthInfoMain.do</x:v>
      </x:c>
      <x:c r="H1145" s="8" t="str">
        <x:v>{
  "disease": "귀의 통증 및 분비물",
  "section": "원인",
  "category": "symptom"
}</x:v>
      </x:c>
    </x:row>
    <x:row r="1146" ht="54" customHeight="1">
      <x:c r="A1146" s="8" t="str">
        <x:v>gold-disease-23d36ff86b146c32</x:v>
      </x:c>
      <x:c r="B1146" s="8" t="str">
        <x:v>kdca-2552-8</x:v>
      </x:c>
      <x:c r="C1146" s="8" t="str">
        <x:v>kdca-2552-8</x:v>
      </x:c>
      <x:c r="D1146" s="8" t="str">
        <x:v>근거와 함께 답변</x:v>
      </x:c>
      <x:c r="E1146" s="15" t="n">
        <x:v>1144</x:v>
      </x:c>
      <x:c r="F1146" s="8" t="str">
        <x:v>기존 검증 정답</x:v>
      </x:c>
      <x:c r="G1146" s="8" t="str">
        <x:v>https://health.kdca.go.kr/healthinfo/biz/health/gnrlzHealthInfo/gnrlzHealthInfo/gnrlzHealthInfoMain.do</x:v>
      </x:c>
      <x:c r="H1146" s="8" t="str">
        <x:v>{
  "disease": "식도정맥류",
  "section": "증상 / 진단 및 검사",
  "category": "disease"
}</x:v>
      </x:c>
    </x:row>
    <x:row r="1147" ht="54" customHeight="1">
      <x:c r="A1147" s="8" t="str">
        <x:v>gold-disease-e6982ca35c17d8b8</x:v>
      </x:c>
      <x:c r="B1147" s="8" t="str">
        <x:v>kdca-2968-4</x:v>
      </x:c>
      <x:c r="C1147" s="8" t="str">
        <x:v>kdca-2968-4</x:v>
      </x:c>
      <x:c r="D1147" s="8" t="str">
        <x:v>근거와 함께 답변</x:v>
      </x:c>
      <x:c r="E1147" s="15" t="n">
        <x:v>1145</x:v>
      </x:c>
      <x:c r="F1147" s="8" t="str">
        <x:v>기존 검증 정답</x:v>
      </x:c>
      <x:c r="G1147" s="8" t="str">
        <x:v>https://health.kdca.go.kr/healthinfo/biz/health/gnrlzHealthInfo/gnrlzHealthInfo/gnrlzHealthInfoMain.do</x:v>
      </x:c>
      <x:c r="H1147" s="8" t="str">
        <x:v>{
  "disease": "심낭염(급성 심낭염)",
  "section": "진단 및 검사",
  "category": "disease"
}</x:v>
      </x:c>
    </x:row>
    <x:row r="1148" ht="54" customHeight="1">
      <x:c r="A1148" s="8" t="str">
        <x:v>gold-disease-ffe1f36741a52f6f</x:v>
      </x:c>
      <x:c r="B1148" s="8" t="str">
        <x:v>kdca-5846-9</x:v>
      </x:c>
      <x:c r="C1148" s="8" t="str">
        <x:v>kdca-5846-9</x:v>
      </x:c>
      <x:c r="D1148" s="8" t="str">
        <x:v>근거와 함께 답변</x:v>
      </x:c>
      <x:c r="E1148" s="15" t="n">
        <x:v>1146</x:v>
      </x:c>
      <x:c r="F1148" s="8" t="str">
        <x:v>기존 검증 정답</x:v>
      </x:c>
      <x:c r="G1148" s="8" t="str">
        <x:v>https://health.kdca.go.kr/healthinfo/biz/health/gnrlzHealthInfo/gnrlzHealthInfo/gnrlzHealthInfoMain.do</x:v>
      </x:c>
      <x:c r="H1148" s="8" t="str">
        <x:v>{
  "disease": "눈 충혈",
  "section": "진단 및 검사 / 관련 질환 / 치료",
  "category": "disease"
}</x:v>
      </x:c>
    </x:row>
    <x:row r="1149" ht="54" customHeight="1">
      <x:c r="A1149" s="8" t="str">
        <x:v>gold-disease-9732ad4eee3af028</x:v>
      </x:c>
      <x:c r="B1149" s="8" t="str">
        <x:v>kdca-5222-0</x:v>
      </x:c>
      <x:c r="C1149" s="8" t="str">
        <x:v>kdca-5222-0</x:v>
      </x:c>
      <x:c r="D1149" s="8" t="str">
        <x:v>근거와 함께 답변</x:v>
      </x:c>
      <x:c r="E1149" s="15" t="n">
        <x:v>1147</x:v>
      </x:c>
      <x:c r="F1149" s="8" t="str">
        <x:v>VDB 정의 문장 재선정</x:v>
      </x:c>
      <x:c r="G1149" s="8" t="str">
        <x:v>https://health.kdca.go.kr/healthinfo/biz/health/gnrlzHealthInfo/gnrlzHealthInfo/gnrlzHealthInfoMain.do</x:v>
      </x:c>
      <x:c r="H1149" s="8" t="str">
        <x:v>{
  "disease": "미숙아망막병증",
  "section": "요약문",
  "category": "disease"
}</x:v>
      </x:c>
    </x:row>
    <x:row r="1150" ht="54" customHeight="1">
      <x:c r="A1150" s="8" t="str">
        <x:v>gold-disease-5315a8498e0b8ec8</x:v>
      </x:c>
      <x:c r="B1150" s="8" t="str">
        <x:v>kdca-6303-11</x:v>
      </x:c>
      <x:c r="C1150" s="8" t="str">
        <x:v>kdca-6303-11</x:v>
      </x:c>
      <x:c r="D1150" s="8" t="str">
        <x:v>근거와 함께 답변</x:v>
      </x:c>
      <x:c r="E1150" s="15" t="n">
        <x:v>1148</x:v>
      </x:c>
      <x:c r="F1150" s="8" t="str">
        <x:v>VDB 후속 설명 보강</x:v>
      </x:c>
      <x:c r="G1150" s="8" t="str">
        <x:v>https://health.kdca.go.kr/healthinfo/biz/health/gnrlzHealthInfo/gnrlzHealthInfo/gnrlzHealthInfoMain.do</x:v>
      </x:c>
      <x:c r="H1150" s="8" t="str">
        <x:v>{
  "disease": "라임병",
  "section": "예방 및 예방접종 / 치료",
  "category": "disease"
}</x:v>
      </x:c>
    </x:row>
    <x:row r="1151" ht="54" customHeight="1">
      <x:c r="A1151" s="8" t="str">
        <x:v>gold-disease-93a63a08b63b23fb</x:v>
      </x:c>
      <x:c r="B1151" s="8" t="str">
        <x:v>kdca-5729-23</x:v>
      </x:c>
      <x:c r="C1151" s="8" t="str">
        <x:v>kdca-5729-23</x:v>
      </x:c>
      <x:c r="D1151" s="8" t="str">
        <x:v>근거와 함께 답변</x:v>
      </x:c>
      <x:c r="E1151" s="15" t="n">
        <x:v>1149</x:v>
      </x:c>
      <x:c r="F1151" s="8" t="str">
        <x:v>VDB 후속 설명 보강</x:v>
      </x:c>
      <x:c r="G1151" s="8" t="str">
        <x:v>https://health.kdca.go.kr/healthinfo/biz/health/gnrlzHealthInfo/gnrlzHealthInfo/gnrlzHealthInfoMain.do</x:v>
      </x:c>
      <x:c r="H1151" s="8" t="str">
        <x:v>{
  "disease": "소아발진",
  "section": "관련 질환 / 연관 증상",
  "category": "disease"
}</x:v>
      </x:c>
    </x:row>
    <x:row r="1152" ht="54" customHeight="1">
      <x:c r="A1152" s="8" t="str">
        <x:v>gold-disease-0298bdfe4cb736ab</x:v>
      </x:c>
      <x:c r="B1152" s="8" t="str">
        <x:v>kdca-5500-9</x:v>
      </x:c>
      <x:c r="C1152" s="8" t="str">
        <x:v>kdca-5500-9</x:v>
      </x:c>
      <x:c r="D1152" s="8" t="str">
        <x:v>근거와 함께 답변</x:v>
      </x:c>
      <x:c r="E1152" s="15" t="n">
        <x:v>1150</x:v>
      </x:c>
      <x:c r="F1152" s="8" t="str">
        <x:v>VDB 후속 설명 보강</x:v>
      </x:c>
      <x:c r="G1152" s="8" t="str">
        <x:v>https://health.kdca.go.kr/healthinfo/biz/health/gnrlzHealthInfo/gnrlzHealthInfo/gnrlzHealthInfoMain.do</x:v>
      </x:c>
      <x:c r="H1152" s="8" t="str">
        <x:v>{
  "disease": "일광화상",
  "section": "생활습관 관리",
  "category": "disease"
}</x:v>
      </x:c>
    </x:row>
    <x:row r="1153" ht="54" customHeight="1">
      <x:c r="A1153" s="8" t="str">
        <x:v>gold-disease-3c4d764f1907a7fd</x:v>
      </x:c>
      <x:c r="B1153" s="8" t="str">
        <x:v>kdca-5971-7</x:v>
      </x:c>
      <x:c r="C1153" s="8" t="str">
        <x:v>kdca-5971-7</x:v>
      </x:c>
      <x:c r="D1153" s="8" t="str">
        <x:v>근거와 함께 답변</x:v>
      </x:c>
      <x:c r="E1153" s="15" t="n">
        <x:v>1151</x:v>
      </x:c>
      <x:c r="F1153" s="8" t="str">
        <x:v>기존 검증 정답</x:v>
      </x:c>
      <x:c r="G1153" s="8" t="str">
        <x:v>https://health.kdca.go.kr/healthinfo/biz/health/gnrlzHealthInfo/gnrlzHealthInfo/gnrlzHealthInfoMain.do</x:v>
      </x:c>
      <x:c r="H1153" s="8" t="str">
        <x:v>{
  "disease": "다낭성 난소 증후군",
  "section": "진단 및 검사",
  "category": "disease"
}</x:v>
      </x:c>
    </x:row>
    <x:row r="1154" ht="54" customHeight="1">
      <x:c r="A1154" s="8" t="str">
        <x:v>gold-disease-na-cece463cb70f017f</x:v>
      </x:c>
      <x:c r="B1154" s="8" t="str"/>
      <x:c r="C1154" s="8" t="str"/>
      <x:c r="D1154" s="8" t="str">
        <x:v>답변 거부 또는 추가 확인 요청</x:v>
      </x:c>
      <x:c r="E1154" s="15" t="n">
        <x:v>1152</x:v>
      </x:c>
      <x:c r="F1154" s="8" t="str">
        <x:v>답변 거부 기준 문구</x:v>
      </x:c>
      <x:c r="G1154" s="8" t="str">
        <x:v>https://health.kdca.go.kr/healthinfo/biz/health/gnrlzHealthInfo/gnrlzHealthInfo/gnrlzHealthInfoMain.do</x:v>
      </x:c>
      <x:c r="H1154" s="8" t="str">
        <x:v>{
  "disease": "수면무호흡증",
  "section": "정의",
  "category": "disease"
}</x:v>
      </x:c>
    </x:row>
    <x:row r="1155" ht="54" customHeight="1">
      <x:c r="A1155" s="8" t="str">
        <x:v>gold-disease-beea8c7ff911a5b5</x:v>
      </x:c>
      <x:c r="B1155" s="8" t="str">
        <x:v>kdca-6550-2</x:v>
      </x:c>
      <x:c r="C1155" s="8" t="str">
        <x:v>kdca-6550-2</x:v>
      </x:c>
      <x:c r="D1155" s="8" t="str">
        <x:v>근거와 함께 답변</x:v>
      </x:c>
      <x:c r="E1155" s="15" t="n">
        <x:v>1153</x:v>
      </x:c>
      <x:c r="F1155" s="8" t="str">
        <x:v>기존 검증 정답</x:v>
      </x:c>
      <x:c r="G1155" s="8" t="str">
        <x:v>https://health.kdca.go.kr/healthinfo/biz/health/gnrlzHealthInfo/gnrlzHealthInfo/gnrlzHealthInfoMain.do</x:v>
      </x:c>
      <x:c r="H1155" s="8" t="str">
        <x:v>{
  "disease": "어지럼",
  "section": "요약문 / 개요",
  "category": "symptom"
}</x:v>
      </x:c>
    </x:row>
    <x:row r="1156" ht="54" customHeight="1">
      <x:c r="A1156" s="8" t="str">
        <x:v>gold-disease-8e6feb93926e7c00</x:v>
      </x:c>
      <x:c r="B1156" s="8" t="str">
        <x:v>kdca-6563-11</x:v>
      </x:c>
      <x:c r="C1156" s="8" t="str">
        <x:v>kdca-6563-11</x:v>
      </x:c>
      <x:c r="D1156" s="8" t="str">
        <x:v>근거와 함께 답변</x:v>
      </x:c>
      <x:c r="E1156" s="15" t="n">
        <x:v>1154</x:v>
      </x:c>
      <x:c r="F1156" s="8" t="str">
        <x:v>기존 검증 정답</x:v>
      </x:c>
      <x:c r="G1156" s="8" t="str">
        <x:v>https://health.kdca.go.kr/healthinfo/biz/health/gnrlzHealthInfo/gnrlzHealthInfo/gnrlzHealthInfoMain.do</x:v>
      </x:c>
      <x:c r="H1156" s="8" t="str">
        <x:v>{
  "disease": "발달성 고관절 이형성증 및 탈구",
  "section": "진단 및 검사 / 치료",
  "category": "disease"
}</x:v>
      </x:c>
    </x:row>
    <x:row r="1157" ht="54" customHeight="1">
      <x:c r="A1157" s="8" t="str">
        <x:v>gold-disease-86c751f3564c10b6</x:v>
      </x:c>
      <x:c r="B1157" s="8" t="str">
        <x:v>kdca-4008-37</x:v>
      </x:c>
      <x:c r="C1157" s="8" t="str">
        <x:v>kdca-4008-37</x:v>
      </x:c>
      <x:c r="D1157" s="8" t="str">
        <x:v>근거와 함께 답변</x:v>
      </x:c>
      <x:c r="E1157" s="15" t="n">
        <x:v>1155</x:v>
      </x:c>
      <x:c r="F1157" s="8" t="str">
        <x:v>VDB 후속 설명 보강</x:v>
      </x:c>
      <x:c r="G1157" s="8" t="str">
        <x:v>https://health.kdca.go.kr/healthinfo/biz/health/gnrlzHealthInfo/gnrlzHealthInfo/gnrlzHealthInfoMain.do</x:v>
      </x:c>
      <x:c r="H1157" s="8" t="str">
        <x:v>{
  "disease": "소아 비만",
  "section": "치료",
  "category": "disease"
}</x:v>
      </x:c>
    </x:row>
    <x:row r="1158" ht="54" customHeight="1">
      <x:c r="A1158" s="8" t="str">
        <x:v>gold-disease-na-051d3edde122e38f</x:v>
      </x:c>
      <x:c r="B1158" s="8" t="str"/>
      <x:c r="C1158" s="8" t="str"/>
      <x:c r="D1158" s="8" t="str">
        <x:v>답변 거부 또는 추가 확인 요청</x:v>
      </x:c>
      <x:c r="E1158" s="15" t="n">
        <x:v>1156</x:v>
      </x:c>
      <x:c r="F1158" s="8" t="str">
        <x:v>답변 거부 기준 문구</x:v>
      </x:c>
      <x:c r="G1158" s="8" t="str">
        <x:v>https://health.kdca.go.kr/healthinfo/biz/health/gnrlzHealthInfo/gnrlzHealthInfo/gnrlzHealthInfoMain.do</x:v>
      </x:c>
      <x:c r="H1158" s="8" t="str">
        <x:v>{
  "disease": "폐부종",
  "section": "증상",
  "category": "disease"
}</x:v>
      </x:c>
    </x:row>
    <x:row r="1159" ht="54" customHeight="1">
      <x:c r="A1159" s="8" t="str">
        <x:v>gold-disease-aab70fa9337998cf</x:v>
      </x:c>
      <x:c r="B1159" s="8" t="str">
        <x:v>kdca-6699-14</x:v>
      </x:c>
      <x:c r="C1159" s="8" t="str">
        <x:v>kdca-6699-14</x:v>
      </x:c>
      <x:c r="D1159" s="8" t="str">
        <x:v>근거와 함께 답변</x:v>
      </x:c>
      <x:c r="E1159" s="15" t="n">
        <x:v>1157</x:v>
      </x:c>
      <x:c r="F1159" s="8" t="str">
        <x:v>VDB 후속 설명 보강</x:v>
      </x:c>
      <x:c r="G1159" s="8" t="str">
        <x:v>https://health.kdca.go.kr/healthinfo/biz/health/gnrlzHealthInfo/gnrlzHealthInfo/gnrlzHealthInfoMain.do</x:v>
      </x:c>
      <x:c r="H1159" s="8" t="str">
        <x:v>{
  "disease": "백반증",
  "section": "치료 / 약물 치료",
  "category": "disease"
}</x:v>
      </x:c>
    </x:row>
    <x:row r="1160" ht="54" customHeight="1">
      <x:c r="A1160" s="8" t="str">
        <x:v>gold-disease-fbcf426ba7797c9e</x:v>
      </x:c>
      <x:c r="B1160" s="8" t="str">
        <x:v>kdca-3828-8</x:v>
      </x:c>
      <x:c r="C1160" s="8" t="str">
        <x:v>kdca-3828-8</x:v>
      </x:c>
      <x:c r="D1160" s="8" t="str">
        <x:v>근거와 함께 답변</x:v>
      </x:c>
      <x:c r="E1160" s="15" t="n">
        <x:v>1158</x:v>
      </x:c>
      <x:c r="F1160" s="8" t="str">
        <x:v>VDB 정의 문장 재선정</x:v>
      </x:c>
      <x:c r="G1160" s="8" t="str">
        <x:v>https://health.kdca.go.kr/healthinfo/biz/health/gnrlzHealthInfo/gnrlzHealthInfo/gnrlzHealthInfoMain.do</x:v>
      </x:c>
      <x:c r="H1160" s="8" t="str">
        <x:v>{
  "disease": "심부전",
  "section": "증상",
  "category": "disease"
}</x:v>
      </x:c>
    </x:row>
    <x:row r="1161" ht="54" customHeight="1">
      <x:c r="A1161" s="8" t="str">
        <x:v>gold-disease-037afb1ec58adfb7</x:v>
      </x:c>
      <x:c r="B1161" s="8" t="str">
        <x:v>kdca-6190-33</x:v>
      </x:c>
      <x:c r="C1161" s="8" t="str">
        <x:v>kdca-6190-33</x:v>
      </x:c>
      <x:c r="D1161" s="8" t="str">
        <x:v>근거와 함께 답변</x:v>
      </x:c>
      <x:c r="E1161" s="15" t="n">
        <x:v>1159</x:v>
      </x:c>
      <x:c r="F1161" s="8" t="str">
        <x:v>VDB 후속 설명 보강</x:v>
      </x:c>
      <x:c r="G1161" s="8" t="str">
        <x:v>https://health.kdca.go.kr/healthinfo/biz/health/gnrlzHealthInfo/gnrlzHealthInfo/gnrlzHealthInfoMain.do</x:v>
      </x:c>
      <x:c r="H1161" s="8" t="str">
        <x:v>{
  "disease": "자궁근종",
  "section": "치료",
  "category": "disease"
}</x:v>
      </x:c>
    </x:row>
    <x:row r="1162" ht="54" customHeight="1">
      <x:c r="A1162" s="8" t="str">
        <x:v>gold-disease-ca5f54ac6bd0b1fb</x:v>
      </x:c>
      <x:c r="B1162" s="8" t="str">
        <x:v>kdca-5504-15</x:v>
      </x:c>
      <x:c r="C1162" s="8" t="str">
        <x:v>kdca-5504-15</x:v>
      </x:c>
      <x:c r="D1162" s="8" t="str">
        <x:v>근거와 함께 답변</x:v>
      </x:c>
      <x:c r="E1162" s="15" t="n">
        <x:v>1160</x:v>
      </x:c>
      <x:c r="F1162" s="8" t="str">
        <x:v>기존 검증 정답</x:v>
      </x:c>
      <x:c r="G1162" s="8" t="str">
        <x:v>https://health.kdca.go.kr/healthinfo/biz/health/gnrlzHealthInfo/gnrlzHealthInfo/gnrlzHealthInfoMain.do</x:v>
      </x:c>
      <x:c r="H1162" s="8" t="str">
        <x:v>{
  "disease": "복부 수술 후 장유착",
  "section": "증상 / 진단 및 검사",
  "category": "disease"
}</x:v>
      </x:c>
    </x:row>
    <x:row r="1163" ht="54" customHeight="1">
      <x:c r="A1163" s="8" t="str">
        <x:v>gold-disease-3f3a524e2082ad91</x:v>
      </x:c>
      <x:c r="B1163" s="8" t="str">
        <x:v>kdca-6760-12</x:v>
      </x:c>
      <x:c r="C1163" s="8" t="str">
        <x:v>kdca-6760-12</x:v>
      </x:c>
      <x:c r="D1163" s="8" t="str">
        <x:v>근거와 함께 답변</x:v>
      </x:c>
      <x:c r="E1163" s="15" t="n">
        <x:v>1161</x:v>
      </x:c>
      <x:c r="F1163" s="8" t="str">
        <x:v>기존 검증 정답</x:v>
      </x:c>
      <x:c r="G1163" s="8" t="str">
        <x:v>https://health.kdca.go.kr/healthinfo/biz/health/gnrlzHealthInfo/gnrlzHealthInfo/gnrlzHealthInfoMain.do</x:v>
      </x:c>
      <x:c r="H1163" s="8" t="str">
        <x:v>{
  "disease": "공수병(광견병)",
  "section": "예방 및 예방접종",
  "category": "disease"
}</x:v>
      </x:c>
    </x:row>
    <x:row r="1164" ht="54" customHeight="1">
      <x:c r="A1164" s="8" t="str">
        <x:v>gold-disease-c9871153344ee035</x:v>
      </x:c>
      <x:c r="B1164" s="8" t="str">
        <x:v>kdca-1262-1</x:v>
      </x:c>
      <x:c r="C1164" s="8" t="str">
        <x:v>kdca-1262-1</x:v>
      </x:c>
      <x:c r="D1164" s="8" t="str">
        <x:v>근거와 함께 답변</x:v>
      </x:c>
      <x:c r="E1164" s="15" t="n">
        <x:v>1162</x:v>
      </x:c>
      <x:c r="F1164" s="8" t="str">
        <x:v>기존 검증 정답</x:v>
      </x:c>
      <x:c r="G1164" s="8" t="str">
        <x:v>https://health.kdca.go.kr/healthinfo/biz/health/gnrlzHealthInfo/gnrlzHealthInfo/gnrlzHealthInfoMain.do</x:v>
      </x:c>
      <x:c r="H1164" s="8" t="str">
        <x:v>{
  "disease": "간의 양성종양(간혈관종)",
  "section": "역학 및 통계 / 증상",
  "category": "disease"
}</x:v>
      </x:c>
    </x:row>
    <x:row r="1165" ht="54" customHeight="1">
      <x:c r="A1165" s="8" t="str">
        <x:v>gold-disease-60e4b8deddc4bbf7</x:v>
      </x:c>
      <x:c r="B1165" s="8" t="str">
        <x:v>kdca-6747-6</x:v>
      </x:c>
      <x:c r="C1165" s="8" t="str">
        <x:v>kdca-6747-6</x:v>
      </x:c>
      <x:c r="D1165" s="8" t="str">
        <x:v>근거와 함께 답변</x:v>
      </x:c>
      <x:c r="E1165" s="15" t="n">
        <x:v>1163</x:v>
      </x:c>
      <x:c r="F1165" s="8" t="str">
        <x:v>VDB 후속 설명 보강</x:v>
      </x:c>
      <x:c r="G1165" s="8" t="str">
        <x:v>https://health.kdca.go.kr/healthinfo/biz/health/gnrlzHealthInfo/gnrlzHealthInfo/gnrlzHealthInfoMain.do</x:v>
      </x:c>
      <x:c r="H1165" s="8" t="str">
        <x:v>{
  "disease": "무릎 인대 손상",
  "section": "증상",
  "category": "disease"
}</x:v>
      </x:c>
    </x:row>
    <x:row r="1166" ht="54" customHeight="1">
      <x:c r="A1166" s="8" t="str">
        <x:v>gold-disease-6fd9452363369219</x:v>
      </x:c>
      <x:c r="B1166" s="8" t="str">
        <x:v>kdca-6524-10</x:v>
      </x:c>
      <x:c r="C1166" s="8" t="str">
        <x:v>kdca-6524-10</x:v>
      </x:c>
      <x:c r="D1166" s="8" t="str">
        <x:v>근거와 함께 답변</x:v>
      </x:c>
      <x:c r="E1166" s="15" t="n">
        <x:v>1164</x:v>
      </x:c>
      <x:c r="F1166" s="8" t="str">
        <x:v>기존 검증 정답</x:v>
      </x:c>
      <x:c r="G1166" s="8" t="str">
        <x:v>https://health.kdca.go.kr/healthinfo/biz/health/gnrlzHealthInfo/gnrlzHealthInfo/gnrlzHealthInfoMain.do</x:v>
      </x:c>
      <x:c r="H1166" s="8" t="str">
        <x:v>{
  "disease": "직업성 호흡기질환(직업성 폐암, 악성중피종)",
  "section": "진단 및 검사",
  "category": "disease"
}</x:v>
      </x:c>
    </x:row>
    <x:row r="1167" ht="54" customHeight="1">
      <x:c r="A1167" s="8" t="str">
        <x:v>gold-disease-60694ccb08e5a41c</x:v>
      </x:c>
      <x:c r="B1167" s="8" t="str">
        <x:v>kdca-6292-26</x:v>
      </x:c>
      <x:c r="C1167" s="8" t="str">
        <x:v>kdca-6292-26</x:v>
      </x:c>
      <x:c r="D1167" s="8" t="str">
        <x:v>근거와 함께 답변</x:v>
      </x:c>
      <x:c r="E1167" s="15" t="n">
        <x:v>1165</x:v>
      </x:c>
      <x:c r="F1167" s="8" t="str">
        <x:v>기존 검증 정답</x:v>
      </x:c>
      <x:c r="G1167" s="8" t="str">
        <x:v>https://health.kdca.go.kr/healthinfo/biz/health/gnrlzHealthInfo/gnrlzHealthInfo/gnrlzHealthInfoMain.do</x:v>
      </x:c>
      <x:c r="H1167" s="8" t="str">
        <x:v>{
  "disease": "수근굴(수근관) 증후군",
  "section": "합병증 / 생활습관 관리",
  "category": "disease"
}</x:v>
      </x:c>
    </x:row>
    <x:row r="1168" ht="54" customHeight="1">
      <x:c r="A1168" s="8" t="str">
        <x:v>gold-disease-6766bc1effefc10d</x:v>
      </x:c>
      <x:c r="B1168" s="8" t="str">
        <x:v>kdca-2067-4</x:v>
      </x:c>
      <x:c r="C1168" s="8" t="str">
        <x:v>kdca-2067-4</x:v>
      </x:c>
      <x:c r="D1168" s="8" t="str">
        <x:v>근거와 함께 답변</x:v>
      </x:c>
      <x:c r="E1168" s="15" t="n">
        <x:v>1166</x:v>
      </x:c>
      <x:c r="F1168" s="8" t="str">
        <x:v>VDB 원인·위험요인 청크 재선정</x:v>
      </x:c>
      <x:c r="G1168" s="8" t="str">
        <x:v>https://health.kdca.go.kr/healthinfo/biz/health/gnrlzHealthInfo/gnrlzHealthInfo/gnrlzHealthInfoMain.do</x:v>
      </x:c>
      <x:c r="H1168" s="8" t="str">
        <x:v>{
  "disease": "남성형 탈모",
  "section": "원인 / 경과 및 예후",
  "category": "disease"
}</x:v>
      </x:c>
    </x:row>
    <x:row r="1169" ht="54" customHeight="1">
      <x:c r="A1169" s="8" t="str">
        <x:v>gold-disease-7c4199128d190384</x:v>
      </x:c>
      <x:c r="B1169" s="8" t="str">
        <x:v>kdca-6494-3</x:v>
      </x:c>
      <x:c r="C1169" s="8" t="str">
        <x:v>kdca-6494-3</x:v>
      </x:c>
      <x:c r="D1169" s="8" t="str">
        <x:v>근거와 함께 답변</x:v>
      </x:c>
      <x:c r="E1169" s="15" t="n">
        <x:v>1167</x:v>
      </x:c>
      <x:c r="F1169" s="8" t="str">
        <x:v>VDB 후속 설명 보강</x:v>
      </x:c>
      <x:c r="G1169" s="8" t="str">
        <x:v>https://health.kdca.go.kr/healthinfo/biz/health/gnrlzHealthInfo/gnrlzHealthInfo/gnrlzHealthInfoMain.do</x:v>
      </x:c>
      <x:c r="H1169" s="8" t="str">
        <x:v>{
  "disease": "연조직염과 종기(연조직염)",
  "section": "증상 / 진단 및 검사",
  "category": "disease"
}</x:v>
      </x:c>
    </x:row>
    <x:row r="1170" ht="54" customHeight="1">
      <x:c r="A1170" s="8" t="str">
        <x:v>gold-disease-ae986fbccc25ad9b</x:v>
      </x:c>
      <x:c r="B1170" s="8" t="str">
        <x:v>kdca-6302-4</x:v>
      </x:c>
      <x:c r="C1170" s="8" t="str">
        <x:v>kdca-6302-4</x:v>
      </x:c>
      <x:c r="D1170" s="8" t="str">
        <x:v>근거와 함께 답변</x:v>
      </x:c>
      <x:c r="E1170" s="15" t="n">
        <x:v>1168</x:v>
      </x:c>
      <x:c r="F1170" s="8" t="str">
        <x:v>기존 검증 정답</x:v>
      </x:c>
      <x:c r="G1170" s="8" t="str">
        <x:v>https://health.kdca.go.kr/healthinfo/biz/health/gnrlzHealthInfo/gnrlzHealthInfo/gnrlzHealthInfoMain.do</x:v>
      </x:c>
      <x:c r="H1170" s="8" t="str">
        <x:v>{
  "disease": "유비저",
  "section": "역학 및 통계 / 증상",
  "category": "disease"
}</x:v>
      </x:c>
    </x:row>
    <x:row r="1171" ht="54" customHeight="1">
      <x:c r="A1171" s="8" t="str">
        <x:v>gold-disease-9b6d0809c8f551c3</x:v>
      </x:c>
      <x:c r="B1171" s="8" t="str">
        <x:v>kdca-6482-6</x:v>
      </x:c>
      <x:c r="C1171" s="8" t="str">
        <x:v>kdca-6482-6</x:v>
      </x:c>
      <x:c r="D1171" s="8" t="str">
        <x:v>근거와 함께 답변</x:v>
      </x:c>
      <x:c r="E1171" s="15" t="n">
        <x:v>1169</x:v>
      </x:c>
      <x:c r="F1171" s="8" t="str">
        <x:v>기존 검증 정답</x:v>
      </x:c>
      <x:c r="G1171" s="8" t="str">
        <x:v>https://health.kdca.go.kr/healthinfo/biz/health/gnrlzHealthInfo/gnrlzHealthInfo/gnrlzHealthInfoMain.do</x:v>
      </x:c>
      <x:c r="H1171" s="8" t="str">
        <x:v>{
  "disease": "급성신손상(소아)",
  "section": "증상",
  "category": "disease"
}</x:v>
      </x:c>
    </x:row>
    <x:row r="1172" ht="54" customHeight="1">
      <x:c r="A1172" s="8" t="str">
        <x:v>gold-disease-b4e98d8b86769a56</x:v>
      </x:c>
      <x:c r="B1172" s="8" t="str">
        <x:v>kdca-6772-10</x:v>
      </x:c>
      <x:c r="C1172" s="8" t="str">
        <x:v>kdca-6772-10</x:v>
      </x:c>
      <x:c r="D1172" s="8" t="str">
        <x:v>근거와 함께 답변</x:v>
      </x:c>
      <x:c r="E1172" s="15" t="n">
        <x:v>1170</x:v>
      </x:c>
      <x:c r="F1172" s="8" t="str">
        <x:v>기존 검증 정답</x:v>
      </x:c>
      <x:c r="G1172" s="8" t="str">
        <x:v>https://health.kdca.go.kr/healthinfo/biz/health/gnrlzHealthInfo/gnrlzHealthInfo/gnrlzHealthInfoMain.do</x:v>
      </x:c>
      <x:c r="H1172" s="8" t="str">
        <x:v>{
  "disease": "사시",
  "section": "종류",
  "category": "disease"
}</x:v>
      </x:c>
    </x:row>
    <x:row r="1173" ht="54" customHeight="1">
      <x:c r="A1173" s="8" t="str">
        <x:v>gold-disease-na-399e2833ffb82020</x:v>
      </x:c>
      <x:c r="B1173" s="8" t="str"/>
      <x:c r="C1173" s="8" t="str"/>
      <x:c r="D1173" s="8" t="str">
        <x:v>답변 거부 또는 추가 확인 요청</x:v>
      </x:c>
      <x:c r="E1173" s="15" t="n">
        <x:v>1171</x:v>
      </x:c>
      <x:c r="F1173" s="8" t="str">
        <x:v>답변 거부 기준 문구</x:v>
      </x:c>
      <x:c r="G1173" s="8" t="str">
        <x:v>https://health.kdca.go.kr/healthinfo/biz/health/gnrlzHealthInfo/gnrlzHealthInfo/gnrlzHealthInfoMain.do</x:v>
      </x:c>
      <x:c r="H1173" s="8" t="str">
        <x:v>{
  "disease": "모반(점)",
  "section": "진단 및 검사 / 관련 질환",
  "category": "disease"
}</x:v>
      </x:c>
    </x:row>
    <x:row r="1174" ht="54" customHeight="1">
      <x:c r="A1174" s="8" t="str">
        <x:v>gold-disease-2e4047a293396536</x:v>
      </x:c>
      <x:c r="B1174" s="8" t="str">
        <x:v>kdca-6560-13</x:v>
      </x:c>
      <x:c r="C1174" s="8" t="str">
        <x:v>kdca-6560-13</x:v>
      </x:c>
      <x:c r="D1174" s="8" t="str">
        <x:v>근거와 함께 답변</x:v>
      </x:c>
      <x:c r="E1174" s="15" t="n">
        <x:v>1172</x:v>
      </x:c>
      <x:c r="F1174" s="8" t="str">
        <x:v>기존 검증 정답</x:v>
      </x:c>
      <x:c r="G1174" s="8" t="str">
        <x:v>https://health.kdca.go.kr/healthinfo/biz/health/gnrlzHealthInfo/gnrlzHealthInfo/gnrlzHealthInfoMain.do</x:v>
      </x:c>
      <x:c r="H1174" s="8" t="str">
        <x:v>{
  "disease": "간경변증",
  "section": "경과 및 예후",
  "category": "disease"
}</x:v>
      </x:c>
    </x:row>
    <x:row r="1175" ht="54" customHeight="1">
      <x:c r="A1175" s="8" t="str">
        <x:v>gold-disease-1b234ecd80ab70a0</x:v>
      </x:c>
      <x:c r="B1175" s="8" t="str">
        <x:v>kdca-6760-8</x:v>
      </x:c>
      <x:c r="C1175" s="8" t="str">
        <x:v>kdca-6760-8</x:v>
      </x:c>
      <x:c r="D1175" s="8" t="str">
        <x:v>근거와 함께 답변</x:v>
      </x:c>
      <x:c r="E1175" s="15" t="n">
        <x:v>1173</x:v>
      </x:c>
      <x:c r="F1175" s="8" t="str">
        <x:v>VDB 후속 설명 보강</x:v>
      </x:c>
      <x:c r="G1175" s="8" t="str">
        <x:v>https://health.kdca.go.kr/healthinfo/biz/health/gnrlzHealthInfo/gnrlzHealthInfo/gnrlzHealthInfoMain.do</x:v>
      </x:c>
      <x:c r="H1175" s="8" t="str">
        <x:v>{
  "disease": "공수병(광견병)",
  "section": "증상",
  "category": "disease"
}</x:v>
      </x:c>
    </x:row>
    <x:row r="1176" ht="54" customHeight="1">
      <x:c r="A1176" s="8" t="str">
        <x:v>gold-disease-32e701cc4da90093</x:v>
      </x:c>
      <x:c r="B1176" s="8" t="str">
        <x:v>kdca-6755-44</x:v>
      </x:c>
      <x:c r="C1176" s="8" t="str">
        <x:v>kdca-6755-44</x:v>
      </x:c>
      <x:c r="D1176" s="8" t="str">
        <x:v>근거와 함께 답변</x:v>
      </x:c>
      <x:c r="E1176" s="15" t="n">
        <x:v>1174</x:v>
      </x:c>
      <x:c r="F1176" s="8" t="str">
        <x:v>VDB 원인·위험요인 청크 재선정</x:v>
      </x:c>
      <x:c r="G1176" s="8" t="str">
        <x:v>https://health.kdca.go.kr/healthinfo/biz/health/gnrlzHealthInfo/gnrlzHealthInfo/gnrlzHealthInfoMain.do</x:v>
      </x:c>
      <x:c r="H1176" s="8" t="str">
        <x:v>{
  "disease": "패혈증",
  "section": "위험요인 및 예방",
  "category": "disease"
}</x:v>
      </x:c>
    </x:row>
    <x:row r="1177" ht="54" customHeight="1">
      <x:c r="A1177" s="8" t="str">
        <x:v>gold-disease-36cec34c1dcd41d0</x:v>
      </x:c>
      <x:c r="B1177" s="8" t="str">
        <x:v>kdca-5522-3</x:v>
      </x:c>
      <x:c r="C1177" s="8" t="str">
        <x:v>kdca-5522-3</x:v>
      </x:c>
      <x:c r="D1177" s="8" t="str">
        <x:v>근거와 함께 답변</x:v>
      </x:c>
      <x:c r="E1177" s="15" t="n">
        <x:v>1175</x:v>
      </x:c>
      <x:c r="F1177" s="8" t="str">
        <x:v>기존 검증 정답</x:v>
      </x:c>
      <x:c r="G1177" s="8" t="str">
        <x:v>https://health.kdca.go.kr/healthinfo/biz/health/gnrlzHealthInfo/gnrlzHealthInfo/gnrlzHealthInfoMain.do</x:v>
      </x:c>
      <x:c r="H1177" s="8" t="str">
        <x:v>{
  "disease": "바베스열원충증",
  "section": "신고 대상 및 방법 / 원인 및 감염경로 / 역학 및 통계",
  "category": "disease"
}</x:v>
      </x:c>
    </x:row>
    <x:row r="1178" ht="54" customHeight="1">
      <x:c r="A1178" s="8" t="str">
        <x:v>gold-disease-eab8da24df23ad4a</x:v>
      </x:c>
      <x:c r="B1178" s="8" t="str">
        <x:v>kdca-6288-7</x:v>
      </x:c>
      <x:c r="C1178" s="8" t="str">
        <x:v>kdca-6288-7</x:v>
      </x:c>
      <x:c r="D1178" s="8" t="str">
        <x:v>근거와 함께 답변</x:v>
      </x:c>
      <x:c r="E1178" s="15" t="n">
        <x:v>1176</x:v>
      </x:c>
      <x:c r="F1178" s="8" t="str">
        <x:v>VDB 원인·위험요인 청크 재선정</x:v>
      </x:c>
      <x:c r="G1178" s="8" t="str">
        <x:v>https://health.kdca.go.kr/healthinfo/biz/health/gnrlzHealthInfo/gnrlzHealthInfo/gnrlzHealthInfoMain.do</x:v>
      </x:c>
      <x:c r="H1178" s="8" t="str">
        <x:v>{
  "disease": "충치",
  "section": "원인",
  "category": "disease"
}</x:v>
      </x:c>
    </x:row>
    <x:row r="1179" ht="54" customHeight="1">
      <x:c r="A1179" s="8" t="str">
        <x:v>gold-disease-7339c01856cb2cfd</x:v>
      </x:c>
      <x:c r="B1179" s="8" t="str">
        <x:v>kdca-6687-12</x:v>
      </x:c>
      <x:c r="C1179" s="8" t="str">
        <x:v>kdca-6687-12</x:v>
      </x:c>
      <x:c r="D1179" s="8" t="str">
        <x:v>근거와 함께 답변</x:v>
      </x:c>
      <x:c r="E1179" s="15" t="n">
        <x:v>1177</x:v>
      </x:c>
      <x:c r="F1179" s="8" t="str">
        <x:v>기존 검증 정답</x:v>
      </x:c>
      <x:c r="G1179" s="8" t="str">
        <x:v>https://health.kdca.go.kr/healthinfo/biz/health/gnrlzHealthInfo/gnrlzHealthInfo/gnrlzHealthInfoMain.do</x:v>
      </x:c>
      <x:c r="H1179" s="8" t="str">
        <x:v>{
  "disease": "폐경기",
  "section": "진단 및 검사 / 연관 증상",
  "category": "disease"
}</x:v>
      </x:c>
    </x:row>
    <x:row r="1180" ht="54" customHeight="1">
      <x:c r="A1180" s="8" t="str">
        <x:v>gold-disease-66ae5c0a177d0165</x:v>
      </x:c>
      <x:c r="B1180" s="8" t="str">
        <x:v>kdca-5682-30</x:v>
      </x:c>
      <x:c r="C1180" s="8" t="str">
        <x:v>kdca-5682-30</x:v>
      </x:c>
      <x:c r="D1180" s="8" t="str">
        <x:v>근거와 함께 답변</x:v>
      </x:c>
      <x:c r="E1180" s="15" t="n">
        <x:v>1178</x:v>
      </x:c>
      <x:c r="F1180" s="8" t="str">
        <x:v>VDB 후속 설명 보강</x:v>
      </x:c>
      <x:c r="G1180" s="8" t="str">
        <x:v>https://health.kdca.go.kr/healthinfo/biz/health/gnrlzHealthInfo/gnrlzHealthInfo/gnrlzHealthInfoMain.do</x:v>
      </x:c>
      <x:c r="H1180" s="8" t="str">
        <x:v>{
  "disease": "메켈 게실",
  "section": "비약물 치료",
  "category": "disease"
}</x:v>
      </x:c>
    </x:row>
    <x:row r="1181" ht="54" customHeight="1">
      <x:c r="A1181" s="8" t="str">
        <x:v>gold-disease-c9c0096e0f6df4c0</x:v>
      </x:c>
      <x:c r="B1181" s="8" t="str">
        <x:v>kdca-5686-8</x:v>
      </x:c>
      <x:c r="C1181" s="8" t="str">
        <x:v>kdca-5686-8</x:v>
      </x:c>
      <x:c r="D1181" s="8" t="str">
        <x:v>근거와 함께 답변</x:v>
      </x:c>
      <x:c r="E1181" s="15" t="n">
        <x:v>1179</x:v>
      </x:c>
      <x:c r="F1181" s="8" t="str">
        <x:v>기존 검증 정답</x:v>
      </x:c>
      <x:c r="G1181" s="8" t="str">
        <x:v>https://health.kdca.go.kr/healthinfo/biz/health/gnrlzHealthInfo/gnrlzHealthInfo/gnrlzHealthInfoMain.do</x:v>
      </x:c>
      <x:c r="H1181" s="8" t="str">
        <x:v>{
  "disease": "유방종괴",
  "section": "증상",
  "category": "symptom"
}</x:v>
      </x:c>
    </x:row>
    <x:row r="1182" ht="54" customHeight="1">
      <x:c r="A1182" s="8" t="str">
        <x:v>gold-disease-b28639957a92a5df</x:v>
      </x:c>
      <x:c r="B1182" s="8" t="str">
        <x:v>kdca-6584-20</x:v>
      </x:c>
      <x:c r="C1182" s="8" t="str">
        <x:v>kdca-6584-20</x:v>
      </x:c>
      <x:c r="D1182" s="8" t="str">
        <x:v>근거와 함께 답변</x:v>
      </x:c>
      <x:c r="E1182" s="15" t="n">
        <x:v>1180</x:v>
      </x:c>
      <x:c r="F1182" s="8" t="str">
        <x:v>VDB 후속 설명 보강</x:v>
      </x:c>
      <x:c r="G1182" s="8" t="str">
        <x:v>https://health.kdca.go.kr/healthinfo/biz/health/gnrlzHealthInfo/gnrlzHealthInfo/gnrlzHealthInfoMain.do</x:v>
      </x:c>
      <x:c r="H1182" s="8" t="str">
        <x:v>{
  "disease": "화상",
  "section": "생활습관 관리 / 자주하는 질문",
  "category": "disease"
}</x:v>
      </x:c>
    </x:row>
    <x:row r="1183" ht="54" customHeight="1">
      <x:c r="A1183" s="8" t="str">
        <x:v>gold-disease-na-6dc87aade8bf629a</x:v>
      </x:c>
      <x:c r="B1183" s="8" t="str"/>
      <x:c r="C1183" s="8" t="str"/>
      <x:c r="D1183" s="8" t="str">
        <x:v>답변 거부 또는 추가 확인 요청</x:v>
      </x:c>
      <x:c r="E1183" s="15" t="n">
        <x:v>1181</x:v>
      </x:c>
      <x:c r="F1183" s="8" t="str">
        <x:v>답변 거부 기준 문구</x:v>
      </x:c>
      <x:c r="G1183" s="8" t="str">
        <x:v>https://health.kdca.go.kr/healthinfo/biz/health/gnrlzHealthInfo/gnrlzHealthInfo/gnrlzHealthInfoMain.do</x:v>
      </x:c>
      <x:c r="H1183" s="8" t="str">
        <x:v>{
  "disease": "노인 고혈압",
  "section": "증상 / 진단 및 검사",
  "category": "disease"
}</x:v>
      </x:c>
    </x:row>
    <x:row r="1184" ht="54" customHeight="1">
      <x:c r="A1184" s="8" t="str">
        <x:v>gold-disease-ded8ea0dbd9ede24</x:v>
      </x:c>
      <x:c r="B1184" s="8" t="str">
        <x:v>kdca-5266-27</x:v>
      </x:c>
      <x:c r="C1184" s="8" t="str">
        <x:v>kdca-5266-27</x:v>
      </x:c>
      <x:c r="D1184" s="8" t="str">
        <x:v>근거와 함께 답변</x:v>
      </x:c>
      <x:c r="E1184" s="15" t="n">
        <x:v>1182</x:v>
      </x:c>
      <x:c r="F1184" s="8" t="str">
        <x:v>기존 검증 정답</x:v>
      </x:c>
      <x:c r="G1184" s="8" t="str">
        <x:v>https://health.kdca.go.kr/healthinfo/biz/health/gnrlzHealthInfo/gnrlzHealthInfo/gnrlzHealthInfoMain.do</x:v>
      </x:c>
      <x:c r="H1184" s="8" t="str">
        <x:v>{
  "disease": "알레르기결막염",
  "section": "위험요인 및 예방 / 참고문헌",
  "category": "disease"
}</x:v>
      </x:c>
    </x:row>
    <x:row r="1185" ht="54" customHeight="1">
      <x:c r="A1185" s="8" t="str">
        <x:v>gold-disease-64d2b8ec09a229c7</x:v>
      </x:c>
      <x:c r="B1185" s="8" t="str">
        <x:v>kdca-6253-1</x:v>
      </x:c>
      <x:c r="C1185" s="8" t="str">
        <x:v>kdca-6253-1</x:v>
      </x:c>
      <x:c r="D1185" s="8" t="str">
        <x:v>근거와 함께 답변</x:v>
      </x:c>
      <x:c r="E1185" s="15" t="n">
        <x:v>1183</x:v>
      </x:c>
      <x:c r="F1185" s="8" t="str">
        <x:v>기존 검증 정답</x:v>
      </x:c>
      <x:c r="G1185" s="8" t="str">
        <x:v>https://health.kdca.go.kr/healthinfo/biz/health/gnrlzHealthInfo/gnrlzHealthInfo/gnrlzHealthInfoMain.do</x:v>
      </x:c>
      <x:c r="H1185" s="8" t="str">
        <x:v>{
  "disease": "기침(성인)",
  "section": "요약문 / 개요",
  "category": "symptom"
}</x:v>
      </x:c>
    </x:row>
    <x:row r="1186" ht="54" customHeight="1">
      <x:c r="A1186" s="8" t="str">
        <x:v>gold-disease-7ac3656f12d9ff91</x:v>
      </x:c>
      <x:c r="B1186" s="8" t="str">
        <x:v>kdca-5821-9</x:v>
      </x:c>
      <x:c r="C1186" s="8" t="str">
        <x:v>kdca-5821-9</x:v>
      </x:c>
      <x:c r="D1186" s="8" t="str">
        <x:v>근거와 함께 답변</x:v>
      </x:c>
      <x:c r="E1186" s="15" t="n">
        <x:v>1184</x:v>
      </x:c>
      <x:c r="F1186" s="8" t="str">
        <x:v>기존 검증 정답</x:v>
      </x:c>
      <x:c r="G1186" s="8" t="str">
        <x:v>https://health.kdca.go.kr/healthinfo/biz/health/gnrlzHealthInfo/gnrlzHealthInfo/gnrlzHealthInfoMain.do</x:v>
      </x:c>
      <x:c r="H1186" s="8" t="str">
        <x:v>{
  "disease": "담관염",
  "section": "증상",
  "category": "disease"
}</x:v>
      </x:c>
    </x:row>
    <x:row r="1187" ht="54" customHeight="1">
      <x:c r="A1187" s="8" t="str">
        <x:v>gold-disease-04f21efbb23f15cd</x:v>
      </x:c>
      <x:c r="B1187" s="8" t="str">
        <x:v>kdca-6487-1</x:v>
      </x:c>
      <x:c r="C1187" s="8" t="str">
        <x:v>kdca-6487-1</x:v>
      </x:c>
      <x:c r="D1187" s="8" t="str">
        <x:v>근거와 함께 답변</x:v>
      </x:c>
      <x:c r="E1187" s="15" t="n">
        <x:v>1185</x:v>
      </x:c>
      <x:c r="F1187" s="8" t="str">
        <x:v>기존 검증 정답</x:v>
      </x:c>
      <x:c r="G1187" s="8" t="str">
        <x:v>https://health.kdca.go.kr/healthinfo/biz/health/gnrlzHealthInfo/gnrlzHealthInfo/gnrlzHealthInfoMain.do</x:v>
      </x:c>
      <x:c r="H1187" s="8" t="str">
        <x:v>{
  "disease": "손떨림(수전증)",
  "section": "개요",
  "category": "disease"
}</x:v>
      </x:c>
    </x:row>
    <x:row r="1188" ht="54" customHeight="1">
      <x:c r="A1188" s="8" t="str">
        <x:v>gold-disease-afeba7dcbea4d344</x:v>
      </x:c>
      <x:c r="B1188" s="8" t="str">
        <x:v>kdca-5846-3</x:v>
      </x:c>
      <x:c r="C1188" s="8" t="str">
        <x:v>kdca-5846-3</x:v>
      </x:c>
      <x:c r="D1188" s="8" t="str">
        <x:v>근거와 함께 답변</x:v>
      </x:c>
      <x:c r="E1188" s="15" t="n">
        <x:v>1186</x:v>
      </x:c>
      <x:c r="F1188" s="8" t="str">
        <x:v>VDB 정의 문장 재선정</x:v>
      </x:c>
      <x:c r="G1188" s="8" t="str">
        <x:v>https://health.kdca.go.kr/healthinfo/biz/health/gnrlzHealthInfo/gnrlzHealthInfo/gnrlzHealthInfoMain.do</x:v>
      </x:c>
      <x:c r="H1188" s="8" t="str">
        <x:v>{
  "disease": "눈 충혈",
  "section": "원인",
  "category": "disease"
}</x:v>
      </x:c>
    </x:row>
    <x:row r="1189" ht="54" customHeight="1">
      <x:c r="A1189" s="8" t="str">
        <x:v>gold-disease-566f5307572e8f95</x:v>
      </x:c>
      <x:c r="B1189" s="8" t="str">
        <x:v>kdca-5310-32</x:v>
      </x:c>
      <x:c r="C1189" s="8" t="str">
        <x:v>kdca-5310-32</x:v>
      </x:c>
      <x:c r="D1189" s="8" t="str">
        <x:v>근거와 함께 답변</x:v>
      </x:c>
      <x:c r="E1189" s="15" t="n">
        <x:v>1187</x:v>
      </x:c>
      <x:c r="F1189" s="8" t="str">
        <x:v>기존 검증 정답</x:v>
      </x:c>
      <x:c r="G1189" s="8" t="str">
        <x:v>https://health.kdca.go.kr/healthinfo/biz/health/gnrlzHealthInfo/gnrlzHealthInfo/gnrlzHealthInfoMain.do</x:v>
      </x:c>
      <x:c r="H1189" s="8" t="str">
        <x:v>{
  "disease": "알코올 간질환",
  "section": "증상",
  "category": "disease"
}</x:v>
      </x:c>
    </x:row>
    <x:row r="1190" ht="54" customHeight="1">
      <x:c r="A1190" s="8" t="str">
        <x:v>gold-disease-2b891db14e64fbfb</x:v>
      </x:c>
      <x:c r="B1190" s="8" t="str">
        <x:v>kdca-5726-28</x:v>
      </x:c>
      <x:c r="C1190" s="8" t="str">
        <x:v>kdca-5726-28</x:v>
      </x:c>
      <x:c r="D1190" s="8" t="str">
        <x:v>근거와 함께 답변</x:v>
      </x:c>
      <x:c r="E1190" s="15" t="n">
        <x:v>1188</x:v>
      </x:c>
      <x:c r="F1190" s="8" t="str">
        <x:v>VDB 후속 설명 보강</x:v>
      </x:c>
      <x:c r="G1190" s="8" t="str">
        <x:v>https://health.kdca.go.kr/healthinfo/biz/health/gnrlzHealthInfo/gnrlzHealthInfo/gnrlzHealthInfoMain.do</x:v>
      </x:c>
      <x:c r="H1190" s="8" t="str">
        <x:v>{
  "disease": "인두편도염",
  "section": "비약물 치료",
  "category": "disease"
}</x:v>
      </x:c>
    </x:row>
    <x:row r="1191" ht="54" customHeight="1">
      <x:c r="A1191" s="8" t="str">
        <x:v>gold-disease-3e149630a20891db</x:v>
      </x:c>
      <x:c r="B1191" s="8" t="str">
        <x:v>kdca-3447-23</x:v>
      </x:c>
      <x:c r="C1191" s="8" t="str">
        <x:v>kdca-3447-23</x:v>
      </x:c>
      <x:c r="D1191" s="8" t="str">
        <x:v>근거와 함께 답변</x:v>
      </x:c>
      <x:c r="E1191" s="15" t="n">
        <x:v>1189</x:v>
      </x:c>
      <x:c r="F1191" s="8" t="str">
        <x:v>기존 검증 정답</x:v>
      </x:c>
      <x:c r="G1191" s="8" t="str">
        <x:v>https://health.kdca.go.kr/healthinfo/biz/health/gnrlzHealthInfo/gnrlzHealthInfo/gnrlzHealthInfoMain.do</x:v>
      </x:c>
      <x:c r="H1191" s="8" t="str">
        <x:v>{
  "disease": "대장게실증",
  "section": "진단 및 검사",
  "category": "disease"
}</x:v>
      </x:c>
    </x:row>
    <x:row r="1192" ht="54" customHeight="1">
      <x:c r="A1192" s="8" t="str">
        <x:v>gold-disease-na-07e065b18ba6e6fb</x:v>
      </x:c>
      <x:c r="B1192" s="8" t="str"/>
      <x:c r="C1192" s="8" t="str"/>
      <x:c r="D1192" s="8" t="str">
        <x:v>답변 거부 또는 추가 확인 요청</x:v>
      </x:c>
      <x:c r="E1192" s="15" t="n">
        <x:v>1190</x:v>
      </x:c>
      <x:c r="F1192" s="8" t="str">
        <x:v>답변 거부 기준 문구</x:v>
      </x:c>
      <x:c r="G1192" s="8" t="str">
        <x:v>https://health.kdca.go.kr/healthinfo/biz/health/gnrlzHealthInfo/gnrlzHealthInfo/gnrlzHealthInfoMain.do</x:v>
      </x:c>
      <x:c r="H1192" s="8" t="str">
        <x:v>{
  "disease": "메니에르병",
  "section": "진단 및 검사",
  "category": "disease"
}</x:v>
      </x:c>
    </x:row>
    <x:row r="1193" ht="54" customHeight="1">
      <x:c r="A1193" s="8" t="str">
        <x:v>gold-disease-feb0402c5fda58cc</x:v>
      </x:c>
      <x:c r="B1193" s="8" t="str">
        <x:v>kdca-5521-12</x:v>
      </x:c>
      <x:c r="C1193" s="8" t="str">
        <x:v>kdca-5521-12</x:v>
      </x:c>
      <x:c r="D1193" s="8" t="str">
        <x:v>근거와 함께 답변</x:v>
      </x:c>
      <x:c r="E1193" s="15" t="n">
        <x:v>1191</x:v>
      </x:c>
      <x:c r="F1193" s="8" t="str">
        <x:v>기존 검증 정답</x:v>
      </x:c>
      <x:c r="G1193" s="8" t="str">
        <x:v>https://health.kdca.go.kr/healthinfo/biz/health/gnrlzHealthInfo/gnrlzHealthInfo/gnrlzHealthInfoMain.do</x:v>
      </x:c>
      <x:c r="H1193" s="8" t="str">
        <x:v>{
  "disease": "리슈만편모충증",
  "section": "예방 및 예방접종 / 치료",
  "category": "disease"
}</x:v>
      </x:c>
    </x:row>
    <x:row r="1194" ht="54" customHeight="1">
      <x:c r="A1194" s="8" t="str">
        <x:v>gold-disease-79b6ac45b783fcf4</x:v>
      </x:c>
      <x:c r="B1194" s="8" t="str">
        <x:v>kdca-5285-13</x:v>
      </x:c>
      <x:c r="C1194" s="8" t="str">
        <x:v>kdca-5285-13</x:v>
      </x:c>
      <x:c r="D1194" s="8" t="str">
        <x:v>근거와 함께 답변</x:v>
      </x:c>
      <x:c r="E1194" s="15" t="n">
        <x:v>1192</x:v>
      </x:c>
      <x:c r="F1194" s="8" t="str">
        <x:v>기존 검증 정답</x:v>
      </x:c>
      <x:c r="G1194" s="8" t="str">
        <x:v>https://health.kdca.go.kr/healthinfo/biz/health/gnrlzHealthInfo/gnrlzHealthInfo/gnrlzHealthInfoMain.do</x:v>
      </x:c>
      <x:c r="H1194" s="8" t="str">
        <x:v>{
  "disease": "불명열",
  "section": "진단 및 검사",
  "category": "symptom"
}</x:v>
      </x:c>
    </x:row>
    <x:row r="1195" ht="54" customHeight="1">
      <x:c r="A1195" s="8" t="str">
        <x:v>gold-disease-80f0c56e2a855d5e</x:v>
      </x:c>
      <x:c r="B1195" s="8" t="str">
        <x:v>kdca-5698-41</x:v>
      </x:c>
      <x:c r="C1195" s="8" t="str">
        <x:v>kdca-5698-41</x:v>
      </x:c>
      <x:c r="D1195" s="8" t="str">
        <x:v>근거와 함께 답변</x:v>
      </x:c>
      <x:c r="E1195" s="15" t="n">
        <x:v>1193</x:v>
      </x:c>
      <x:c r="F1195" s="8" t="str">
        <x:v>VDB 후속 설명 보강</x:v>
      </x:c>
      <x:c r="G1195" s="8" t="str">
        <x:v>https://health.kdca.go.kr/healthinfo/biz/health/gnrlzHealthInfo/gnrlzHealthInfo/gnrlzHealthInfoMain.do</x:v>
      </x:c>
      <x:c r="H1195" s="8" t="str">
        <x:v>{
  "disease": "생리통",
  "section": "위험요인 및 예방",
  "category": "disease"
}</x:v>
      </x:c>
    </x:row>
    <x:row r="1196" ht="54" customHeight="1">
      <x:c r="A1196" s="8" t="str">
        <x:v>gold-disease-cad12a77304764b9</x:v>
      </x:c>
      <x:c r="B1196" s="8" t="str">
        <x:v>kdca-4027-3</x:v>
      </x:c>
      <x:c r="C1196" s="8" t="str">
        <x:v>kdca-4027-3</x:v>
      </x:c>
      <x:c r="D1196" s="8" t="str">
        <x:v>근거와 함께 답변</x:v>
      </x:c>
      <x:c r="E1196" s="15" t="n">
        <x:v>1194</x:v>
      </x:c>
      <x:c r="F1196" s="8" t="str">
        <x:v>VDB 정의 문장 재선정</x:v>
      </x:c>
      <x:c r="G1196" s="8" t="str">
        <x:v>https://health.kdca.go.kr/healthinfo/biz/health/gnrlzHealthInfo/gnrlzHealthInfo/gnrlzHealthInfoMain.do</x:v>
      </x:c>
      <x:c r="H1196" s="8" t="str">
        <x:v>{
  "disease": "언어장애",
  "section": "개요",
  "category": "disease"
}</x:v>
      </x:c>
    </x:row>
    <x:row r="1197" ht="54" customHeight="1">
      <x:c r="A1197" s="8" t="str">
        <x:v>gold-disease-9c499bb1b67ef2db</x:v>
      </x:c>
      <x:c r="B1197" s="8" t="str">
        <x:v>kdca-5223-16</x:v>
      </x:c>
      <x:c r="C1197" s="8" t="str">
        <x:v>kdca-5223-16</x:v>
      </x:c>
      <x:c r="D1197" s="8" t="str">
        <x:v>근거와 함께 답변</x:v>
      </x:c>
      <x:c r="E1197" s="15" t="n">
        <x:v>1195</x:v>
      </x:c>
      <x:c r="F1197" s="8" t="str">
        <x:v>기존 검증 정답</x:v>
      </x:c>
      <x:c r="G1197" s="8" t="str">
        <x:v>https://health.kdca.go.kr/healthinfo/biz/health/gnrlzHealthInfo/gnrlzHealthInfo/gnrlzHealthInfoMain.do</x:v>
      </x:c>
      <x:c r="H1197" s="8" t="str">
        <x:v>{
  "disease": "비문증(날파리증)",
  "section": "증상 / 진단 및 검사",
  "category": "disease"
}</x:v>
      </x:c>
    </x:row>
    <x:row r="1198" ht="54" customHeight="1">
      <x:c r="A1198" s="8" t="str">
        <x:v>gold-disease-na-96da58d114cb85a5</x:v>
      </x:c>
      <x:c r="B1198" s="8" t="str"/>
      <x:c r="C1198" s="8" t="str"/>
      <x:c r="D1198" s="8" t="str">
        <x:v>답변 거부 또는 추가 확인 요청</x:v>
      </x:c>
      <x:c r="E1198" s="15" t="n">
        <x:v>1196</x:v>
      </x:c>
      <x:c r="F1198" s="8" t="str">
        <x:v>답변 거부 기준 문구</x:v>
      </x:c>
      <x:c r="G1198" s="8" t="str">
        <x:v>https://health.kdca.go.kr/healthinfo/biz/health/gnrlzHealthInfo/gnrlzHealthInfo/gnrlzHealthInfoMain.do</x:v>
      </x:c>
      <x:c r="H1198" s="8" t="str">
        <x:v>{
  "disease": "노인 부종",
  "section": "종류 / 원인",
  "category": "symptom"
}</x:v>
      </x:c>
    </x:row>
    <x:row r="1199" ht="54" customHeight="1">
      <x:c r="A1199" s="8" t="str">
        <x:v>gold-disease-9ecf014e893fa225</x:v>
      </x:c>
      <x:c r="B1199" s="8" t="str">
        <x:v>kdca-6317-25</x:v>
      </x:c>
      <x:c r="C1199" s="8" t="str">
        <x:v>kdca-6317-25</x:v>
      </x:c>
      <x:c r="D1199" s="8" t="str">
        <x:v>근거와 함께 답변</x:v>
      </x:c>
      <x:c r="E1199" s="15" t="n">
        <x:v>1197</x:v>
      </x:c>
      <x:c r="F1199" s="8" t="str">
        <x:v>VDB 후속 설명 보강</x:v>
      </x:c>
      <x:c r="G1199" s="8" t="str">
        <x:v>https://health.kdca.go.kr/healthinfo/biz/health/gnrlzHealthInfo/gnrlzHealthInfo/gnrlzHealthInfoMain.do</x:v>
      </x:c>
      <x:c r="H1199" s="8" t="str">
        <x:v>{
  "disease": "혈관종",
  "section": "자주하는 질문",
  "category": "disease"
}</x:v>
      </x:c>
    </x:row>
    <x:row r="1200" ht="54" customHeight="1">
      <x:c r="A1200" s="8" t="str">
        <x:v>gold-disease-a89fd832ff2df076</x:v>
      </x:c>
      <x:c r="B1200" s="8" t="str">
        <x:v>kdca-1381-1</x:v>
      </x:c>
      <x:c r="C1200" s="8" t="str">
        <x:v>kdca-1381-1</x:v>
      </x:c>
      <x:c r="D1200" s="8" t="str">
        <x:v>근거와 함께 답변</x:v>
      </x:c>
      <x:c r="E1200" s="15" t="n">
        <x:v>1198</x:v>
      </x:c>
      <x:c r="F1200" s="8" t="str">
        <x:v>기존 검증 정답</x:v>
      </x:c>
      <x:c r="G1200" s="8" t="str">
        <x:v>https://health.kdca.go.kr/healthinfo/biz/health/gnrlzHealthInfo/gnrlzHealthInfo/gnrlzHealthInfoMain.do</x:v>
      </x:c>
      <x:c r="H1200" s="8" t="str">
        <x:v>{
  "disease": "안외상(각막화상)",
  "section": "요약문 / 정의 / 원인",
  "category": "disease"
}</x:v>
      </x:c>
    </x:row>
    <x:row r="1201" ht="54" customHeight="1">
      <x:c r="A1201" s="8" t="str">
        <x:v>gold-disease-0480d7f8597ae896</x:v>
      </x:c>
      <x:c r="B1201" s="8" t="str">
        <x:v>kdca-5269-9</x:v>
      </x:c>
      <x:c r="C1201" s="8" t="str">
        <x:v>kdca-5269-9</x:v>
      </x:c>
      <x:c r="D1201" s="8" t="str">
        <x:v>근거와 함께 답변</x:v>
      </x:c>
      <x:c r="E1201" s="15" t="n">
        <x:v>1199</x:v>
      </x:c>
      <x:c r="F1201" s="8" t="str">
        <x:v>VDB 원인·위험요인 청크 재선정</x:v>
      </x:c>
      <x:c r="G1201" s="8" t="str">
        <x:v>https://health.kdca.go.kr/healthinfo/biz/health/gnrlzHealthInfo/gnrlzHealthInfo/gnrlzHealthInfoMain.do</x:v>
      </x:c>
      <x:c r="H1201" s="8" t="str">
        <x:v>{
  "disease": "황반변성",
  "section": "원인",
  "category": "disease"
}</x:v>
      </x:c>
    </x:row>
    <x:row r="1202" ht="54" customHeight="1">
      <x:c r="A1202" s="8" t="str">
        <x:v>gold-disease-3583153ab9928da6</x:v>
      </x:c>
      <x:c r="B1202" s="8" t="str">
        <x:v>kdca-6556-20</x:v>
      </x:c>
      <x:c r="C1202" s="8" t="str">
        <x:v>kdca-6556-20</x:v>
      </x:c>
      <x:c r="D1202" s="8" t="str">
        <x:v>근거와 함께 답변</x:v>
      </x:c>
      <x:c r="E1202" s="15" t="n">
        <x:v>1200</x:v>
      </x:c>
      <x:c r="F1202" s="8" t="str">
        <x:v>기존 검증 정답</x:v>
      </x:c>
      <x:c r="G1202" s="8" t="str">
        <x:v>https://health.kdca.go.kr/healthinfo/biz/health/gnrlzHealthInfo/gnrlzHealthInfo/gnrlzHealthInfoMain.do</x:v>
      </x:c>
      <x:c r="H1202" s="8" t="str">
        <x:v>{
  "disease": "류마티스관절염",
  "section": "진단 및 검사",
  "category": "disease"
}</x:v>
      </x:c>
    </x:row>
    <x:row r="1203" ht="54" customHeight="1">
      <x:c r="A1203" s="8" t="str">
        <x:v>gold-disease-2067a5c9f234d46b</x:v>
      </x:c>
      <x:c r="B1203" s="8" t="str">
        <x:v>kdca-5498-14</x:v>
      </x:c>
      <x:c r="C1203" s="8" t="str">
        <x:v>kdca-5498-14</x:v>
      </x:c>
      <x:c r="D1203" s="8" t="str">
        <x:v>근거와 함께 답변</x:v>
      </x:c>
      <x:c r="E1203" s="15" t="n">
        <x:v>1201</x:v>
      </x:c>
      <x:c r="F1203" s="8" t="str">
        <x:v>기존 검증 정답</x:v>
      </x:c>
      <x:c r="G1203" s="8" t="str">
        <x:v>https://health.kdca.go.kr/healthinfo/biz/health/gnrlzHealthInfo/gnrlzHealthInfo/gnrlzHealthInfoMain.do</x:v>
      </x:c>
      <x:c r="H1203" s="8" t="str">
        <x:v>{
  "disease": "뇌하수체기능저하증(소아)",
  "section": "증상",
  "category": "disease"
}</x:v>
      </x:c>
    </x:row>
    <x:row r="1204" ht="54" customHeight="1">
      <x:c r="A1204" s="8" t="str">
        <x:v>gold-disease-c34e90f2355234b5</x:v>
      </x:c>
      <x:c r="B1204" s="8" t="str">
        <x:v>kdca-5311-11</x:v>
      </x:c>
      <x:c r="C1204" s="8" t="str">
        <x:v>kdca-5311-11</x:v>
      </x:c>
      <x:c r="D1204" s="8" t="str">
        <x:v>근거와 함께 답변</x:v>
      </x:c>
      <x:c r="E1204" s="15" t="n">
        <x:v>1202</x:v>
      </x:c>
      <x:c r="F1204" s="8" t="str">
        <x:v>기존 검증 정답</x:v>
      </x:c>
      <x:c r="G1204" s="8" t="str">
        <x:v>https://health.kdca.go.kr/healthinfo/biz/health/gnrlzHealthInfo/gnrlzHealthInfo/gnrlzHealthInfoMain.do</x:v>
      </x:c>
      <x:c r="H1204" s="8" t="str">
        <x:v>{
  "disease": "연성하감",
  "section": "대상별 맞춤 정보 / 참고문헌",
  "category": "disease"
}</x:v>
      </x:c>
    </x:row>
    <x:row r="1205" ht="54" customHeight="1">
      <x:c r="A1205" s="8" t="str">
        <x:v>gold-disease-decd4d27aae0dd58</x:v>
      </x:c>
      <x:c r="B1205" s="8" t="str">
        <x:v>kdca-5494-4</x:v>
      </x:c>
      <x:c r="C1205" s="8" t="str">
        <x:v>kdca-5494-4</x:v>
      </x:c>
      <x:c r="D1205" s="8" t="str">
        <x:v>근거와 함께 답변</x:v>
      </x:c>
      <x:c r="E1205" s="15" t="n">
        <x:v>1203</x:v>
      </x:c>
      <x:c r="F1205" s="8" t="str">
        <x:v>VDB 후속 설명 보강</x:v>
      </x:c>
      <x:c r="G1205" s="8" t="str">
        <x:v>https://health.kdca.go.kr/healthinfo/biz/health/gnrlzHealthInfo/gnrlzHealthInfo/gnrlzHealthInfoMain.do</x:v>
      </x:c>
      <x:c r="H1205" s="8" t="str">
        <x:v>{
  "disease": "흉곽기형(오목가슴, 함몰흉, 누두흉)",
  "section": "증상 / 진단 및 검사",
  "category": "disease"
}</x:v>
      </x:c>
    </x:row>
    <x:row r="1206" ht="54" customHeight="1">
      <x:c r="A1206" s="8" t="str">
        <x:v>gold-disease-8c79b77668f451a0</x:v>
      </x:c>
      <x:c r="B1206" s="8" t="str">
        <x:v>kdca-1807-1</x:v>
      </x:c>
      <x:c r="C1206" s="8" t="str">
        <x:v>kdca-1807-1</x:v>
      </x:c>
      <x:c r="D1206" s="8" t="str">
        <x:v>근거와 함께 답변</x:v>
      </x:c>
      <x:c r="E1206" s="15" t="n">
        <x:v>1204</x:v>
      </x:c>
      <x:c r="F1206" s="8" t="str">
        <x:v>기존 검증 정답</x:v>
      </x:c>
      <x:c r="G1206" s="8" t="str">
        <x:v>https://health.kdca.go.kr/healthinfo/biz/health/gnrlzHealthInfo/gnrlzHealthInfo/gnrlzHealthInfoMain.do</x:v>
      </x:c>
      <x:c r="H1206" s="8" t="str">
        <x:v>{
  "disease": "성조숙증",
  "section": "요약문 / 정의",
  "category": "disease"
}</x:v>
      </x:c>
    </x:row>
    <x:row r="1207" ht="54" customHeight="1">
      <x:c r="A1207" s="8" t="str">
        <x:v>gold-disease-2e38fb188f48a1b1</x:v>
      </x:c>
      <x:c r="B1207" s="8" t="str">
        <x:v>kdca-6482-0</x:v>
      </x:c>
      <x:c r="C1207" s="8" t="str">
        <x:v>kdca-6482-0</x:v>
      </x:c>
      <x:c r="D1207" s="8" t="str">
        <x:v>근거와 함께 답변</x:v>
      </x:c>
      <x:c r="E1207" s="15" t="n">
        <x:v>1205</x:v>
      </x:c>
      <x:c r="F1207" s="8" t="str">
        <x:v>기존 검증 정답</x:v>
      </x:c>
      <x:c r="G1207" s="8" t="str">
        <x:v>https://health.kdca.go.kr/healthinfo/biz/health/gnrlzHealthInfo/gnrlzHealthInfo/gnrlzHealthInfoMain.do</x:v>
      </x:c>
      <x:c r="H1207" s="8" t="str">
        <x:v>{
  "disease": "급성신손상(소아)",
  "section": "정의 / 원인",
  "category": "disease"
}</x:v>
      </x:c>
    </x:row>
    <x:row r="1208" ht="54" customHeight="1">
      <x:c r="A1208" s="8" t="str">
        <x:v>gold-disease-3b16c7532a1456ae</x:v>
      </x:c>
      <x:c r="B1208" s="8" t="str">
        <x:v>kdca-6673-5</x:v>
      </x:c>
      <x:c r="C1208" s="8" t="str">
        <x:v>kdca-6673-5</x:v>
      </x:c>
      <x:c r="D1208" s="8" t="str">
        <x:v>근거와 함께 답변</x:v>
      </x:c>
      <x:c r="E1208" s="15" t="n">
        <x:v>1206</x:v>
      </x:c>
      <x:c r="F1208" s="8" t="str">
        <x:v>기존 검증 정답</x:v>
      </x:c>
      <x:c r="G1208" s="8" t="str">
        <x:v>https://health.kdca.go.kr/healthinfo/biz/health/gnrlzHealthInfo/gnrlzHealthInfo/gnrlzHealthInfoMain.do</x:v>
      </x:c>
      <x:c r="H1208" s="8" t="str">
        <x:v>{
  "disease": "대사이상지방간질환",
  "section": "개요 / 종류",
  "category": "disease"
}</x:v>
      </x:c>
    </x:row>
    <x:row r="1209" ht="54" customHeight="1">
      <x:c r="A1209" s="8" t="str">
        <x:v>gold-disease-564333ad8dc767f0</x:v>
      </x:c>
      <x:c r="B1209" s="8" t="str">
        <x:v>kdca-1607-4</x:v>
      </x:c>
      <x:c r="C1209" s="8" t="str">
        <x:v>kdca-1607-4</x:v>
      </x:c>
      <x:c r="D1209" s="8" t="str">
        <x:v>근거와 함께 답변</x:v>
      </x:c>
      <x:c r="E1209" s="15" t="n">
        <x:v>1207</x:v>
      </x:c>
      <x:c r="F1209" s="8" t="str">
        <x:v>기존 검증 정답</x:v>
      </x:c>
      <x:c r="G1209" s="8" t="str">
        <x:v>https://health.kdca.go.kr/healthinfo/biz/health/gnrlzHealthInfo/gnrlzHealthInfo/gnrlzHealthInfoMain.do</x:v>
      </x:c>
      <x:c r="H1209" s="8" t="str">
        <x:v>{
  "disease": "외이도염(알레르기외이도염)",
  "section": "진단 및 검사",
  "category": "disease"
}</x:v>
      </x:c>
    </x:row>
    <x:row r="1210" ht="54" customHeight="1">
      <x:c r="A1210" s="8" t="str">
        <x:v>gold-disease-2b78850004596394</x:v>
      </x:c>
      <x:c r="B1210" s="8" t="str">
        <x:v>kdca-5222-19</x:v>
      </x:c>
      <x:c r="C1210" s="8" t="str">
        <x:v>kdca-5222-19</x:v>
      </x:c>
      <x:c r="D1210" s="8" t="str">
        <x:v>근거와 함께 답변</x:v>
      </x:c>
      <x:c r="E1210" s="15" t="n">
        <x:v>1208</x:v>
      </x:c>
      <x:c r="F1210" s="8" t="str">
        <x:v>기존 검증 정답</x:v>
      </x:c>
      <x:c r="G1210" s="8" t="str">
        <x:v>https://health.kdca.go.kr/healthinfo/biz/health/gnrlzHealthInfo/gnrlzHealthInfo/gnrlzHealthInfoMain.do</x:v>
      </x:c>
      <x:c r="H1210" s="8" t="str">
        <x:v>{
  "disease": "미숙아망막병증",
  "section": "합병증",
  "category": "disease"
}</x:v>
      </x:c>
    </x:row>
    <x:row r="1211" ht="54" customHeight="1">
      <x:c r="A1211" s="8" t="str">
        <x:v>gold-disease-9a580122c1810e64</x:v>
      </x:c>
      <x:c r="B1211" s="8" t="str">
        <x:v>kdca-5236-15</x:v>
      </x:c>
      <x:c r="C1211" s="8" t="str">
        <x:v>kdca-5236-15</x:v>
      </x:c>
      <x:c r="D1211" s="8" t="str">
        <x:v>근거와 함께 답변</x:v>
      </x:c>
      <x:c r="E1211" s="15" t="n">
        <x:v>1209</x:v>
      </x:c>
      <x:c r="F1211" s="8" t="str">
        <x:v>기존 검증 정답</x:v>
      </x:c>
      <x:c r="G1211" s="8" t="str">
        <x:v>https://health.kdca.go.kr/healthinfo/biz/health/gnrlzHealthInfo/gnrlzHealthInfo/gnrlzHealthInfoMain.do</x:v>
      </x:c>
      <x:c r="H1211" s="8" t="str">
        <x:v>{
  "disease": "감염단핵구증",
  "section": "진단 및 검사",
  "category": "disease"
}</x:v>
      </x:c>
    </x:row>
    <x:row r="1212" ht="54" customHeight="1">
      <x:c r="A1212" s="8" t="str">
        <x:v>gold-disease-98ad6d746368aad0</x:v>
      </x:c>
      <x:c r="B1212" s="8" t="str">
        <x:v>kdca-5723-0</x:v>
      </x:c>
      <x:c r="C1212" s="8" t="str">
        <x:v>kdca-5723-0</x:v>
      </x:c>
      <x:c r="D1212" s="8" t="str">
        <x:v>근거와 함께 답변</x:v>
      </x:c>
      <x:c r="E1212" s="15" t="n">
        <x:v>1210</x:v>
      </x:c>
      <x:c r="F1212" s="8" t="str">
        <x:v>기존 검증 정답</x:v>
      </x:c>
      <x:c r="G1212" s="8" t="str">
        <x:v>https://health.kdca.go.kr/healthinfo/biz/health/gnrlzHealthInfo/gnrlzHealthInfo/gnrlzHealthInfoMain.do</x:v>
      </x:c>
      <x:c r="H1212" s="8" t="str">
        <x:v>{
  "disease": "신생아 황달",
  "section": "요약문",
  "category": "disease"
}</x:v>
      </x:c>
    </x:row>
    <x:row r="1213" ht="54" customHeight="1">
      <x:c r="A1213" s="8" t="str">
        <x:v>gold-medication-na-79612f0d205b481d</x:v>
      </x:c>
      <x:c r="B1213" s="8" t="str"/>
      <x:c r="C1213" s="8" t="str"/>
      <x:c r="D1213" s="8" t="str">
        <x:v>답변 거부 또는 추가 확인 요청</x:v>
      </x:c>
      <x:c r="E1213" s="15" t="n">
        <x:v>1211</x:v>
      </x:c>
      <x:c r="F1213" s="8" t="str">
        <x:v>답변 거부 기준 문구</x:v>
      </x:c>
      <x:c r="G1213" s="8" t="str">
        <x:v>https://apis.data.go.kr/1471000/DrbEasyDrugInfoService/getDrbEasyDrugList</x:v>
      </x:c>
      <x:c r="H1213" s="8" t="str">
        <x:v>{
  "item_seq": "201206882",
  "item_name": "파비안에스정",
  "manufacturer": "(주)서울제약",
  "section_codes": [
    "warning",
    "precautions",
    "adverse_reactions"
  ]
}</x:v>
      </x:c>
    </x:row>
    <x:row r="1214" ht="54" customHeight="1">
      <x:c r="A1214" s="8" t="str">
        <x:v>gold-medication-8f6dca0fa2475bb4</x:v>
      </x:c>
      <x:c r="B1214" s="8" t="str">
        <x:v>eyak:201601386:storage:001</x:v>
      </x:c>
      <x:c r="C1214" s="8" t="str">
        <x:v>eyak:201601386:storage:001</x:v>
      </x:c>
      <x:c r="D1214" s="8" t="str">
        <x:v>근거와 함께 답변</x:v>
      </x:c>
      <x:c r="E1214" s="15" t="n">
        <x:v>1212</x:v>
      </x:c>
      <x:c r="F1214" s="8" t="str">
        <x:v>기존 검증 정답</x:v>
      </x:c>
      <x:c r="G1214" s="8" t="str">
        <x:v>https://apis.data.go.kr/1471000/DrbEasyDrugInfoService/getDrbEasyDrugList</x:v>
      </x:c>
      <x:c r="H1214" s="8" t="str">
        <x:v>{
  "item_seq": "201601386",
  "item_name": "에이치엠씨엔에프산(과탄산나트륨)",
  "manufacturer": "동아참메드주식회사",
  "section_codes": [
    "storage"
  ]
}</x:v>
      </x:c>
    </x:row>
    <x:row r="1215" ht="54" customHeight="1">
      <x:c r="A1215" s="8" t="str">
        <x:v>gold-medication-f4e5144c2e774033</x:v>
      </x:c>
      <x:c r="B1215" s="8" t="str">
        <x:v>eyak:200901619:efficacy:001</x:v>
      </x:c>
      <x:c r="C1215" s="8" t="str">
        <x:v>eyak:200901619:efficacy:001</x:v>
      </x:c>
      <x:c r="D1215" s="8" t="str">
        <x:v>근거와 함께 답변</x:v>
      </x:c>
      <x:c r="E1215" s="15" t="n">
        <x:v>1213</x:v>
      </x:c>
      <x:c r="F1215" s="8" t="str">
        <x:v>기존 검증 정답</x:v>
      </x:c>
      <x:c r="G1215" s="8" t="str">
        <x:v>https://apis.data.go.kr/1471000/DrbEasyDrugInfoService/getDrbEasyDrugList</x:v>
      </x:c>
      <x:c r="H1215" s="8" t="str">
        <x:v>{
  "item_seq": "200901619",
  "item_name": "알룬정",
  "manufacturer": "(주)휴온스",
  "section_codes": [
    "efficacy"
  ]
}</x:v>
      </x:c>
    </x:row>
    <x:row r="1216" ht="54" customHeight="1">
      <x:c r="A1216" s="8" t="str">
        <x:v>gold-medication-5d1e32fb8f8e4755</x:v>
      </x:c>
      <x:c r="B1216" s="8" t="str">
        <x:v>eyak:202001153:precautions:001</x:v>
      </x:c>
      <x:c r="C1216" s="8" t="str">
        <x:v>eyak:202001153:precautions:001
eyak:202001153:precautions:002
eyak:202001153:precautions:003</x:v>
      </x:c>
      <x:c r="D1216" s="8" t="str">
        <x:v>근거와 함께 답변</x:v>
      </x:c>
      <x:c r="E1216" s="15" t="n">
        <x:v>1214</x:v>
      </x:c>
      <x:c r="F1216" s="8" t="str">
        <x:v>기존 검증 정답</x:v>
      </x:c>
      <x:c r="G1216" s="8" t="str">
        <x:v>https://apis.data.go.kr/1471000/DrbEasyDrugInfoService/getDrbEasyDrugList</x:v>
      </x:c>
      <x:c r="H1216" s="8" t="str">
        <x:v>{
  "item_seq": "202001153",
  "item_name": "구미헥시에탄올스틱스왑액",
  "manufacturer": "구미제약(주)",
  "section_codes": [
    "precautions"
  ]
}</x:v>
      </x:c>
    </x:row>
    <x:row r="1217" ht="54" customHeight="1">
      <x:c r="A1217" s="8" t="str">
        <x:v>gold-medication-a974d8e668316da1</x:v>
      </x:c>
      <x:c r="B1217" s="8" t="str">
        <x:v>eyak:201802148:dosage:001</x:v>
      </x:c>
      <x:c r="C1217" s="8" t="str">
        <x:v>eyak:201802148:dosage:001</x:v>
      </x:c>
      <x:c r="D1217" s="8" t="str">
        <x:v>근거와 함께 답변</x:v>
      </x:c>
      <x:c r="E1217" s="15" t="n">
        <x:v>1215</x:v>
      </x:c>
      <x:c r="F1217" s="8" t="str">
        <x:v>기존 검증 정답</x:v>
      </x:c>
      <x:c r="G1217" s="8" t="str">
        <x:v>https://apis.data.go.kr/1471000/DrbEasyDrugInfoService/getDrbEasyDrugList</x:v>
      </x:c>
      <x:c r="H1217" s="8" t="str">
        <x:v>{
  "item_seq": "201802148",
  "item_name": "광동만수고골드플라스타",
  "manufacturer": "광동제약(주)",
  "section_codes": [
    "dosage"
  ]
}</x:v>
      </x:c>
    </x:row>
    <x:row r="1218" ht="54" customHeight="1">
      <x:c r="A1218" s="8" t="str">
        <x:v>gold-medication-1a2bb8a74e1d1805</x:v>
      </x:c>
      <x:c r="B1218" s="8" t="str">
        <x:v>eyak:202502081:precautions:002</x:v>
      </x:c>
      <x:c r="C1218" s="8" t="str">
        <x:v>eyak:202502081:precautions:002
eyak:202502081:precautions:001
eyak:202502081:precautions:003</x:v>
      </x:c>
      <x:c r="D1218" s="8" t="str">
        <x:v>근거와 함께 답변</x:v>
      </x:c>
      <x:c r="E1218" s="15" t="n">
        <x:v>1216</x:v>
      </x:c>
      <x:c r="F1218" s="8" t="str">
        <x:v>기존 검증 정답</x:v>
      </x:c>
      <x:c r="G1218" s="8" t="str">
        <x:v>https://apis.data.go.kr/1471000/DrbEasyDrugInfoService/getDrbEasyDrugList</x:v>
      </x:c>
      <x:c r="H1218" s="8" t="str">
        <x:v>{
  "item_seq": "202502081",
  "item_name": "키포벨산",
  "manufacturer": "(주)종근당",
  "section_codes": [
    "precautions"
  ]
}</x:v>
      </x:c>
    </x:row>
    <x:row r="1219" ht="54" customHeight="1">
      <x:c r="A1219" s="8" t="str">
        <x:v>gold-medication-7ca307fe70e6ebbd</x:v>
      </x:c>
      <x:c r="B1219" s="8" t="str">
        <x:v>eyak:199101135:precautions:002</x:v>
      </x:c>
      <x:c r="C1219" s="8" t="str">
        <x:v>eyak:199101135:precautions:002
eyak:199101135:precautions:001
eyak:199101135:precautions:003</x:v>
      </x:c>
      <x:c r="D1219" s="8" t="str">
        <x:v>근거와 함께 답변</x:v>
      </x:c>
      <x:c r="E1219" s="15" t="n">
        <x:v>1217</x:v>
      </x:c>
      <x:c r="F1219" s="8" t="str">
        <x:v>기존 검증 정답</x:v>
      </x:c>
      <x:c r="G1219" s="8" t="str">
        <x:v>https://apis.data.go.kr/1471000/DrbEasyDrugInfoService/getDrbEasyDrugList</x:v>
      </x:c>
      <x:c r="H1219" s="8" t="str">
        <x:v>{
  "item_seq": "199101135",
  "item_name": "스파맥정",
  "manufacturer": "일양약품(주)",
  "section_codes": [
    "precautions"
  ]
}</x:v>
      </x:c>
    </x:row>
    <x:row r="1220" ht="54" customHeight="1">
      <x:c r="A1220" s="8" t="str">
        <x:v>gold-medication-0ef4f3c5546517be</x:v>
      </x:c>
      <x:c r="B1220" s="8" t="str">
        <x:v>eyak:201803085:storage:001</x:v>
      </x:c>
      <x:c r="C1220" s="8" t="str">
        <x:v>eyak:201803085:storage:001</x:v>
      </x:c>
      <x:c r="D1220" s="8" t="str">
        <x:v>근거와 함께 답변</x:v>
      </x:c>
      <x:c r="E1220" s="15" t="n">
        <x:v>1218</x:v>
      </x:c>
      <x:c r="F1220" s="8" t="str">
        <x:v>기존 검증 정답</x:v>
      </x:c>
      <x:c r="G1220" s="8" t="str">
        <x:v>https://apis.data.go.kr/1471000/DrbEasyDrugInfoService/getDrbEasyDrugList</x:v>
      </x:c>
      <x:c r="H1220" s="8" t="str">
        <x:v>{
  "item_seq": "201803085",
  "item_name": "맥스원플러스연질캡슐",
  "manufacturer": "아이큐어(주)",
  "section_codes": [
    "storage"
  ]
}</x:v>
      </x:c>
    </x:row>
    <x:row r="1221" ht="54" customHeight="1">
      <x:c r="A1221" s="8" t="str">
        <x:v>gold-medication-0a8d35ea119a1c25</x:v>
      </x:c>
      <x:c r="B1221" s="8" t="str">
        <x:v>eyak:201501483:precautions:001</x:v>
      </x:c>
      <x:c r="C1221" s="8" t="str">
        <x:v>eyak:201501483:precautions:001</x:v>
      </x:c>
      <x:c r="D1221" s="8" t="str">
        <x:v>근거와 함께 답변</x:v>
      </x:c>
      <x:c r="E1221" s="15" t="n">
        <x:v>1219</x:v>
      </x:c>
      <x:c r="F1221" s="8" t="str">
        <x:v>기존 검증 정답</x:v>
      </x:c>
      <x:c r="G1221" s="8" t="str">
        <x:v>https://apis.data.go.kr/1471000/DrbEasyDrugInfoService/getDrbEasyDrugList</x:v>
      </x:c>
      <x:c r="H1221" s="8" t="str">
        <x:v>{
  "item_seq": "201501483",
  "item_name": "제라타딘정(로라타딘)",
  "manufacturer": "태극제약(주)",
  "section_codes": [
    "precautions"
  ]
}</x:v>
      </x:c>
    </x:row>
    <x:row r="1222" ht="54" customHeight="1">
      <x:c r="A1222" s="8" t="str">
        <x:v>gold-medication-27bb0653fccadd6c</x:v>
      </x:c>
      <x:c r="B1222" s="8" t="str">
        <x:v>eyak:202300909:precautions:004</x:v>
      </x:c>
      <x:c r="C1222" s="8" t="str">
        <x:v>eyak:202300909:precautions:004
eyak:202300909:precautions:002
eyak:202300909:precautions:001
eyak:202300909:precautions:003
eyak:202300909:precautions:005
eyak:202300909:precautions:006</x:v>
      </x:c>
      <x:c r="D1222" s="8" t="str">
        <x:v>근거와 함께 답변</x:v>
      </x:c>
      <x:c r="E1222" s="15" t="n">
        <x:v>1220</x:v>
      </x:c>
      <x:c r="F1222" s="8" t="str">
        <x:v>기존 검증 정답</x:v>
      </x:c>
      <x:c r="G1222" s="8" t="str">
        <x:v>https://apis.data.go.kr/1471000/DrbEasyDrugInfoService/getDrbEasyDrugList</x:v>
      </x:c>
      <x:c r="H1222" s="8" t="str">
        <x:v>{
  "item_seq": "202300909",
  "item_name": "하벤파워골드캡슐",
  "manufacturer": "고려제약(주)",
  "section_codes": [
    "precautions"
  ]
}</x:v>
      </x:c>
    </x:row>
    <x:row r="1223" ht="54" customHeight="1">
      <x:c r="A1223" s="8" t="str">
        <x:v>gold-medication-8596957a4825c4bd</x:v>
      </x:c>
      <x:c r="B1223" s="8" t="str">
        <x:v>eyak:201103942:precautions:001</x:v>
      </x:c>
      <x:c r="C1223" s="8" t="str">
        <x:v>eyak:201103942:precautions:001
eyak:201103942:precautions:002</x:v>
      </x:c>
      <x:c r="D1223" s="8" t="str">
        <x:v>근거와 함께 답변</x:v>
      </x:c>
      <x:c r="E1223" s="15" t="n">
        <x:v>1221</x:v>
      </x:c>
      <x:c r="F1223" s="8" t="str">
        <x:v>기존 검증 정답</x:v>
      </x:c>
      <x:c r="G1223" s="8" t="str">
        <x:v>https://apis.data.go.kr/1471000/DrbEasyDrugInfoService/getDrbEasyDrugList</x:v>
      </x:c>
      <x:c r="H1223" s="8" t="str">
        <x:v>{
  "item_seq": "201103942",
  "item_name": "물린디키드크림",
  "manufacturer": "신신제약(주)",
  "section_codes": [
    "precautions"
  ]
}</x:v>
      </x:c>
    </x:row>
    <x:row r="1224" ht="54" customHeight="1">
      <x:c r="A1224" s="8" t="str">
        <x:v>gold-medication-c9a7daf5061a1916</x:v>
      </x:c>
      <x:c r="B1224" s="8" t="str">
        <x:v>eyak:202400657:dosage:001</x:v>
      </x:c>
      <x:c r="C1224" s="8" t="str">
        <x:v>eyak:202400657:dosage:001</x:v>
      </x:c>
      <x:c r="D1224" s="8" t="str">
        <x:v>근거와 함께 답변</x:v>
      </x:c>
      <x:c r="E1224" s="15" t="n">
        <x:v>1222</x:v>
      </x:c>
      <x:c r="F1224" s="8" t="str">
        <x:v>기존 검증 정답</x:v>
      </x:c>
      <x:c r="G1224" s="8" t="str">
        <x:v>https://apis.data.go.kr/1471000/DrbEasyDrugInfoService/getDrbEasyDrugList</x:v>
      </x:c>
      <x:c r="H1224" s="8" t="str">
        <x:v>{
  "item_seq": "202400657",
  "item_name": "렛잇비프로원정",
  "manufacturer": "(주)대웅제약",
  "section_codes": [
    "dosage"
  ]
}</x:v>
      </x:c>
    </x:row>
    <x:row r="1225" ht="54" customHeight="1">
      <x:c r="A1225" s="8" t="str">
        <x:v>gold-medication-na-65969a709e7852ad</x:v>
      </x:c>
      <x:c r="B1225" s="8" t="str"/>
      <x:c r="C1225" s="8" t="str"/>
      <x:c r="D1225" s="8" t="str">
        <x:v>답변 거부 또는 추가 확인 요청</x:v>
      </x:c>
      <x:c r="E1225" s="15" t="n">
        <x:v>1223</x:v>
      </x:c>
      <x:c r="F1225" s="8" t="str">
        <x:v>답변 거부 기준 문구</x:v>
      </x:c>
      <x:c r="G1225" s="8" t="str">
        <x:v>https://apis.data.go.kr/1471000/DrbEasyDrugInfoService/getDrbEasyDrugList</x:v>
      </x:c>
      <x:c r="H1225" s="8" t="str">
        <x:v>{
  "item_seq": "201600966",
  "item_name": "티나롤네일라카(아모롤핀염산염)",
  "manufacturer": "동광제약(주)",
  "section_codes": [
    "precautions"
  ]
}</x:v>
      </x:c>
    </x:row>
    <x:row r="1226" ht="54" customHeight="1">
      <x:c r="A1226" s="8" t="str">
        <x:v>gold-medication-8de3c662152d5762</x:v>
      </x:c>
      <x:c r="B1226" s="8" t="str">
        <x:v>eyak:200901934:precautions:001</x:v>
      </x:c>
      <x:c r="C1226" s="8" t="str">
        <x:v>eyak:200901934:precautions:001</x:v>
      </x:c>
      <x:c r="D1226" s="8" t="str">
        <x:v>근거와 함께 답변</x:v>
      </x:c>
      <x:c r="E1226" s="15" t="n">
        <x:v>1224</x:v>
      </x:c>
      <x:c r="F1226" s="8" t="str">
        <x:v>기존 검증 정답</x:v>
      </x:c>
      <x:c r="G1226" s="8" t="str">
        <x:v>https://apis.data.go.kr/1471000/DrbEasyDrugInfoService/getDrbEasyDrugList</x:v>
      </x:c>
      <x:c r="H1226" s="8" t="str">
        <x:v>{
  "item_seq": "200901934",
  "item_name": "엘탑정(엘카르니틴)",
  "manufacturer": "(주)마더스제약",
  "section_codes": [
    "precautions"
  ]
}</x:v>
      </x:c>
    </x:row>
    <x:row r="1227" ht="54" customHeight="1">
      <x:c r="A1227" s="8" t="str">
        <x:v>gold-medication-ee86d3b268e67745</x:v>
      </x:c>
      <x:c r="B1227" s="8" t="str">
        <x:v>eyak:200711079:precautions:002
eyak:200711079:adverse_reactions:001</x:v>
      </x:c>
      <x:c r="C1227" s="8" t="str">
        <x:v>eyak:200711079:precautions:002
eyak:200711079:precautions:003
eyak:200711079:precautions:001
eyak:200711079:adverse_reactions:001
eyak:200711079:adverse_reactions:002</x:v>
      </x:c>
      <x:c r="D1227" s="8" t="str">
        <x:v>근거와 함께 답변</x:v>
      </x:c>
      <x:c r="E1227" s="15" t="n">
        <x:v>1225</x:v>
      </x:c>
      <x:c r="F1227" s="8" t="str">
        <x:v>기존 검증 정답</x:v>
      </x:c>
      <x:c r="G1227" s="8" t="str">
        <x:v>https://apis.data.go.kr/1471000/DrbEasyDrugInfoService/getDrbEasyDrugList</x:v>
      </x:c>
      <x:c r="H1227" s="8" t="str">
        <x:v>{
  "item_seq": "200711079",
  "item_name": "케노펜쿨링카타플라스마\n(케토프로펜)",
  "manufacturer": "일동제약(주)",
  "section_codes": [
    "precautions",
    "adverse_reactions"
  ]
}</x:v>
      </x:c>
    </x:row>
    <x:row r="1228" ht="54" customHeight="1">
      <x:c r="A1228" s="8" t="str">
        <x:v>gold-medication-na-0935b9f53abbcd23</x:v>
      </x:c>
      <x:c r="B1228" s="8" t="str"/>
      <x:c r="C1228" s="8" t="str"/>
      <x:c r="D1228" s="8" t="str">
        <x:v>답변 거부 또는 추가 확인 요청</x:v>
      </x:c>
      <x:c r="E1228" s="15" t="n">
        <x:v>1226</x:v>
      </x:c>
      <x:c r="F1228" s="8" t="str">
        <x:v>답변 거부 기준 문구</x:v>
      </x:c>
      <x:c r="G1228" s="8" t="str">
        <x:v>https://apis.data.go.kr/1471000/DrbEasyDrugInfoService/getDrbEasyDrugList</x:v>
      </x:c>
      <x:c r="H1228" s="8" t="str">
        <x:v>{
  "item_seq": "201606516",
  "item_name": "모아타민골드비백정",
  "manufacturer": "(주)한풍제약",
  "section_codes": [
    "storage"
  ]
}</x:v>
      </x:c>
    </x:row>
    <x:row r="1229" ht="54" customHeight="1">
      <x:c r="A1229" s="8" t="str">
        <x:v>gold-medication-dc3ce2a805c0ba00</x:v>
      </x:c>
      <x:c r="B1229" s="8" t="str">
        <x:v>eyak:200202148:dosage:001</x:v>
      </x:c>
      <x:c r="C1229" s="8" t="str">
        <x:v>eyak:200202148:dosage:001</x:v>
      </x:c>
      <x:c r="D1229" s="8" t="str">
        <x:v>근거와 함께 답변</x:v>
      </x:c>
      <x:c r="E1229" s="15" t="n">
        <x:v>1227</x:v>
      </x:c>
      <x:c r="F1229" s="8" t="str">
        <x:v>기존 검증 정답</x:v>
      </x:c>
      <x:c r="G1229" s="8" t="str">
        <x:v>https://apis.data.go.kr/1471000/DrbEasyDrugInfoService/getDrbEasyDrugList</x:v>
      </x:c>
      <x:c r="H1229" s="8" t="str">
        <x:v>{
  "item_seq": "200202148",
  "item_name": "그리펜-에스정(덱시부프로펜)",
  "manufacturer": "신일제약(주)",
  "section_codes": [
    "dosage"
  ]
}</x:v>
      </x:c>
    </x:row>
    <x:row r="1230" ht="54" customHeight="1">
      <x:c r="A1230" s="8" t="str">
        <x:v>gold-medication-5678d80b996be22d</x:v>
      </x:c>
      <x:c r="B1230" s="8" t="str">
        <x:v>eyak:202403031:efficacy:001</x:v>
      </x:c>
      <x:c r="C1230" s="8" t="str">
        <x:v>eyak:202403031:efficacy:001</x:v>
      </x:c>
      <x:c r="D1230" s="8" t="str">
        <x:v>근거와 함께 답변</x:v>
      </x:c>
      <x:c r="E1230" s="15" t="n">
        <x:v>1228</x:v>
      </x:c>
      <x:c r="F1230" s="8" t="str">
        <x:v>기존 검증 정답</x:v>
      </x:c>
      <x:c r="G1230" s="8" t="str">
        <x:v>https://apis.data.go.kr/1471000/DrbEasyDrugInfoService/getDrbEasyDrugList</x:v>
      </x:c>
      <x:c r="H1230" s="8" t="str">
        <x:v>{
  "item_seq": "202403031",
  "item_name": "엑스콜큐노즈시럽",
  "manufacturer": "(주)한풍제약",
  "section_codes": [
    "efficacy"
  ]
}</x:v>
      </x:c>
    </x:row>
    <x:row r="1231" ht="54" customHeight="1">
      <x:c r="A1231" s="8" t="str">
        <x:v>gold-medication-69cf9b6443462c33</x:v>
      </x:c>
      <x:c r="B1231" s="8" t="str">
        <x:v>eyak:201800970:dosage:001</x:v>
      </x:c>
      <x:c r="C1231" s="8" t="str">
        <x:v>eyak:201800970:dosage:001
eyak:201800970:dosage:002</x:v>
      </x:c>
      <x:c r="D1231" s="8" t="str">
        <x:v>근거와 함께 답변</x:v>
      </x:c>
      <x:c r="E1231" s="15" t="n">
        <x:v>1229</x:v>
      </x:c>
      <x:c r="F1231" s="8" t="str">
        <x:v>기존 검증 정답</x:v>
      </x:c>
      <x:c r="G1231" s="8" t="str">
        <x:v>https://apis.data.go.kr/1471000/DrbEasyDrugInfoService/getDrbEasyDrugList</x:v>
      </x:c>
      <x:c r="H1231" s="8" t="str">
        <x:v>{
  "item_seq": "201800970",
  "item_name": "미녹시딜바이그루트액3%(미녹시딜)",
  "manufacturer": "태극제약(주)",
  "section_codes": [
    "dosage"
  ]
}</x:v>
      </x:c>
    </x:row>
    <x:row r="1232" ht="54" customHeight="1">
      <x:c r="A1232" s="8" t="str">
        <x:v>gold-medication-1039eccd1ef4a463</x:v>
      </x:c>
      <x:c r="B1232" s="8" t="str">
        <x:v>eyak:201802335:efficacy:001</x:v>
      </x:c>
      <x:c r="C1232" s="8" t="str">
        <x:v>eyak:201802335:efficacy:001</x:v>
      </x:c>
      <x:c r="D1232" s="8" t="str">
        <x:v>근거와 함께 답변</x:v>
      </x:c>
      <x:c r="E1232" s="15" t="n">
        <x:v>1230</x:v>
      </x:c>
      <x:c r="F1232" s="8" t="str">
        <x:v>기존 검증 정답</x:v>
      </x:c>
      <x:c r="G1232" s="8" t="str">
        <x:v>https://apis.data.go.kr/1471000/DrbEasyDrugInfoService/getDrbEasyDrugList</x:v>
      </x:c>
      <x:c r="H1232" s="8" t="str">
        <x:v>{
  "item_seq": "201802335",
  "item_name": "젬비오캡슐(엔테로코쿠스페슘스트레인세르넬레68균)",
  "manufacturer": "(주)바스칸바이오제약",
  "section_codes": [
    "efficacy"
  ]
}</x:v>
      </x:c>
    </x:row>
    <x:row r="1233" ht="54" customHeight="1">
      <x:c r="A1233" s="8" t="str">
        <x:v>gold-medication-7ad6f4080d28aa09</x:v>
      </x:c>
      <x:c r="B1233" s="8" t="str">
        <x:v>eyak:201606516:storage:001</x:v>
      </x:c>
      <x:c r="C1233" s="8" t="str">
        <x:v>eyak:201606516:storage:001</x:v>
      </x:c>
      <x:c r="D1233" s="8" t="str">
        <x:v>근거와 함께 답변</x:v>
      </x:c>
      <x:c r="E1233" s="15" t="n">
        <x:v>1231</x:v>
      </x:c>
      <x:c r="F1233" s="8" t="str">
        <x:v>기존 검증 정답</x:v>
      </x:c>
      <x:c r="G1233" s="8" t="str">
        <x:v>https://apis.data.go.kr/1471000/DrbEasyDrugInfoService/getDrbEasyDrugList</x:v>
      </x:c>
      <x:c r="H1233" s="8" t="str">
        <x:v>{
  "item_seq": "201606516",
  "item_name": "모아타민골드비백정",
  "manufacturer": "(주)한풍제약",
  "section_codes": [
    "storage"
  ]
}</x:v>
      </x:c>
    </x:row>
    <x:row r="1234" ht="54" customHeight="1">
      <x:c r="A1234" s="8" t="str">
        <x:v>gold-medication-na-d990190f73c047a2</x:v>
      </x:c>
      <x:c r="B1234" s="8" t="str"/>
      <x:c r="C1234" s="8" t="str"/>
      <x:c r="D1234" s="8" t="str">
        <x:v>답변 거부 또는 추가 확인 요청</x:v>
      </x:c>
      <x:c r="E1234" s="15" t="n">
        <x:v>1232</x:v>
      </x:c>
      <x:c r="F1234" s="8" t="str">
        <x:v>답변 거부 기준 문구</x:v>
      </x:c>
      <x:c r="G1234" s="8" t="str">
        <x:v>https://apis.data.go.kr/1471000/DrbEasyDrugInfoService/getDrbEasyDrugList</x:v>
      </x:c>
      <x:c r="H1234" s="8" t="str">
        <x:v>{
  "item_seq": "200501095",
  "item_name": "알로탈정",
  "manufacturer": "태극제약(주)",
  "section_codes": [
    "precautions"
  ]
}</x:v>
      </x:c>
    </x:row>
    <x:row r="1235" ht="54" customHeight="1">
      <x:c r="A1235" s="8" t="str">
        <x:v>gold-medication-355ef28f24c96888</x:v>
      </x:c>
      <x:c r="B1235" s="8" t="str">
        <x:v>eyak:202301242:efficacy:001</x:v>
      </x:c>
      <x:c r="C1235" s="8" t="str">
        <x:v>eyak:202301242:efficacy:001</x:v>
      </x:c>
      <x:c r="D1235" s="8" t="str">
        <x:v>근거와 함께 답변</x:v>
      </x:c>
      <x:c r="E1235" s="15" t="n">
        <x:v>1233</x:v>
      </x:c>
      <x:c r="F1235" s="8" t="str">
        <x:v>기존 검증 정답</x:v>
      </x:c>
      <x:c r="G1235" s="8" t="str">
        <x:v>https://apis.data.go.kr/1471000/DrbEasyDrugInfoService/getDrbEasyDrugList</x:v>
      </x:c>
      <x:c r="H1235" s="8" t="str">
        <x:v>{
  "item_seq": "202301242",
  "item_name": "맥셀디정",
  "manufacturer": "맥널티제약(주)",
  "section_codes": [
    "efficacy"
  ]
}</x:v>
      </x:c>
    </x:row>
    <x:row r="1236" ht="54" customHeight="1">
      <x:c r="A1236" s="8" t="str">
        <x:v>gold-medication-na-4d7114ce89d0a5de</x:v>
      </x:c>
      <x:c r="B1236" s="8" t="str"/>
      <x:c r="C1236" s="8" t="str"/>
      <x:c r="D1236" s="8" t="str">
        <x:v>답변 거부 또는 추가 확인 요청</x:v>
      </x:c>
      <x:c r="E1236" s="15" t="n">
        <x:v>1234</x:v>
      </x:c>
      <x:c r="F1236" s="8" t="str">
        <x:v>답변 거부 기준 문구</x:v>
      </x:c>
      <x:c r="G1236" s="8" t="str">
        <x:v>https://apis.data.go.kr/1471000/DrbEasyDrugInfoService/getDrbEasyDrugList</x:v>
      </x:c>
      <x:c r="H1236" s="8" t="str">
        <x:v>{
  "item_seq": "201803043",
  "item_name": "이반크린액(폴리크레줄렌액50%)",
  "manufacturer": "조아제약(주)",
  "section_codes": [
    "efficacy"
  ]
}</x:v>
      </x:c>
    </x:row>
    <x:row r="1237" ht="54" customHeight="1">
      <x:c r="A1237" s="8" t="str">
        <x:v>gold-medication-d9e6bd85856b4419</x:v>
      </x:c>
      <x:c r="B1237" s="8" t="str">
        <x:v>eyak:200703087:storage:001</x:v>
      </x:c>
      <x:c r="C1237" s="8" t="str">
        <x:v>eyak:200703087:storage:001</x:v>
      </x:c>
      <x:c r="D1237" s="8" t="str">
        <x:v>근거와 함께 답변</x:v>
      </x:c>
      <x:c r="E1237" s="15" t="n">
        <x:v>1235</x:v>
      </x:c>
      <x:c r="F1237" s="8" t="str">
        <x:v>기존 검증 정답</x:v>
      </x:c>
      <x:c r="G1237" s="8" t="str">
        <x:v>https://apis.data.go.kr/1471000/DrbEasyDrugInfoService/getDrbEasyDrugList</x:v>
      </x:c>
      <x:c r="H1237" s="8" t="str">
        <x:v>{
  "item_seq": "200703087",
  "item_name": "푸마훼린연질캡슐",
  "manufacturer": "(주)유한양행",
  "section_codes": [
    "storage"
  ]
}</x:v>
      </x:c>
    </x:row>
    <x:row r="1238" ht="54" customHeight="1">
      <x:c r="A1238" s="8" t="str">
        <x:v>gold-medication-5b960d51d469e727</x:v>
      </x:c>
      <x:c r="B1238" s="8" t="str">
        <x:v>eyak:202401708:precautions:001</x:v>
      </x:c>
      <x:c r="C1238" s="8" t="str">
        <x:v>eyak:202401708:precautions:001
eyak:202401708:precautions:002</x:v>
      </x:c>
      <x:c r="D1238" s="8" t="str">
        <x:v>근거와 함께 답변</x:v>
      </x:c>
      <x:c r="E1238" s="15" t="n">
        <x:v>1236</x:v>
      </x:c>
      <x:c r="F1238" s="8" t="str">
        <x:v>기존 검증 정답</x:v>
      </x:c>
      <x:c r="G1238" s="8" t="str">
        <x:v>https://apis.data.go.kr/1471000/DrbEasyDrugInfoService/getDrbEasyDrugList</x:v>
      </x:c>
      <x:c r="H1238" s="8" t="str">
        <x:v>{
  "item_seq": "202401708",
  "item_name": "마그원스피드액",
  "manufacturer": "초당약품공업(주)",
  "section_codes": [
    "precautions"
  ]
}</x:v>
      </x:c>
    </x:row>
    <x:row r="1239" ht="54" customHeight="1">
      <x:c r="A1239" s="8" t="str">
        <x:v>gold-medication-4ed6326f9ff3788e</x:v>
      </x:c>
      <x:c r="B1239" s="8" t="str">
        <x:v>eyak:201310950:warning:001
eyak:201310950:precautions:003
eyak:201310950:adverse_reactions:005</x:v>
      </x:c>
      <x:c r="C1239" s="8" t="str">
        <x:v>eyak:201310950:warning:001
eyak:201310950:precautions:003
eyak:201310950:precautions:001
eyak:201310950:precautions:005
eyak:201310950:precautions:002
eyak:201310950:precautions:004
eyak:201310950:adverse_reactions:005
eyak:201310950:adverse_reactions:004
eyak:201310950:adverse_reactions:006
eyak:201310950:adverse_reactions:002
eyak:201310950:adverse_reactions:007
eyak:201310950:adverse_reactions:003
eyak:201310950:adverse_reactions:008
eyak:201310950:adverse_reactions:001</x:v>
      </x:c>
      <x:c r="D1239" s="8" t="str">
        <x:v>근거와 함께 답변</x:v>
      </x:c>
      <x:c r="E1239" s="15" t="n">
        <x:v>1237</x:v>
      </x:c>
      <x:c r="F1239" s="8" t="str">
        <x:v>기존 검증 정답</x:v>
      </x:c>
      <x:c r="G1239" s="8" t="str">
        <x:v>https://apis.data.go.kr/1471000/DrbEasyDrugInfoService/getDrbEasyDrugList</x:v>
      </x:c>
      <x:c r="H1239" s="8" t="str">
        <x:v>{
  "item_seq": "201310950",
  "item_name": "이지펜연질캡슐(덱시부프로펜)",
  "manufacturer": "신신제약(주)",
  "section_codes": [
    "warning",
    "precautions",
    "adverse_reactions"
  ]
}</x:v>
      </x:c>
    </x:row>
    <x:row r="1240" ht="54" customHeight="1">
      <x:c r="A1240" s="8" t="str">
        <x:v>gold-medication-f7c3645fb5b84abc</x:v>
      </x:c>
      <x:c r="B1240" s="8" t="str">
        <x:v>eyak:201507696:efficacy:001</x:v>
      </x:c>
      <x:c r="C1240" s="8" t="str">
        <x:v>eyak:201507696:efficacy:001</x:v>
      </x:c>
      <x:c r="D1240" s="8" t="str">
        <x:v>근거와 함께 답변</x:v>
      </x:c>
      <x:c r="E1240" s="15" t="n">
        <x:v>1238</x:v>
      </x:c>
      <x:c r="F1240" s="8" t="str">
        <x:v>기존 검증 정답</x:v>
      </x:c>
      <x:c r="G1240" s="8" t="str">
        <x:v>https://apis.data.go.kr/1471000/DrbEasyDrugInfoService/getDrbEasyDrugList</x:v>
      </x:c>
      <x:c r="H1240" s="8" t="str">
        <x:v>{
  "item_seq": "201507696",
  "item_name": "알바스테인캡슐(에르도스테인)",
  "manufacturer": "한국휴텍스제약(주)",
  "section_codes": [
    "efficacy"
  ]
}</x:v>
      </x:c>
    </x:row>
    <x:row r="1241" ht="54" customHeight="1">
      <x:c r="A1241" s="8" t="str">
        <x:v>gold-medication-38c41cb4234da553</x:v>
      </x:c>
      <x:c r="B1241" s="8" t="str">
        <x:v>eyak:201801355:dosage:001</x:v>
      </x:c>
      <x:c r="C1241" s="8" t="str">
        <x:v>eyak:201801355:dosage:001</x:v>
      </x:c>
      <x:c r="D1241" s="8" t="str">
        <x:v>근거와 함께 답변</x:v>
      </x:c>
      <x:c r="E1241" s="15" t="n">
        <x:v>1239</x:v>
      </x:c>
      <x:c r="F1241" s="8" t="str">
        <x:v>기존 검증 정답</x:v>
      </x:c>
      <x:c r="G1241" s="8" t="str">
        <x:v>https://apis.data.go.kr/1471000/DrbEasyDrugInfoService/getDrbEasyDrugList</x:v>
      </x:c>
      <x:c r="H1241" s="8" t="str">
        <x:v>{
  "item_seq": "201801355",
  "item_name": "액티진정",
  "manufacturer": "한국코러스(주)",
  "section_codes": [
    "dosage"
  ]
}</x:v>
      </x:c>
    </x:row>
    <x:row r="1242" ht="54" customHeight="1">
      <x:c r="A1242" s="8" t="str">
        <x:v>gold-medication-51e6f709adf2a1c4</x:v>
      </x:c>
      <x:c r="B1242" s="8" t="str">
        <x:v>eyak:201707611:precautions:001</x:v>
      </x:c>
      <x:c r="C1242" s="8" t="str">
        <x:v>eyak:201707611:precautions:001</x:v>
      </x:c>
      <x:c r="D1242" s="8" t="str">
        <x:v>근거와 함께 답변</x:v>
      </x:c>
      <x:c r="E1242" s="15" t="n">
        <x:v>1240</x:v>
      </x:c>
      <x:c r="F1242" s="8" t="str">
        <x:v>기존 검증 정답</x:v>
      </x:c>
      <x:c r="G1242" s="8" t="str">
        <x:v>https://apis.data.go.kr/1471000/DrbEasyDrugInfoService/getDrbEasyDrugList</x:v>
      </x:c>
      <x:c r="H1242" s="8" t="str">
        <x:v>{
  "item_seq": "201707611",
  "item_name": "에너라민파워액",
  "manufacturer": "일동제약(주)",
  "section_codes": [
    "precautions"
  ]
}</x:v>
      </x:c>
    </x:row>
    <x:row r="1243" ht="54" customHeight="1">
      <x:c r="A1243" s="8" t="str">
        <x:v>gold-medication-6d79ab889b59b521</x:v>
      </x:c>
      <x:c r="B1243" s="8" t="str">
        <x:v>eyak:200705800:precautions:002
eyak:200705800:adverse_reactions:001</x:v>
      </x:c>
      <x:c r="C1243" s="8" t="str">
        <x:v>eyak:200705800:precautions:002
eyak:200705800:precautions:001
eyak:200705800:adverse_reactions:001
eyak:200705800:adverse_reactions:002</x:v>
      </x:c>
      <x:c r="D1243" s="8" t="str">
        <x:v>근거와 함께 답변</x:v>
      </x:c>
      <x:c r="E1243" s="15" t="n">
        <x:v>1241</x:v>
      </x:c>
      <x:c r="F1243" s="8" t="str">
        <x:v>기존 검증 정답</x:v>
      </x:c>
      <x:c r="G1243" s="8" t="str">
        <x:v>https://apis.data.go.kr/1471000/DrbEasyDrugInfoService/getDrbEasyDrugList</x:v>
      </x:c>
      <x:c r="H1243" s="8" t="str">
        <x:v>{
  "item_seq": "200705800",
  "item_name": "노펜24첩부제(디클로페낙디에틸암모늄)",
  "manufacturer": "제이더블유중외제약(주)",
  "section_codes": [
    "precautions",
    "adverse_reactions"
  ]
}</x:v>
      </x:c>
    </x:row>
    <x:row r="1244" ht="54" customHeight="1">
      <x:c r="A1244" s="8" t="str">
        <x:v>gold-medication-dfa7a0cc88d87cdf</x:v>
      </x:c>
      <x:c r="B1244" s="8" t="str">
        <x:v>eyak:201802763:adverse_reactions:001</x:v>
      </x:c>
      <x:c r="C1244" s="8" t="str">
        <x:v>eyak:201802763:adverse_reactions:001</x:v>
      </x:c>
      <x:c r="D1244" s="8" t="str">
        <x:v>근거와 함께 답변</x:v>
      </x:c>
      <x:c r="E1244" s="15" t="n">
        <x:v>1242</x:v>
      </x:c>
      <x:c r="F1244" s="8" t="str">
        <x:v>기존 검증 정답</x:v>
      </x:c>
      <x:c r="G1244" s="8" t="str">
        <x:v>https://apis.data.go.kr/1471000/DrbEasyDrugInfoService/getDrbEasyDrugList</x:v>
      </x:c>
      <x:c r="H1244" s="8" t="str">
        <x:v>{
  "item_seq": "201802763",
  "item_name": "비카페롤플러스정",
  "manufacturer": "동국제약(주)",
  "section_codes": [
    "adverse_reactions"
  ]
}</x:v>
      </x:c>
    </x:row>
    <x:row r="1245" ht="54" customHeight="1">
      <x:c r="A1245" s="8" t="str">
        <x:v>gold-medication-na-8ff4f3f3093ea445</x:v>
      </x:c>
      <x:c r="B1245" s="8" t="str"/>
      <x:c r="C1245" s="8" t="str"/>
      <x:c r="D1245" s="8" t="str">
        <x:v>답변 거부 또는 추가 확인 요청</x:v>
      </x:c>
      <x:c r="E1245" s="15" t="n">
        <x:v>1243</x:v>
      </x:c>
      <x:c r="F1245" s="8" t="str">
        <x:v>답변 거부 기준 문구</x:v>
      </x:c>
      <x:c r="G1245" s="8" t="str">
        <x:v>https://apis.data.go.kr/1471000/DrbEasyDrugInfoService/getDrbEasyDrugList</x:v>
      </x:c>
      <x:c r="H1245" s="8" t="str">
        <x:v>{
  "item_seq": "200809274",
  "item_name": "덱시부펜연질캡슐(덱시부프로펜)",
  "manufacturer": "제일헬스사이언스(주)",
  "section_codes": [
    "interactions"
  ]
}</x:v>
      </x:c>
    </x:row>
    <x:row r="1246" ht="54" customHeight="1">
      <x:c r="A1246" s="8" t="str">
        <x:v>gold-medication-na-454d0bfbcbddc7fd</x:v>
      </x:c>
      <x:c r="B1246" s="8" t="str"/>
      <x:c r="C1246" s="8" t="str"/>
      <x:c r="D1246" s="8" t="str">
        <x:v>답변 거부 또는 추가 확인 요청</x:v>
      </x:c>
      <x:c r="E1246" s="15" t="n">
        <x:v>1244</x:v>
      </x:c>
      <x:c r="F1246" s="8" t="str">
        <x:v>답변 거부 기준 문구</x:v>
      </x:c>
      <x:c r="G1246" s="8" t="str">
        <x:v>https://apis.data.go.kr/1471000/DrbEasyDrugInfoService/getDrbEasyDrugList</x:v>
      </x:c>
      <x:c r="H1246" s="8" t="str">
        <x:v>{
  "item_seq": "201902312",
  "item_name": "정우형개연교탕연조엑스(단미엑스혼합제)",
  "manufacturer": "정우신약(주)",
  "section_codes": [
    "precautions",
    "adverse_reactions"
  ]
}</x:v>
      </x:c>
    </x:row>
    <x:row r="1247" ht="54" customHeight="1">
      <x:c r="A1247" s="8" t="str">
        <x:v>gold-medication-2bb153475bf27c31</x:v>
      </x:c>
      <x:c r="B1247" s="8" t="str">
        <x:v>eyak:201201024:efficacy:001</x:v>
      </x:c>
      <x:c r="C1247" s="8" t="str">
        <x:v>eyak:201201024:efficacy:001</x:v>
      </x:c>
      <x:c r="D1247" s="8" t="str">
        <x:v>근거와 함께 답변</x:v>
      </x:c>
      <x:c r="E1247" s="15" t="n">
        <x:v>1245</x:v>
      </x:c>
      <x:c r="F1247" s="8" t="str">
        <x:v>기존 검증 정답</x:v>
      </x:c>
      <x:c r="G1247" s="8" t="str">
        <x:v>https://apis.data.go.kr/1471000/DrbEasyDrugInfoService/getDrbEasyDrugList</x:v>
      </x:c>
      <x:c r="H1247" s="8" t="str">
        <x:v>{
  "item_seq": "201201024",
  "item_name": "에스씨크림(리도카인)",
  "manufacturer": "(주)시어스제약",
  "section_codes": [
    "efficacy"
  ]
}</x:v>
      </x:c>
    </x:row>
    <x:row r="1248" ht="54" customHeight="1">
      <x:c r="A1248" s="8" t="str">
        <x:v>gold-medication-d3ca92d418cc8a56</x:v>
      </x:c>
      <x:c r="B1248" s="8" t="str">
        <x:v>eyak:202002514:precautions:001</x:v>
      </x:c>
      <x:c r="C1248" s="8" t="str">
        <x:v>eyak:202002514:precautions:001
eyak:202002514:precautions:002</x:v>
      </x:c>
      <x:c r="D1248" s="8" t="str">
        <x:v>근거와 함께 답변</x:v>
      </x:c>
      <x:c r="E1248" s="15" t="n">
        <x:v>1246</x:v>
      </x:c>
      <x:c r="F1248" s="8" t="str">
        <x:v>기존 검증 정답</x:v>
      </x:c>
      <x:c r="G1248" s="8" t="str">
        <x:v>https://apis.data.go.kr/1471000/DrbEasyDrugInfoService/getDrbEasyDrugList</x:v>
      </x:c>
      <x:c r="H1248" s="8" t="str">
        <x:v>{
  "item_seq": "202002514",
  "item_name": "푸레파인마일드연고",
  "manufacturer": "일동제약(주)",
  "section_codes": [
    "precautions"
  ]
}</x:v>
      </x:c>
    </x:row>
    <x:row r="1249" ht="54" customHeight="1">
      <x:c r="A1249" s="8" t="str">
        <x:v>gold-medication-ab8360db6d169aa1</x:v>
      </x:c>
      <x:c r="B1249" s="8" t="str">
        <x:v>eyak:202006143:efficacy:001</x:v>
      </x:c>
      <x:c r="C1249" s="8" t="str">
        <x:v>eyak:202006143:efficacy:001</x:v>
      </x:c>
      <x:c r="D1249" s="8" t="str">
        <x:v>근거와 함께 답변</x:v>
      </x:c>
      <x:c r="E1249" s="15" t="n">
        <x:v>1247</x:v>
      </x:c>
      <x:c r="F1249" s="8" t="str">
        <x:v>기존 검증 정답</x:v>
      </x:c>
      <x:c r="G1249" s="8" t="str">
        <x:v>https://apis.data.go.kr/1471000/DrbEasyDrugInfoService/getDrbEasyDrugList</x:v>
      </x:c>
      <x:c r="H1249" s="8" t="str">
        <x:v>{
  "item_seq": "202006143",
  "item_name": "브로멜장용정45밀리그램(브로멜라인)",
  "manufacturer": "(주)경보제약",
  "section_codes": [
    "efficacy"
  ]
}</x:v>
      </x:c>
    </x:row>
    <x:row r="1250" ht="54" customHeight="1">
      <x:c r="A1250" s="8" t="str">
        <x:v>gold-medication-6c84c14b6f02936c</x:v>
      </x:c>
      <x:c r="B1250" s="8" t="str">
        <x:v>eyak:200502646:precautions:001</x:v>
      </x:c>
      <x:c r="C1250" s="8" t="str">
        <x:v>eyak:200502646:precautions:001
eyak:200502646:precautions:002</x:v>
      </x:c>
      <x:c r="D1250" s="8" t="str">
        <x:v>근거와 함께 답변</x:v>
      </x:c>
      <x:c r="E1250" s="15" t="n">
        <x:v>1248</x:v>
      </x:c>
      <x:c r="F1250" s="8" t="str">
        <x:v>기존 검증 정답</x:v>
      </x:c>
      <x:c r="G1250" s="8" t="str">
        <x:v>https://apis.data.go.kr/1471000/DrbEasyDrugInfoService/getDrbEasyDrugList</x:v>
      </x:c>
      <x:c r="H1250" s="8" t="str">
        <x:v>{
  "item_seq": "200502646",
  "item_name": "덴티에프캡슐",
  "manufacturer": "지엘파마(주)",
  "section_codes": [
    "precautions"
  ]
}</x:v>
      </x:c>
    </x:row>
    <x:row r="1251" ht="54" customHeight="1">
      <x:c r="A1251" s="8" t="str">
        <x:v>gold-medication-1f3973a26c9653b0</x:v>
      </x:c>
      <x:c r="B1251" s="8" t="str">
        <x:v>eyak:200302521:adverse_reactions:001</x:v>
      </x:c>
      <x:c r="C1251" s="8" t="str">
        <x:v>eyak:200302521:adverse_reactions:001</x:v>
      </x:c>
      <x:c r="D1251" s="8" t="str">
        <x:v>근거와 함께 답변</x:v>
      </x:c>
      <x:c r="E1251" s="15" t="n">
        <x:v>1249</x:v>
      </x:c>
      <x:c r="F1251" s="8" t="str">
        <x:v>기존 검증 정답</x:v>
      </x:c>
      <x:c r="G1251" s="8" t="str">
        <x:v>https://apis.data.go.kr/1471000/DrbEasyDrugInfoService/getDrbEasyDrugList</x:v>
      </x:c>
      <x:c r="H1251" s="8" t="str">
        <x:v>{
  "item_seq": "200302521",
  "item_name": "탐부틴정200밀리그램(트리메부틴말레산염)",
  "manufacturer": "대한뉴팜(주)",
  "section_codes": [
    "adverse_reactions"
  ]
}</x:v>
      </x:c>
    </x:row>
    <x:row r="1252" ht="54" customHeight="1">
      <x:c r="A1252" s="8" t="str">
        <x:v>gold-medication-ccff6d216936adb5</x:v>
      </x:c>
      <x:c r="B1252" s="8" t="str">
        <x:v>eyak:202301154:efficacy:001</x:v>
      </x:c>
      <x:c r="C1252" s="8" t="str">
        <x:v>eyak:202301154:efficacy:001</x:v>
      </x:c>
      <x:c r="D1252" s="8" t="str">
        <x:v>근거와 함께 답변</x:v>
      </x:c>
      <x:c r="E1252" s="15" t="n">
        <x:v>1250</x:v>
      </x:c>
      <x:c r="F1252" s="8" t="str">
        <x:v>기존 검증 정답</x:v>
      </x:c>
      <x:c r="G1252" s="8" t="str">
        <x:v>https://apis.data.go.kr/1471000/DrbEasyDrugInfoService/getDrbEasyDrugList</x:v>
      </x:c>
      <x:c r="H1252" s="8" t="str">
        <x:v>{
  "item_seq": "202301154",
  "item_name": "드림굿연질캡슐(디펜히드라민염산염)",
  "manufacturer": "경방신약(주)",
  "section_codes": [
    "efficacy"
  ]
}</x:v>
      </x:c>
    </x:row>
    <x:row r="1253" ht="54" customHeight="1">
      <x:c r="A1253" s="8" t="str">
        <x:v>gold-medication-e9caaab45a028e72</x:v>
      </x:c>
      <x:c r="B1253" s="8" t="str">
        <x:v>eyak:202104555:precautions:001</x:v>
      </x:c>
      <x:c r="C1253" s="8" t="str">
        <x:v>eyak:202104555:precautions:001</x:v>
      </x:c>
      <x:c r="D1253" s="8" t="str">
        <x:v>근거와 함께 답변</x:v>
      </x:c>
      <x:c r="E1253" s="15" t="n">
        <x:v>1251</x:v>
      </x:c>
      <x:c r="F1253" s="8" t="str">
        <x:v>기존 검증 정답</x:v>
      </x:c>
      <x:c r="G1253" s="8" t="str">
        <x:v>https://apis.data.go.kr/1471000/DrbEasyDrugInfoService/getDrbEasyDrugList</x:v>
      </x:c>
      <x:c r="H1253" s="8" t="str">
        <x:v>{
  "item_seq": "202104555",
  "item_name": "치오스캡슐(디오스민)",
  "manufacturer": "(주)씨엠지제약",
  "section_codes": [
    "precautions"
  ]
}</x:v>
      </x:c>
    </x:row>
    <x:row r="1254" ht="54" customHeight="1">
      <x:c r="A1254" s="8" t="str">
        <x:v>gold-medication-b6190b45aa783569</x:v>
      </x:c>
      <x:c r="B1254" s="8" t="str">
        <x:v>eyak:201310271:interactions:001</x:v>
      </x:c>
      <x:c r="C1254" s="8" t="str">
        <x:v>eyak:201310271:interactions:001</x:v>
      </x:c>
      <x:c r="D1254" s="8" t="str">
        <x:v>근거와 함께 답변</x:v>
      </x:c>
      <x:c r="E1254" s="15" t="n">
        <x:v>1252</x:v>
      </x:c>
      <x:c r="F1254" s="8" t="str">
        <x:v>기존 검증 정답</x:v>
      </x:c>
      <x:c r="G1254" s="8" t="str">
        <x:v>https://apis.data.go.kr/1471000/DrbEasyDrugInfoService/getDrbEasyDrugList</x:v>
      </x:c>
      <x:c r="H1254" s="8" t="str">
        <x:v>{
  "item_seq": "201310271",
  "item_name": "게이트정(알마게이트)",
  "manufacturer": "오스틴제약(주)",
  "section_codes": [
    "interactions"
  ]
}</x:v>
      </x:c>
    </x:row>
    <x:row r="1255" ht="54" customHeight="1">
      <x:c r="A1255" s="8" t="str">
        <x:v>gold-medication-70ce3aae74a8b950</x:v>
      </x:c>
      <x:c r="B1255" s="8" t="str">
        <x:v>eyak:199000139:adverse_reactions:001</x:v>
      </x:c>
      <x:c r="C1255" s="8" t="str">
        <x:v>eyak:199000139:adverse_reactions:001</x:v>
      </x:c>
      <x:c r="D1255" s="8" t="str">
        <x:v>근거와 함께 답변</x:v>
      </x:c>
      <x:c r="E1255" s="15" t="n">
        <x:v>1253</x:v>
      </x:c>
      <x:c r="F1255" s="8" t="str">
        <x:v>기존 검증 정답</x:v>
      </x:c>
      <x:c r="G1255" s="8" t="str">
        <x:v>https://apis.data.go.kr/1471000/DrbEasyDrugInfoService/getDrbEasyDrugList</x:v>
      </x:c>
      <x:c r="H1255" s="8" t="str">
        <x:v>{
  "item_seq": "199000139",
  "item_name": "시스타인캡슐(아세틸시스테인)",
  "manufacturer": "동광제약(주)",
  "section_codes": [
    "adverse_reactions"
  ]
}</x:v>
      </x:c>
    </x:row>
    <x:row r="1256" ht="54" customHeight="1">
      <x:c r="A1256" s="8" t="str">
        <x:v>gold-medication-74726710d7c8223f</x:v>
      </x:c>
      <x:c r="B1256" s="8" t="str">
        <x:v>eyak:201401592:precautions:001</x:v>
      </x:c>
      <x:c r="C1256" s="8" t="str">
        <x:v>eyak:201401592:precautions:001
eyak:201401592:precautions:002</x:v>
      </x:c>
      <x:c r="D1256" s="8" t="str">
        <x:v>근거와 함께 답변</x:v>
      </x:c>
      <x:c r="E1256" s="15" t="n">
        <x:v>1254</x:v>
      </x:c>
      <x:c r="F1256" s="8" t="str">
        <x:v>기존 검증 정답</x:v>
      </x:c>
      <x:c r="G1256" s="8" t="str">
        <x:v>https://apis.data.go.kr/1471000/DrbEasyDrugInfoService/getDrbEasyDrugList</x:v>
      </x:c>
      <x:c r="H1256" s="8" t="str">
        <x:v>{
  "item_seq": "201401592",
  "item_name": "비트리플정",
  "manufacturer": "태극제약(주)",
  "section_codes": [
    "precautions"
  ]
}</x:v>
      </x:c>
    </x:row>
    <x:row r="1257" ht="54" customHeight="1">
      <x:c r="A1257" s="8" t="str">
        <x:v>gold-medication-0e1d5a9bee30c9ae</x:v>
      </x:c>
      <x:c r="B1257" s="8" t="str">
        <x:v>eyak:201100657:precautions:001</x:v>
      </x:c>
      <x:c r="C1257" s="8" t="str">
        <x:v>eyak:201100657:precautions:001</x:v>
      </x:c>
      <x:c r="D1257" s="8" t="str">
        <x:v>근거와 함께 답변</x:v>
      </x:c>
      <x:c r="E1257" s="15" t="n">
        <x:v>1255</x:v>
      </x:c>
      <x:c r="F1257" s="8" t="str">
        <x:v>기존 검증 정답</x:v>
      </x:c>
      <x:c r="G1257" s="8" t="str">
        <x:v>https://apis.data.go.kr/1471000/DrbEasyDrugInfoService/getDrbEasyDrugList</x:v>
      </x:c>
      <x:c r="H1257" s="8" t="str">
        <x:v>{
  "item_seq": "201100657",
  "item_name": "아르기닌베이론액(L-아르기닌염산염)",
  "manufacturer": "(주)제뉴파마",
  "section_codes": [
    "precautions"
  ]
}</x:v>
      </x:c>
    </x:row>
    <x:row r="1258" ht="54" customHeight="1">
      <x:c r="A1258" s="8" t="str">
        <x:v>gold-medication-4aa6bff416463aae</x:v>
      </x:c>
      <x:c r="B1258" s="8" t="str">
        <x:v>eyak:198700431:precautions:001</x:v>
      </x:c>
      <x:c r="C1258" s="8" t="str">
        <x:v>eyak:198700431:precautions:001</x:v>
      </x:c>
      <x:c r="D1258" s="8" t="str">
        <x:v>근거와 함께 답변</x:v>
      </x:c>
      <x:c r="E1258" s="15" t="n">
        <x:v>1256</x:v>
      </x:c>
      <x:c r="F1258" s="8" t="str">
        <x:v>기존 검증 정답</x:v>
      </x:c>
      <x:c r="G1258" s="8" t="str">
        <x:v>https://apis.data.go.kr/1471000/DrbEasyDrugInfoService/getDrbEasyDrugList</x:v>
      </x:c>
      <x:c r="H1258" s="8" t="str">
        <x:v>{
  "item_seq": "198700431",
  "item_name": "그랑페롤연질캡슐400아이유(비타민이프리퍼레이션)(군납명:토코페롤연질캡슐400아이유100캡슐)",
  "manufacturer": "(주)유한양행",
  "section_codes": [
    "precautions"
  ]
}</x:v>
      </x:c>
    </x:row>
    <x:row r="1259" ht="54" customHeight="1">
      <x:c r="A1259" s="8" t="str">
        <x:v>gold-medication-2a578e8e9c42f9a1</x:v>
      </x:c>
      <x:c r="B1259" s="8" t="str">
        <x:v>eyak:201501488:storage:001</x:v>
      </x:c>
      <x:c r="C1259" s="8" t="str">
        <x:v>eyak:201501488:storage:001</x:v>
      </x:c>
      <x:c r="D1259" s="8" t="str">
        <x:v>근거와 함께 답변</x:v>
      </x:c>
      <x:c r="E1259" s="15" t="n">
        <x:v>1257</x:v>
      </x:c>
      <x:c r="F1259" s="8" t="str">
        <x:v>기존 검증 정답</x:v>
      </x:c>
      <x:c r="G1259" s="8" t="str">
        <x:v>https://apis.data.go.kr/1471000/DrbEasyDrugInfoService/getDrbEasyDrugList</x:v>
      </x:c>
      <x:c r="H1259" s="8" t="str">
        <x:v>{
  "item_seq": "201501488",
  "item_name": "케라네일캡슐(수출용)",
  "manufacturer": "(주)제뉴파마",
  "section_codes": [
    "storage"
  ]
}</x:v>
      </x:c>
    </x:row>
    <x:row r="1260" ht="54" customHeight="1">
      <x:c r="A1260" s="8" t="str">
        <x:v>gold-medication-57ae90c407a235ad</x:v>
      </x:c>
      <x:c r="B1260" s="8" t="str">
        <x:v>eyak:201005606:dosage:001</x:v>
      </x:c>
      <x:c r="C1260" s="8" t="str">
        <x:v>eyak:201005606:dosage:001
eyak:201005606:dosage:002</x:v>
      </x:c>
      <x:c r="D1260" s="8" t="str">
        <x:v>근거와 함께 답변</x:v>
      </x:c>
      <x:c r="E1260" s="15" t="n">
        <x:v>1258</x:v>
      </x:c>
      <x:c r="F1260" s="8" t="str">
        <x:v>기존 검증 정답</x:v>
      </x:c>
      <x:c r="G1260" s="8" t="str">
        <x:v>https://apis.data.go.kr/1471000/DrbEasyDrugInfoService/getDrbEasyDrugList</x:v>
      </x:c>
      <x:c r="H1260" s="8" t="str">
        <x:v>{
  "item_seq": "201005606",
  "item_name": "키즈부펜시럽(덱시부프로펜)",
  "manufacturer": "(주)유유제약",
  "section_codes": [
    "dosage"
  ]
}</x:v>
      </x:c>
    </x:row>
    <x:row r="1261" ht="54" customHeight="1">
      <x:c r="A1261" s="8" t="str">
        <x:v>gold-medication-d2ddbbf1640b4caa</x:v>
      </x:c>
      <x:c r="B1261" s="8" t="str">
        <x:v>eyak:201604703:efficacy:001</x:v>
      </x:c>
      <x:c r="C1261" s="8" t="str">
        <x:v>eyak:201604703:efficacy:001</x:v>
      </x:c>
      <x:c r="D1261" s="8" t="str">
        <x:v>근거와 함께 답변</x:v>
      </x:c>
      <x:c r="E1261" s="15" t="n">
        <x:v>1259</x:v>
      </x:c>
      <x:c r="F1261" s="8" t="str">
        <x:v>기존 검증 정답</x:v>
      </x:c>
      <x:c r="G1261" s="8" t="str">
        <x:v>https://apis.data.go.kr/1471000/DrbEasyDrugInfoService/getDrbEasyDrugList</x:v>
      </x:c>
      <x:c r="H1261" s="8" t="str">
        <x:v>{
  "item_seq": "201604703",
  "item_name": "알보제로액(폴리크레줄렌액50%)",
  "manufacturer": "일양약품(주)",
  "section_codes": [
    "efficacy"
  ]
}</x:v>
      </x:c>
    </x:row>
    <x:row r="1262" ht="54" customHeight="1">
      <x:c r="A1262" s="8" t="str">
        <x:v>gold-medication-844f510dd509363b</x:v>
      </x:c>
      <x:c r="B1262" s="8" t="str">
        <x:v>eyak:201103677:dosage:001</x:v>
      </x:c>
      <x:c r="C1262" s="8" t="str">
        <x:v>eyak:201103677:dosage:001</x:v>
      </x:c>
      <x:c r="D1262" s="8" t="str">
        <x:v>근거와 함께 답변</x:v>
      </x:c>
      <x:c r="E1262" s="15" t="n">
        <x:v>1260</x:v>
      </x:c>
      <x:c r="F1262" s="8" t="str">
        <x:v>기존 검증 정답</x:v>
      </x:c>
      <x:c r="G1262" s="8" t="str">
        <x:v>https://apis.data.go.kr/1471000/DrbEasyDrugInfoService/getDrbEasyDrugList</x:v>
      </x:c>
      <x:c r="H1262" s="8" t="str">
        <x:v>{
  "item_seq": "201103677",
  "item_name": "속콜코프엘연질캡슐",
  "manufacturer": "일양약품(주)",
  "section_codes": [
    "dosage"
  ]
}</x:v>
      </x:c>
    </x:row>
    <x:row r="1263" ht="54" customHeight="1">
      <x:c r="A1263" s="8" t="str">
        <x:v>gold-medication-52083efe09b9354a</x:v>
      </x:c>
      <x:c r="B1263" s="8" t="str">
        <x:v>eyak:201901128:precautions:001</x:v>
      </x:c>
      <x:c r="C1263" s="8" t="str">
        <x:v>eyak:201901128:precautions:001</x:v>
      </x:c>
      <x:c r="D1263" s="8" t="str">
        <x:v>근거와 함께 답변</x:v>
      </x:c>
      <x:c r="E1263" s="15" t="n">
        <x:v>1261</x:v>
      </x:c>
      <x:c r="F1263" s="8" t="str">
        <x:v>기존 검증 정답</x:v>
      </x:c>
      <x:c r="G1263" s="8" t="str">
        <x:v>https://apis.data.go.kr/1471000/DrbEasyDrugInfoService/getDrbEasyDrugList</x:v>
      </x:c>
      <x:c r="H1263" s="8" t="str">
        <x:v>{
  "item_seq": "201901128",
  "item_name": "치치엔더블유크림",
  "manufacturer": "(주)퍼슨",
  "section_codes": [
    "precautions"
  ]
}</x:v>
      </x:c>
    </x:row>
    <x:row r="1264" ht="54" customHeight="1">
      <x:c r="A1264" s="8" t="str">
        <x:v>gold-medication-6fb8cd2907a8a81f</x:v>
      </x:c>
      <x:c r="B1264" s="8" t="str">
        <x:v>eyak:201903442:adverse_reactions:001</x:v>
      </x:c>
      <x:c r="C1264" s="8" t="str">
        <x:v>eyak:201903442:adverse_reactions:001</x:v>
      </x:c>
      <x:c r="D1264" s="8" t="str">
        <x:v>근거와 함께 답변</x:v>
      </x:c>
      <x:c r="E1264" s="15" t="n">
        <x:v>1262</x:v>
      </x:c>
      <x:c r="F1264" s="8" t="str">
        <x:v>기존 검증 정답</x:v>
      </x:c>
      <x:c r="G1264" s="8" t="str">
        <x:v>https://apis.data.go.kr/1471000/DrbEasyDrugInfoService/getDrbEasyDrugList</x:v>
      </x:c>
      <x:c r="H1264" s="8" t="str">
        <x:v>{
  "item_seq": "201903442",
  "item_name": "징키스틴캡슐(히스티딘아연이수화물)",
  "manufacturer": "(주)한국팜비오",
  "section_codes": [
    "adverse_reactions"
  ]
}</x:v>
      </x:c>
    </x:row>
    <x:row r="1265" ht="54" customHeight="1">
      <x:c r="A1265" s="8" t="str">
        <x:v>gold-medication-na-12cbc0a9b4db0f91</x:v>
      </x:c>
      <x:c r="B1265" s="8" t="str"/>
      <x:c r="C1265" s="8" t="str"/>
      <x:c r="D1265" s="8" t="str">
        <x:v>답변 거부 또는 추가 확인 요청</x:v>
      </x:c>
      <x:c r="E1265" s="15" t="n">
        <x:v>1263</x:v>
      </x:c>
      <x:c r="F1265" s="8" t="str">
        <x:v>답변 거부 기준 문구</x:v>
      </x:c>
      <x:c r="G1265" s="8" t="str">
        <x:v>https://apis.data.go.kr/1471000/DrbEasyDrugInfoService/getDrbEasyDrugList</x:v>
      </x:c>
      <x:c r="H1265" s="8" t="str">
        <x:v>{
  "item_seq": "202401708",
  "item_name": "마그원스피드액",
  "manufacturer": "초당약품공업(주)",
  "section_codes": [
    "precautions"
  ]
}</x:v>
      </x:c>
    </x:row>
    <x:row r="1266" ht="54" customHeight="1">
      <x:c r="A1266" s="8" t="str">
        <x:v>gold-medication-41204d3e6f99f3e0</x:v>
      </x:c>
      <x:c r="B1266" s="8" t="str">
        <x:v>eyak:202401470:dosage:001</x:v>
      </x:c>
      <x:c r="C1266" s="8" t="str">
        <x:v>eyak:202401470:dosage:001</x:v>
      </x:c>
      <x:c r="D1266" s="8" t="str">
        <x:v>근거와 함께 답변</x:v>
      </x:c>
      <x:c r="E1266" s="15" t="n">
        <x:v>1264</x:v>
      </x:c>
      <x:c r="F1266" s="8" t="str">
        <x:v>기존 검증 정답</x:v>
      </x:c>
      <x:c r="G1266" s="8" t="str">
        <x:v>https://apis.data.go.kr/1471000/DrbEasyDrugInfoService/getDrbEasyDrugList</x:v>
      </x:c>
      <x:c r="H1266" s="8" t="str">
        <x:v>{
  "item_seq": "202401470",
  "item_name": "오라페인큐겔",
  "manufacturer": "동국제약(주)",
  "section_codes": [
    "dosage"
  ]
}</x:v>
      </x:c>
    </x:row>
    <x:row r="1267" ht="54" customHeight="1">
      <x:c r="A1267" s="8" t="str">
        <x:v>gold-medication-977fb9a2d17267f8</x:v>
      </x:c>
      <x:c r="B1267" s="8" t="str">
        <x:v>eyak:201700907:precautions:001
eyak:201700907:adverse_reactions:002</x:v>
      </x:c>
      <x:c r="C1267" s="8" t="str">
        <x:v>eyak:201700907:precautions:001
eyak:201700907:precautions:002
eyak:201700907:adverse_reactions:002
eyak:201700907:adverse_reactions:001</x:v>
      </x:c>
      <x:c r="D1267" s="8" t="str">
        <x:v>근거와 함께 답변</x:v>
      </x:c>
      <x:c r="E1267" s="15" t="n">
        <x:v>1265</x:v>
      </x:c>
      <x:c r="F1267" s="8" t="str">
        <x:v>기존 검증 정답</x:v>
      </x:c>
      <x:c r="G1267" s="8" t="str">
        <x:v>https://apis.data.go.kr/1471000/DrbEasyDrugInfoService/getDrbEasyDrugList</x:v>
      </x:c>
      <x:c r="H1267" s="8" t="str">
        <x:v>{
  "item_seq": "201700907",
  "item_name": "위엔탑정",
  "manufacturer": "일양바이오팜(주)",
  "section_codes": [
    "precautions",
    "adverse_reactions"
  ]
}</x:v>
      </x:c>
    </x:row>
    <x:row r="1268" ht="54" customHeight="1">
      <x:c r="A1268" s="8" t="str">
        <x:v>gold-medication-3abc1ea722f83bef</x:v>
      </x:c>
      <x:c r="B1268" s="8" t="str">
        <x:v>eyak:201501315:storage:001</x:v>
      </x:c>
      <x:c r="C1268" s="8" t="str">
        <x:v>eyak:201501315:storage:001</x:v>
      </x:c>
      <x:c r="D1268" s="8" t="str">
        <x:v>근거와 함께 답변</x:v>
      </x:c>
      <x:c r="E1268" s="15" t="n">
        <x:v>1266</x:v>
      </x:c>
      <x:c r="F1268" s="8" t="str">
        <x:v>기존 검증 정답</x:v>
      </x:c>
      <x:c r="G1268" s="8" t="str">
        <x:v>https://apis.data.go.kr/1471000/DrbEasyDrugInfoService/getDrbEasyDrugList</x:v>
      </x:c>
      <x:c r="H1268" s="8" t="str">
        <x:v>{
  "item_seq": "201501315",
  "item_name": "캐롤디연질캡슐(덱시부프로펜)",
  "manufacturer": "일동제약(주)",
  "section_codes": [
    "storage"
  ]
}</x:v>
      </x:c>
    </x:row>
    <x:row r="1269" ht="54" customHeight="1">
      <x:c r="A1269" s="8" t="str">
        <x:v>gold-medication-na-f370a98ff7e2c1e7</x:v>
      </x:c>
      <x:c r="B1269" s="8" t="str"/>
      <x:c r="C1269" s="8" t="str"/>
      <x:c r="D1269" s="8" t="str">
        <x:v>답변 거부 또는 추가 확인 요청</x:v>
      </x:c>
      <x:c r="E1269" s="15" t="n">
        <x:v>1267</x:v>
      </x:c>
      <x:c r="F1269" s="8" t="str">
        <x:v>답변 거부 기준 문구</x:v>
      </x:c>
      <x:c r="G1269" s="8" t="str">
        <x:v>https://apis.data.go.kr/1471000/DrbEasyDrugInfoService/getDrbEasyDrugList</x:v>
      </x:c>
      <x:c r="H1269" s="8" t="str">
        <x:v>{
  "item_seq": "201501313",
  "item_name": "베트라겔",
  "manufacturer": "(주)제뉴파마",
  "section_codes": [
    "efficacy"
  ]
}</x:v>
      </x:c>
    </x:row>
    <x:row r="1270" ht="54" customHeight="1">
      <x:c r="A1270" s="8" t="str">
        <x:v>gold-medication-0813fc50df14315c</x:v>
      </x:c>
      <x:c r="B1270" s="8" t="str">
        <x:v>eyak:202000214:adverse_reactions:001</x:v>
      </x:c>
      <x:c r="C1270" s="8" t="str">
        <x:v>eyak:202000214:adverse_reactions:001
eyak:202000214:adverse_reactions:002
eyak:202000214:adverse_reactions:003
eyak:202000214:adverse_reactions:004</x:v>
      </x:c>
      <x:c r="D1270" s="8" t="str">
        <x:v>근거와 함께 답변</x:v>
      </x:c>
      <x:c r="E1270" s="15" t="n">
        <x:v>1268</x:v>
      </x:c>
      <x:c r="F1270" s="8" t="str">
        <x:v>기존 검증 정답</x:v>
      </x:c>
      <x:c r="G1270" s="8" t="str">
        <x:v>https://apis.data.go.kr/1471000/DrbEasyDrugInfoService/getDrbEasyDrugList</x:v>
      </x:c>
      <x:c r="H1270" s="8" t="str">
        <x:v>{
  "item_seq": "202000214",
  "item_name": "리놀에스트로키(플루르비프로펜)",
  "manufacturer": "경남제약(주)",
  "section_codes": [
    "adverse_reactions"
  ]
}</x:v>
      </x:c>
    </x:row>
    <x:row r="1271" ht="54" customHeight="1">
      <x:c r="A1271" s="8" t="str">
        <x:v>gold-medication-7b99688ecf954d51</x:v>
      </x:c>
      <x:c r="B1271" s="8" t="str">
        <x:v>eyak:202004872:storage:001</x:v>
      </x:c>
      <x:c r="C1271" s="8" t="str">
        <x:v>eyak:202004872:storage:001</x:v>
      </x:c>
      <x:c r="D1271" s="8" t="str">
        <x:v>근거와 함께 답변</x:v>
      </x:c>
      <x:c r="E1271" s="15" t="n">
        <x:v>1269</x:v>
      </x:c>
      <x:c r="F1271" s="8" t="str">
        <x:v>기존 검증 정답</x:v>
      </x:c>
      <x:c r="G1271" s="8" t="str">
        <x:v>https://apis.data.go.kr/1471000/DrbEasyDrugInfoService/getDrbEasyDrugList</x:v>
      </x:c>
      <x:c r="H1271" s="8" t="str">
        <x:v>{
  "item_seq": "202004872",
  "item_name": "소겐큐정",
  "manufacturer": "(주)한국파비스제약",
  "section_codes": [
    "storage"
  ]
}</x:v>
      </x:c>
    </x:row>
    <x:row r="1272" ht="54" customHeight="1">
      <x:c r="A1272" s="8" t="str">
        <x:v>gold-medication-01bca62a28b4ec03</x:v>
      </x:c>
      <x:c r="B1272" s="8" t="str">
        <x:v>eyak:202502046:precautions:005
eyak:202502046:adverse_reactions:001</x:v>
      </x:c>
      <x:c r="C1272" s="8" t="str">
        <x:v>eyak:202502046:precautions:005
eyak:202502046:precautions:004
eyak:202502046:precautions:002
eyak:202502046:precautions:003
eyak:202502046:precautions:001
eyak:202502046:adverse_reactions:001
eyak:202502046:adverse_reactions:002</x:v>
      </x:c>
      <x:c r="D1272" s="8" t="str">
        <x:v>근거와 함께 답변</x:v>
      </x:c>
      <x:c r="E1272" s="15" t="n">
        <x:v>1270</x:v>
      </x:c>
      <x:c r="F1272" s="8" t="str">
        <x:v>기존 검증 정답</x:v>
      </x:c>
      <x:c r="G1272" s="8" t="str">
        <x:v>https://apis.data.go.kr/1471000/DrbEasyDrugInfoService/getDrbEasyDrugList</x:v>
      </x:c>
      <x:c r="H1272" s="8" t="str">
        <x:v>{
  "item_seq": "202502046",
  "item_name": "맥시부펜코프연질캡슐",
  "manufacturer": "한미약품(주)",
  "section_codes": [
    "precautions",
    "adverse_reactions"
  ]
}</x:v>
      </x:c>
    </x:row>
    <x:row r="1273" ht="54" customHeight="1">
      <x:c r="A1273" s="8" t="str">
        <x:v>gold-medication-ab383c8f95fbf4db</x:v>
      </x:c>
      <x:c r="B1273" s="8" t="str">
        <x:v>eyak:199501960:precautions:001</x:v>
      </x:c>
      <x:c r="C1273" s="8" t="str">
        <x:v>eyak:199501960:precautions:001
eyak:199501960:precautions:002</x:v>
      </x:c>
      <x:c r="D1273" s="8" t="str">
        <x:v>근거와 함께 답변</x:v>
      </x:c>
      <x:c r="E1273" s="15" t="n">
        <x:v>1271</x:v>
      </x:c>
      <x:c r="F1273" s="8" t="str">
        <x:v>기존 검증 정답</x:v>
      </x:c>
      <x:c r="G1273" s="8" t="str">
        <x:v>https://apis.data.go.kr/1471000/DrbEasyDrugInfoService/getDrbEasyDrugList</x:v>
      </x:c>
      <x:c r="H1273" s="8" t="str">
        <x:v>{
  "item_seq": "199501960",
  "item_name": "프리치크림",
  "manufacturer": "신일제약(주)",
  "section_codes": [
    "precautions"
  ]
}</x:v>
      </x:c>
    </x:row>
    <x:row r="1274" ht="54" customHeight="1">
      <x:c r="A1274" s="8" t="str">
        <x:v>gold-medication-465dee8da09cdcf0</x:v>
      </x:c>
      <x:c r="B1274" s="8" t="str">
        <x:v>eyak:200400550:dosage:001</x:v>
      </x:c>
      <x:c r="C1274" s="8" t="str">
        <x:v>eyak:200400550:dosage:001</x:v>
      </x:c>
      <x:c r="D1274" s="8" t="str">
        <x:v>근거와 함께 답변</x:v>
      </x:c>
      <x:c r="E1274" s="15" t="n">
        <x:v>1272</x:v>
      </x:c>
      <x:c r="F1274" s="8" t="str">
        <x:v>기존 검증 정답</x:v>
      </x:c>
      <x:c r="G1274" s="8" t="str">
        <x:v>https://apis.data.go.kr/1471000/DrbEasyDrugInfoService/getDrbEasyDrugList</x:v>
      </x:c>
      <x:c r="H1274" s="8" t="str">
        <x:v>{
  "item_seq": "200400550",
  "item_name": "에카씬정",
  "manufacturer": "(주)바이넥스",
  "section_codes": [
    "dosage"
  ]
}</x:v>
      </x:c>
    </x:row>
    <x:row r="1275" ht="54" customHeight="1">
      <x:c r="A1275" s="8" t="str">
        <x:v>gold-medication-354072881b29caab</x:v>
      </x:c>
      <x:c r="B1275" s="8" t="str">
        <x:v>eyak:201801356:precautions:003</x:v>
      </x:c>
      <x:c r="C1275" s="8" t="str">
        <x:v>eyak:201801356:precautions:003
eyak:201801356:precautions:004
eyak:201801356:precautions:002
eyak:201801356:precautions:001</x:v>
      </x:c>
      <x:c r="D1275" s="8" t="str">
        <x:v>근거와 함께 답변</x:v>
      </x:c>
      <x:c r="E1275" s="15" t="n">
        <x:v>1273</x:v>
      </x:c>
      <x:c r="F1275" s="8" t="str">
        <x:v>기존 검증 정답</x:v>
      </x:c>
      <x:c r="G1275" s="8" t="str">
        <x:v>https://apis.data.go.kr/1471000/DrbEasyDrugInfoService/getDrbEasyDrugList</x:v>
      </x:c>
      <x:c r="H1275" s="8" t="str">
        <x:v>{
  "item_seq": "201801356",
  "item_name": "뉴스피린장용정100밀리그램(아스피린)",
  "manufacturer": "(주)다산제약",
  "section_codes": [
    "precautions"
  ]
}</x:v>
      </x:c>
    </x:row>
    <x:row r="1276" ht="54" customHeight="1">
      <x:c r="A1276" s="8" t="str">
        <x:v>gold-medication-a335058d09826114</x:v>
      </x:c>
      <x:c r="B1276" s="8" t="str">
        <x:v>eyak:200502066:efficacy:001</x:v>
      </x:c>
      <x:c r="C1276" s="8" t="str">
        <x:v>eyak:200502066:efficacy:001</x:v>
      </x:c>
      <x:c r="D1276" s="8" t="str">
        <x:v>근거와 함께 답변</x:v>
      </x:c>
      <x:c r="E1276" s="15" t="n">
        <x:v>1274</x:v>
      </x:c>
      <x:c r="F1276" s="8" t="str">
        <x:v>기존 검증 정답</x:v>
      </x:c>
      <x:c r="G1276" s="8" t="str">
        <x:v>https://apis.data.go.kr/1471000/DrbEasyDrugInfoService/getDrbEasyDrugList</x:v>
      </x:c>
      <x:c r="H1276" s="8" t="str">
        <x:v>{
  "item_seq": "200502066",
  "item_name": "안티라제정(수출명: Strikase)",
  "manufacturer": "(주)한국비엠아이",
  "section_codes": [
    "efficacy"
  ]
}</x:v>
      </x:c>
    </x:row>
    <x:row r="1277" ht="54" customHeight="1">
      <x:c r="A1277" s="8" t="str">
        <x:v>gold-medication-19bf2b6e333f1487</x:v>
      </x:c>
      <x:c r="B1277" s="8" t="str">
        <x:v>eyak:199102276:adverse_reactions:002</x:v>
      </x:c>
      <x:c r="C1277" s="8" t="str">
        <x:v>eyak:199102276:adverse_reactions:002
eyak:199102276:adverse_reactions:001
eyak:199102276:adverse_reactions:003</x:v>
      </x:c>
      <x:c r="D1277" s="8" t="str">
        <x:v>근거와 함께 답변</x:v>
      </x:c>
      <x:c r="E1277" s="15" t="n">
        <x:v>1275</x:v>
      </x:c>
      <x:c r="F1277" s="8" t="str">
        <x:v>기존 검증 정답</x:v>
      </x:c>
      <x:c r="G1277" s="8" t="str">
        <x:v>https://apis.data.go.kr/1471000/DrbEasyDrugInfoService/getDrbEasyDrugList</x:v>
      </x:c>
      <x:c r="H1277" s="8" t="str">
        <x:v>{
  "item_seq": "199102276",
  "item_name": "파비스암브록솔염산염정",
  "manufacturer": "(주)한국파비스제약",
  "section_codes": [
    "adverse_reactions"
  ]
}</x:v>
      </x:c>
    </x:row>
    <x:row r="1278" ht="54" customHeight="1">
      <x:c r="A1278" s="8" t="str">
        <x:v>gold-medication-15690dba9ae77bad</x:v>
      </x:c>
      <x:c r="B1278" s="8" t="str">
        <x:v>eyak:201706530:dosage:001</x:v>
      </x:c>
      <x:c r="C1278" s="8" t="str">
        <x:v>eyak:201706530:dosage:001</x:v>
      </x:c>
      <x:c r="D1278" s="8" t="str">
        <x:v>근거와 함께 답변</x:v>
      </x:c>
      <x:c r="E1278" s="15" t="n">
        <x:v>1276</x:v>
      </x:c>
      <x:c r="F1278" s="8" t="str">
        <x:v>기존 검증 정답</x:v>
      </x:c>
      <x:c r="G1278" s="8" t="str">
        <x:v>https://apis.data.go.kr/1471000/DrbEasyDrugInfoService/getDrbEasyDrugList</x:v>
      </x:c>
      <x:c r="H1278" s="8" t="str">
        <x:v>{
  "item_seq": "201706530",
  "item_name": "다리아정",
  "manufacturer": "한국신텍스제약(주)",
  "section_codes": [
    "dosage"
  ]
}</x:v>
      </x:c>
    </x:row>
    <x:row r="1279" ht="54" customHeight="1">
      <x:c r="A1279" s="8" t="str">
        <x:v>gold-medication-626334becd6678c7</x:v>
      </x:c>
      <x:c r="B1279" s="8" t="str">
        <x:v>eyak:197800242:interactions:001</x:v>
      </x:c>
      <x:c r="C1279" s="8" t="str">
        <x:v>eyak:197800242:interactions:001</x:v>
      </x:c>
      <x:c r="D1279" s="8" t="str">
        <x:v>근거와 함께 답변</x:v>
      </x:c>
      <x:c r="E1279" s="15" t="n">
        <x:v>1277</x:v>
      </x:c>
      <x:c r="F1279" s="8" t="str">
        <x:v>기존 검증 정답</x:v>
      </x:c>
      <x:c r="G1279" s="8" t="str">
        <x:v>https://apis.data.go.kr/1471000/DrbEasyDrugInfoService/getDrbEasyDrugList</x:v>
      </x:c>
      <x:c r="H1279" s="8" t="str">
        <x:v>{
  "item_seq": "197800242",
  "item_name": "일양노이시린에이정(규산알루민산마그네슘)",
  "manufacturer": "일양약품(주)",
  "section_codes": [
    "interactions"
  ]
}</x:v>
      </x:c>
    </x:row>
    <x:row r="1280" ht="54" customHeight="1">
      <x:c r="A1280" s="8" t="str">
        <x:v>gold-medication-14557279dae1482e</x:v>
      </x:c>
      <x:c r="B1280" s="8" t="str">
        <x:v>eyak:199902656:interactions:001</x:v>
      </x:c>
      <x:c r="C1280" s="8" t="str">
        <x:v>eyak:199902656:interactions:001</x:v>
      </x:c>
      <x:c r="D1280" s="8" t="str">
        <x:v>근거와 함께 답변</x:v>
      </x:c>
      <x:c r="E1280" s="15" t="n">
        <x:v>1278</x:v>
      </x:c>
      <x:c r="F1280" s="8" t="str">
        <x:v>기존 검증 정답</x:v>
      </x:c>
      <x:c r="G1280" s="8" t="str">
        <x:v>https://apis.data.go.kr/1471000/DrbEasyDrugInfoService/getDrbEasyDrugList</x:v>
      </x:c>
      <x:c r="H1280" s="8" t="str">
        <x:v>{
  "item_seq": "199902656",
  "item_name": "목틴캡슐200밀리그램(아세틸시스테인)",
  "manufacturer": "한미약품(주)",
  "section_codes": [
    "interactions"
  ]
}</x:v>
      </x:c>
    </x:row>
    <x:row r="1281" ht="54" customHeight="1">
      <x:c r="A1281" s="8" t="str">
        <x:v>gold-medication-1953d0fa4ba1b293</x:v>
      </x:c>
      <x:c r="B1281" s="8" t="str">
        <x:v>eyak:202000773:efficacy:001</x:v>
      </x:c>
      <x:c r="C1281" s="8" t="str">
        <x:v>eyak:202000773:efficacy:001
eyak:202000773:efficacy:002</x:v>
      </x:c>
      <x:c r="D1281" s="8" t="str">
        <x:v>근거와 함께 답변</x:v>
      </x:c>
      <x:c r="E1281" s="15" t="n">
        <x:v>1279</x:v>
      </x:c>
      <x:c r="F1281" s="8" t="str">
        <x:v>기존 검증 정답</x:v>
      </x:c>
      <x:c r="G1281" s="8" t="str">
        <x:v>https://apis.data.go.kr/1471000/DrbEasyDrugInfoService/getDrbEasyDrugList</x:v>
      </x:c>
      <x:c r="H1281" s="8" t="str">
        <x:v>{
  "item_seq": "202000773",
  "item_name": "미가펜후레쉬연질캡슐(이부프로펜)",
  "manufacturer": "(주)팜젠사이언스",
  "section_codes": [
    "efficacy"
  ]
}</x:v>
      </x:c>
    </x:row>
    <x:row r="1282" ht="54" customHeight="1">
      <x:c r="A1282" s="8" t="str">
        <x:v>gold-medication-b9e6d3d37f77f494</x:v>
      </x:c>
      <x:c r="B1282" s="8" t="str">
        <x:v>eyak:202501091:efficacy:001</x:v>
      </x:c>
      <x:c r="C1282" s="8" t="str">
        <x:v>eyak:202501091:efficacy:001</x:v>
      </x:c>
      <x:c r="D1282" s="8" t="str">
        <x:v>근거와 함께 답변</x:v>
      </x:c>
      <x:c r="E1282" s="15" t="n">
        <x:v>1280</x:v>
      </x:c>
      <x:c r="F1282" s="8" t="str">
        <x:v>기존 검증 정답</x:v>
      </x:c>
      <x:c r="G1282" s="8" t="str">
        <x:v>https://apis.data.go.kr/1471000/DrbEasyDrugInfoService/getDrbEasyDrugList</x:v>
      </x:c>
      <x:c r="H1282" s="8" t="str">
        <x:v>{
  "item_seq": "202501091",
  "item_name": "장엔클캡슐",
  "manufacturer": "에스케이케미칼(주)",
  "section_codes": [
    "efficacy"
  ]
}</x:v>
      </x:c>
    </x:row>
    <x:row r="1283" ht="54" customHeight="1">
      <x:c r="A1283" s="8" t="str">
        <x:v>gold-medication-ea5fbca2308a871e</x:v>
      </x:c>
      <x:c r="B1283" s="8" t="str">
        <x:v>eyak:201402369:adverse_reactions:001</x:v>
      </x:c>
      <x:c r="C1283" s="8" t="str">
        <x:v>eyak:201402369:adverse_reactions:001</x:v>
      </x:c>
      <x:c r="D1283" s="8" t="str">
        <x:v>근거와 함께 답변</x:v>
      </x:c>
      <x:c r="E1283" s="15" t="n">
        <x:v>1281</x:v>
      </x:c>
      <x:c r="F1283" s="8" t="str">
        <x:v>기존 검증 정답</x:v>
      </x:c>
      <x:c r="G1283" s="8" t="str">
        <x:v>https://apis.data.go.kr/1471000/DrbEasyDrugInfoService/getDrbEasyDrugList</x:v>
      </x:c>
      <x:c r="H1283" s="8" t="str">
        <x:v>{
  "item_seq": "201402369",
  "item_name": "신일겔정",
  "manufacturer": "신일제약(주)",
  "section_codes": [
    "adverse_reactions"
  ]
}</x:v>
      </x:c>
    </x:row>
    <x:row r="1284" ht="54" customHeight="1">
      <x:c r="A1284" s="8" t="str">
        <x:v>gold-medication-863f05a6f62e956b</x:v>
      </x:c>
      <x:c r="B1284" s="8" t="str">
        <x:v>eyak:202005041:precautions:001</x:v>
      </x:c>
      <x:c r="C1284" s="8" t="str">
        <x:v>eyak:202005041:precautions:001
eyak:202005041:precautions:002
eyak:202005041:precautions:003
eyak:202005041:precautions:004</x:v>
      </x:c>
      <x:c r="D1284" s="8" t="str">
        <x:v>근거와 함께 답변</x:v>
      </x:c>
      <x:c r="E1284" s="15" t="n">
        <x:v>1282</x:v>
      </x:c>
      <x:c r="F1284" s="8" t="str">
        <x:v>기존 검증 정답</x:v>
      </x:c>
      <x:c r="G1284" s="8" t="str">
        <x:v>https://apis.data.go.kr/1471000/DrbEasyDrugInfoService/getDrbEasyDrugList</x:v>
      </x:c>
      <x:c r="H1284" s="8" t="str">
        <x:v>{
  "item_seq": "202005041",
  "item_name": "쎈파워비타연질캡슐",
  "manufacturer": "(주)텔콘알에프제약",
  "section_codes": [
    "precautions"
  ]
}</x:v>
      </x:c>
    </x:row>
    <x:row r="1285" ht="54" customHeight="1">
      <x:c r="A1285" s="8" t="str">
        <x:v>gold-medication-bd68fa21bdecf175</x:v>
      </x:c>
      <x:c r="B1285" s="8" t="str">
        <x:v>eyak:201501637:adverse_reactions:001</x:v>
      </x:c>
      <x:c r="C1285" s="8" t="str">
        <x:v>eyak:201501637:adverse_reactions:001</x:v>
      </x:c>
      <x:c r="D1285" s="8" t="str">
        <x:v>근거와 함께 답변</x:v>
      </x:c>
      <x:c r="E1285" s="15" t="n">
        <x:v>1283</x:v>
      </x:c>
      <x:c r="F1285" s="8" t="str">
        <x:v>기존 검증 정답</x:v>
      </x:c>
      <x:c r="G1285" s="8" t="str">
        <x:v>https://apis.data.go.kr/1471000/DrbEasyDrugInfoService/getDrbEasyDrugList</x:v>
      </x:c>
      <x:c r="H1285" s="8" t="str">
        <x:v>{
  "item_seq": "201501637",
  "item_name": "마그벤연질캡슐",
  "manufacturer": "동방에프티엘(주)",
  "section_codes": [
    "adverse_reactions"
  ]
}</x:v>
      </x:c>
    </x:row>
    <x:row r="1286" ht="54" customHeight="1">
      <x:c r="A1286" s="8" t="str">
        <x:v>gold-medication-5b2d67a26180f722</x:v>
      </x:c>
      <x:c r="B1286" s="8" t="str">
        <x:v>eyak:202107570:adverse_reactions:001</x:v>
      </x:c>
      <x:c r="C1286" s="8" t="str">
        <x:v>eyak:202107570:adverse_reactions:001</x:v>
      </x:c>
      <x:c r="D1286" s="8" t="str">
        <x:v>근거와 함께 답변</x:v>
      </x:c>
      <x:c r="E1286" s="15" t="n">
        <x:v>1284</x:v>
      </x:c>
      <x:c r="F1286" s="8" t="str">
        <x:v>기존 검증 정답</x:v>
      </x:c>
      <x:c r="G1286" s="8" t="str">
        <x:v>https://apis.data.go.kr/1471000/DrbEasyDrugInfoService/getDrbEasyDrugList</x:v>
      </x:c>
      <x:c r="H1286" s="8" t="str">
        <x:v>{
  "item_seq": "202107570",
  "item_name": "활비톤액",
  "manufacturer": "조아제약(주)",
  "section_codes": [
    "adverse_reactions"
  ]
}</x:v>
      </x:c>
    </x:row>
    <x:row r="1287" ht="54" customHeight="1">
      <x:c r="A1287" s="8" t="str">
        <x:v>gold-medication-4238f060e0b9b799</x:v>
      </x:c>
      <x:c r="B1287" s="8" t="str">
        <x:v>eyak:199800785:adverse_reactions:001</x:v>
      </x:c>
      <x:c r="C1287" s="8" t="str">
        <x:v>eyak:199800785:adverse_reactions:001</x:v>
      </x:c>
      <x:c r="D1287" s="8" t="str">
        <x:v>근거와 함께 답변</x:v>
      </x:c>
      <x:c r="E1287" s="15" t="n">
        <x:v>1285</x:v>
      </x:c>
      <x:c r="F1287" s="8" t="str">
        <x:v>기존 검증 정답</x:v>
      </x:c>
      <x:c r="G1287" s="8" t="str">
        <x:v>https://apis.data.go.kr/1471000/DrbEasyDrugInfoService/getDrbEasyDrugList</x:v>
      </x:c>
      <x:c r="H1287" s="8" t="str">
        <x:v>{
  "item_seq": "199800785",
  "item_name": "미리놀캡슐(아세틸시스테인)",
  "manufacturer": "(주)바이넥스",
  "section_codes": [
    "adverse_reactions"
  ]
}</x:v>
      </x:c>
    </x:row>
    <x:row r="1288" ht="54" customHeight="1">
      <x:c r="A1288" s="8" t="str">
        <x:v>gold-medication-a07b2a62e6f8c439</x:v>
      </x:c>
      <x:c r="B1288" s="8" t="str">
        <x:v>eyak:201604385:efficacy:001</x:v>
      </x:c>
      <x:c r="C1288" s="8" t="str">
        <x:v>eyak:201604385:efficacy:001</x:v>
      </x:c>
      <x:c r="D1288" s="8" t="str">
        <x:v>근거와 함께 답변</x:v>
      </x:c>
      <x:c r="E1288" s="15" t="n">
        <x:v>1286</x:v>
      </x:c>
      <x:c r="F1288" s="8" t="str">
        <x:v>기존 검증 정답</x:v>
      </x:c>
      <x:c r="G1288" s="8" t="str">
        <x:v>https://apis.data.go.kr/1471000/DrbEasyDrugInfoService/getDrbEasyDrugList</x:v>
      </x:c>
      <x:c r="H1288" s="8" t="str">
        <x:v>{
  "item_seq": "201604385",
  "item_name": "에스릴네일라카(아모롤핀염산염)",
  "manufacturer": "(주)서울제약",
  "section_codes": [
    "efficacy"
  ]
}</x:v>
      </x:c>
    </x:row>
    <x:row r="1289" ht="54" customHeight="1">
      <x:c r="A1289" s="8" t="str">
        <x:v>gold-medication-17d4f53a201cc6a1</x:v>
      </x:c>
      <x:c r="B1289" s="8" t="str">
        <x:v>eyak:201803375:interactions:001</x:v>
      </x:c>
      <x:c r="C1289" s="8" t="str">
        <x:v>eyak:201803375:interactions:001</x:v>
      </x:c>
      <x:c r="D1289" s="8" t="str">
        <x:v>근거와 함께 답변</x:v>
      </x:c>
      <x:c r="E1289" s="15" t="n">
        <x:v>1287</x:v>
      </x:c>
      <x:c r="F1289" s="8" t="str">
        <x:v>기존 검증 정답</x:v>
      </x:c>
      <x:c r="G1289" s="8" t="str">
        <x:v>https://apis.data.go.kr/1471000/DrbEasyDrugInfoService/getDrbEasyDrugList</x:v>
      </x:c>
      <x:c r="H1289" s="8" t="str">
        <x:v>{
  "item_seq": "201803375",
  "item_name": "녹십자폴산정",
  "manufacturer": "(주)녹십자",
  "section_codes": [
    "interactions"
  ]
}</x:v>
      </x:c>
    </x:row>
    <x:row r="1290" ht="54" customHeight="1">
      <x:c r="A1290" s="8" t="str">
        <x:v>gold-medication-fed65fc79a2614d2</x:v>
      </x:c>
      <x:c r="B1290" s="8" t="str">
        <x:v>eyak:200608046:adverse_reactions:003</x:v>
      </x:c>
      <x:c r="C1290" s="8" t="str">
        <x:v>eyak:200608046:adverse_reactions:003
eyak:200608046:adverse_reactions:001
eyak:200608046:adverse_reactions:002</x:v>
      </x:c>
      <x:c r="D1290" s="8" t="str">
        <x:v>근거와 함께 답변</x:v>
      </x:c>
      <x:c r="E1290" s="15" t="n">
        <x:v>1288</x:v>
      </x:c>
      <x:c r="F1290" s="8" t="str">
        <x:v>기존 검증 정답</x:v>
      </x:c>
      <x:c r="G1290" s="8" t="str">
        <x:v>https://apis.data.go.kr/1471000/DrbEasyDrugInfoService/getDrbEasyDrugList</x:v>
      </x:c>
      <x:c r="H1290" s="8" t="str">
        <x:v>{
  "item_seq": "200608046",
  "item_name": "아젤리아크림(아젤라산(미분화))",
  "manufacturer": "레오파마(유)",
  "section_codes": [
    "adverse_reactions"
  ]
}</x:v>
      </x:c>
    </x:row>
    <x:row r="1291" ht="54" customHeight="1">
      <x:c r="A1291" s="8" t="str">
        <x:v>gold-medication-c081cad7d227adaf</x:v>
      </x:c>
      <x:c r="B1291" s="8" t="str">
        <x:v>eyak:202302739:warning:001
eyak:202302739:precautions:003
eyak:202302739:adverse_reactions:001</x:v>
      </x:c>
      <x:c r="C1291" s="8" t="str">
        <x:v>eyak:202302739:warning:001
eyak:202302739:warning:002
eyak:202302739:warning:003
eyak:202302739:precautions:003
eyak:202302739:precautions:005
eyak:202302739:precautions:004
eyak:202302739:precautions:002
eyak:202302739:precautions:001
eyak:202302739:adverse_reactions:001
eyak:202302739:adverse_reactions:002
eyak:202302739:adverse_reactions:003</x:v>
      </x:c>
      <x:c r="D1291" s="8" t="str">
        <x:v>근거와 함께 답변</x:v>
      </x:c>
      <x:c r="E1291" s="15" t="n">
        <x:v>1289</x:v>
      </x:c>
      <x:c r="F1291" s="8" t="str">
        <x:v>기존 검증 정답</x:v>
      </x:c>
      <x:c r="G1291" s="8" t="str">
        <x:v>https://apis.data.go.kr/1471000/DrbEasyDrugInfoService/getDrbEasyDrugList</x:v>
      </x:c>
      <x:c r="H1291" s="8" t="str">
        <x:v>{
  "item_seq": "202302739",
  "item_name": "그날엔노즈에이연질캡슐",
  "manufacturer": "경동제약(주)",
  "section_codes": [
    "warning",
    "precautions",
    "adverse_reactions"
  ]
}</x:v>
      </x:c>
    </x:row>
    <x:row r="1292" ht="54" customHeight="1">
      <x:c r="A1292" s="8" t="str">
        <x:v>gold-medication-cb3e385c112e7e68</x:v>
      </x:c>
      <x:c r="B1292" s="8" t="str">
        <x:v>eyak:201500199:precautions:001</x:v>
      </x:c>
      <x:c r="C1292" s="8" t="str">
        <x:v>eyak:201500199:precautions:001
eyak:201500199:precautions:002</x:v>
      </x:c>
      <x:c r="D1292" s="8" t="str">
        <x:v>근거와 함께 답변</x:v>
      </x:c>
      <x:c r="E1292" s="15" t="n">
        <x:v>1290</x:v>
      </x:c>
      <x:c r="F1292" s="8" t="str">
        <x:v>기존 검증 정답</x:v>
      </x:c>
      <x:c r="G1292" s="8" t="str">
        <x:v>https://apis.data.go.kr/1471000/DrbEasyDrugInfoService/getDrbEasyDrugList</x:v>
      </x:c>
      <x:c r="H1292" s="8" t="str">
        <x:v>{
  "item_seq": "201500199",
  "item_name": "목앤스프레이",
  "manufacturer": "한미약품(주)",
  "section_codes": [
    "precautions"
  ]
}</x:v>
      </x:c>
    </x:row>
    <x:row r="1293" ht="54" customHeight="1">
      <x:c r="A1293" s="8" t="str">
        <x:v>gold-medication-ede0314fa148789f</x:v>
      </x:c>
      <x:c r="B1293" s="8" t="str">
        <x:v>eyak:202204652:efficacy:001</x:v>
      </x:c>
      <x:c r="C1293" s="8" t="str">
        <x:v>eyak:202204652:efficacy:001</x:v>
      </x:c>
      <x:c r="D1293" s="8" t="str">
        <x:v>근거와 함께 답변</x:v>
      </x:c>
      <x:c r="E1293" s="15" t="n">
        <x:v>1291</x:v>
      </x:c>
      <x:c r="F1293" s="8" t="str">
        <x:v>기존 검증 정답</x:v>
      </x:c>
      <x:c r="G1293" s="8" t="str">
        <x:v>https://apis.data.go.kr/1471000/DrbEasyDrugInfoService/getDrbEasyDrugList</x:v>
      </x:c>
      <x:c r="H1293" s="8" t="str">
        <x:v>{
  "item_seq": "202204652",
  "item_name": "메디콜캡슐",
  "manufacturer": "메딕스제약(주)",
  "section_codes": [
    "efficacy"
  ]
}</x:v>
      </x:c>
    </x:row>
    <x:row r="1294" ht="54" customHeight="1">
      <x:c r="A1294" s="8" t="str">
        <x:v>gold-medication-7baabc87e9aa3a12</x:v>
      </x:c>
      <x:c r="B1294" s="8" t="str">
        <x:v>eyak:202000337:efficacy:001</x:v>
      </x:c>
      <x:c r="C1294" s="8" t="str">
        <x:v>eyak:202000337:efficacy:001</x:v>
      </x:c>
      <x:c r="D1294" s="8" t="str">
        <x:v>근거와 함께 답변</x:v>
      </x:c>
      <x:c r="E1294" s="15" t="n">
        <x:v>1292</x:v>
      </x:c>
      <x:c r="F1294" s="8" t="str">
        <x:v>기존 검증 정답</x:v>
      </x:c>
      <x:c r="G1294" s="8" t="str">
        <x:v>https://apis.data.go.kr/1471000/DrbEasyDrugInfoService/getDrbEasyDrugList</x:v>
      </x:c>
      <x:c r="H1294" s="8" t="str">
        <x:v>{
  "item_seq": "202000337",
  "item_name": "유유베노스민정600밀리그램(디오스민)",
  "manufacturer": "(주)유유제약",
  "section_codes": [
    "efficacy"
  ]
}</x:v>
      </x:c>
    </x:row>
    <x:row r="1295" ht="54" customHeight="1">
      <x:c r="A1295" s="8" t="str">
        <x:v>gold-medication-5300c0a613b3f786</x:v>
      </x:c>
      <x:c r="B1295" s="8" t="str">
        <x:v>eyak:200600134:adverse_reactions:001</x:v>
      </x:c>
      <x:c r="C1295" s="8" t="str">
        <x:v>eyak:200600134:adverse_reactions:001</x:v>
      </x:c>
      <x:c r="D1295" s="8" t="str">
        <x:v>근거와 함께 답변</x:v>
      </x:c>
      <x:c r="E1295" s="15" t="n">
        <x:v>1293</x:v>
      </x:c>
      <x:c r="F1295" s="8" t="str">
        <x:v>기존 검증 정답</x:v>
      </x:c>
      <x:c r="G1295" s="8" t="str">
        <x:v>https://apis.data.go.kr/1471000/DrbEasyDrugInfoService/getDrbEasyDrugList</x:v>
      </x:c>
      <x:c r="H1295" s="8" t="str">
        <x:v>{
  "item_seq": "200600134",
  "item_name": "판테민정(판테틴)",
  "manufacturer": "(주)바이넥스",
  "section_codes": [
    "adverse_reactions"
  ]
}</x:v>
      </x:c>
    </x:row>
    <x:row r="1296" ht="54" customHeight="1">
      <x:c r="A1296" s="8" t="str">
        <x:v>gold-medication-a929ee8dde4ce052</x:v>
      </x:c>
      <x:c r="B1296" s="8" t="str">
        <x:v>eyak:202200195:adverse_reactions:001</x:v>
      </x:c>
      <x:c r="C1296" s="8" t="str">
        <x:v>eyak:202200195:adverse_reactions:001
eyak:202200195:adverse_reactions:002</x:v>
      </x:c>
      <x:c r="D1296" s="8" t="str">
        <x:v>근거와 함께 답변</x:v>
      </x:c>
      <x:c r="E1296" s="15" t="n">
        <x:v>1294</x:v>
      </x:c>
      <x:c r="F1296" s="8" t="str">
        <x:v>기존 검증 정답</x:v>
      </x:c>
      <x:c r="G1296" s="8" t="str">
        <x:v>https://apis.data.go.kr/1471000/DrbEasyDrugInfoService/getDrbEasyDrugList</x:v>
      </x:c>
      <x:c r="H1296" s="8" t="str">
        <x:v>{
  "item_seq": "202200195",
  "item_name": "나스펜시럽(아세트아미노펜)",
  "manufacturer": "조아제약(주)",
  "section_codes": [
    "adverse_reactions"
  ]
}</x:v>
      </x:c>
    </x:row>
    <x:row r="1297" ht="54" customHeight="1">
      <x:c r="A1297" s="8" t="str">
        <x:v>gold-medication-943b9f8904d97896</x:v>
      </x:c>
      <x:c r="B1297" s="8" t="str">
        <x:v>eyak:199601110:dosage:001</x:v>
      </x:c>
      <x:c r="C1297" s="8" t="str">
        <x:v>eyak:199601110:dosage:001</x:v>
      </x:c>
      <x:c r="D1297" s="8" t="str">
        <x:v>근거와 함께 답변</x:v>
      </x:c>
      <x:c r="E1297" s="15" t="n">
        <x:v>1295</x:v>
      </x:c>
      <x:c r="F1297" s="8" t="str">
        <x:v>기존 검증 정답</x:v>
      </x:c>
      <x:c r="G1297" s="8" t="str">
        <x:v>https://apis.data.go.kr/1471000/DrbEasyDrugInfoService/getDrbEasyDrugList</x:v>
      </x:c>
      <x:c r="H1297" s="8" t="str">
        <x:v>{
  "item_seq": "199601110",
  "item_name": "크리맥액(돔페리돈)",
  "manufacturer": "일양약품(주)",
  "section_codes": [
    "dosage"
  ]
}</x:v>
      </x:c>
    </x:row>
    <x:row r="1298" ht="54" customHeight="1">
      <x:c r="A1298" s="8" t="str">
        <x:v>gold-medication-96e46c2099e33d28</x:v>
      </x:c>
      <x:c r="B1298" s="8" t="str">
        <x:v>eyak:200608328:warning:001
eyak:200608328:precautions:005
eyak:200608328:adverse_reactions:001</x:v>
      </x:c>
      <x:c r="C1298" s="8" t="str">
        <x:v>eyak:200608328:warning:001
eyak:200608328:warning:002
eyak:200608328:warning:003
eyak:200608328:precautions:005
eyak:200608328:precautions:003
eyak:200608328:precautions:001
eyak:200608328:precautions:004
eyak:200608328:precautions:002
eyak:200608328:adverse_reactions:001
eyak:200608328:adverse_reactions:002
eyak:200608328:adverse_reactions:003</x:v>
      </x:c>
      <x:c r="D1298" s="8" t="str">
        <x:v>근거와 함께 답변</x:v>
      </x:c>
      <x:c r="E1298" s="15" t="n">
        <x:v>1296</x:v>
      </x:c>
      <x:c r="F1298" s="8" t="str">
        <x:v>기존 검증 정답</x:v>
      </x:c>
      <x:c r="G1298" s="8" t="str">
        <x:v>https://apis.data.go.kr/1471000/DrbEasyDrugInfoService/getDrbEasyDrugList</x:v>
      </x:c>
      <x:c r="H1298" s="8" t="str">
        <x:v>{
  "item_seq": "200608328",
  "item_name": "레드콜연질캡슐",
  "manufacturer": "(주)알피바이오",
  "section_codes": [
    "warning",
    "precautions",
    "adverse_reactions"
  ]
}</x:v>
      </x:c>
    </x:row>
    <x:row r="1299" ht="54" customHeight="1">
      <x:c r="A1299" s="8" t="str">
        <x:v>gold-medication-631bff02e3f48d08</x:v>
      </x:c>
      <x:c r="B1299" s="8" t="str">
        <x:v>eyak:201802103:precautions:001</x:v>
      </x:c>
      <x:c r="C1299" s="8" t="str">
        <x:v>eyak:201802103:precautions:001</x:v>
      </x:c>
      <x:c r="D1299" s="8" t="str">
        <x:v>근거와 함께 답변</x:v>
      </x:c>
      <x:c r="E1299" s="15" t="n">
        <x:v>1297</x:v>
      </x:c>
      <x:c r="F1299" s="8" t="str">
        <x:v>기존 검증 정답</x:v>
      </x:c>
      <x:c r="G1299" s="8" t="str">
        <x:v>https://apis.data.go.kr/1471000/DrbEasyDrugInfoService/getDrbEasyDrugList</x:v>
      </x:c>
      <x:c r="H1299" s="8" t="str">
        <x:v>{
  "item_seq": "201802103",
  "item_name": "탈리부틴정200밀리그램(트리메부틴말레산염)",
  "manufacturer": "국제약품(주)",
  "section_codes": [
    "precautions"
  ]
}</x:v>
      </x:c>
    </x:row>
    <x:row r="1300" ht="54" customHeight="1">
      <x:c r="A1300" s="8" t="str">
        <x:v>gold-medication-dc5dabf04110c29f</x:v>
      </x:c>
      <x:c r="B1300" s="8" t="str">
        <x:v>eyak:202102731:adverse_reactions:002</x:v>
      </x:c>
      <x:c r="C1300" s="8" t="str">
        <x:v>eyak:202102731:adverse_reactions:002
eyak:202102731:adverse_reactions:001
eyak:202102731:adverse_reactions:003</x:v>
      </x:c>
      <x:c r="D1300" s="8" t="str">
        <x:v>근거와 함께 답변</x:v>
      </x:c>
      <x:c r="E1300" s="15" t="n">
        <x:v>1298</x:v>
      </x:c>
      <x:c r="F1300" s="8" t="str">
        <x:v>기존 검증 정답</x:v>
      </x:c>
      <x:c r="G1300" s="8" t="str">
        <x:v>https://apis.data.go.kr/1471000/DrbEasyDrugInfoService/getDrbEasyDrugList</x:v>
      </x:c>
      <x:c r="H1300" s="8" t="str">
        <x:v>{
  "item_seq": "202102731",
  "item_name": "쏙코프에프연질캡슐",
  "manufacturer": "(주)에이프로젠바이오로직스",
  "section_codes": [
    "adverse_reactions"
  ]
}</x:v>
      </x:c>
    </x:row>
    <x:row r="1301" ht="54" customHeight="1">
      <x:c r="A1301" s="8" t="str">
        <x:v>gold-medication-446f4d9b685e96d6</x:v>
      </x:c>
      <x:c r="B1301" s="8" t="str">
        <x:v>eyak:201905693:warning:002
eyak:201905693:precautions:001
eyak:201905693:adverse_reactions:002</x:v>
      </x:c>
      <x:c r="C1301" s="8" t="str">
        <x:v>eyak:201905693:warning:002
eyak:201905693:warning:001
eyak:201905693:warning:003
eyak:201905693:precautions:001
eyak:201905693:precautions:002
eyak:201905693:precautions:003
eyak:201905693:adverse_reactions:002
eyak:201905693:adverse_reactions:001
eyak:201905693:adverse_reactions:003</x:v>
      </x:c>
      <x:c r="D1301" s="8" t="str">
        <x:v>근거와 함께 답변</x:v>
      </x:c>
      <x:c r="E1301" s="15" t="n">
        <x:v>1299</x:v>
      </x:c>
      <x:c r="F1301" s="8" t="str">
        <x:v>기존 검증 정답</x:v>
      </x:c>
      <x:c r="G1301" s="8" t="str">
        <x:v>https://apis.data.go.kr/1471000/DrbEasyDrugInfoService/getDrbEasyDrugList</x:v>
      </x:c>
      <x:c r="H1301" s="8" t="str">
        <x:v>{
  "item_seq": "201905693",
  "item_name": "타이레펜8시간이알서방정650밀리그램(아세트아미노펜)",
  "manufacturer": "(주)휴비스트제약",
  "section_codes": [
    "warning",
    "precautions",
    "adverse_reactions"
  ]
}</x:v>
      </x:c>
    </x:row>
    <x:row r="1302" ht="54" customHeight="1">
      <x:c r="A1302" s="8" t="str">
        <x:v>gold-medication-a32d40f60f22451c</x:v>
      </x:c>
      <x:c r="B1302" s="8" t="str">
        <x:v>eyak:201404892:adverse_reactions:001</x:v>
      </x:c>
      <x:c r="C1302" s="8" t="str">
        <x:v>eyak:201404892:adverse_reactions:001</x:v>
      </x:c>
      <x:c r="D1302" s="8" t="str">
        <x:v>근거와 함께 답변</x:v>
      </x:c>
      <x:c r="E1302" s="15" t="n">
        <x:v>1300</x:v>
      </x:c>
      <x:c r="F1302" s="8" t="str">
        <x:v>기존 검증 정답</x:v>
      </x:c>
      <x:c r="G1302" s="8" t="str">
        <x:v>https://apis.data.go.kr/1471000/DrbEasyDrugInfoService/getDrbEasyDrugList</x:v>
      </x:c>
      <x:c r="H1302" s="8" t="str">
        <x:v>{
  "item_seq": "201404892",
  "item_name": "라미디핀크림(나프티핀염산염)",
  "manufacturer": "(주)제뉴파마",
  "section_codes": [
    "adverse_reactions"
  ]
}</x:v>
      </x:c>
    </x:row>
    <x:row r="1303" ht="54" customHeight="1">
      <x:c r="A1303" s="8" t="str">
        <x:v>gold-medication-na-b1ed522f454eaaf7</x:v>
      </x:c>
      <x:c r="B1303" s="8" t="str"/>
      <x:c r="C1303" s="8" t="str"/>
      <x:c r="D1303" s="8" t="str">
        <x:v>답변 거부 또는 추가 확인 요청</x:v>
      </x:c>
      <x:c r="E1303" s="15" t="n">
        <x:v>1301</x:v>
      </x:c>
      <x:c r="F1303" s="8" t="str">
        <x:v>답변 거부 기준 문구</x:v>
      </x:c>
      <x:c r="G1303" s="8" t="str">
        <x:v>https://apis.data.go.kr/1471000/DrbEasyDrugInfoService/getDrbEasyDrugList</x:v>
      </x:c>
      <x:c r="H1303" s="8" t="str">
        <x:v>{
  "item_seq": "201301235",
  "item_name": "파인펜정",
  "manufacturer": "경남제약(주)",
  "section_codes": [
    "warning",
    "precautions"
  ]
}</x:v>
      </x:c>
    </x:row>
    <x:row r="1304" ht="54" customHeight="1">
      <x:c r="A1304" s="8" t="str">
        <x:v>gold-medication-356167ecac195373</x:v>
      </x:c>
      <x:c r="B1304" s="8" t="str">
        <x:v>eyak:199602289:adverse_reactions:001</x:v>
      </x:c>
      <x:c r="C1304" s="8" t="str">
        <x:v>eyak:199602289:adverse_reactions:001
eyak:199602289:adverse_reactions:002</x:v>
      </x:c>
      <x:c r="D1304" s="8" t="str">
        <x:v>근거와 함께 답변</x:v>
      </x:c>
      <x:c r="E1304" s="15" t="n">
        <x:v>1302</x:v>
      </x:c>
      <x:c r="F1304" s="8" t="str">
        <x:v>기존 검증 정답</x:v>
      </x:c>
      <x:c r="G1304" s="8" t="str">
        <x:v>https://apis.data.go.kr/1471000/DrbEasyDrugInfoService/getDrbEasyDrugList</x:v>
      </x:c>
      <x:c r="H1304" s="8" t="str">
        <x:v>{
  "item_seq": "199602289",
  "item_name": "루마겔(케토프로펜)",
  "manufacturer": "한미약품(주)",
  "section_codes": [
    "adverse_reactions"
  ]
}</x:v>
      </x:c>
    </x:row>
    <x:row r="1305" ht="54" customHeight="1">
      <x:c r="A1305" s="8" t="str">
        <x:v>gold-medication-16df7b2b6a8cc7a1</x:v>
      </x:c>
      <x:c r="B1305" s="8" t="str">
        <x:v>eyak:201904337:storage:001</x:v>
      </x:c>
      <x:c r="C1305" s="8" t="str">
        <x:v>eyak:201904337:storage:001</x:v>
      </x:c>
      <x:c r="D1305" s="8" t="str">
        <x:v>근거와 함께 답변</x:v>
      </x:c>
      <x:c r="E1305" s="15" t="n">
        <x:v>1303</x:v>
      </x:c>
      <x:c r="F1305" s="8" t="str">
        <x:v>기존 검증 정답</x:v>
      </x:c>
      <x:c r="G1305" s="8" t="str">
        <x:v>https://apis.data.go.kr/1471000/DrbEasyDrugInfoService/getDrbEasyDrugList</x:v>
      </x:c>
      <x:c r="H1305" s="8" t="str">
        <x:v>{
  "item_seq": "201904337",
  "item_name": "엘카렉정(엘카르니틴)",
  "manufacturer": "(주)바스칸바이오제약",
  "section_codes": [
    "storage"
  ]
}</x:v>
      </x:c>
    </x:row>
    <x:row r="1306" ht="54" customHeight="1">
      <x:c r="A1306" s="8" t="str">
        <x:v>gold-medication-9562f94c3b78e645</x:v>
      </x:c>
      <x:c r="B1306" s="8" t="str">
        <x:v>eyak:200806365:precautions:001</x:v>
      </x:c>
      <x:c r="C1306" s="8" t="str">
        <x:v>eyak:200806365:precautions:001</x:v>
      </x:c>
      <x:c r="D1306" s="8" t="str">
        <x:v>근거와 함께 답변</x:v>
      </x:c>
      <x:c r="E1306" s="15" t="n">
        <x:v>1304</x:v>
      </x:c>
      <x:c r="F1306" s="8" t="str">
        <x:v>기존 검증 정답</x:v>
      </x:c>
      <x:c r="G1306" s="8" t="str">
        <x:v>https://apis.data.go.kr/1471000/DrbEasyDrugInfoService/getDrbEasyDrugList</x:v>
      </x:c>
      <x:c r="H1306" s="8" t="str">
        <x:v>{
  "item_seq": "200806365",
  "item_name": "알러딘정(펙소페나딘염산염)",
  "manufacturer": "(주)휴온스",
  "section_codes": [
    "precautions"
  ]
}</x:v>
      </x:c>
    </x:row>
    <x:row r="1307" ht="54" customHeight="1">
      <x:c r="A1307" s="8" t="str">
        <x:v>gold-medication-f46ed2d8eb5942a4</x:v>
      </x:c>
      <x:c r="B1307" s="8" t="str">
        <x:v>eyak:201503763:precautions:001</x:v>
      </x:c>
      <x:c r="C1307" s="8" t="str">
        <x:v>eyak:201503763:precautions:001
eyak:201503763:precautions:002
eyak:201503763:precautions:003</x:v>
      </x:c>
      <x:c r="D1307" s="8" t="str">
        <x:v>근거와 함께 답변</x:v>
      </x:c>
      <x:c r="E1307" s="15" t="n">
        <x:v>1305</x:v>
      </x:c>
      <x:c r="F1307" s="8" t="str">
        <x:v>기존 검증 정답</x:v>
      </x:c>
      <x:c r="G1307" s="8" t="str">
        <x:v>https://apis.data.go.kr/1471000/DrbEasyDrugInfoService/getDrbEasyDrugList</x:v>
      </x:c>
      <x:c r="H1307" s="8" t="str">
        <x:v>{
  "item_seq": "201503763",
  "item_name": "아티벡스겔(디클로페낙디에틸암모늄)",
  "manufacturer": "부광약품(주)",
  "section_codes": [
    "precautions"
  ]
}</x:v>
      </x:c>
    </x:row>
    <x:row r="1308" ht="54" customHeight="1">
      <x:c r="A1308" s="8" t="str">
        <x:v>gold-medication-4c7dd63df28e9966</x:v>
      </x:c>
      <x:c r="B1308" s="8" t="str">
        <x:v>eyak:201707943:efficacy:001</x:v>
      </x:c>
      <x:c r="C1308" s="8" t="str">
        <x:v>eyak:201707943:efficacy:001</x:v>
      </x:c>
      <x:c r="D1308" s="8" t="str">
        <x:v>근거와 함께 답변</x:v>
      </x:c>
      <x:c r="E1308" s="15" t="n">
        <x:v>1306</x:v>
      </x:c>
      <x:c r="F1308" s="8" t="str">
        <x:v>기존 검증 정답</x:v>
      </x:c>
      <x:c r="G1308" s="8" t="str">
        <x:v>https://apis.data.go.kr/1471000/DrbEasyDrugInfoService/getDrbEasyDrugList</x:v>
      </x:c>
      <x:c r="H1308" s="8" t="str">
        <x:v>{
  "item_seq": "201707943",
  "item_name": "엑스코프에이연질캡슐",
  "manufacturer": "코오롱제약(주)",
  "section_codes": [
    "efficacy"
  ]
}</x:v>
      </x:c>
    </x:row>
    <x:row r="1309" ht="54" customHeight="1">
      <x:c r="A1309" s="8" t="str">
        <x:v>gold-medication-0d06239a1a62686e</x:v>
      </x:c>
      <x:c r="B1309" s="8" t="str">
        <x:v>eyak:200303231:precautions:002
eyak:200303231:adverse_reactions:002</x:v>
      </x:c>
      <x:c r="C1309" s="8" t="str">
        <x:v>eyak:200303231:precautions:002
eyak:200303231:precautions:001
eyak:200303231:adverse_reactions:002
eyak:200303231:adverse_reactions:001</x:v>
      </x:c>
      <x:c r="D1309" s="8" t="str">
        <x:v>근거와 함께 답변</x:v>
      </x:c>
      <x:c r="E1309" s="15" t="n">
        <x:v>1307</x:v>
      </x:c>
      <x:c r="F1309" s="8" t="str">
        <x:v>기존 검증 정답</x:v>
      </x:c>
      <x:c r="G1309" s="8" t="str">
        <x:v>https://apis.data.go.kr/1471000/DrbEasyDrugInfoService/getDrbEasyDrugList</x:v>
      </x:c>
      <x:c r="H1309" s="8" t="str">
        <x:v>{
  "item_seq": "200303231",
  "item_name": "더모케어로오숀2.5%(히드로코르티손)",
  "manufacturer": "(주)나노팜",
  "section_codes": [
    "precautions",
    "adverse_reactions"
  ]
}</x:v>
      </x:c>
    </x:row>
    <x:row r="1310" ht="54" customHeight="1">
      <x:c r="A1310" s="8" t="str">
        <x:v>gold-medication-c9d614ab49a9d8d5</x:v>
      </x:c>
      <x:c r="B1310" s="8" t="str">
        <x:v>eyak:202203437:adverse_reactions:001</x:v>
      </x:c>
      <x:c r="C1310" s="8" t="str">
        <x:v>eyak:202203437:adverse_reactions:001
eyak:202203437:adverse_reactions:002
eyak:202203437:adverse_reactions:003</x:v>
      </x:c>
      <x:c r="D1310" s="8" t="str">
        <x:v>근거와 함께 답변</x:v>
      </x:c>
      <x:c r="E1310" s="15" t="n">
        <x:v>1308</x:v>
      </x:c>
      <x:c r="F1310" s="8" t="str">
        <x:v>기존 검증 정답</x:v>
      </x:c>
      <x:c r="G1310" s="8" t="str">
        <x:v>https://apis.data.go.kr/1471000/DrbEasyDrugInfoService/getDrbEasyDrugList</x:v>
      </x:c>
      <x:c r="H1310" s="8" t="str">
        <x:v>{
  "item_seq": "202203437",
  "item_name": "이지페인록센연질캡슐(나프록센)",
  "manufacturer": "경방신약(주)",
  "section_codes": [
    "adverse_reactions"
  ]
}</x:v>
      </x:c>
    </x:row>
    <x:row r="1311" ht="54" customHeight="1">
      <x:c r="A1311" s="8" t="str">
        <x:v>gold-medication-88b2874d69f61739</x:v>
      </x:c>
      <x:c r="B1311" s="8" t="str">
        <x:v>eyak:202400002:adverse_reactions:001</x:v>
      </x:c>
      <x:c r="C1311" s="8" t="str">
        <x:v>eyak:202400002:adverse_reactions:001
eyak:202400002:adverse_reactions:002</x:v>
      </x:c>
      <x:c r="D1311" s="8" t="str">
        <x:v>근거와 함께 답변</x:v>
      </x:c>
      <x:c r="E1311" s="15" t="n">
        <x:v>1309</x:v>
      </x:c>
      <x:c r="F1311" s="8" t="str">
        <x:v>기존 검증 정답</x:v>
      </x:c>
      <x:c r="G1311" s="8" t="str">
        <x:v>https://apis.data.go.kr/1471000/DrbEasyDrugInfoService/getDrbEasyDrugList</x:v>
      </x:c>
      <x:c r="H1311" s="8" t="str">
        <x:v>{
  "item_seq": "202400002",
  "item_name": "파워비큐콘티뉴800정",
  "manufacturer": "경남제약(주)",
  "section_codes": [
    "adverse_reactions"
  ]
}</x:v>
      </x:c>
    </x:row>
    <x:row r="1312" ht="54" customHeight="1">
      <x:c r="A1312" s="8" t="str">
        <x:v>gold-medication-f41ea8f7d13bd72e</x:v>
      </x:c>
      <x:c r="B1312" s="8" t="str">
        <x:v>eyak:202301146:interactions:001</x:v>
      </x:c>
      <x:c r="C1312" s="8" t="str">
        <x:v>eyak:202301146:interactions:001</x:v>
      </x:c>
      <x:c r="D1312" s="8" t="str">
        <x:v>근거와 함께 답변</x:v>
      </x:c>
      <x:c r="E1312" s="15" t="n">
        <x:v>1310</x:v>
      </x:c>
      <x:c r="F1312" s="8" t="str">
        <x:v>기존 검증 정답</x:v>
      </x:c>
      <x:c r="G1312" s="8" t="str">
        <x:v>https://apis.data.go.kr/1471000/DrbEasyDrugInfoService/getDrbEasyDrugList</x:v>
      </x:c>
      <x:c r="H1312" s="8" t="str">
        <x:v>{
  "item_seq": "202301146",
  "item_name": "벤포비파워정",
  "manufacturer": "진양제약(주)",
  "section_codes": [
    "interactions"
  ]
}</x:v>
      </x:c>
    </x:row>
    <x:row r="1313" ht="54" customHeight="1">
      <x:c r="A1313" s="8" t="str">
        <x:v>gold-medication-a1ac3634f2748ab0</x:v>
      </x:c>
      <x:c r="B1313" s="8" t="str">
        <x:v>eyak:202301490:dosage:001</x:v>
      </x:c>
      <x:c r="C1313" s="8" t="str">
        <x:v>eyak:202301490:dosage:001</x:v>
      </x:c>
      <x:c r="D1313" s="8" t="str">
        <x:v>근거와 함께 답변</x:v>
      </x:c>
      <x:c r="E1313" s="15" t="n">
        <x:v>1311</x:v>
      </x:c>
      <x:c r="F1313" s="8" t="str">
        <x:v>기존 검증 정답</x:v>
      </x:c>
      <x:c r="G1313" s="8" t="str">
        <x:v>https://apis.data.go.kr/1471000/DrbEasyDrugInfoService/getDrbEasyDrugList</x:v>
      </x:c>
      <x:c r="H1313" s="8" t="str">
        <x:v>{
  "item_seq": "202301490",
  "item_name": "쌩코프에이연질캡슐",
  "manufacturer": "(주)에이프로젠바이오로직스",
  "section_codes": [
    "dosage"
  ]
}</x:v>
      </x:c>
    </x:row>
    <x:row r="1314" ht="54" customHeight="1">
      <x:c r="A1314" s="8" t="str">
        <x:v>gold-medication-9cc19ad8085d4047</x:v>
      </x:c>
      <x:c r="B1314" s="8" t="str">
        <x:v>eyak:199900834:dosage:001</x:v>
      </x:c>
      <x:c r="C1314" s="8" t="str">
        <x:v>eyak:199900834:dosage:001</x:v>
      </x:c>
      <x:c r="D1314" s="8" t="str">
        <x:v>근거와 함께 답변</x:v>
      </x:c>
      <x:c r="E1314" s="15" t="n">
        <x:v>1312</x:v>
      </x:c>
      <x:c r="F1314" s="8" t="str">
        <x:v>기존 검증 정답</x:v>
      </x:c>
      <x:c r="G1314" s="8" t="str">
        <x:v>https://apis.data.go.kr/1471000/DrbEasyDrugInfoService/getDrbEasyDrugList</x:v>
      </x:c>
      <x:c r="H1314" s="8" t="str">
        <x:v>{
  "item_seq": "199900834",
  "item_name": "멘자펜정",
  "manufacturer": "동성제약(주)",
  "section_codes": [
    "dosage"
  ]
}</x:v>
      </x:c>
    </x:row>
    <x:row r="1315" ht="54" customHeight="1">
      <x:c r="A1315" s="8" t="str">
        <x:v>gold-medication-217516884883ce09</x:v>
      </x:c>
      <x:c r="B1315" s="8" t="str">
        <x:v>eyak:202001232:adverse_reactions:001</x:v>
      </x:c>
      <x:c r="C1315" s="8" t="str">
        <x:v>eyak:202001232:adverse_reactions:001</x:v>
      </x:c>
      <x:c r="D1315" s="8" t="str">
        <x:v>근거와 함께 답변</x:v>
      </x:c>
      <x:c r="E1315" s="15" t="n">
        <x:v>1313</x:v>
      </x:c>
      <x:c r="F1315" s="8" t="str">
        <x:v>기존 검증 정답</x:v>
      </x:c>
      <x:c r="G1315" s="8" t="str">
        <x:v>https://apis.data.go.kr/1471000/DrbEasyDrugInfoService/getDrbEasyDrugList</x:v>
      </x:c>
      <x:c r="H1315" s="8" t="str">
        <x:v>{
  "item_seq": "202001232",
  "item_name": "알로판텐정100mg(덱스판테놀)",
  "manufacturer": "(주)제뉴파마",
  "section_codes": [
    "adverse_reactions"
  ]
}</x:v>
      </x:c>
    </x:row>
    <x:row r="1316" ht="54" customHeight="1">
      <x:c r="A1316" s="8" t="str">
        <x:v>gold-medication-753e101b7c8aa170</x:v>
      </x:c>
      <x:c r="B1316" s="8" t="str">
        <x:v>eyak:199400202:precautions:002</x:v>
      </x:c>
      <x:c r="C1316" s="8" t="str">
        <x:v>eyak:199400202:precautions:002
eyak:199400202:precautions:003
eyak:199400202:precautions:001
eyak:199400202:precautions:004
eyak:199400202:precautions:005</x:v>
      </x:c>
      <x:c r="D1316" s="8" t="str">
        <x:v>근거와 함께 답변</x:v>
      </x:c>
      <x:c r="E1316" s="15" t="n">
        <x:v>1314</x:v>
      </x:c>
      <x:c r="F1316" s="8" t="str">
        <x:v>기존 검증 정답</x:v>
      </x:c>
      <x:c r="G1316" s="8" t="str">
        <x:v>https://apis.data.go.kr/1471000/DrbEasyDrugInfoService/getDrbEasyDrugList</x:v>
      </x:c>
      <x:c r="H1316" s="8" t="str">
        <x:v>{
  "item_seq": "199400202",
  "item_name": "판피린티정",
  "manufacturer": "동아제약(주)",
  "section_codes": [
    "precautions"
  ]
}</x:v>
      </x:c>
    </x:row>
    <x:row r="1317" ht="54" customHeight="1">
      <x:c r="A1317" s="8" t="str">
        <x:v>gold-medication-2fc77f4c92e85361</x:v>
      </x:c>
      <x:c r="B1317" s="8" t="str">
        <x:v>eyak:201402826:adverse_reactions:001</x:v>
      </x:c>
      <x:c r="C1317" s="8" t="str">
        <x:v>eyak:201402826:adverse_reactions:001</x:v>
      </x:c>
      <x:c r="D1317" s="8" t="str">
        <x:v>근거와 함께 답변</x:v>
      </x:c>
      <x:c r="E1317" s="15" t="n">
        <x:v>1315</x:v>
      </x:c>
      <x:c r="F1317" s="8" t="str">
        <x:v>기존 검증 정답</x:v>
      </x:c>
      <x:c r="G1317" s="8" t="str">
        <x:v>https://apis.data.go.kr/1471000/DrbEasyDrugInfoService/getDrbEasyDrugList</x:v>
      </x:c>
      <x:c r="H1317" s="8" t="str">
        <x:v>{
  "item_seq": "201402826",
  "item_name": "알리겔정(알마게이트)",
  "manufacturer": "(주)하원제약",
  "section_codes": [
    "adverse_reactions"
  ]
}</x:v>
      </x:c>
    </x:row>
    <x:row r="1318" ht="54" customHeight="1">
      <x:c r="A1318" s="8" t="str">
        <x:v>gold-medication-8fafa957ca7cc932</x:v>
      </x:c>
      <x:c r="B1318" s="8" t="str">
        <x:v>eyak:200502037:warning:001
eyak:200502037:precautions:001</x:v>
      </x:c>
      <x:c r="C1318" s="8" t="str">
        <x:v>eyak:200502037:warning:001
eyak:200502037:precautions:001</x:v>
      </x:c>
      <x:c r="D1318" s="8" t="str">
        <x:v>근거와 함께 답변</x:v>
      </x:c>
      <x:c r="E1318" s="15" t="n">
        <x:v>1316</x:v>
      </x:c>
      <x:c r="F1318" s="8" t="str">
        <x:v>기존 검증 정답</x:v>
      </x:c>
      <x:c r="G1318" s="8" t="str">
        <x:v>https://apis.data.go.kr/1471000/DrbEasyDrugInfoService/getDrbEasyDrugList</x:v>
      </x:c>
      <x:c r="H1318" s="8" t="str">
        <x:v>{
  "item_seq": "200502037",
  "item_name": "팜젠아세틸시스테인과립200밀리그램",
  "manufacturer": "(주)팜젠사이언스",
  "section_codes": [
    "warning",
    "precautions"
  ]
}</x:v>
      </x:c>
    </x:row>
    <x:row r="1319" ht="54" customHeight="1">
      <x:c r="A1319" s="8" t="str">
        <x:v>gold-medication-0c999c3dfcbc3678</x:v>
      </x:c>
      <x:c r="B1319" s="8" t="str">
        <x:v>eyak:202203892:dosage:001</x:v>
      </x:c>
      <x:c r="C1319" s="8" t="str">
        <x:v>eyak:202203892:dosage:001</x:v>
      </x:c>
      <x:c r="D1319" s="8" t="str">
        <x:v>근거와 함께 답변</x:v>
      </x:c>
      <x:c r="E1319" s="15" t="n">
        <x:v>1317</x:v>
      </x:c>
      <x:c r="F1319" s="8" t="str">
        <x:v>기존 검증 정답</x:v>
      </x:c>
      <x:c r="G1319" s="8" t="str">
        <x:v>https://apis.data.go.kr/1471000/DrbEasyDrugInfoService/getDrbEasyDrugList</x:v>
      </x:c>
      <x:c r="H1319" s="8" t="str">
        <x:v>{
  "item_seq": "202203892",
  "item_name": "핑큐린정",
  "manufacturer": "(주)일화",
  "section_codes": [
    "dosage"
  ]
}</x:v>
      </x:c>
    </x:row>
    <x:row r="1320" ht="54" customHeight="1">
      <x:c r="A1320" s="8" t="str">
        <x:v>gold-medication-a9e62a0bb858d738</x:v>
      </x:c>
      <x:c r="B1320" s="8" t="str">
        <x:v>eyak:202502036:precautions:001</x:v>
      </x:c>
      <x:c r="C1320" s="8" t="str">
        <x:v>eyak:202502036:precautions:001
eyak:202502036:precautions:002</x:v>
      </x:c>
      <x:c r="D1320" s="8" t="str">
        <x:v>근거와 함께 답변</x:v>
      </x:c>
      <x:c r="E1320" s="15" t="n">
        <x:v>1318</x:v>
      </x:c>
      <x:c r="F1320" s="8" t="str">
        <x:v>기존 검증 정답</x:v>
      </x:c>
      <x:c r="G1320" s="8" t="str">
        <x:v>https://apis.data.go.kr/1471000/DrbEasyDrugInfoService/getDrbEasyDrugList</x:v>
      </x:c>
      <x:c r="H1320" s="8" t="str">
        <x:v>{
  "item_seq": "202502036",
  "item_name": "락토디아로펜정",
  "manufacturer": "일양약품(주)",
  "section_codes": [
    "precautions"
  ]
}</x:v>
      </x:c>
    </x:row>
    <x:row r="1321" ht="54" customHeight="1">
      <x:c r="A1321" s="8" t="str">
        <x:v>gold-medication-d2968a3516d38d1b</x:v>
      </x:c>
      <x:c r="B1321" s="8" t="str">
        <x:v>eyak:202300511:efficacy:001</x:v>
      </x:c>
      <x:c r="C1321" s="8" t="str">
        <x:v>eyak:202300511:efficacy:001</x:v>
      </x:c>
      <x:c r="D1321" s="8" t="str">
        <x:v>근거와 함께 답변</x:v>
      </x:c>
      <x:c r="E1321" s="15" t="n">
        <x:v>1319</x:v>
      </x:c>
      <x:c r="F1321" s="8" t="str">
        <x:v>기존 검증 정답</x:v>
      </x:c>
      <x:c r="G1321" s="8" t="str">
        <x:v>https://apis.data.go.kr/1471000/DrbEasyDrugInfoService/getDrbEasyDrugList</x:v>
      </x:c>
      <x:c r="H1321" s="8" t="str">
        <x:v>{
  "item_seq": "202300511",
  "item_name": "큐어코프에이연질캡슐",
  "manufacturer": "아이큐어(주)",
  "section_codes": [
    "efficacy"
  ]
}</x:v>
      </x:c>
    </x:row>
    <x:row r="1322" ht="54" customHeight="1">
      <x:c r="A1322" s="8" t="str">
        <x:v>gold-medication-0d8541092d12cc30</x:v>
      </x:c>
      <x:c r="B1322" s="8" t="str">
        <x:v>eyak:200702162:efficacy:001</x:v>
      </x:c>
      <x:c r="C1322" s="8" t="str">
        <x:v>eyak:200702162:efficacy:001</x:v>
      </x:c>
      <x:c r="D1322" s="8" t="str">
        <x:v>근거와 함께 답변</x:v>
      </x:c>
      <x:c r="E1322" s="15" t="n">
        <x:v>1320</x:v>
      </x:c>
      <x:c r="F1322" s="8" t="str">
        <x:v>기존 검증 정답</x:v>
      </x:c>
      <x:c r="G1322" s="8" t="str">
        <x:v>https://apis.data.go.kr/1471000/DrbEasyDrugInfoService/getDrbEasyDrugList</x:v>
      </x:c>
      <x:c r="H1322" s="8" t="str">
        <x:v>{
  "item_seq": "200702162",
  "item_name": "큐티스점안액(1회용), 큐티스점안액",
  "manufacturer": "한림제약(주)",
  "section_codes": [
    "efficacy"
  ]
}</x:v>
      </x:c>
    </x:row>
    <x:row r="1323" ht="54" customHeight="1">
      <x:c r="A1323" s="8" t="str">
        <x:v>gold-medication-f882e1349fed8905</x:v>
      </x:c>
      <x:c r="B1323" s="8" t="str">
        <x:v>eyak:202400692:efficacy:001</x:v>
      </x:c>
      <x:c r="C1323" s="8" t="str">
        <x:v>eyak:202400692:efficacy:001</x:v>
      </x:c>
      <x:c r="D1323" s="8" t="str">
        <x:v>근거와 함께 답변</x:v>
      </x:c>
      <x:c r="E1323" s="15" t="n">
        <x:v>1321</x:v>
      </x:c>
      <x:c r="F1323" s="8" t="str">
        <x:v>기존 검증 정답</x:v>
      </x:c>
      <x:c r="G1323" s="8" t="str">
        <x:v>https://apis.data.go.kr/1471000/DrbEasyDrugInfoService/getDrbEasyDrugList</x:v>
      </x:c>
      <x:c r="H1323" s="8" t="str">
        <x:v>{
  "item_seq": "202400692",
  "item_name": "크레온캡슐35000(판크레아스분말)",
  "manufacturer": "한국애보트(유)",
  "section_codes": [
    "efficacy"
  ]
}</x:v>
      </x:c>
    </x:row>
    <x:row r="1324" ht="54" customHeight="1">
      <x:c r="A1324" s="8" t="str">
        <x:v>gold-medication-2fc09667ed34c598</x:v>
      </x:c>
      <x:c r="B1324" s="8" t="str">
        <x:v>eyak:197700189:adverse_reactions:001</x:v>
      </x:c>
      <x:c r="C1324" s="8" t="str">
        <x:v>eyak:197700189:adverse_reactions:001</x:v>
      </x:c>
      <x:c r="D1324" s="8" t="str">
        <x:v>근거와 함께 답변</x:v>
      </x:c>
      <x:c r="E1324" s="15" t="n">
        <x:v>1322</x:v>
      </x:c>
      <x:c r="F1324" s="8" t="str">
        <x:v>기존 검증 정답</x:v>
      </x:c>
      <x:c r="G1324" s="8" t="str">
        <x:v>https://apis.data.go.kr/1471000/DrbEasyDrugInfoService/getDrbEasyDrugList</x:v>
      </x:c>
      <x:c r="H1324" s="8" t="str">
        <x:v>{
  "item_seq": "197700189",
  "item_name": "일양노이겔현탁액(규산알루민산마그네슘)",
  "manufacturer": "일양약품(주)",
  "section_codes": [
    "adverse_reactions"
  ]
}</x:v>
      </x:c>
    </x:row>
    <x:row r="1325" ht="54" customHeight="1">
      <x:c r="A1325" s="8" t="str">
        <x:v>gold-medication-3eb62c8ecf1ec9b4</x:v>
      </x:c>
      <x:c r="B1325" s="8" t="str">
        <x:v>eyak:201801170:precautions:001</x:v>
      </x:c>
      <x:c r="C1325" s="8" t="str">
        <x:v>eyak:201801170:precautions:001</x:v>
      </x:c>
      <x:c r="D1325" s="8" t="str">
        <x:v>근거와 함께 답변</x:v>
      </x:c>
      <x:c r="E1325" s="15" t="n">
        <x:v>1323</x:v>
      </x:c>
      <x:c r="F1325" s="8" t="str">
        <x:v>기존 검증 정답</x:v>
      </x:c>
      <x:c r="G1325" s="8" t="str">
        <x:v>https://apis.data.go.kr/1471000/DrbEasyDrugInfoService/getDrbEasyDrugList</x:v>
      </x:c>
      <x:c r="H1325" s="8" t="str">
        <x:v>{
  "item_seq": "201801170",
  "item_name": "엘카틸정(엘카르니틴)",
  "manufacturer": "(주)비보존제약",
  "section_codes": [
    "precautions"
  ]
}</x:v>
      </x:c>
    </x:row>
    <x:row r="1326" ht="54" customHeight="1">
      <x:c r="A1326" s="8" t="str">
        <x:v>gold-medication-e294baab12b92086</x:v>
      </x:c>
      <x:c r="B1326" s="8" t="str">
        <x:v>eyak:202004710:warning:001
eyak:202004710:precautions:001</x:v>
      </x:c>
      <x:c r="C1326" s="8" t="str">
        <x:v>eyak:202004710:warning:001
eyak:202004710:precautions:001
eyak:202004710:precautions:002
eyak:202004710:precautions:003
eyak:202004710:precautions:004</x:v>
      </x:c>
      <x:c r="D1326" s="8" t="str">
        <x:v>근거와 함께 답변</x:v>
      </x:c>
      <x:c r="E1326" s="15" t="n">
        <x:v>1324</x:v>
      </x:c>
      <x:c r="F1326" s="8" t="str">
        <x:v>기존 검증 정답</x:v>
      </x:c>
      <x:c r="G1326" s="8" t="str">
        <x:v>https://apis.data.go.kr/1471000/DrbEasyDrugInfoService/getDrbEasyDrugList</x:v>
      </x:c>
      <x:c r="H1326" s="8" t="str">
        <x:v>{
  "item_seq": "202004710",
  "item_name": "에스빌이부연질캡슐200밀리그램(이부프로펜)",
  "manufacturer": "(주)킵스바이오파마",
  "section_codes": [
    "warning",
    "precautions"
  ]
}</x:v>
      </x:c>
    </x:row>
    <x:row r="1327" ht="54" customHeight="1">
      <x:c r="A1327" s="8" t="str">
        <x:v>gold-medication-b6701b686d2338a5</x:v>
      </x:c>
      <x:c r="B1327" s="8" t="str">
        <x:v>eyak:202401430:interactions:001</x:v>
      </x:c>
      <x:c r="C1327" s="8" t="str">
        <x:v>eyak:202401430:interactions:001</x:v>
      </x:c>
      <x:c r="D1327" s="8" t="str">
        <x:v>근거와 함께 답변</x:v>
      </x:c>
      <x:c r="E1327" s="15" t="n">
        <x:v>1325</x:v>
      </x:c>
      <x:c r="F1327" s="8" t="str">
        <x:v>기존 검증 정답</x:v>
      </x:c>
      <x:c r="G1327" s="8" t="str">
        <x:v>https://apis.data.go.kr/1471000/DrbEasyDrugInfoService/getDrbEasyDrugList</x:v>
      </x:c>
      <x:c r="H1327" s="8" t="str">
        <x:v>{
  "item_seq": "202401430",
  "item_name": "발란티스정(탄산수소나트륨)",
  "manufacturer": "(주)일화",
  "section_codes": [
    "interactions"
  ]
}</x:v>
      </x:c>
    </x:row>
    <x:row r="1328" ht="54" customHeight="1">
      <x:c r="A1328" s="8" t="str">
        <x:v>gold-medication-8cf2528b23becdcf</x:v>
      </x:c>
      <x:c r="B1328" s="8" t="str">
        <x:v>eyak:202204272:warning:001</x:v>
      </x:c>
      <x:c r="C1328" s="8" t="str">
        <x:v>eyak:202204272:warning:001
eyak:202204272:warning:002</x:v>
      </x:c>
      <x:c r="D1328" s="8" t="str">
        <x:v>근거와 함께 답변</x:v>
      </x:c>
      <x:c r="E1328" s="15" t="n">
        <x:v>1326</x:v>
      </x:c>
      <x:c r="F1328" s="8" t="str">
        <x:v>기존 검증 정답</x:v>
      </x:c>
      <x:c r="G1328" s="8" t="str">
        <x:v>https://apis.data.go.kr/1471000/DrbEasyDrugInfoService/getDrbEasyDrugList</x:v>
      </x:c>
      <x:c r="H1328" s="8" t="str">
        <x:v>{
  "item_seq": "202204272",
  "item_name": "챔프콜드시럽",
  "manufacturer": "동아제약(주)",
  "section_codes": [
    "warning"
  ]
}</x:v>
      </x:c>
    </x:row>
    <x:row r="1329" ht="54" customHeight="1">
      <x:c r="A1329" s="8" t="str">
        <x:v>gold-medication-na-3ef7f9b38b5d01fc</x:v>
      </x:c>
      <x:c r="B1329" s="8" t="str"/>
      <x:c r="C1329" s="8" t="str"/>
      <x:c r="D1329" s="8" t="str">
        <x:v>답변 거부 또는 추가 확인 요청</x:v>
      </x:c>
      <x:c r="E1329" s="15" t="n">
        <x:v>1327</x:v>
      </x:c>
      <x:c r="F1329" s="8" t="str">
        <x:v>답변 거부 기준 문구</x:v>
      </x:c>
      <x:c r="G1329" s="8" t="str">
        <x:v>https://apis.data.go.kr/1471000/DrbEasyDrugInfoService/getDrbEasyDrugList</x:v>
      </x:c>
      <x:c r="H1329" s="8" t="str">
        <x:v>{
  "item_seq": "202007951",
  "item_name": "벤포타임정",
  "manufacturer": "(주)라이트팜텍",
  "section_codes": [
    "interactions"
  ]
}</x:v>
      </x:c>
    </x:row>
    <x:row r="1330" ht="54" customHeight="1">
      <x:c r="A1330" s="8" t="str">
        <x:v>gold-medication-edd475299e70d5d6</x:v>
      </x:c>
      <x:c r="B1330" s="8" t="str">
        <x:v>eyak:200202573:precautions:001</x:v>
      </x:c>
      <x:c r="C1330" s="8" t="str">
        <x:v>eyak:200202573:precautions:001
eyak:200202573:precautions:002
eyak:200202573:precautions:003</x:v>
      </x:c>
      <x:c r="D1330" s="8" t="str">
        <x:v>근거와 함께 답변</x:v>
      </x:c>
      <x:c r="E1330" s="15" t="n">
        <x:v>1328</x:v>
      </x:c>
      <x:c r="F1330" s="8" t="str">
        <x:v>기존 검증 정답</x:v>
      </x:c>
      <x:c r="G1330" s="8" t="str">
        <x:v>https://apis.data.go.kr/1471000/DrbEasyDrugInfoService/getDrbEasyDrugList</x:v>
      </x:c>
      <x:c r="H1330" s="8" t="str">
        <x:v>{
  "item_seq": "200202573",
  "item_name": "미투-에스연질캡슐",
  "manufacturer": "영풍제약(주)",
  "section_codes": [
    "precautions"
  ]
}</x:v>
      </x:c>
    </x:row>
    <x:row r="1331" ht="54" customHeight="1">
      <x:c r="A1331" s="8" t="str">
        <x:v>gold-medication-25b9356b31318931</x:v>
      </x:c>
      <x:c r="B1331" s="8" t="str">
        <x:v>eyak:199101996:interactions:001</x:v>
      </x:c>
      <x:c r="C1331" s="8" t="str">
        <x:v>eyak:199101996:interactions:001</x:v>
      </x:c>
      <x:c r="D1331" s="8" t="str">
        <x:v>근거와 함께 답변</x:v>
      </x:c>
      <x:c r="E1331" s="15" t="n">
        <x:v>1329</x:v>
      </x:c>
      <x:c r="F1331" s="8" t="str">
        <x:v>기존 검증 정답</x:v>
      </x:c>
      <x:c r="G1331" s="8" t="str">
        <x:v>https://apis.data.go.kr/1471000/DrbEasyDrugInfoService/getDrbEasyDrugList</x:v>
      </x:c>
      <x:c r="H1331" s="8" t="str">
        <x:v>{
  "item_seq": "199101996",
  "item_name": "에크로바크림(아시클로버)",
  "manufacturer": "경동제약(주)",
  "section_codes": [
    "interactions"
  ]
}</x:v>
      </x:c>
    </x:row>
    <x:row r="1332" ht="54" customHeight="1">
      <x:c r="A1332" s="8" t="str">
        <x:v>gold-medication-65547a30cf3464ec</x:v>
      </x:c>
      <x:c r="B1332" s="8" t="str">
        <x:v>eyak:201800231:adverse_reactions:001</x:v>
      </x:c>
      <x:c r="C1332" s="8" t="str">
        <x:v>eyak:201800231:adverse_reactions:001</x:v>
      </x:c>
      <x:c r="D1332" s="8" t="str">
        <x:v>근거와 함께 답변</x:v>
      </x:c>
      <x:c r="E1332" s="15" t="n">
        <x:v>1330</x:v>
      </x:c>
      <x:c r="F1332" s="8" t="str">
        <x:v>기존 검증 정답</x:v>
      </x:c>
      <x:c r="G1332" s="8" t="str">
        <x:v>https://apis.data.go.kr/1471000/DrbEasyDrugInfoService/getDrbEasyDrugList</x:v>
      </x:c>
      <x:c r="H1332" s="8" t="str">
        <x:v>{
  "item_seq": "201800231",
  "item_name": "프리에스연질캡슐(클로닉신리시네이트)",
  "manufacturer": "동국제약(주)",
  "section_codes": [
    "adverse_reactions"
  ]
}</x:v>
      </x:c>
    </x:row>
    <x:row r="1333" ht="54" customHeight="1">
      <x:c r="A1333" s="8" t="str">
        <x:v>gold-medication-880c1eb3968ed871</x:v>
      </x:c>
      <x:c r="B1333" s="8" t="str">
        <x:v>eyak:201307928:interactions:003</x:v>
      </x:c>
      <x:c r="C1333" s="8" t="str">
        <x:v>eyak:201307928:interactions:003
eyak:201307928:interactions:001
eyak:201307928:interactions:002
eyak:201307928:interactions:004</x:v>
      </x:c>
      <x:c r="D1333" s="8" t="str">
        <x:v>근거와 함께 답변</x:v>
      </x:c>
      <x:c r="E1333" s="15" t="n">
        <x:v>1331</x:v>
      </x:c>
      <x:c r="F1333" s="8" t="str">
        <x:v>기존 검증 정답</x:v>
      </x:c>
      <x:c r="G1333" s="8" t="str">
        <x:v>https://apis.data.go.kr/1471000/DrbEasyDrugInfoService/getDrbEasyDrugList</x:v>
      </x:c>
      <x:c r="H1333" s="8" t="str">
        <x:v>{
  "item_seq": "201307928",
  "item_name": "에이스린장용정(아스피린)",
  "manufacturer": "(주)한국파비스제약",
  "section_codes": [
    "interactions"
  ]
}</x:v>
      </x:c>
    </x:row>
    <x:row r="1334" ht="54" customHeight="1">
      <x:c r="A1334" s="8" t="str">
        <x:v>gold-medication-dd1c1bd7d62af5fa</x:v>
      </x:c>
      <x:c r="B1334" s="8" t="str">
        <x:v>eyak:201801702:precautions:001</x:v>
      </x:c>
      <x:c r="C1334" s="8" t="str">
        <x:v>eyak:201801702:precautions:001</x:v>
      </x:c>
      <x:c r="D1334" s="8" t="str">
        <x:v>근거와 함께 답변</x:v>
      </x:c>
      <x:c r="E1334" s="15" t="n">
        <x:v>1332</x:v>
      </x:c>
      <x:c r="F1334" s="8" t="str">
        <x:v>기존 검증 정답</x:v>
      </x:c>
      <x:c r="G1334" s="8" t="str">
        <x:v>https://apis.data.go.kr/1471000/DrbEasyDrugInfoService/getDrbEasyDrugList</x:v>
      </x:c>
      <x:c r="H1334" s="8" t="str">
        <x:v>{
  "item_seq": "201801702",
  "item_name": "엘타인캡슐(에르도스테인)",
  "manufacturer": "동광제약(주)",
  "section_codes": [
    "precautions"
  ]
}</x:v>
      </x:c>
    </x:row>
    <x:row r="1335" ht="54" customHeight="1">
      <x:c r="A1335" s="8" t="str">
        <x:v>gold-medication-8c9cfc42d41dc3a6</x:v>
      </x:c>
      <x:c r="B1335" s="8" t="str">
        <x:v>eyak:200204388:interactions:001</x:v>
      </x:c>
      <x:c r="C1335" s="8" t="str">
        <x:v>eyak:200204388:interactions:001
eyak:200204388:interactions:002</x:v>
      </x:c>
      <x:c r="D1335" s="8" t="str">
        <x:v>근거와 함께 답변</x:v>
      </x:c>
      <x:c r="E1335" s="15" t="n">
        <x:v>1333</x:v>
      </x:c>
      <x:c r="F1335" s="8" t="str">
        <x:v>기존 검증 정답</x:v>
      </x:c>
      <x:c r="G1335" s="8" t="str">
        <x:v>https://apis.data.go.kr/1471000/DrbEasyDrugInfoService/getDrbEasyDrugList</x:v>
      </x:c>
      <x:c r="H1335" s="8" t="str">
        <x:v>{
  "item_seq": "200204388",
  "item_name": "나프록신정(나프록센나트륨)",
  "manufacturer": "화일약품(주)",
  "section_codes": [
    "interactions"
  ]
}</x:v>
      </x:c>
    </x:row>
    <x:row r="1336" ht="54" customHeight="1">
      <x:c r="A1336" s="8" t="str">
        <x:v>gold-medication-291a812af37a941f</x:v>
      </x:c>
      <x:c r="B1336" s="8" t="str">
        <x:v>eyak:201900783:adverse_reactions:001</x:v>
      </x:c>
      <x:c r="C1336" s="8" t="str">
        <x:v>eyak:201900783:adverse_reactions:001
eyak:201900783:adverse_reactions:002</x:v>
      </x:c>
      <x:c r="D1336" s="8" t="str">
        <x:v>근거와 함께 답변</x:v>
      </x:c>
      <x:c r="E1336" s="15" t="n">
        <x:v>1334</x:v>
      </x:c>
      <x:c r="F1336" s="8" t="str">
        <x:v>기존 검증 정답</x:v>
      </x:c>
      <x:c r="G1336" s="8" t="str">
        <x:v>https://apis.data.go.kr/1471000/DrbEasyDrugInfoService/getDrbEasyDrugList</x:v>
      </x:c>
      <x:c r="H1336" s="8" t="str">
        <x:v>{
  "item_seq": "201900783",
  "item_name": "코뚜에스시럽",
  "manufacturer": "코오롱제약(주)",
  "section_codes": [
    "adverse_reactions"
  ]
}</x:v>
      </x:c>
    </x:row>
    <x:row r="1337" ht="54" customHeight="1">
      <x:c r="A1337" s="8" t="str">
        <x:v>gold-medication-842f2d43b4e69791</x:v>
      </x:c>
      <x:c r="B1337" s="8" t="str">
        <x:v>eyak:201305496:precautions:001</x:v>
      </x:c>
      <x:c r="C1337" s="8" t="str">
        <x:v>eyak:201305496:precautions:001
eyak:201305496:precautions:002</x:v>
      </x:c>
      <x:c r="D1337" s="8" t="str">
        <x:v>근거와 함께 답변</x:v>
      </x:c>
      <x:c r="E1337" s="15" t="n">
        <x:v>1335</x:v>
      </x:c>
      <x:c r="F1337" s="8" t="str">
        <x:v>기존 검증 정답</x:v>
      </x:c>
      <x:c r="G1337" s="8" t="str">
        <x:v>https://apis.data.go.kr/1471000/DrbEasyDrugInfoService/getDrbEasyDrugList</x:v>
      </x:c>
      <x:c r="H1337" s="8" t="str">
        <x:v>{
  "item_seq": "201305496",
  "item_name": "포탈락시럽(락티톨일수화물)",
  "manufacturer": "(주)텔콘알에프제약",
  "section_codes": [
    "precautions"
  ]
}</x:v>
      </x:c>
    </x:row>
    <x:row r="1338" ht="54" customHeight="1">
      <x:c r="A1338" s="8" t="str">
        <x:v>gold-medication-4c94a61b0c0a2962</x:v>
      </x:c>
      <x:c r="B1338" s="8" t="str">
        <x:v>eyak:201902137:precautions:002</x:v>
      </x:c>
      <x:c r="C1338" s="8" t="str">
        <x:v>eyak:201902137:precautions:002
eyak:201902137:precautions:003
eyak:201902137:precautions:001
eyak:201902137:precautions:004</x:v>
      </x:c>
      <x:c r="D1338" s="8" t="str">
        <x:v>근거와 함께 답변</x:v>
      </x:c>
      <x:c r="E1338" s="15" t="n">
        <x:v>1336</x:v>
      </x:c>
      <x:c r="F1338" s="8" t="str">
        <x:v>기존 검증 정답</x:v>
      </x:c>
      <x:c r="G1338" s="8" t="str">
        <x:v>https://apis.data.go.kr/1471000/DrbEasyDrugInfoService/getDrbEasyDrugList</x:v>
      </x:c>
      <x:c r="H1338" s="8" t="str">
        <x:v>{
  "item_seq": "201902137",
  "item_name": "엑쎈코프에스연질캡슐",
  "manufacturer": "(주)알피바이오",
  "section_codes": [
    "precautions"
  ]
}</x:v>
      </x:c>
    </x:row>
    <x:row r="1339" ht="54" customHeight="1">
      <x:c r="A1339" s="8" t="str">
        <x:v>gold-medication-8c0ff8576e3dff29</x:v>
      </x:c>
      <x:c r="B1339" s="8" t="str">
        <x:v>eyak:200210778:dosage:001</x:v>
      </x:c>
      <x:c r="C1339" s="8" t="str">
        <x:v>eyak:200210778:dosage:001</x:v>
      </x:c>
      <x:c r="D1339" s="8" t="str">
        <x:v>근거와 함께 답변</x:v>
      </x:c>
      <x:c r="E1339" s="15" t="n">
        <x:v>1337</x:v>
      </x:c>
      <x:c r="F1339" s="8" t="str">
        <x:v>기존 검증 정답</x:v>
      </x:c>
      <x:c r="G1339" s="8" t="str">
        <x:v>https://apis.data.go.kr/1471000/DrbEasyDrugInfoService/getDrbEasyDrugList</x:v>
      </x:c>
      <x:c r="H1339" s="8" t="str">
        <x:v>{
  "item_seq": "200210778",
  "item_name": "우르솔연질캡슐",
  "manufacturer": "영풍제약(주)",
  "section_codes": [
    "dosage"
  ]
}</x:v>
      </x:c>
    </x:row>
    <x:row r="1340" ht="54" customHeight="1">
      <x:c r="A1340" s="8" t="str">
        <x:v>gold-medication-a08da9bfb0cee110</x:v>
      </x:c>
      <x:c r="B1340" s="8" t="str">
        <x:v>eyak:199300273:interactions:001</x:v>
      </x:c>
      <x:c r="C1340" s="8" t="str">
        <x:v>eyak:199300273:interactions:001
eyak:199300273:interactions:003
eyak:199300273:interactions:005
eyak:199300273:interactions:002
eyak:199300273:interactions:004</x:v>
      </x:c>
      <x:c r="D1340" s="8" t="str">
        <x:v>근거와 함께 답변</x:v>
      </x:c>
      <x:c r="E1340" s="15" t="n">
        <x:v>1338</x:v>
      </x:c>
      <x:c r="F1340" s="8" t="str">
        <x:v>기존 검증 정답</x:v>
      </x:c>
      <x:c r="G1340" s="8" t="str">
        <x:v>https://apis.data.go.kr/1471000/DrbEasyDrugInfoService/getDrbEasyDrugList</x:v>
      </x:c>
      <x:c r="H1340" s="8" t="str">
        <x:v>{
  "item_seq": "199300273",
  "item_name": "멕시롱액(돔페리돈)",
  "manufacturer": "동아제약(주)",
  "section_codes": [
    "interactions"
  ]
}</x:v>
      </x:c>
    </x:row>
    <x:row r="1341" ht="54" customHeight="1">
      <x:c r="A1341" s="8" t="str">
        <x:v>gold-medication-d0488b1722cbb79b</x:v>
      </x:c>
      <x:c r="B1341" s="8" t="str">
        <x:v>eyak:198802329:precautions:001</x:v>
      </x:c>
      <x:c r="C1341" s="8" t="str">
        <x:v>eyak:198802329:precautions:001</x:v>
      </x:c>
      <x:c r="D1341" s="8" t="str">
        <x:v>근거와 함께 답변</x:v>
      </x:c>
      <x:c r="E1341" s="15" t="n">
        <x:v>1339</x:v>
      </x:c>
      <x:c r="F1341" s="8" t="str">
        <x:v>기존 검증 정답</x:v>
      </x:c>
      <x:c r="G1341" s="8" t="str">
        <x:v>https://apis.data.go.kr/1471000/DrbEasyDrugInfoService/getDrbEasyDrugList</x:v>
      </x:c>
      <x:c r="H1341" s="8" t="str">
        <x:v>{
  "item_seq": "198802329",
  "item_name": "가레오연질캡슐(디히드록시디부틸에테르)",
  "manufacturer": "조아제약(주)",
  "section_codes": [
    "precautions"
  ]
}</x:v>
      </x:c>
    </x:row>
    <x:row r="1342" ht="54" customHeight="1">
      <x:c r="A1342" s="8" t="str">
        <x:v>gold-medication-d4b02b88b7620216</x:v>
      </x:c>
      <x:c r="B1342" s="8" t="str">
        <x:v>eyak:200711893:interactions:001</x:v>
      </x:c>
      <x:c r="C1342" s="8" t="str">
        <x:v>eyak:200711893:interactions:001</x:v>
      </x:c>
      <x:c r="D1342" s="8" t="str">
        <x:v>근거와 함께 답변</x:v>
      </x:c>
      <x:c r="E1342" s="15" t="n">
        <x:v>1340</x:v>
      </x:c>
      <x:c r="F1342" s="8" t="str">
        <x:v>기존 검증 정답</x:v>
      </x:c>
      <x:c r="G1342" s="8" t="str">
        <x:v>https://apis.data.go.kr/1471000/DrbEasyDrugInfoService/getDrbEasyDrugList</x:v>
      </x:c>
      <x:c r="H1342" s="8" t="str">
        <x:v>{
  "item_seq": "200711893",
  "item_name": "바이오콘연질캡슐",
  "manufacturer": "(주)동구바이오제약",
  "section_codes": [
    "interactions"
  ]
}</x:v>
      </x:c>
    </x:row>
    <x:row r="1343" ht="54" customHeight="1">
      <x:c r="A1343" s="8" t="str">
        <x:v>gold-medication-ffa031fda3e1efdd</x:v>
      </x:c>
      <x:c r="B1343" s="8" t="str">
        <x:v>eyak:201905516:efficacy:001</x:v>
      </x:c>
      <x:c r="C1343" s="8" t="str">
        <x:v>eyak:201905516:efficacy:001</x:v>
      </x:c>
      <x:c r="D1343" s="8" t="str">
        <x:v>근거와 함께 답변</x:v>
      </x:c>
      <x:c r="E1343" s="15" t="n">
        <x:v>1341</x:v>
      </x:c>
      <x:c r="F1343" s="8" t="str">
        <x:v>기존 검증 정답</x:v>
      </x:c>
      <x:c r="G1343" s="8" t="str">
        <x:v>https://apis.data.go.kr/1471000/DrbEasyDrugInfoService/getDrbEasyDrugList</x:v>
      </x:c>
      <x:c r="H1343" s="8" t="str">
        <x:v>{
  "item_seq": "201905516",
  "item_name": "로에굿정",
  "manufacturer": "동국제약(주)",
  "section_codes": [
    "efficacy"
  ]
}</x:v>
      </x:c>
    </x:row>
    <x:row r="1344" ht="54" customHeight="1">
      <x:c r="A1344" s="8" t="str">
        <x:v>gold-medication-08c5029660506136</x:v>
      </x:c>
      <x:c r="B1344" s="8" t="str">
        <x:v>eyak:199701242:efficacy:001</x:v>
      </x:c>
      <x:c r="C1344" s="8" t="str">
        <x:v>eyak:199701242:efficacy:001</x:v>
      </x:c>
      <x:c r="D1344" s="8" t="str">
        <x:v>근거와 함께 답변</x:v>
      </x:c>
      <x:c r="E1344" s="15" t="n">
        <x:v>1342</x:v>
      </x:c>
      <x:c r="F1344" s="8" t="str">
        <x:v>기존 검증 정답</x:v>
      </x:c>
      <x:c r="G1344" s="8" t="str">
        <x:v>https://apis.data.go.kr/1471000/DrbEasyDrugInfoService/getDrbEasyDrugList</x:v>
      </x:c>
      <x:c r="H1344" s="8" t="str">
        <x:v>{
  "item_seq": "199701242",
  "item_name": "태극탄산칼슘정(침강탄산칼슘)",
  "manufacturer": "태극제약(주)",
  "section_codes": [
    "efficacy"
  ]
}</x:v>
      </x:c>
    </x:row>
    <x:row r="1345" ht="54" customHeight="1">
      <x:c r="A1345" s="8" t="str">
        <x:v>gold-medication-6057ac103e16bda5</x:v>
      </x:c>
      <x:c r="B1345" s="8" t="str">
        <x:v>eyak:201708262:adverse_reactions:001</x:v>
      </x:c>
      <x:c r="C1345" s="8" t="str">
        <x:v>eyak:201708262:adverse_reactions:001
eyak:201708262:adverse_reactions:002</x:v>
      </x:c>
      <x:c r="D1345" s="8" t="str">
        <x:v>근거와 함께 답변</x:v>
      </x:c>
      <x:c r="E1345" s="15" t="n">
        <x:v>1343</x:v>
      </x:c>
      <x:c r="F1345" s="8" t="str">
        <x:v>기존 검증 정답</x:v>
      </x:c>
      <x:c r="G1345" s="8" t="str">
        <x:v>https://apis.data.go.kr/1471000/DrbEasyDrugInfoService/getDrbEasyDrugList</x:v>
      </x:c>
      <x:c r="H1345" s="8" t="str">
        <x:v>{
  "item_seq": "201708262",
  "item_name": "엑스코프디시럽",
  "manufacturer": "코오롱제약(주)",
  "section_codes": [
    "adverse_reactions"
  ]
}</x:v>
      </x:c>
    </x:row>
    <x:row r="1346" ht="54" customHeight="1">
      <x:c r="A1346" s="8" t="str">
        <x:v>gold-medication-649c1988e4171c6b</x:v>
      </x:c>
      <x:c r="B1346" s="8" t="str">
        <x:v>eyak:202301041:dosage:001</x:v>
      </x:c>
      <x:c r="C1346" s="8" t="str">
        <x:v>eyak:202301041:dosage:001</x:v>
      </x:c>
      <x:c r="D1346" s="8" t="str">
        <x:v>근거와 함께 답변</x:v>
      </x:c>
      <x:c r="E1346" s="15" t="n">
        <x:v>1344</x:v>
      </x:c>
      <x:c r="F1346" s="8" t="str">
        <x:v>기존 검증 정답</x:v>
      </x:c>
      <x:c r="G1346" s="8" t="str">
        <x:v>https://apis.data.go.kr/1471000/DrbEasyDrugInfoService/getDrbEasyDrugList</x:v>
      </x:c>
      <x:c r="H1346" s="8" t="str">
        <x:v>{
  "item_seq": "202301041",
  "item_name": "코비코나잘액(옥시메타졸린염산염)",
  "manufacturer": "(주)에이프로젠바이오로직스",
  "section_codes": [
    "dosage"
  ]
}</x:v>
      </x:c>
    </x:row>
    <x:row r="1347" ht="54" customHeight="1">
      <x:c r="A1347" s="8" t="str">
        <x:v>gold-medication-d32b8a298c56aa84</x:v>
      </x:c>
      <x:c r="B1347" s="8" t="str">
        <x:v>eyak:200600575:adverse_reactions:001</x:v>
      </x:c>
      <x:c r="C1347" s="8" t="str">
        <x:v>eyak:200600575:adverse_reactions:001
eyak:200600575:adverse_reactions:002</x:v>
      </x:c>
      <x:c r="D1347" s="8" t="str">
        <x:v>근거와 함께 답변</x:v>
      </x:c>
      <x:c r="E1347" s="15" t="n">
        <x:v>1345</x:v>
      </x:c>
      <x:c r="F1347" s="8" t="str">
        <x:v>기존 검증 정답</x:v>
      </x:c>
      <x:c r="G1347" s="8" t="str">
        <x:v>https://apis.data.go.kr/1471000/DrbEasyDrugInfoService/getDrbEasyDrugList</x:v>
      </x:c>
      <x:c r="H1347" s="8" t="str">
        <x:v>{
  "item_seq": "200600575",
  "item_name": "제놀탑에스카타플라스마(케토프로펜)",
  "manufacturer": "(주)녹십자",
  "section_codes": [
    "adverse_reactions"
  ]
}</x:v>
      </x:c>
    </x:row>
    <x:row r="1348" ht="54" customHeight="1">
      <x:c r="A1348" s="8" t="str">
        <x:v>gold-medication-b86d87ae4d408433</x:v>
      </x:c>
      <x:c r="B1348" s="8" t="str">
        <x:v>eyak:200104079:adverse_reactions:001</x:v>
      </x:c>
      <x:c r="C1348" s="8" t="str">
        <x:v>eyak:200104079:adverse_reactions:001
eyak:200104079:adverse_reactions:002
eyak:200104079:adverse_reactions:003
eyak:200104079:adverse_reactions:004</x:v>
      </x:c>
      <x:c r="D1348" s="8" t="str">
        <x:v>근거와 함께 답변</x:v>
      </x:c>
      <x:c r="E1348" s="15" t="n">
        <x:v>1346</x:v>
      </x:c>
      <x:c r="F1348" s="8" t="str">
        <x:v>기존 검증 정답</x:v>
      </x:c>
      <x:c r="G1348" s="8" t="str">
        <x:v>https://apis.data.go.kr/1471000/DrbEasyDrugInfoService/getDrbEasyDrugList</x:v>
      </x:c>
      <x:c r="H1348" s="8" t="str">
        <x:v>{
  "item_seq": "200104079",
  "item_name": "뿌레콜에프캡슐",
  "manufacturer": "경방신약(주)",
  "section_codes": [
    "adverse_reactions"
  ]
}</x:v>
      </x:c>
    </x:row>
    <x:row r="1349" ht="54" customHeight="1">
      <x:c r="A1349" s="8" t="str">
        <x:v>gold-medication-d85446c876aebf32</x:v>
      </x:c>
      <x:c r="B1349" s="8" t="str">
        <x:v>eyak:199702787:precautions:001</x:v>
      </x:c>
      <x:c r="C1349" s="8" t="str">
        <x:v>eyak:199702787:precautions:001</x:v>
      </x:c>
      <x:c r="D1349" s="8" t="str">
        <x:v>근거와 함께 답변</x:v>
      </x:c>
      <x:c r="E1349" s="15" t="n">
        <x:v>1347</x:v>
      </x:c>
      <x:c r="F1349" s="8" t="str">
        <x:v>기존 검증 정답</x:v>
      </x:c>
      <x:c r="G1349" s="8" t="str">
        <x:v>https://apis.data.go.kr/1471000/DrbEasyDrugInfoService/getDrbEasyDrugList</x:v>
      </x:c>
      <x:c r="H1349" s="8" t="str">
        <x:v>{
  "item_seq": "199702787",
  "item_name": "카디톤액(L-카르니틴)",
  "manufacturer": "조아제약(주)",
  "section_codes": [
    "precautions"
  ]
}</x:v>
      </x:c>
    </x:row>
    <x:row r="1350" ht="54" customHeight="1">
      <x:c r="A1350" s="8" t="str">
        <x:v>gold-medication-36fef3d1b97e53c7</x:v>
      </x:c>
      <x:c r="B1350" s="8" t="str">
        <x:v>eyak:200500150:precautions:001</x:v>
      </x:c>
      <x:c r="C1350" s="8" t="str">
        <x:v>eyak:200500150:precautions:001
eyak:200500150:precautions:002</x:v>
      </x:c>
      <x:c r="D1350" s="8" t="str">
        <x:v>근거와 함께 답변</x:v>
      </x:c>
      <x:c r="E1350" s="15" t="n">
        <x:v>1348</x:v>
      </x:c>
      <x:c r="F1350" s="8" t="str">
        <x:v>기존 검증 정답</x:v>
      </x:c>
      <x:c r="G1350" s="8" t="str">
        <x:v>https://apis.data.go.kr/1471000/DrbEasyDrugInfoService/getDrbEasyDrugList</x:v>
      </x:c>
      <x:c r="H1350" s="8" t="str">
        <x:v>{
  "item_seq": "200500150",
  "item_name": "훼러진플러스캡슐",
  "manufacturer": "(주)종근당",
  "section_codes": [
    "precautions"
  ]
}</x:v>
      </x:c>
    </x:row>
    <x:row r="1351" ht="54" customHeight="1">
      <x:c r="A1351" s="8" t="str">
        <x:v>gold-medication-a0e26b4f30b09541</x:v>
      </x:c>
      <x:c r="B1351" s="8" t="str">
        <x:v>eyak:200003481:adverse_reactions:001</x:v>
      </x:c>
      <x:c r="C1351" s="8" t="str">
        <x:v>eyak:200003481:adverse_reactions:001
eyak:200003481:adverse_reactions:002</x:v>
      </x:c>
      <x:c r="D1351" s="8" t="str">
        <x:v>근거와 함께 답변</x:v>
      </x:c>
      <x:c r="E1351" s="15" t="n">
        <x:v>1349</x:v>
      </x:c>
      <x:c r="F1351" s="8" t="str">
        <x:v>기존 검증 정답</x:v>
      </x:c>
      <x:c r="G1351" s="8" t="str">
        <x:v>https://apis.data.go.kr/1471000/DrbEasyDrugInfoService/getDrbEasyDrugList</x:v>
      </x:c>
      <x:c r="H1351" s="8" t="str">
        <x:v>{
  "item_seq": "200003481",
  "item_name": "노스카연고",
  "manufacturer": "조아제약(주)",
  "section_codes": [
    "adverse_reactions"
  ]
}</x:v>
      </x:c>
    </x:row>
    <x:row r="1352" ht="54" customHeight="1">
      <x:c r="A1352" s="8" t="str">
        <x:v>gold-medication-0712f6dcd5ad83fe</x:v>
      </x:c>
      <x:c r="B1352" s="8" t="str">
        <x:v>eyak:201604859:dosage:001</x:v>
      </x:c>
      <x:c r="C1352" s="8" t="str">
        <x:v>eyak:201604859:dosage:001</x:v>
      </x:c>
      <x:c r="D1352" s="8" t="str">
        <x:v>근거와 함께 답변</x:v>
      </x:c>
      <x:c r="E1352" s="15" t="n">
        <x:v>1350</x:v>
      </x:c>
      <x:c r="F1352" s="8" t="str">
        <x:v>기존 검증 정답</x:v>
      </x:c>
      <x:c r="G1352" s="8" t="str">
        <x:v>https://apis.data.go.kr/1471000/DrbEasyDrugInfoService/getDrbEasyDrugList</x:v>
      </x:c>
      <x:c r="H1352" s="8" t="str">
        <x:v>{
  "item_seq": "201604859",
  "item_name": "가스제로구강필름(시메치콘)",
  "manufacturer": "(주)씨엘팜",
  "section_codes": [
    "dosage"
  ]
}</x:v>
      </x:c>
    </x:row>
    <x:row r="1353" ht="54" customHeight="1">
      <x:c r="A1353" s="8" t="str">
        <x:v>gold-medication-9be7d15307261a5e</x:v>
      </x:c>
      <x:c r="B1353" s="8" t="str">
        <x:v>eyak:201906089:efficacy:001</x:v>
      </x:c>
      <x:c r="C1353" s="8" t="str">
        <x:v>eyak:201906089:efficacy:001</x:v>
      </x:c>
      <x:c r="D1353" s="8" t="str">
        <x:v>근거와 함께 답변</x:v>
      </x:c>
      <x:c r="E1353" s="15" t="n">
        <x:v>1351</x:v>
      </x:c>
      <x:c r="F1353" s="8" t="str">
        <x:v>기존 검증 정답</x:v>
      </x:c>
      <x:c r="G1353" s="8" t="str">
        <x:v>https://apis.data.go.kr/1471000/DrbEasyDrugInfoService/getDrbEasyDrugList</x:v>
      </x:c>
      <x:c r="H1353" s="8" t="str">
        <x:v>{
  "item_seq": "201906089",
  "item_name": "엘도에스캡슐(에르도스테인)",
  "manufacturer": "맥널티제약(주)",
  "section_codes": [
    "efficacy"
  ]
}</x:v>
      </x:c>
    </x:row>
    <x:row r="1354" ht="54" customHeight="1">
      <x:c r="A1354" s="8" t="str">
        <x:v>gold-medication-29842f26e2e7b4c5</x:v>
      </x:c>
      <x:c r="B1354" s="8" t="str">
        <x:v>eyak:199700530:adverse_reactions:001</x:v>
      </x:c>
      <x:c r="C1354" s="8" t="str">
        <x:v>eyak:199700530:adverse_reactions:001</x:v>
      </x:c>
      <x:c r="D1354" s="8" t="str">
        <x:v>근거와 함께 답변</x:v>
      </x:c>
      <x:c r="E1354" s="15" t="n">
        <x:v>1352</x:v>
      </x:c>
      <x:c r="F1354" s="8" t="str">
        <x:v>기존 검증 정답</x:v>
      </x:c>
      <x:c r="G1354" s="8" t="str">
        <x:v>https://apis.data.go.kr/1471000/DrbEasyDrugInfoService/getDrbEasyDrugList</x:v>
      </x:c>
      <x:c r="H1354" s="8" t="str">
        <x:v>{
  "item_seq": "199700530",
  "item_name": "국제아시클로버크림",
  "manufacturer": "국제약품(주)",
  "section_codes": [
    "adverse_reactions"
  ]
}</x:v>
      </x:c>
    </x:row>
    <x:row r="1355" ht="54" customHeight="1">
      <x:c r="A1355" s="8" t="str">
        <x:v>gold-medication-b643e3acd2fe3902</x:v>
      </x:c>
      <x:c r="B1355" s="8" t="str">
        <x:v>eyak:201904215:efficacy:001</x:v>
      </x:c>
      <x:c r="C1355" s="8" t="str">
        <x:v>eyak:201904215:efficacy:001</x:v>
      </x:c>
      <x:c r="D1355" s="8" t="str">
        <x:v>근거와 함께 답변</x:v>
      </x:c>
      <x:c r="E1355" s="15" t="n">
        <x:v>1353</x:v>
      </x:c>
      <x:c r="F1355" s="8" t="str">
        <x:v>기존 검증 정답</x:v>
      </x:c>
      <x:c r="G1355" s="8" t="str">
        <x:v>https://apis.data.go.kr/1471000/DrbEasyDrugInfoService/getDrbEasyDrugList</x:v>
      </x:c>
      <x:c r="H1355" s="8" t="str">
        <x:v>{
  "item_seq": "201904215",
  "item_name": "마하펜연질캡슐(아세트아미노펜)",
  "manufacturer": "일양바이오팜(주)",
  "section_codes": [
    "efficacy"
  ]
}</x:v>
      </x:c>
    </x:row>
    <x:row r="1356" ht="54" customHeight="1">
      <x:c r="A1356" s="8" t="str">
        <x:v>gold-medication-dd71e11af9edba0a</x:v>
      </x:c>
      <x:c r="B1356" s="8" t="str">
        <x:v>eyak:202400730:efficacy:001</x:v>
      </x:c>
      <x:c r="C1356" s="8" t="str">
        <x:v>eyak:202400730:efficacy:001
eyak:202400730:efficacy:002</x:v>
      </x:c>
      <x:c r="D1356" s="8" t="str">
        <x:v>근거와 함께 답변</x:v>
      </x:c>
      <x:c r="E1356" s="15" t="n">
        <x:v>1354</x:v>
      </x:c>
      <x:c r="F1356" s="8" t="str">
        <x:v>기존 검증 정답</x:v>
      </x:c>
      <x:c r="G1356" s="8" t="str">
        <x:v>https://apis.data.go.kr/1471000/DrbEasyDrugInfoService/getDrbEasyDrugList</x:v>
      </x:c>
      <x:c r="H1356" s="8" t="str">
        <x:v>{
  "item_seq": "202400730",
  "item_name": "이브400원큐에스연질캡슐(이부프로펜)",
  "manufacturer": "동아제약(주)",
  "section_codes": [
    "efficacy"
  ]
}</x:v>
      </x:c>
    </x:row>
    <x:row r="1357" ht="54" customHeight="1">
      <x:c r="A1357" s="8" t="str">
        <x:v>gold-medication-1bfca6cf10046b1f</x:v>
      </x:c>
      <x:c r="B1357" s="8" t="str">
        <x:v>eyak:200607950:adverse_reactions:001</x:v>
      </x:c>
      <x:c r="C1357" s="8" t="str">
        <x:v>eyak:200607950:adverse_reactions:001</x:v>
      </x:c>
      <x:c r="D1357" s="8" t="str">
        <x:v>근거와 함께 답변</x:v>
      </x:c>
      <x:c r="E1357" s="15" t="n">
        <x:v>1355</x:v>
      </x:c>
      <x:c r="F1357" s="8" t="str">
        <x:v>기존 검증 정답</x:v>
      </x:c>
      <x:c r="G1357" s="8" t="str">
        <x:v>https://apis.data.go.kr/1471000/DrbEasyDrugInfoService/getDrbEasyDrugList</x:v>
      </x:c>
      <x:c r="H1357" s="8" t="str">
        <x:v>{
  "item_seq": "200607950",
  "item_name": "동의고카타플라스마(수출명:coolrunning)",
  "manufacturer": "(주)종근당",
  "section_codes": [
    "adverse_reactions"
  ]
}</x:v>
      </x:c>
    </x:row>
    <x:row r="1358" ht="54" customHeight="1">
      <x:c r="A1358" s="8" t="str">
        <x:v>gold-medication-7845e31059a892d5</x:v>
      </x:c>
      <x:c r="B1358" s="8" t="str">
        <x:v>eyak:201803907:precautions:001</x:v>
      </x:c>
      <x:c r="C1358" s="8" t="str">
        <x:v>eyak:201803907:precautions:001
eyak:201803907:precautions:002</x:v>
      </x:c>
      <x:c r="D1358" s="8" t="str">
        <x:v>근거와 함께 답변</x:v>
      </x:c>
      <x:c r="E1358" s="15" t="n">
        <x:v>1356</x:v>
      </x:c>
      <x:c r="F1358" s="8" t="str">
        <x:v>기존 검증 정답</x:v>
      </x:c>
      <x:c r="G1358" s="8" t="str">
        <x:v>https://apis.data.go.kr/1471000/DrbEasyDrugInfoService/getDrbEasyDrugList</x:v>
      </x:c>
      <x:c r="H1358" s="8" t="str">
        <x:v>{
  "item_seq": "201803907",
  "item_name": "카베진코와알파정",
  "manufacturer": "한국코와(주)",
  "section_codes": [
    "precautions"
  ]
}</x:v>
      </x:c>
    </x:row>
    <x:row r="1359" ht="54" customHeight="1">
      <x:c r="A1359" s="8" t="str">
        <x:v>gold-medication-6bec0f1893dced49</x:v>
      </x:c>
      <x:c r="B1359" s="8" t="str">
        <x:v>eyak:201801769:precautions:002</x:v>
      </x:c>
      <x:c r="C1359" s="8" t="str">
        <x:v>eyak:201801769:precautions:002
eyak:201801769:precautions:001</x:v>
      </x:c>
      <x:c r="D1359" s="8" t="str">
        <x:v>근거와 함께 답변</x:v>
      </x:c>
      <x:c r="E1359" s="15" t="n">
        <x:v>1357</x:v>
      </x:c>
      <x:c r="F1359" s="8" t="str">
        <x:v>기존 검증 정답</x:v>
      </x:c>
      <x:c r="G1359" s="8" t="str">
        <x:v>https://apis.data.go.kr/1471000/DrbEasyDrugInfoService/getDrbEasyDrugList</x:v>
      </x:c>
      <x:c r="H1359" s="8" t="str">
        <x:v>{
  "item_seq": "201801769",
  "item_name": "락토필캡슐300밀리그램(락토바실루스아시도필루스균)",
  "manufacturer": "(주)아이월드제약",
  "section_codes": [
    "precautions"
  ]
}</x:v>
      </x:c>
    </x:row>
    <x:row r="1360" ht="54" customHeight="1">
      <x:c r="A1360" s="8" t="str">
        <x:v>gold-medication-81d98210505bfd39</x:v>
      </x:c>
      <x:c r="B1360" s="8" t="str">
        <x:v>eyak:202007833:efficacy:001</x:v>
      </x:c>
      <x:c r="C1360" s="8" t="str">
        <x:v>eyak:202007833:efficacy:001</x:v>
      </x:c>
      <x:c r="D1360" s="8" t="str">
        <x:v>근거와 함께 답변</x:v>
      </x:c>
      <x:c r="E1360" s="15" t="n">
        <x:v>1358</x:v>
      </x:c>
      <x:c r="F1360" s="8" t="str">
        <x:v>기존 검증 정답</x:v>
      </x:c>
      <x:c r="G1360" s="8" t="str">
        <x:v>https://apis.data.go.kr/1471000/DrbEasyDrugInfoService/getDrbEasyDrugList</x:v>
      </x:c>
      <x:c r="H1360" s="8" t="str">
        <x:v>{
  "item_seq": "202007833",
  "item_name": "모드콜노즈시럽",
  "manufacturer": "(주)종근당",
  "section_codes": [
    "efficacy"
  ]
}</x:v>
      </x:c>
    </x:row>
    <x:row r="1361" ht="54" customHeight="1">
      <x:c r="A1361" s="8" t="str">
        <x:v>gold-medication-fdf377e57cb0e782</x:v>
      </x:c>
      <x:c r="B1361" s="8" t="str">
        <x:v>eyak:201504861:efficacy:001</x:v>
      </x:c>
      <x:c r="C1361" s="8" t="str">
        <x:v>eyak:201504861:efficacy:001</x:v>
      </x:c>
      <x:c r="D1361" s="8" t="str">
        <x:v>근거와 함께 답변</x:v>
      </x:c>
      <x:c r="E1361" s="15" t="n">
        <x:v>1359</x:v>
      </x:c>
      <x:c r="F1361" s="8" t="str">
        <x:v>기존 검증 정답</x:v>
      </x:c>
      <x:c r="G1361" s="8" t="str">
        <x:v>https://apis.data.go.kr/1471000/DrbEasyDrugInfoService/getDrbEasyDrugList</x:v>
      </x:c>
      <x:c r="H1361" s="8" t="str">
        <x:v>{
  "item_seq": "201504861",
  "item_name": "브레노즈연질캡슐",
  "manufacturer": "동방에프티엘(주)",
  "section_codes": [
    "efficacy"
  ]
}</x:v>
      </x:c>
    </x:row>
    <x:row r="1362" ht="54" customHeight="1">
      <x:c r="A1362" s="8" t="str">
        <x:v>gold-medication-61c5856130fcfb70</x:v>
      </x:c>
      <x:c r="B1362" s="8" t="str">
        <x:v>eyak:200708107:storage:001</x:v>
      </x:c>
      <x:c r="C1362" s="8" t="str">
        <x:v>eyak:200708107:storage:001</x:v>
      </x:c>
      <x:c r="D1362" s="8" t="str">
        <x:v>근거와 함께 답변</x:v>
      </x:c>
      <x:c r="E1362" s="15" t="n">
        <x:v>1360</x:v>
      </x:c>
      <x:c r="F1362" s="8" t="str">
        <x:v>기존 검증 정답</x:v>
      </x:c>
      <x:c r="G1362" s="8" t="str">
        <x:v>https://apis.data.go.kr/1471000/DrbEasyDrugInfoService/getDrbEasyDrugList</x:v>
      </x:c>
      <x:c r="H1362" s="8" t="str">
        <x:v>{
  "item_seq": "200708107",
  "item_name": "디알클리어점안액(카르복시메틸셀룰로오스나트륨)(1회용)",
  "manufacturer": "삼천당제약(주)",
  "section_codes": [
    "storage"
  ]
}</x:v>
      </x:c>
    </x:row>
    <x:row r="1363" ht="54" customHeight="1">
      <x:c r="A1363" s="8" t="str">
        <x:v>gold-medication-5757326ef858cba2</x:v>
      </x:c>
      <x:c r="B1363" s="8" t="str">
        <x:v>eyak:200501559:storage:001</x:v>
      </x:c>
      <x:c r="C1363" s="8" t="str">
        <x:v>eyak:200501559:storage:001</x:v>
      </x:c>
      <x:c r="D1363" s="8" t="str">
        <x:v>근거와 함께 답변</x:v>
      </x:c>
      <x:c r="E1363" s="15" t="n">
        <x:v>1361</x:v>
      </x:c>
      <x:c r="F1363" s="8" t="str">
        <x:v>기존 검증 정답</x:v>
      </x:c>
      <x:c r="G1363" s="8" t="str">
        <x:v>https://apis.data.go.kr/1471000/DrbEasyDrugInfoService/getDrbEasyDrugList</x:v>
      </x:c>
      <x:c r="H1363" s="8" t="str">
        <x:v>{
  "item_seq": "200501559",
  "item_name": "니자티드정(니자티딘)",
  "manufacturer": "(주)한국파마",
  "section_codes": [
    "storage"
  ]
}</x:v>
      </x:c>
    </x:row>
    <x:row r="1364" ht="54" customHeight="1">
      <x:c r="A1364" s="8" t="str">
        <x:v>gold-medication-505897aff9f39644</x:v>
      </x:c>
      <x:c r="B1364" s="8" t="str">
        <x:v>eyak:201102618:precautions:002</x:v>
      </x:c>
      <x:c r="C1364" s="8" t="str">
        <x:v>eyak:201102618:precautions:002
eyak:201102618:precautions:001
eyak:201102618:precautions:003
eyak:201102618:precautions:004
eyak:201102618:precautions:005</x:v>
      </x:c>
      <x:c r="D1364" s="8" t="str">
        <x:v>근거와 함께 답변</x:v>
      </x:c>
      <x:c r="E1364" s="15" t="n">
        <x:v>1362</x:v>
      </x:c>
      <x:c r="F1364" s="8" t="str">
        <x:v>기존 검증 정답</x:v>
      </x:c>
      <x:c r="G1364" s="8" t="str">
        <x:v>https://apis.data.go.kr/1471000/DrbEasyDrugInfoService/getDrbEasyDrugList</x:v>
      </x:c>
      <x:c r="H1364" s="8" t="str">
        <x:v>{
  "item_seq": "201102618",
  "item_name": "미리콜연질캡슐",
  "manufacturer": "(주)알피바이오",
  "section_codes": [
    "precautions"
  ]
}</x:v>
      </x:c>
    </x:row>
    <x:row r="1365" ht="54" customHeight="1">
      <x:c r="A1365" s="8" t="str">
        <x:v>gold-medication-370f3a88402366f7</x:v>
      </x:c>
      <x:c r="B1365" s="8" t="str">
        <x:v>eyak:202300078:efficacy:001</x:v>
      </x:c>
      <x:c r="C1365" s="8" t="str">
        <x:v>eyak:202300078:efficacy:001</x:v>
      </x:c>
      <x:c r="D1365" s="8" t="str">
        <x:v>근거와 함께 답변</x:v>
      </x:c>
      <x:c r="E1365" s="15" t="n">
        <x:v>1363</x:v>
      </x:c>
      <x:c r="F1365" s="8" t="str">
        <x:v>기존 검증 정답</x:v>
      </x:c>
      <x:c r="G1365" s="8" t="str">
        <x:v>https://apis.data.go.kr/1471000/DrbEasyDrugInfoService/getDrbEasyDrugList</x:v>
      </x:c>
      <x:c r="H1365" s="8" t="str">
        <x:v>{
  "item_seq": "202300078",
  "item_name": "화이투벤큐플러스노즈연질캡슐",
  "manufacturer": "동화약품(주)",
  "section_codes": [
    "efficacy"
  ]
}</x:v>
      </x:c>
    </x:row>
    <x:row r="1366" ht="54" customHeight="1">
      <x:c r="A1366" s="8" t="str">
        <x:v>gold-medication-fd0fa2ba4b4402d3</x:v>
      </x:c>
      <x:c r="B1366" s="8" t="str">
        <x:v>eyak:202302769:precautions:001</x:v>
      </x:c>
      <x:c r="C1366" s="8" t="str">
        <x:v>eyak:202302769:precautions:001
eyak:202302769:precautions:002</x:v>
      </x:c>
      <x:c r="D1366" s="8" t="str">
        <x:v>근거와 함께 답변</x:v>
      </x:c>
      <x:c r="E1366" s="15" t="n">
        <x:v>1364</x:v>
      </x:c>
      <x:c r="F1366" s="8" t="str">
        <x:v>기존 검증 정답</x:v>
      </x:c>
      <x:c r="G1366" s="8" t="str">
        <x:v>https://apis.data.go.kr/1471000/DrbEasyDrugInfoService/getDrbEasyDrugList</x:v>
      </x:c>
      <x:c r="H1366" s="8" t="str">
        <x:v>{
  "item_seq": "202302769",
  "item_name": "씨엠지마그액",
  "manufacturer": "(주)씨엠지제약",
  "section_codes": [
    "precautions"
  ]
}</x:v>
      </x:c>
    </x:row>
    <x:row r="1367" ht="54" customHeight="1">
      <x:c r="A1367" s="8" t="str">
        <x:v>gold-medication-na-7500bd3088248c07</x:v>
      </x:c>
      <x:c r="B1367" s="8" t="str"/>
      <x:c r="C1367" s="8" t="str"/>
      <x:c r="D1367" s="8" t="str">
        <x:v>답변 거부 또는 추가 확인 요청</x:v>
      </x:c>
      <x:c r="E1367" s="15" t="n">
        <x:v>1365</x:v>
      </x:c>
      <x:c r="F1367" s="8" t="str">
        <x:v>답변 거부 기준 문구</x:v>
      </x:c>
      <x:c r="G1367" s="8" t="str">
        <x:v>https://apis.data.go.kr/1471000/DrbEasyDrugInfoService/getDrbEasyDrugList</x:v>
      </x:c>
      <x:c r="H1367" s="8" t="str">
        <x:v>{
  "item_seq": "202203168",
  "item_name": "아크클리어크림",
  "manufacturer": "태극제약(주)",
  "section_codes": [
    "precautions"
  ]
}</x:v>
      </x:c>
    </x:row>
    <x:row r="1368" ht="54" customHeight="1">
      <x:c r="A1368" s="8" t="str">
        <x:v>gold-medication-850f05f7b07a13f0</x:v>
      </x:c>
      <x:c r="B1368" s="8" t="str">
        <x:v>eyak:200906301:precautions:001</x:v>
      </x:c>
      <x:c r="C1368" s="8" t="str">
        <x:v>eyak:200906301:precautions:001
eyak:200906301:precautions:002</x:v>
      </x:c>
      <x:c r="D1368" s="8" t="str">
        <x:v>근거와 함께 답변</x:v>
      </x:c>
      <x:c r="E1368" s="15" t="n">
        <x:v>1366</x:v>
      </x:c>
      <x:c r="F1368" s="8" t="str">
        <x:v>기존 검증 정답</x:v>
      </x:c>
      <x:c r="G1368" s="8" t="str">
        <x:v>https://apis.data.go.kr/1471000/DrbEasyDrugInfoService/getDrbEasyDrugList</x:v>
      </x:c>
      <x:c r="H1368" s="8" t="str">
        <x:v>{
  "item_seq": "200906301",
  "item_name": "덴탑플러스캡슐",
  "manufacturer": "(주)한풍제약",
  "section_codes": [
    "precautions"
  ]
}</x:v>
      </x:c>
    </x:row>
    <x:row r="1369" ht="54" customHeight="1">
      <x:c r="A1369" s="8" t="str">
        <x:v>gold-medication-1f0d38ad67faf4ed</x:v>
      </x:c>
      <x:c r="B1369" s="8" t="str">
        <x:v>eyak:202301270:precautions:001</x:v>
      </x:c>
      <x:c r="C1369" s="8" t="str">
        <x:v>eyak:202301270:precautions:001
eyak:202301270:precautions:002
eyak:202301270:precautions:003</x:v>
      </x:c>
      <x:c r="D1369" s="8" t="str">
        <x:v>근거와 함께 답변</x:v>
      </x:c>
      <x:c r="E1369" s="15" t="n">
        <x:v>1367</x:v>
      </x:c>
      <x:c r="F1369" s="8" t="str">
        <x:v>기존 검증 정답</x:v>
      </x:c>
      <x:c r="G1369" s="8" t="str">
        <x:v>https://apis.data.go.kr/1471000/DrbEasyDrugInfoService/getDrbEasyDrugList</x:v>
      </x:c>
      <x:c r="H1369" s="8" t="str">
        <x:v>{
  "item_seq": "202301270",
  "item_name": "메코마그빅정",
  "manufacturer": "진양제약(주)",
  "section_codes": [
    "precautions"
  ]
}</x:v>
      </x:c>
    </x:row>
    <x:row r="1370" ht="54" customHeight="1">
      <x:c r="A1370" s="8" t="str">
        <x:v>gold-medication-9db1f743befce626</x:v>
      </x:c>
      <x:c r="B1370" s="8" t="str">
        <x:v>eyak:200512041:efficacy:001</x:v>
      </x:c>
      <x:c r="C1370" s="8" t="str">
        <x:v>eyak:200512041:efficacy:001</x:v>
      </x:c>
      <x:c r="D1370" s="8" t="str">
        <x:v>근거와 함께 답변</x:v>
      </x:c>
      <x:c r="E1370" s="15" t="n">
        <x:v>1368</x:v>
      </x:c>
      <x:c r="F1370" s="8" t="str">
        <x:v>기존 검증 정답</x:v>
      </x:c>
      <x:c r="G1370" s="8" t="str">
        <x:v>https://apis.data.go.kr/1471000/DrbEasyDrugInfoService/getDrbEasyDrugList</x:v>
      </x:c>
      <x:c r="H1370" s="8" t="str">
        <x:v>{
  "item_seq": "200512041",
  "item_name": "카비드츄어블정",
  "manufacturer": "알보젠코리아(주)",
  "section_codes": [
    "efficacy"
  ]
}</x:v>
      </x:c>
    </x:row>
    <x:row r="1371" ht="54" customHeight="1">
      <x:c r="A1371" s="8" t="str">
        <x:v>gold-medication-b56cd484b3e192e4</x:v>
      </x:c>
      <x:c r="B1371" s="8" t="str">
        <x:v>eyak:200000930:efficacy:001</x:v>
      </x:c>
      <x:c r="C1371" s="8" t="str">
        <x:v>eyak:200000930:efficacy:001</x:v>
      </x:c>
      <x:c r="D1371" s="8" t="str">
        <x:v>근거와 함께 답변</x:v>
      </x:c>
      <x:c r="E1371" s="15" t="n">
        <x:v>1369</x:v>
      </x:c>
      <x:c r="F1371" s="8" t="str">
        <x:v>기존 검증 정답</x:v>
      </x:c>
      <x:c r="G1371" s="8" t="str">
        <x:v>https://apis.data.go.kr/1471000/DrbEasyDrugInfoService/getDrbEasyDrugList</x:v>
      </x:c>
      <x:c r="H1371" s="8" t="str">
        <x:v>{
  "item_seq": "200000930",
  "item_name": "닥스펜정(덱시부프로펜)",
  "manufacturer": "(주)바이넥스",
  "section_codes": [
    "efficacy"
  ]
}</x:v>
      </x:c>
    </x:row>
    <x:row r="1372" ht="54" customHeight="1">
      <x:c r="A1372" s="8" t="str">
        <x:v>gold-medication-d0ea5be52ee17911</x:v>
      </x:c>
      <x:c r="B1372" s="8" t="str">
        <x:v>eyak:202001764:adverse_reactions:001</x:v>
      </x:c>
      <x:c r="C1372" s="8" t="str">
        <x:v>eyak:202001764:adverse_reactions:001</x:v>
      </x:c>
      <x:c r="D1372" s="8" t="str">
        <x:v>근거와 함께 답변</x:v>
      </x:c>
      <x:c r="E1372" s="15" t="n">
        <x:v>1370</x:v>
      </x:c>
      <x:c r="F1372" s="8" t="str">
        <x:v>기존 검증 정답</x:v>
      </x:c>
      <x:c r="G1372" s="8" t="str">
        <x:v>https://apis.data.go.kr/1471000/DrbEasyDrugInfoService/getDrbEasyDrugList</x:v>
      </x:c>
      <x:c r="H1372" s="8" t="str">
        <x:v>{
  "item_seq": "202001764",
  "item_name": "비엘아세틸캡슐(아세틸시스테인)",
  "manufacturer": "(주)라이트팜텍",
  "section_codes": [
    "adverse_reactions"
  ]
}</x:v>
      </x:c>
    </x:row>
    <x:row r="1373" ht="54" customHeight="1">
      <x:c r="A1373" s="8" t="str">
        <x:v>gold-medication-6eb24c412dfc74fe</x:v>
      </x:c>
      <x:c r="B1373" s="8" t="str">
        <x:v>eyak:202302903:interactions:001</x:v>
      </x:c>
      <x:c r="C1373" s="8" t="str">
        <x:v>eyak:202302903:interactions:001</x:v>
      </x:c>
      <x:c r="D1373" s="8" t="str">
        <x:v>근거와 함께 답변</x:v>
      </x:c>
      <x:c r="E1373" s="15" t="n">
        <x:v>1371</x:v>
      </x:c>
      <x:c r="F1373" s="8" t="str">
        <x:v>기존 검증 정답</x:v>
      </x:c>
      <x:c r="G1373" s="8" t="str">
        <x:v>https://apis.data.go.kr/1471000/DrbEasyDrugInfoService/getDrbEasyDrugList</x:v>
      </x:c>
      <x:c r="H1373" s="8" t="str">
        <x:v>{
  "item_seq": "202302903",
  "item_name": "코즈굿나잘스프레이",
  "manufacturer": "동국제약(주)",
  "section_codes": [
    "interactions"
  ]
}</x:v>
      </x:c>
    </x:row>
    <x:row r="1374" ht="54" customHeight="1">
      <x:c r="A1374" s="8" t="str">
        <x:v>gold-medication-87860b871450d561</x:v>
      </x:c>
      <x:c r="B1374" s="8" t="str">
        <x:v>eyak:200907021:adverse_reactions:001</x:v>
      </x:c>
      <x:c r="C1374" s="8" t="str">
        <x:v>eyak:200907021:adverse_reactions:001</x:v>
      </x:c>
      <x:c r="D1374" s="8" t="str">
        <x:v>근거와 함께 답변</x:v>
      </x:c>
      <x:c r="E1374" s="15" t="n">
        <x:v>1372</x:v>
      </x:c>
      <x:c r="F1374" s="8" t="str">
        <x:v>기존 검증 정답</x:v>
      </x:c>
      <x:c r="G1374" s="8" t="str">
        <x:v>https://apis.data.go.kr/1471000/DrbEasyDrugInfoService/getDrbEasyDrugList</x:v>
      </x:c>
      <x:c r="H1374" s="8" t="str">
        <x:v>{
  "item_seq": "200907021",
  "item_name": "프리미움리도센크림(리도카인)",
  "manufacturer": "(주)티디에스팜",
  "section_codes": [
    "adverse_reactions"
  ]
}</x:v>
      </x:c>
    </x:row>
    <x:row r="1375" ht="54" customHeight="1">
      <x:c r="A1375" s="8" t="str">
        <x:v>gold-medication-40c780e2960ad4a2</x:v>
      </x:c>
      <x:c r="B1375" s="8" t="str">
        <x:v>eyak:200806856:storage:001</x:v>
      </x:c>
      <x:c r="C1375" s="8" t="str">
        <x:v>eyak:200806856:storage:001</x:v>
      </x:c>
      <x:c r="D1375" s="8" t="str">
        <x:v>근거와 함께 답변</x:v>
      </x:c>
      <x:c r="E1375" s="15" t="n">
        <x:v>1373</x:v>
      </x:c>
      <x:c r="F1375" s="8" t="str">
        <x:v>기존 검증 정답</x:v>
      </x:c>
      <x:c r="G1375" s="8" t="str">
        <x:v>https://apis.data.go.kr/1471000/DrbEasyDrugInfoService/getDrbEasyDrugList</x:v>
      </x:c>
      <x:c r="H1375" s="8" t="str">
        <x:v>{
  "item_seq": "200806856",
  "item_name": "조인콘사민연질캡슐",
  "manufacturer": "(주)테라젠이텍스",
  "section_codes": [
    "storage"
  ]
}</x:v>
      </x:c>
    </x:row>
    <x:row r="1376" ht="54" customHeight="1">
      <x:c r="A1376" s="8" t="str">
        <x:v>gold-medication-251edb43f54ffe40</x:v>
      </x:c>
      <x:c r="B1376" s="8" t="str">
        <x:v>eyak:201907883:adverse_reactions:001</x:v>
      </x:c>
      <x:c r="C1376" s="8" t="str">
        <x:v>eyak:201907883:adverse_reactions:001</x:v>
      </x:c>
      <x:c r="D1376" s="8" t="str">
        <x:v>근거와 함께 답변</x:v>
      </x:c>
      <x:c r="E1376" s="15" t="n">
        <x:v>1374</x:v>
      </x:c>
      <x:c r="F1376" s="8" t="str">
        <x:v>기존 검증 정답</x:v>
      </x:c>
      <x:c r="G1376" s="8" t="str">
        <x:v>https://apis.data.go.kr/1471000/DrbEasyDrugInfoService/getDrbEasyDrugList</x:v>
      </x:c>
      <x:c r="H1376" s="8" t="str">
        <x:v>{
  "item_seq": "201907883",
  "item_name": "로멜라인장용정(브로멜라인)",
  "manufacturer": "에스케이케미칼(주)",
  "section_codes": [
    "adverse_reactions"
  ]
}</x:v>
      </x:c>
    </x:row>
    <x:row r="1377" ht="54" customHeight="1">
      <x:c r="A1377" s="8" t="str">
        <x:v>gold-medication-6419a62ccc685c99</x:v>
      </x:c>
      <x:c r="B1377" s="8" t="str">
        <x:v>eyak:202004532:precautions:001</x:v>
      </x:c>
      <x:c r="C1377" s="8" t="str">
        <x:v>eyak:202004532:precautions:001
eyak:202004532:precautions:002
eyak:202004532:precautions:003</x:v>
      </x:c>
      <x:c r="D1377" s="8" t="str">
        <x:v>근거와 함께 답변</x:v>
      </x:c>
      <x:c r="E1377" s="15" t="n">
        <x:v>1375</x:v>
      </x:c>
      <x:c r="F1377" s="8" t="str">
        <x:v>기존 검증 정답</x:v>
      </x:c>
      <x:c r="G1377" s="8" t="str">
        <x:v>https://apis.data.go.kr/1471000/DrbEasyDrugInfoService/getDrbEasyDrugList</x:v>
      </x:c>
      <x:c r="H1377" s="8" t="str">
        <x:v>{
  "item_seq": "202004532",
  "item_name": "새로덱스정100밀리그램(덱스판테놀)",
  "manufacturer": "(주)팜젠사이언스",
  "section_codes": [
    "precautions"
  ]
}</x:v>
      </x:c>
    </x:row>
    <x:row r="1378" ht="54" customHeight="1">
      <x:c r="A1378" s="8" t="str">
        <x:v>gold-medication-33ffe5a67a7273c4</x:v>
      </x:c>
      <x:c r="B1378" s="8" t="str">
        <x:v>eyak:201104795:efficacy:001</x:v>
      </x:c>
      <x:c r="C1378" s="8" t="str">
        <x:v>eyak:201104795:efficacy:001</x:v>
      </x:c>
      <x:c r="D1378" s="8" t="str">
        <x:v>근거와 함께 답변</x:v>
      </x:c>
      <x:c r="E1378" s="15" t="n">
        <x:v>1376</x:v>
      </x:c>
      <x:c r="F1378" s="8" t="str">
        <x:v>기존 검증 정답</x:v>
      </x:c>
      <x:c r="G1378" s="8" t="str">
        <x:v>https://apis.data.go.kr/1471000/DrbEasyDrugInfoService/getDrbEasyDrugList</x:v>
      </x:c>
      <x:c r="H1378" s="8" t="str">
        <x:v>{
  "item_seq": "201104795",
  "item_name": "키즈하이츄어블정",
  "manufacturer": "(주)한풍제약",
  "section_codes": [
    "efficacy"
  ]
}</x:v>
      </x:c>
    </x:row>
    <x:row r="1379" ht="54" customHeight="1">
      <x:c r="A1379" s="8" t="str">
        <x:v>gold-medication-na-0fc0e56ceb4195e9</x:v>
      </x:c>
      <x:c r="B1379" s="8" t="str"/>
      <x:c r="C1379" s="8" t="str"/>
      <x:c r="D1379" s="8" t="str">
        <x:v>답변 거부 또는 추가 확인 요청</x:v>
      </x:c>
      <x:c r="E1379" s="15" t="n">
        <x:v>1377</x:v>
      </x:c>
      <x:c r="F1379" s="8" t="str">
        <x:v>답변 거부 기준 문구</x:v>
      </x:c>
      <x:c r="G1379" s="8" t="str">
        <x:v>https://apis.data.go.kr/1471000/DrbEasyDrugInfoService/getDrbEasyDrugList</x:v>
      </x:c>
      <x:c r="H1379" s="8" t="str">
        <x:v>{
  "item_seq": "202303134",
  "item_name": "위앤프레쉬정",
  "manufacturer": "태극제약(주)",
  "section_codes": [
    "efficacy"
  ]
}</x:v>
      </x:c>
    </x:row>
    <x:row r="1380" ht="54" customHeight="1">
      <x:c r="A1380" s="8" t="str">
        <x:v>gold-medication-c138c8022882b44f</x:v>
      </x:c>
      <x:c r="B1380" s="8" t="str">
        <x:v>eyak:201901436:storage:001</x:v>
      </x:c>
      <x:c r="C1380" s="8" t="str">
        <x:v>eyak:201901436:storage:001</x:v>
      </x:c>
      <x:c r="D1380" s="8" t="str">
        <x:v>근거와 함께 답변</x:v>
      </x:c>
      <x:c r="E1380" s="15" t="n">
        <x:v>1378</x:v>
      </x:c>
      <x:c r="F1380" s="8" t="str">
        <x:v>기존 검증 정답</x:v>
      </x:c>
      <x:c r="G1380" s="8" t="str">
        <x:v>https://apis.data.go.kr/1471000/DrbEasyDrugInfoService/getDrbEasyDrugList</x:v>
      </x:c>
      <x:c r="H1380" s="8" t="str">
        <x:v>{
  "item_seq": "201901436",
  "item_name": "마그감마맥스연질캡슐",
  "manufacturer": "구주제약(주)",
  "section_codes": [
    "storage"
  ]
}</x:v>
      </x:c>
    </x:row>
    <x:row r="1381" ht="54" customHeight="1">
      <x:c r="A1381" s="8" t="str">
        <x:v>gold-medication-da9b7d19ceac7481</x:v>
      </x:c>
      <x:c r="B1381" s="8" t="str">
        <x:v>eyak:200204369:dosage:001</x:v>
      </x:c>
      <x:c r="C1381" s="8" t="str">
        <x:v>eyak:200204369:dosage:001</x:v>
      </x:c>
      <x:c r="D1381" s="8" t="str">
        <x:v>근거와 함께 답변</x:v>
      </x:c>
      <x:c r="E1381" s="15" t="n">
        <x:v>1379</x:v>
      </x:c>
      <x:c r="F1381" s="8" t="str">
        <x:v>기존 검증 정답</x:v>
      </x:c>
      <x:c r="G1381" s="8" t="str">
        <x:v>https://apis.data.go.kr/1471000/DrbEasyDrugInfoService/getDrbEasyDrugList</x:v>
      </x:c>
      <x:c r="H1381" s="8" t="str">
        <x:v>{
  "item_seq": "200204369",
  "item_name": "트리엠정100밀리그램(트리메부틴말레산염)",
  "manufacturer": "(주)휴온스",
  "section_codes": [
    "dosage"
  ]
}</x:v>
      </x:c>
    </x:row>
    <x:row r="1382" ht="54" customHeight="1">
      <x:c r="A1382" s="8" t="str">
        <x:v>gold-medication-4a56586d1a6a7367</x:v>
      </x:c>
      <x:c r="B1382" s="8" t="str">
        <x:v>eyak:202002635:adverse_reactions:001</x:v>
      </x:c>
      <x:c r="C1382" s="8" t="str">
        <x:v>eyak:202002635:adverse_reactions:001
eyak:202002635:adverse_reactions:002</x:v>
      </x:c>
      <x:c r="D1382" s="8" t="str">
        <x:v>근거와 함께 답변</x:v>
      </x:c>
      <x:c r="E1382" s="15" t="n">
        <x:v>1380</x:v>
      </x:c>
      <x:c r="F1382" s="8" t="str">
        <x:v>기존 검증 정답</x:v>
      </x:c>
      <x:c r="G1382" s="8" t="str">
        <x:v>https://apis.data.go.kr/1471000/DrbEasyDrugInfoService/getDrbEasyDrugList</x:v>
      </x:c>
      <x:c r="H1382" s="8" t="str">
        <x:v>{
  "item_seq": "202002635",
  "item_name": "셀레넘정",
  "manufacturer": "(주)테라젠이텍스",
  "section_codes": [
    "adverse_reactions"
  ]
}</x:v>
      </x:c>
    </x:row>
    <x:row r="1383" ht="54" customHeight="1">
      <x:c r="A1383" s="8" t="str">
        <x:v>gold-medication-ce35e5358f4bf847</x:v>
      </x:c>
      <x:c r="B1383" s="8" t="str">
        <x:v>eyak:201206715:adverse_reactions:002</x:v>
      </x:c>
      <x:c r="C1383" s="8" t="str">
        <x:v>eyak:201206715:adverse_reactions:002
eyak:201206715:adverse_reactions:001</x:v>
      </x:c>
      <x:c r="D1383" s="8" t="str">
        <x:v>근거와 함께 답변</x:v>
      </x:c>
      <x:c r="E1383" s="15" t="n">
        <x:v>1381</x:v>
      </x:c>
      <x:c r="F1383" s="8" t="str">
        <x:v>기존 검증 정답</x:v>
      </x:c>
      <x:c r="G1383" s="8" t="str">
        <x:v>https://apis.data.go.kr/1471000/DrbEasyDrugInfoService/getDrbEasyDrugList</x:v>
      </x:c>
      <x:c r="H1383" s="8" t="str">
        <x:v>{
  "item_seq": "201206715",
  "item_name": "챔프시럽(아세트아미노펜)",
  "manufacturer": "동아제약(주)",
  "section_codes": [
    "adverse_reactions"
  ]
}</x:v>
      </x:c>
    </x:row>
    <x:row r="1384" ht="54" customHeight="1">
      <x:c r="A1384" s="8" t="str">
        <x:v>gold-medication-009d3cadd4084987</x:v>
      </x:c>
      <x:c r="B1384" s="8" t="str">
        <x:v>eyak:202001706:precautions:003</x:v>
      </x:c>
      <x:c r="C1384" s="8" t="str">
        <x:v>eyak:202001706:precautions:003
eyak:202001706:precautions:002
eyak:202001706:precautions:004
eyak:202001706:precautions:001</x:v>
      </x:c>
      <x:c r="D1384" s="8" t="str">
        <x:v>근거와 함께 답변</x:v>
      </x:c>
      <x:c r="E1384" s="15" t="n">
        <x:v>1382</x:v>
      </x:c>
      <x:c r="F1384" s="8" t="str">
        <x:v>기존 검증 정답</x:v>
      </x:c>
      <x:c r="G1384" s="8" t="str">
        <x:v>https://apis.data.go.kr/1471000/DrbEasyDrugInfoService/getDrbEasyDrugList</x:v>
      </x:c>
      <x:c r="H1384" s="8" t="str">
        <x:v>{
  "item_seq": "202001706",
  "item_name": "더마베타신크림",
  "manufacturer": "시믹씨엠오코리아주식회사",
  "section_codes": [
    "precautions"
  ]
}</x:v>
      </x:c>
    </x:row>
    <x:row r="1385" ht="54" customHeight="1">
      <x:c r="A1385" s="8" t="str">
        <x:v>gold-medication-54a8f355e2e60591</x:v>
      </x:c>
      <x:c r="B1385" s="8" t="str">
        <x:v>eyak:202204454:adverse_reactions:001</x:v>
      </x:c>
      <x:c r="C1385" s="8" t="str">
        <x:v>eyak:202204454:adverse_reactions:001</x:v>
      </x:c>
      <x:c r="D1385" s="8" t="str">
        <x:v>근거와 함께 답변</x:v>
      </x:c>
      <x:c r="E1385" s="15" t="n">
        <x:v>1383</x:v>
      </x:c>
      <x:c r="F1385" s="8" t="str">
        <x:v>기존 검증 정답</x:v>
      </x:c>
      <x:c r="G1385" s="8" t="str">
        <x:v>https://apis.data.go.kr/1471000/DrbEasyDrugInfoService/getDrbEasyDrugList</x:v>
      </x:c>
      <x:c r="H1385" s="8" t="str">
        <x:v>{
  "item_seq": "202204454",
  "item_name": "엠지멕스플러스비연질캡슐",
  "manufacturer": "부광약품(주)",
  "section_codes": [
    "adverse_reactions"
  ]
}</x:v>
      </x:c>
    </x:row>
    <x:row r="1386" ht="54" customHeight="1">
      <x:c r="A1386" s="8" t="str">
        <x:v>gold-medication-0daa9cd899b4ebf4</x:v>
      </x:c>
      <x:c r="B1386" s="8" t="str">
        <x:v>eyak:202400211:adverse_reactions:001</x:v>
      </x:c>
      <x:c r="C1386" s="8" t="str">
        <x:v>eyak:202400211:adverse_reactions:001</x:v>
      </x:c>
      <x:c r="D1386" s="8" t="str">
        <x:v>근거와 함께 답변</x:v>
      </x:c>
      <x:c r="E1386" s="15" t="n">
        <x:v>1384</x:v>
      </x:c>
      <x:c r="F1386" s="8" t="str">
        <x:v>기존 검증 정답</x:v>
      </x:c>
      <x:c r="G1386" s="8" t="str">
        <x:v>https://apis.data.go.kr/1471000/DrbEasyDrugInfoService/getDrbEasyDrugList</x:v>
      </x:c>
      <x:c r="H1386" s="8" t="str">
        <x:v>{
  "item_seq": "202400211",
  "item_name": "마그포스스피드액",
  "manufacturer": "코오롱제약(주)",
  "section_codes": [
    "adverse_reactions"
  ]
}</x:v>
      </x:c>
    </x:row>
    <x:row r="1387" ht="54" customHeight="1">
      <x:c r="A1387" s="8" t="str">
        <x:v>gold-medication-e1a481bb42d18ccc</x:v>
      </x:c>
      <x:c r="B1387" s="8" t="str">
        <x:v>eyak:200501213:precautions:001</x:v>
      </x:c>
      <x:c r="C1387" s="8" t="str">
        <x:v>eyak:200501213:precautions:001</x:v>
      </x:c>
      <x:c r="D1387" s="8" t="str">
        <x:v>근거와 함께 답변</x:v>
      </x:c>
      <x:c r="E1387" s="15" t="n">
        <x:v>1385</x:v>
      </x:c>
      <x:c r="F1387" s="8" t="str">
        <x:v>기존 검증 정답</x:v>
      </x:c>
      <x:c r="G1387" s="8" t="str">
        <x:v>https://apis.data.go.kr/1471000/DrbEasyDrugInfoService/getDrbEasyDrugList</x:v>
      </x:c>
      <x:c r="H1387" s="8" t="str">
        <x:v>{
  "item_seq": "200501213",
  "item_name": "조인업첩부제(플루르비프로펜)",
  "manufacturer": "일양약품(주)",
  "section_codes": [
    "precautions"
  ]
}</x:v>
      </x:c>
    </x:row>
    <x:row r="1388" ht="54" customHeight="1">
      <x:c r="A1388" s="8" t="str">
        <x:v>gold-medication-fd3527037d6c73a2</x:v>
      </x:c>
      <x:c r="B1388" s="8" t="str">
        <x:v>eyak:202502195:adverse_reactions:001</x:v>
      </x:c>
      <x:c r="C1388" s="8" t="str">
        <x:v>eyak:202502195:adverse_reactions:001
eyak:202502195:adverse_reactions:002</x:v>
      </x:c>
      <x:c r="D1388" s="8" t="str">
        <x:v>근거와 함께 답변</x:v>
      </x:c>
      <x:c r="E1388" s="15" t="n">
        <x:v>1386</x:v>
      </x:c>
      <x:c r="F1388" s="8" t="str">
        <x:v>기존 검증 정답</x:v>
      </x:c>
      <x:c r="G1388" s="8" t="str">
        <x:v>https://apis.data.go.kr/1471000/DrbEasyDrugInfoService/getDrbEasyDrugList</x:v>
      </x:c>
      <x:c r="H1388" s="8" t="str">
        <x:v>{
  "item_seq": "202502195",
  "item_name": "노즈팡정",
  "manufacturer": "주식회사 노바엠헬스케어",
  "section_codes": [
    "adverse_reactions"
  ]
}</x:v>
      </x:c>
    </x:row>
    <x:row r="1389" ht="54" customHeight="1">
      <x:c r="A1389" s="8" t="str">
        <x:v>gold-medication-2aadabae5eb5ddd9</x:v>
      </x:c>
      <x:c r="B1389" s="8" t="str">
        <x:v>eyak:201906326:dosage:001</x:v>
      </x:c>
      <x:c r="C1389" s="8" t="str">
        <x:v>eyak:201906326:dosage:001</x:v>
      </x:c>
      <x:c r="D1389" s="8" t="str">
        <x:v>근거와 함께 답변</x:v>
      </x:c>
      <x:c r="E1389" s="15" t="n">
        <x:v>1387</x:v>
      </x:c>
      <x:c r="F1389" s="8" t="str">
        <x:v>기존 검증 정답</x:v>
      </x:c>
      <x:c r="G1389" s="8" t="str">
        <x:v>https://apis.data.go.kr/1471000/DrbEasyDrugInfoService/getDrbEasyDrugList</x:v>
      </x:c>
      <x:c r="H1389" s="8" t="str">
        <x:v>{
  "item_seq": "201906326",
  "item_name": "엘드로캡슐(에르도스테인)",
  "manufacturer": "성원애드콕제약(주)",
  "section_codes": [
    "dosage"
  ]
}</x:v>
      </x:c>
    </x:row>
    <x:row r="1390" ht="54" customHeight="1">
      <x:c r="A1390" s="8" t="str">
        <x:v>gold-medication-1063476683703171</x:v>
      </x:c>
      <x:c r="B1390" s="8" t="str">
        <x:v>eyak:199602733:precautions:001</x:v>
      </x:c>
      <x:c r="C1390" s="8" t="str">
        <x:v>eyak:199602733:precautions:001
eyak:199602733:precautions:002</x:v>
      </x:c>
      <x:c r="D1390" s="8" t="str">
        <x:v>근거와 함께 답변</x:v>
      </x:c>
      <x:c r="E1390" s="15" t="n">
        <x:v>1388</x:v>
      </x:c>
      <x:c r="F1390" s="8" t="str">
        <x:v>기존 검증 정답</x:v>
      </x:c>
      <x:c r="G1390" s="8" t="str">
        <x:v>https://apis.data.go.kr/1471000/DrbEasyDrugInfoService/getDrbEasyDrugList</x:v>
      </x:c>
      <x:c r="H1390" s="8" t="str">
        <x:v>{
  "item_seq": "199602733",
  "item_name": "알게마정(알마게이트)",
  "manufacturer": "(주)유영제약",
  "section_codes": [
    "precautions"
  ]
}</x:v>
      </x:c>
    </x:row>
    <x:row r="1391" ht="54" customHeight="1">
      <x:c r="A1391" s="8" t="str">
        <x:v>gold-medication-cf75a86f2e3cdb03</x:v>
      </x:c>
      <x:c r="B1391" s="8" t="str">
        <x:v>eyak:201804582:precautions:001</x:v>
      </x:c>
      <x:c r="C1391" s="8" t="str">
        <x:v>eyak:201804582:precautions:001</x:v>
      </x:c>
      <x:c r="D1391" s="8" t="str">
        <x:v>근거와 함께 답변</x:v>
      </x:c>
      <x:c r="E1391" s="15" t="n">
        <x:v>1389</x:v>
      </x:c>
      <x:c r="F1391" s="8" t="str">
        <x:v>기존 검증 정답</x:v>
      </x:c>
      <x:c r="G1391" s="8" t="str">
        <x:v>https://apis.data.go.kr/1471000/DrbEasyDrugInfoService/getDrbEasyDrugList</x:v>
      </x:c>
      <x:c r="H1391" s="8" t="str">
        <x:v>{
  "item_seq": "201804582",
  "item_name": "엑스케인크림(리도카인)",
  "manufacturer": "(주)인트로바이오파마",
  "section_codes": [
    "precautions"
  ]
}</x:v>
      </x:c>
    </x:row>
    <x:row r="1392" ht="54" customHeight="1">
      <x:c r="A1392" s="8" t="str">
        <x:v>gold-medication-43328e2a91f433b1</x:v>
      </x:c>
      <x:c r="B1392" s="8" t="str">
        <x:v>eyak:202501318:efficacy:001</x:v>
      </x:c>
      <x:c r="C1392" s="8" t="str">
        <x:v>eyak:202501318:efficacy:001</x:v>
      </x:c>
      <x:c r="D1392" s="8" t="str">
        <x:v>근거와 함께 답변</x:v>
      </x:c>
      <x:c r="E1392" s="15" t="n">
        <x:v>1390</x:v>
      </x:c>
      <x:c r="F1392" s="8" t="str">
        <x:v>기존 검증 정답</x:v>
      </x:c>
      <x:c r="G1392" s="8" t="str">
        <x:v>https://apis.data.go.kr/1471000/DrbEasyDrugInfoService/getDrbEasyDrugList</x:v>
      </x:c>
      <x:c r="H1392" s="8" t="str">
        <x:v>{
  "item_seq": "202501318",
  "item_name": "칼엠디정",
  "manufacturer": "한미약품(주)",
  "section_codes": [
    "efficacy"
  ]
}</x:v>
      </x:c>
    </x:row>
    <x:row r="1393" ht="54" customHeight="1">
      <x:c r="A1393" s="8" t="str">
        <x:v>gold-medication-06b18a53face8f56</x:v>
      </x:c>
      <x:c r="B1393" s="8" t="str">
        <x:v>eyak:200302067:precautions:001</x:v>
      </x:c>
      <x:c r="C1393" s="8" t="str">
        <x:v>eyak:200302067:precautions:001
eyak:200302067:precautions:002</x:v>
      </x:c>
      <x:c r="D1393" s="8" t="str">
        <x:v>근거와 함께 답변</x:v>
      </x:c>
      <x:c r="E1393" s="15" t="n">
        <x:v>1391</x:v>
      </x:c>
      <x:c r="F1393" s="8" t="str">
        <x:v>기존 검증 정답</x:v>
      </x:c>
      <x:c r="G1393" s="8" t="str">
        <x:v>https://apis.data.go.kr/1471000/DrbEasyDrugInfoService/getDrbEasyDrugList</x:v>
      </x:c>
      <x:c r="H1393" s="8" t="str">
        <x:v>{
  "item_seq": "200302067",
  "item_name": "뉴펜스탑카타플라스마(펠비낙)",
  "manufacturer": "(주)티디에스팜",
  "section_codes": [
    "precautions"
  ]
}</x:v>
      </x:c>
    </x:row>
    <x:row r="1394" ht="54" customHeight="1">
      <x:c r="A1394" s="8" t="str">
        <x:v>gold-medication-55f237c4129302dd</x:v>
      </x:c>
      <x:c r="B1394" s="8" t="str">
        <x:v>eyak:201802157:adverse_reactions:002</x:v>
      </x:c>
      <x:c r="C1394" s="8" t="str">
        <x:v>eyak:201802157:adverse_reactions:002
eyak:201802157:adverse_reactions:001</x:v>
      </x:c>
      <x:c r="D1394" s="8" t="str">
        <x:v>근거와 함께 답변</x:v>
      </x:c>
      <x:c r="E1394" s="15" t="n">
        <x:v>1392</x:v>
      </x:c>
      <x:c r="F1394" s="8" t="str">
        <x:v>기존 검증 정답</x:v>
      </x:c>
      <x:c r="G1394" s="8" t="str">
        <x:v>https://apis.data.go.kr/1471000/DrbEasyDrugInfoService/getDrbEasyDrugList</x:v>
      </x:c>
      <x:c r="H1394" s="8" t="str">
        <x:v>{
  "item_seq": "201802157",
  "item_name": "니조랄2%액(케토코나졸)",
  "manufacturer": "(주)휴온스",
  "section_codes": [
    "adverse_reactions"
  ]
}</x:v>
      </x:c>
    </x:row>
    <x:row r="1395" ht="54" customHeight="1">
      <x:c r="A1395" s="8" t="str">
        <x:v>gold-medication-0957e9a94a72fbca</x:v>
      </x:c>
      <x:c r="B1395" s="8" t="str">
        <x:v>eyak:201501313:efficacy:001</x:v>
      </x:c>
      <x:c r="C1395" s="8" t="str">
        <x:v>eyak:201501313:efficacy:001</x:v>
      </x:c>
      <x:c r="D1395" s="8" t="str">
        <x:v>근거와 함께 답변</x:v>
      </x:c>
      <x:c r="E1395" s="15" t="n">
        <x:v>1393</x:v>
      </x:c>
      <x:c r="F1395" s="8" t="str">
        <x:v>기존 검증 정답</x:v>
      </x:c>
      <x:c r="G1395" s="8" t="str">
        <x:v>https://apis.data.go.kr/1471000/DrbEasyDrugInfoService/getDrbEasyDrugList</x:v>
      </x:c>
      <x:c r="H1395" s="8" t="str">
        <x:v>{
  "item_seq": "201501313",
  "item_name": "베트라겔",
  "manufacturer": "(주)제뉴파마",
  "section_codes": [
    "efficacy"
  ]
}</x:v>
      </x:c>
    </x:row>
    <x:row r="1396" ht="54" customHeight="1">
      <x:c r="A1396" s="8" t="str">
        <x:v>gold-medication-5a9065237075a8dd</x:v>
      </x:c>
      <x:c r="B1396" s="8" t="str">
        <x:v>eyak:202000472:precautions:004
eyak:202000472:adverse_reactions:004</x:v>
      </x:c>
      <x:c r="C1396" s="8" t="str">
        <x:v>eyak:202000472:precautions:004
eyak:202000472:precautions:002
eyak:202000472:precautions:003
eyak:202000472:precautions:001
eyak:202000472:adverse_reactions:004
eyak:202000472:adverse_reactions:003
eyak:202000472:adverse_reactions:002
eyak:202000472:adverse_reactions:001
eyak:202000472:adverse_reactions:005</x:v>
      </x:c>
      <x:c r="D1396" s="8" t="str">
        <x:v>근거와 함께 답변</x:v>
      </x:c>
      <x:c r="E1396" s="15" t="n">
        <x:v>1394</x:v>
      </x:c>
      <x:c r="F1396" s="8" t="str">
        <x:v>기존 검증 정답</x:v>
      </x:c>
      <x:c r="G1396" s="8" t="str">
        <x:v>https://apis.data.go.kr/1471000/DrbEasyDrugInfoService/getDrbEasyDrugList</x:v>
      </x:c>
      <x:c r="H1396" s="8" t="str">
        <x:v>{
  "item_seq": "202000472",
  "item_name": "파메딘정10밀리그램(파모티딘)",
  "manufacturer": "(주)유앤생명과학",
  "section_codes": [
    "precautions",
    "adverse_reactions"
  ]
}</x:v>
      </x:c>
    </x:row>
    <x:row r="1397" ht="54" customHeight="1">
      <x:c r="A1397" s="8" t="str">
        <x:v>gold-medication-d41fe4ed045276ac</x:v>
      </x:c>
      <x:c r="B1397" s="8" t="str">
        <x:v>eyak:202501548:precautions:001</x:v>
      </x:c>
      <x:c r="C1397" s="8" t="str">
        <x:v>eyak:202501548:precautions:001
eyak:202501548:precautions:002</x:v>
      </x:c>
      <x:c r="D1397" s="8" t="str">
        <x:v>근거와 함께 답변</x:v>
      </x:c>
      <x:c r="E1397" s="15" t="n">
        <x:v>1395</x:v>
      </x:c>
      <x:c r="F1397" s="8" t="str">
        <x:v>기존 검증 정답</x:v>
      </x:c>
      <x:c r="G1397" s="8" t="str">
        <x:v>https://apis.data.go.kr/1471000/DrbEasyDrugInfoService/getDrbEasyDrugList</x:v>
      </x:c>
      <x:c r="H1397" s="8" t="str">
        <x:v>{
  "item_seq": "202501548",
  "item_name": "팜페인리렉스정",
  "manufacturer": "이연제약(주)",
  "section_codes": [
    "precautions"
  ]
}</x:v>
      </x:c>
    </x:row>
    <x:row r="1398" ht="54" customHeight="1">
      <x:c r="A1398" s="8" t="str">
        <x:v>gold-medication-b0a54eea2dc9f47a</x:v>
      </x:c>
      <x:c r="B1398" s="8" t="str">
        <x:v>eyak:201802695:adverse_reactions:001</x:v>
      </x:c>
      <x:c r="C1398" s="8" t="str">
        <x:v>eyak:201802695:adverse_reactions:001
eyak:201802695:adverse_reactions:002
eyak:201802695:adverse_reactions:003</x:v>
      </x:c>
      <x:c r="D1398" s="8" t="str">
        <x:v>근거와 함께 답변</x:v>
      </x:c>
      <x:c r="E1398" s="15" t="n">
        <x:v>1396</x:v>
      </x:c>
      <x:c r="F1398" s="8" t="str">
        <x:v>기존 검증 정답</x:v>
      </x:c>
      <x:c r="G1398" s="8" t="str">
        <x:v>https://apis.data.go.kr/1471000/DrbEasyDrugInfoService/getDrbEasyDrugList</x:v>
      </x:c>
      <x:c r="H1398" s="8" t="str">
        <x:v>{
  "item_seq": "201802695",
  "item_name": "콜민콜드연질캡슐",
  "manufacturer": "코스맥스파마(주)",
  "section_codes": [
    "adverse_reactions"
  ]
}</x:v>
      </x:c>
    </x:row>
    <x:row r="1399" ht="54" customHeight="1">
      <x:c r="A1399" s="8" t="str">
        <x:v>gold-medication-97b04ac35709f68e</x:v>
      </x:c>
      <x:c r="B1399" s="8" t="str">
        <x:v>eyak:202106375:precautions:001</x:v>
      </x:c>
      <x:c r="C1399" s="8" t="str">
        <x:v>eyak:202106375:precautions:001
eyak:202106375:precautions:002
eyak:202106375:precautions:003</x:v>
      </x:c>
      <x:c r="D1399" s="8" t="str">
        <x:v>근거와 함께 답변</x:v>
      </x:c>
      <x:c r="E1399" s="15" t="n">
        <x:v>1397</x:v>
      </x:c>
      <x:c r="F1399" s="8" t="str">
        <x:v>기존 검증 정답</x:v>
      </x:c>
      <x:c r="G1399" s="8" t="str">
        <x:v>https://apis.data.go.kr/1471000/DrbEasyDrugInfoService/getDrbEasyDrugList</x:v>
      </x:c>
      <x:c r="H1399" s="8" t="str">
        <x:v>{
  "item_seq": "202106375",
  "item_name": "알카본플러스정",
  "manufacturer": "한올바이오파마(주)",
  "section_codes": [
    "precautions"
  ]
}</x:v>
      </x:c>
    </x:row>
    <x:row r="1400" ht="54" customHeight="1">
      <x:c r="A1400" s="8" t="str">
        <x:v>gold-medication-a9d778d2dda65e0e</x:v>
      </x:c>
      <x:c r="B1400" s="8" t="str">
        <x:v>eyak:202301859:adverse_reactions:001</x:v>
      </x:c>
      <x:c r="C1400" s="8" t="str">
        <x:v>eyak:202301859:adverse_reactions:001</x:v>
      </x:c>
      <x:c r="D1400" s="8" t="str">
        <x:v>근거와 함께 답변</x:v>
      </x:c>
      <x:c r="E1400" s="15" t="n">
        <x:v>1398</x:v>
      </x:c>
      <x:c r="F1400" s="8" t="str">
        <x:v>기존 검증 정답</x:v>
      </x:c>
      <x:c r="G1400" s="8" t="str">
        <x:v>https://apis.data.go.kr/1471000/DrbEasyDrugInfoService/getDrbEasyDrugList</x:v>
      </x:c>
      <x:c r="H1400" s="8" t="str">
        <x:v>{
  "item_seq": "202301859",
  "item_name": "조인트콘친600골드정",
  "manufacturer": "성이바이오제약주식회사",
  "section_codes": [
    "adverse_reactions"
  ]
}</x:v>
      </x:c>
    </x:row>
    <x:row r="1401" ht="54" customHeight="1">
      <x:c r="A1401" s="8" t="str">
        <x:v>gold-medication-b00f46b8e24329b0</x:v>
      </x:c>
      <x:c r="B1401" s="8" t="str">
        <x:v>eyak:200402580:precautions:002</x:v>
      </x:c>
      <x:c r="C1401" s="8" t="str">
        <x:v>eyak:200402580:precautions:002
eyak:200402580:precautions:003
eyak:200402580:precautions:001
eyak:200402580:precautions:004</x:v>
      </x:c>
      <x:c r="D1401" s="8" t="str">
        <x:v>근거와 함께 답변</x:v>
      </x:c>
      <x:c r="E1401" s="15" t="n">
        <x:v>1399</x:v>
      </x:c>
      <x:c r="F1401" s="8" t="str">
        <x:v>기존 검증 정답</x:v>
      </x:c>
      <x:c r="G1401" s="8" t="str">
        <x:v>https://apis.data.go.kr/1471000/DrbEasyDrugInfoService/getDrbEasyDrugList</x:v>
      </x:c>
      <x:c r="H1401" s="8" t="str">
        <x:v>{
  "item_seq": "200402580",
  "item_name": "콤비올에이정",
  "manufacturer": "신일제약(주)",
  "section_codes": [
    "precautions"
  ]
}</x:v>
      </x:c>
    </x:row>
    <x:row r="1402" ht="54" customHeight="1">
      <x:c r="A1402" s="8" t="str">
        <x:v>gold-medication-360d6e7f7977f4b9</x:v>
      </x:c>
      <x:c r="B1402" s="8" t="str">
        <x:v>eyak:201802006:precautions:001</x:v>
      </x:c>
      <x:c r="C1402" s="8" t="str">
        <x:v>eyak:201802006:precautions:001</x:v>
      </x:c>
      <x:c r="D1402" s="8" t="str">
        <x:v>근거와 함께 답변</x:v>
      </x:c>
      <x:c r="E1402" s="15" t="n">
        <x:v>1400</x:v>
      </x:c>
      <x:c r="F1402" s="8" t="str">
        <x:v>기존 검증 정답</x:v>
      </x:c>
      <x:c r="G1402" s="8" t="str">
        <x:v>https://apis.data.go.kr/1471000/DrbEasyDrugInfoService/getDrbEasyDrugList</x:v>
      </x:c>
      <x:c r="H1402" s="8" t="str">
        <x:v>{
  "item_seq": "201802006",
  "item_name": "케어믹신플러스연고",
  "manufacturer": "에스케이케미칼(주)",
  "section_codes": [
    "precautions"
  ]
}</x:v>
      </x:c>
    </x:row>
    <x:row r="1403" ht="54" customHeight="1">
      <x:c r="A1403" s="8" t="str">
        <x:v>gold-medication-188d6bbf8110ba15</x:v>
      </x:c>
      <x:c r="B1403" s="8" t="str">
        <x:v>eyak:202202380:precautions:001</x:v>
      </x:c>
      <x:c r="C1403" s="8" t="str">
        <x:v>eyak:202202380:precautions:001
eyak:202202380:precautions:002</x:v>
      </x:c>
      <x:c r="D1403" s="8" t="str">
        <x:v>근거와 함께 답변</x:v>
      </x:c>
      <x:c r="E1403" s="15" t="n">
        <x:v>1401</x:v>
      </x:c>
      <x:c r="F1403" s="8" t="str">
        <x:v>기존 검증 정답</x:v>
      </x:c>
      <x:c r="G1403" s="8" t="str">
        <x:v>https://apis.data.go.kr/1471000/DrbEasyDrugInfoService/getDrbEasyDrugList</x:v>
      </x:c>
      <x:c r="H1403" s="8" t="str">
        <x:v>{
  "item_seq": "202202380",
  "item_name": "노즈알연질캡슐(펙소페나딘염산염)",
  "manufacturer": "(주)알피바이오",
  "section_codes": [
    "precautions"
  ]
}</x:v>
      </x:c>
    </x:row>
    <x:row r="1404" ht="54" customHeight="1">
      <x:c r="A1404" s="8" t="str">
        <x:v>gold-medication-78e20d2978c8e7a9</x:v>
      </x:c>
      <x:c r="B1404" s="8" t="str">
        <x:v>eyak:201402082:precautions:003
eyak:201402082:adverse_reactions:001</x:v>
      </x:c>
      <x:c r="C1404" s="8" t="str">
        <x:v>eyak:201402082:precautions:003
eyak:201402082:precautions:002
eyak:201402082:precautions:004
eyak:201402082:precautions:001
eyak:201402082:precautions:005
eyak:201402082:adverse_reactions:001</x:v>
      </x:c>
      <x:c r="D1404" s="8" t="str">
        <x:v>근거와 함께 답변</x:v>
      </x:c>
      <x:c r="E1404" s="15" t="n">
        <x:v>1402</x:v>
      </x:c>
      <x:c r="F1404" s="8" t="str">
        <x:v>기존 검증 정답</x:v>
      </x:c>
      <x:c r="G1404" s="8" t="str">
        <x:v>https://apis.data.go.kr/1471000/DrbEasyDrugInfoService/getDrbEasyDrugList</x:v>
      </x:c>
      <x:c r="H1404" s="8" t="str">
        <x:v>{
  "item_seq": "201402082",
  "item_name": "메타리빈액0.1%(자일로메타졸린염산염)",
  "manufacturer": "태극제약(주)",
  "section_codes": [
    "precautions",
    "adverse_reactions"
  ]
}</x:v>
      </x:c>
    </x:row>
    <x:row r="1405" ht="54" customHeight="1">
      <x:c r="A1405" s="8" t="str">
        <x:v>gold-medication-78d9b9bfe139f2b6</x:v>
      </x:c>
      <x:c r="B1405" s="8" t="str">
        <x:v>eyak:201902973:adverse_reactions:001</x:v>
      </x:c>
      <x:c r="C1405" s="8" t="str">
        <x:v>eyak:201902973:adverse_reactions:001
eyak:201902973:adverse_reactions:002</x:v>
      </x:c>
      <x:c r="D1405" s="8" t="str">
        <x:v>근거와 함께 답변</x:v>
      </x:c>
      <x:c r="E1405" s="15" t="n">
        <x:v>1403</x:v>
      </x:c>
      <x:c r="F1405" s="8" t="str">
        <x:v>기존 검증 정답</x:v>
      </x:c>
      <x:c r="G1405" s="8" t="str">
        <x:v>https://apis.data.go.kr/1471000/DrbEasyDrugInfoService/getDrbEasyDrugList</x:v>
      </x:c>
      <x:c r="H1405" s="8" t="str">
        <x:v>{
  "item_seq": "201902973",
  "item_name": "타미노펜연질캡슐(아세트아미노펜)",
  "manufacturer": "(주)녹십자",
  "section_codes": [
    "adverse_reactions"
  ]
}</x:v>
      </x:c>
    </x:row>
    <x:row r="1406" ht="54" customHeight="1">
      <x:c r="A1406" s="8" t="str">
        <x:v>gold-medication-0c02bf0b6b32611f</x:v>
      </x:c>
      <x:c r="B1406" s="8" t="str">
        <x:v>eyak:202204535:precautions:001</x:v>
      </x:c>
      <x:c r="C1406" s="8" t="str">
        <x:v>eyak:202204535:precautions:001
eyak:202204535:precautions:002</x:v>
      </x:c>
      <x:c r="D1406" s="8" t="str">
        <x:v>근거와 함께 답변</x:v>
      </x:c>
      <x:c r="E1406" s="15" t="n">
        <x:v>1404</x:v>
      </x:c>
      <x:c r="F1406" s="8" t="str">
        <x:v>기존 검증 정답</x:v>
      </x:c>
      <x:c r="G1406" s="8" t="str">
        <x:v>https://apis.data.go.kr/1471000/DrbEasyDrugInfoService/getDrbEasyDrugList</x:v>
      </x:c>
      <x:c r="H1406" s="8" t="str">
        <x:v>{
  "item_seq": "202204535",
  "item_name": "락토딘프리미엄정",
  "manufacturer": "한솔신약(주)",
  "section_codes": [
    "precautions"
  ]
}</x:v>
      </x:c>
    </x:row>
    <x:row r="1407" ht="54" customHeight="1">
      <x:c r="A1407" s="8" t="str">
        <x:v>gold-medication-40dcb59e1ebbd87a</x:v>
      </x:c>
      <x:c r="B1407" s="8" t="str">
        <x:v>eyak:201503618:adverse_reactions:001</x:v>
      </x:c>
      <x:c r="C1407" s="8" t="str">
        <x:v>eyak:201503618:adverse_reactions:001</x:v>
      </x:c>
      <x:c r="D1407" s="8" t="str">
        <x:v>근거와 함께 답변</x:v>
      </x:c>
      <x:c r="E1407" s="15" t="n">
        <x:v>1405</x:v>
      </x:c>
      <x:c r="F1407" s="8" t="str">
        <x:v>기존 검증 정답</x:v>
      </x:c>
      <x:c r="G1407" s="8" t="str">
        <x:v>https://apis.data.go.kr/1471000/DrbEasyDrugInfoService/getDrbEasyDrugList</x:v>
      </x:c>
      <x:c r="H1407" s="8" t="str">
        <x:v>{
  "item_seq": "201503618",
  "item_name": "헤모프란크림(프라목신염산염)",
  "manufacturer": "조아제약(주)",
  "section_codes": [
    "adverse_reactions"
  ]
}</x:v>
      </x:c>
    </x:row>
    <x:row r="1408" ht="54" customHeight="1">
      <x:c r="A1408" s="8" t="str">
        <x:v>gold-medication-na-524cba809ae81e80</x:v>
      </x:c>
      <x:c r="B1408" s="8" t="str"/>
      <x:c r="C1408" s="8" t="str"/>
      <x:c r="D1408" s="8" t="str">
        <x:v>답변 거부 또는 추가 확인 요청</x:v>
      </x:c>
      <x:c r="E1408" s="15" t="n">
        <x:v>1406</x:v>
      </x:c>
      <x:c r="F1408" s="8" t="str">
        <x:v>답변 거부 기준 문구</x:v>
      </x:c>
      <x:c r="G1408" s="8" t="str">
        <x:v>https://apis.data.go.kr/1471000/DrbEasyDrugInfoService/getDrbEasyDrugList</x:v>
      </x:c>
      <x:c r="H1408" s="8" t="str">
        <x:v>{
  "item_seq": "199702155",
  "item_name": "반드레크림(우레아)",
  "manufacturer": "한국넬슨제약(주)",
  "section_codes": [
    "interactions"
  ]
}</x:v>
      </x:c>
    </x:row>
    <x:row r="1409" ht="54" customHeight="1">
      <x:c r="A1409" s="8" t="str">
        <x:v>gold-medication-na-6c9ac6160984d72b</x:v>
      </x:c>
      <x:c r="B1409" s="8" t="str"/>
      <x:c r="C1409" s="8" t="str"/>
      <x:c r="D1409" s="8" t="str">
        <x:v>답변 거부 또는 추가 확인 요청</x:v>
      </x:c>
      <x:c r="E1409" s="15" t="n">
        <x:v>1407</x:v>
      </x:c>
      <x:c r="F1409" s="8" t="str">
        <x:v>답변 거부 기준 문구</x:v>
      </x:c>
      <x:c r="G1409" s="8" t="str">
        <x:v>https://apis.data.go.kr/1471000/DrbEasyDrugInfoService/getDrbEasyDrugList</x:v>
      </x:c>
      <x:c r="H1409" s="8" t="str">
        <x:v>{
  "item_seq": "198700641",
  "item_name": "삼천당산화마그네슘정250밀리그람",
  "manufacturer": "삼천당제약(주)",
  "section_codes": [
    "efficacy"
  ]
}</x:v>
      </x:c>
    </x:row>
    <x:row r="1410" ht="54" customHeight="1">
      <x:c r="A1410" s="8" t="str">
        <x:v>gold-medication-bd135fdbe4d900ac</x:v>
      </x:c>
      <x:c r="B1410" s="8" t="str">
        <x:v>eyak:200303260:precautions:003
eyak:200303260:adverse_reactions:001</x:v>
      </x:c>
      <x:c r="C1410" s="8" t="str">
        <x:v>eyak:200303260:precautions:003
eyak:200303260:precautions:002
eyak:200303260:precautions:001
eyak:200303260:adverse_reactions:001
eyak:200303260:adverse_reactions:002</x:v>
      </x:c>
      <x:c r="D1410" s="8" t="str">
        <x:v>근거와 함께 답변</x:v>
      </x:c>
      <x:c r="E1410" s="15" t="n">
        <x:v>1408</x:v>
      </x:c>
      <x:c r="F1410" s="8" t="str">
        <x:v>기존 검증 정답</x:v>
      </x:c>
      <x:c r="G1410" s="8" t="str">
        <x:v>https://apis.data.go.kr/1471000/DrbEasyDrugInfoService/getDrbEasyDrugList</x:v>
      </x:c>
      <x:c r="H1410" s="8" t="str">
        <x:v>{
  "item_seq": "200303260",
  "item_name": "케토에스겔(케토프로펜)",
  "manufacturer": "주식회사제뉴원사이언스",
  "section_codes": [
    "precautions",
    "adverse_reactions"
  ]
}</x:v>
      </x:c>
    </x:row>
    <x:row r="1411" ht="54" customHeight="1">
      <x:c r="A1411" s="8" t="str">
        <x:v>gold-medication-ec69417aa62e711a</x:v>
      </x:c>
      <x:c r="B1411" s="8" t="str">
        <x:v>eyak:198902058:efficacy:001</x:v>
      </x:c>
      <x:c r="C1411" s="8" t="str">
        <x:v>eyak:198902058:efficacy:001</x:v>
      </x:c>
      <x:c r="D1411" s="8" t="str">
        <x:v>근거와 함께 답변</x:v>
      </x:c>
      <x:c r="E1411" s="15" t="n">
        <x:v>1409</x:v>
      </x:c>
      <x:c r="F1411" s="8" t="str">
        <x:v>기존 검증 정답</x:v>
      </x:c>
      <x:c r="G1411" s="8" t="str">
        <x:v>https://apis.data.go.kr/1471000/DrbEasyDrugInfoService/getDrbEasyDrugList</x:v>
      </x:c>
      <x:c r="H1411" s="8" t="str">
        <x:v>{
  "item_seq": "198902058",
  "item_name": "아제인캡슐(아세틸시스테인)",
  "manufacturer": "알파제약(주)",
  "section_codes": [
    "efficacy"
  ]
}</x:v>
      </x:c>
    </x:row>
    <x:row r="1412" ht="54" customHeight="1">
      <x:c r="A1412" s="8" t="str">
        <x:v>gold-medication-99b7bef45c525a4a</x:v>
      </x:c>
      <x:c r="B1412" s="8" t="str">
        <x:v>eyak:200000411:interactions:001</x:v>
      </x:c>
      <x:c r="C1412" s="8" t="str">
        <x:v>eyak:200000411:interactions:001</x:v>
      </x:c>
      <x:c r="D1412" s="8" t="str">
        <x:v>근거와 함께 답변</x:v>
      </x:c>
      <x:c r="E1412" s="15" t="n">
        <x:v>1410</x:v>
      </x:c>
      <x:c r="F1412" s="8" t="str">
        <x:v>기존 검증 정답</x:v>
      </x:c>
      <x:c r="G1412" s="8" t="str">
        <x:v>https://apis.data.go.kr/1471000/DrbEasyDrugInfoService/getDrbEasyDrugList</x:v>
      </x:c>
      <x:c r="H1412" s="8" t="str">
        <x:v>{
  "item_seq": "200000411",
  "item_name": "볼두민액5%(미녹시딜)",
  "manufacturer": "제이더블유중외제약(주)",
  "section_codes": [
    "interactions"
  ]
}</x:v>
      </x:c>
    </x:row>
    <x:row r="1413" ht="54" customHeight="1">
      <x:c r="A1413" s="8" t="str">
        <x:v>gold-medication-793222993884c737</x:v>
      </x:c>
      <x:c r="B1413" s="8" t="str">
        <x:v>eyak:202007844:adverse_reactions:001</x:v>
      </x:c>
      <x:c r="C1413" s="8" t="str">
        <x:v>eyak:202007844:adverse_reactions:001
eyak:202007844:adverse_reactions:002</x:v>
      </x:c>
      <x:c r="D1413" s="8" t="str">
        <x:v>근거와 함께 답변</x:v>
      </x:c>
      <x:c r="E1413" s="15" t="n">
        <x:v>1411</x:v>
      </x:c>
      <x:c r="F1413" s="8" t="str">
        <x:v>기존 검증 정답</x:v>
      </x:c>
      <x:c r="G1413" s="8" t="str">
        <x:v>https://apis.data.go.kr/1471000/DrbEasyDrugInfoService/getDrbEasyDrugList</x:v>
      </x:c>
      <x:c r="H1413" s="8" t="str">
        <x:v>{
  "item_seq": "202007844",
  "item_name": "아노덱스골드정",
  "manufacturer": "(주)팜젠사이언스",
  "section_codes": [
    "adverse_reactions"
  ]
}</x:v>
      </x:c>
    </x:row>
    <x:row r="1414" ht="54" customHeight="1">
      <x:c r="A1414" s="8" t="str">
        <x:v>gold-medication-73ad7a9c20f7cb6f</x:v>
      </x:c>
      <x:c r="B1414" s="8" t="str">
        <x:v>eyak:202107326:precautions:001</x:v>
      </x:c>
      <x:c r="C1414" s="8" t="str">
        <x:v>eyak:202107326:precautions:001
eyak:202107326:precautions:002</x:v>
      </x:c>
      <x:c r="D1414" s="8" t="str">
        <x:v>근거와 함께 답변</x:v>
      </x:c>
      <x:c r="E1414" s="15" t="n">
        <x:v>1412</x:v>
      </x:c>
      <x:c r="F1414" s="8" t="str">
        <x:v>기존 검증 정답</x:v>
      </x:c>
      <x:c r="G1414" s="8" t="str">
        <x:v>https://apis.data.go.kr/1471000/DrbEasyDrugInfoService/getDrbEasyDrugList</x:v>
      </x:c>
      <x:c r="H1414" s="8" t="str">
        <x:v>{
  "item_seq": "202107326",
  "item_name": "센스온스피드액",
  "manufacturer": "동국제약(주)",
  "section_codes": [
    "precautions"
  ]
}</x:v>
      </x:c>
    </x:row>
    <x:row r="1415" ht="54" customHeight="1">
      <x:c r="A1415" s="8" t="str">
        <x:v>gold-medication-04ae0c632d5f4e92</x:v>
      </x:c>
      <x:c r="B1415" s="8" t="str">
        <x:v>eyak:201005800:adverse_reactions:004</x:v>
      </x:c>
      <x:c r="C1415" s="8" t="str">
        <x:v>eyak:201005800:adverse_reactions:004
eyak:201005800:adverse_reactions:005
eyak:201005800:adverse_reactions:003
eyak:201005800:adverse_reactions:001
eyak:201005800:adverse_reactions:002</x:v>
      </x:c>
      <x:c r="D1415" s="8" t="str">
        <x:v>근거와 함께 답변</x:v>
      </x:c>
      <x:c r="E1415" s="15" t="n">
        <x:v>1413</x:v>
      </x:c>
      <x:c r="F1415" s="8" t="str">
        <x:v>기존 검증 정답</x:v>
      </x:c>
      <x:c r="G1415" s="8" t="str">
        <x:v>https://apis.data.go.kr/1471000/DrbEasyDrugInfoService/getDrbEasyDrugList</x:v>
      </x:c>
      <x:c r="H1415" s="8" t="str">
        <x:v>{
  "item_seq": "201005800",
  "item_name": "코코페디시럽(덱시부프로펜)",
  "manufacturer": "삼아제약(주)",
  "section_codes": [
    "adverse_reactions"
  ]
}</x:v>
      </x:c>
    </x:row>
    <x:row r="1416" ht="54" customHeight="1">
      <x:c r="A1416" s="8" t="str">
        <x:v>gold-medication-d88a6c4826e65751</x:v>
      </x:c>
      <x:c r="B1416" s="8" t="str">
        <x:v>eyak:202301912:precautions:002
eyak:202301912:adverse_reactions:001</x:v>
      </x:c>
      <x:c r="C1416" s="8" t="str">
        <x:v>eyak:202301912:precautions:002
eyak:202301912:precautions:001
eyak:202301912:adverse_reactions:001</x:v>
      </x:c>
      <x:c r="D1416" s="8" t="str">
        <x:v>근거와 함께 답변</x:v>
      </x:c>
      <x:c r="E1416" s="15" t="n">
        <x:v>1414</x:v>
      </x:c>
      <x:c r="F1416" s="8" t="str">
        <x:v>기존 검증 정답</x:v>
      </x:c>
      <x:c r="G1416" s="8" t="str">
        <x:v>https://apis.data.go.kr/1471000/DrbEasyDrugInfoService/getDrbEasyDrugList</x:v>
      </x:c>
      <x:c r="H1416" s="8" t="str">
        <x:v>{
  "item_seq": "202301912",
  "item_name": "마이메가플러스정",
  "manufacturer": "광동제약(주)",
  "section_codes": [
    "precautions",
    "adverse_reactions"
  ]
}</x:v>
      </x:c>
    </x:row>
    <x:row r="1417" ht="54" customHeight="1">
      <x:c r="A1417" s="8" t="str">
        <x:v>gold-medication-8b761dc5975a86b6</x:v>
      </x:c>
      <x:c r="B1417" s="8" t="str">
        <x:v>eyak:202005763:precautions:004</x:v>
      </x:c>
      <x:c r="C1417" s="8" t="str">
        <x:v>eyak:202005763:precautions:004
eyak:202005763:precautions:003
eyak:202005763:precautions:001
eyak:202005763:precautions:002</x:v>
      </x:c>
      <x:c r="D1417" s="8" t="str">
        <x:v>근거와 함께 답변</x:v>
      </x:c>
      <x:c r="E1417" s="15" t="n">
        <x:v>1415</x:v>
      </x:c>
      <x:c r="F1417" s="8" t="str">
        <x:v>기존 검증 정답</x:v>
      </x:c>
      <x:c r="G1417" s="8" t="str">
        <x:v>https://apis.data.go.kr/1471000/DrbEasyDrugInfoService/getDrbEasyDrugList</x:v>
      </x:c>
      <x:c r="H1417" s="8" t="str">
        <x:v>{
  "item_seq": "202005763",
  "item_name": "피아렌점안액(폴리데옥시리보뉴클레오티드나트륨)(1회용)",
  "manufacturer": "(주)옵투스제약",
  "section_codes": [
    "precautions"
  ]
}</x:v>
      </x:c>
    </x:row>
    <x:row r="1418" ht="54" customHeight="1">
      <x:c r="A1418" s="8" t="str">
        <x:v>gold-medication-6dff9ad927db67bd</x:v>
      </x:c>
      <x:c r="B1418" s="8" t="str">
        <x:v>eyak:201907177:dosage:001</x:v>
      </x:c>
      <x:c r="C1418" s="8" t="str">
        <x:v>eyak:201907177:dosage:001</x:v>
      </x:c>
      <x:c r="D1418" s="8" t="str">
        <x:v>근거와 함께 답변</x:v>
      </x:c>
      <x:c r="E1418" s="15" t="n">
        <x:v>1416</x:v>
      </x:c>
      <x:c r="F1418" s="8" t="str">
        <x:v>기존 검증 정답</x:v>
      </x:c>
      <x:c r="G1418" s="8" t="str">
        <x:v>https://apis.data.go.kr/1471000/DrbEasyDrugInfoService/getDrbEasyDrugList</x:v>
      </x:c>
      <x:c r="H1418" s="8" t="str">
        <x:v>{
  "item_seq": "201907177",
  "item_name": "투엑스비골드100정",
  "manufacturer": "(주)한풍제약",
  "section_codes": [
    "dosage"
  ]
}</x:v>
      </x:c>
    </x:row>
    <x:row r="1419" ht="54" customHeight="1">
      <x:c r="A1419" s="8" t="str">
        <x:v>gold-medication-8d92ebedc550aa94</x:v>
      </x:c>
      <x:c r="B1419" s="8" t="str">
        <x:v>eyak:201901619:precautions:003</x:v>
      </x:c>
      <x:c r="C1419" s="8" t="str">
        <x:v>eyak:201901619:precautions:003
eyak:201901619:precautions:002
eyak:201901619:precautions:001</x:v>
      </x:c>
      <x:c r="D1419" s="8" t="str">
        <x:v>근거와 함께 답변</x:v>
      </x:c>
      <x:c r="E1419" s="15" t="n">
        <x:v>1417</x:v>
      </x:c>
      <x:c r="F1419" s="8" t="str">
        <x:v>기존 검증 정답</x:v>
      </x:c>
      <x:c r="G1419" s="8" t="str">
        <x:v>https://apis.data.go.kr/1471000/DrbEasyDrugInfoService/getDrbEasyDrugList</x:v>
      </x:c>
      <x:c r="H1419" s="8" t="str">
        <x:v>{
  "item_seq": "201901619",
  "item_name": "더마굿크림",
  "manufacturer": "구주제약(주)",
  "section_codes": [
    "precautions"
  ]
}</x:v>
      </x:c>
    </x:row>
    <x:row r="1420" ht="54" customHeight="1">
      <x:c r="A1420" s="8" t="str">
        <x:v>gold-medication-60643d645205c7e1</x:v>
      </x:c>
      <x:c r="B1420" s="8" t="str">
        <x:v>eyak:200807207:warning:001
eyak:200807207:precautions:002
eyak:200807207:adverse_reactions:003</x:v>
      </x:c>
      <x:c r="C1420" s="8" t="str">
        <x:v>eyak:200807207:warning:001
eyak:200807207:precautions:002
eyak:200807207:precautions:005
eyak:200807207:precautions:003
eyak:200807207:precautions:001
eyak:200807207:precautions:004
eyak:200807207:precautions:006
eyak:200807207:adverse_reactions:003
eyak:200807207:adverse_reactions:004
eyak:200807207:adverse_reactions:001
eyak:200807207:adverse_reactions:002
eyak:200807207:adverse_reactions:005
eyak:200807207:adverse_reactions:006</x:v>
      </x:c>
      <x:c r="D1420" s="8" t="str">
        <x:v>근거와 함께 답변</x:v>
      </x:c>
      <x:c r="E1420" s="15" t="n">
        <x:v>1418</x:v>
      </x:c>
      <x:c r="F1420" s="8" t="str">
        <x:v>기존 검증 정답</x:v>
      </x:c>
      <x:c r="G1420" s="8" t="str">
        <x:v>https://apis.data.go.kr/1471000/DrbEasyDrugInfoService/getDrbEasyDrugList</x:v>
      </x:c>
      <x:c r="H1420" s="8" t="str">
        <x:v>{
  "item_seq": "200807207",
  "item_name": "멜리안정",
  "manufacturer": "동아제약(주)",
  "section_codes": [
    "warning",
    "precautions",
    "adverse_reactions"
  ]
}</x:v>
      </x:c>
    </x:row>
    <x:row r="1421" ht="54" customHeight="1">
      <x:c r="A1421" s="8" t="str">
        <x:v>gold-medication-e69dd291ca205f30</x:v>
      </x:c>
      <x:c r="B1421" s="8" t="str">
        <x:v>eyak:201403677:warning:001
eyak:201403677:precautions:001</x:v>
      </x:c>
      <x:c r="C1421" s="8" t="str">
        <x:v>eyak:201403677:warning:001
eyak:201403677:warning:002
eyak:201403677:warning:003
eyak:201403677:precautions:001
eyak:201403677:precautions:002
eyak:201403677:precautions:003
eyak:201403677:precautions:004</x:v>
      </x:c>
      <x:c r="D1421" s="8" t="str">
        <x:v>근거와 함께 답변</x:v>
      </x:c>
      <x:c r="E1421" s="15" t="n">
        <x:v>1419</x:v>
      </x:c>
      <x:c r="F1421" s="8" t="str">
        <x:v>기존 검증 정답</x:v>
      </x:c>
      <x:c r="G1421" s="8" t="str">
        <x:v>https://apis.data.go.kr/1471000/DrbEasyDrugInfoService/getDrbEasyDrugList</x:v>
      </x:c>
      <x:c r="H1421" s="8" t="str">
        <x:v>{
  "item_seq": "201403677",
  "item_name": "코리투살에프시럽(이부프로펜)",
  "manufacturer": "부광약품(주)",
  "section_codes": [
    "warning",
    "precautions"
  ]
}</x:v>
      </x:c>
    </x:row>
    <x:row r="1422" ht="54" customHeight="1">
      <x:c r="A1422" s="8" t="str">
        <x:v>gold-medication-112c4ebb8221c52d</x:v>
      </x:c>
      <x:c r="B1422" s="8" t="str">
        <x:v>eyak:201906127:interactions:001</x:v>
      </x:c>
      <x:c r="C1422" s="8" t="str">
        <x:v>eyak:201906127:interactions:001</x:v>
      </x:c>
      <x:c r="D1422" s="8" t="str">
        <x:v>근거와 함께 답변</x:v>
      </x:c>
      <x:c r="E1422" s="15" t="n">
        <x:v>1420</x:v>
      </x:c>
      <x:c r="F1422" s="8" t="str">
        <x:v>기존 검증 정답</x:v>
      </x:c>
      <x:c r="G1422" s="8" t="str">
        <x:v>https://apis.data.go.kr/1471000/DrbEasyDrugInfoService/getDrbEasyDrugList</x:v>
      </x:c>
      <x:c r="H1422" s="8" t="str">
        <x:v>{
  "item_seq": "201906127",
  "item_name": "아마가정(알마게이트)",
  "manufacturer": "(주)경보제약",
  "section_codes": [
    "interactions"
  ]
}</x:v>
      </x:c>
    </x:row>
    <x:row r="1423" ht="54" customHeight="1">
      <x:c r="A1423" s="8" t="str">
        <x:v>gold-medication-70b1306bdb2c55e1</x:v>
      </x:c>
      <x:c r="B1423" s="8" t="str">
        <x:v>eyak:199900422:precautions:002</x:v>
      </x:c>
      <x:c r="C1423" s="8" t="str">
        <x:v>eyak:199900422:precautions:002
eyak:199900422:precautions:001
eyak:199900422:precautions:003</x:v>
      </x:c>
      <x:c r="D1423" s="8" t="str">
        <x:v>근거와 함께 답변</x:v>
      </x:c>
      <x:c r="E1423" s="15" t="n">
        <x:v>1421</x:v>
      </x:c>
      <x:c r="F1423" s="8" t="str">
        <x:v>기존 검증 정답</x:v>
      </x:c>
      <x:c r="G1423" s="8" t="str">
        <x:v>https://apis.data.go.kr/1471000/DrbEasyDrugInfoService/getDrbEasyDrugList</x:v>
      </x:c>
      <x:c r="H1423" s="8" t="str">
        <x:v>{
  "item_seq": "199900422",
  "item_name": "성광포비딘(포비돈요오드액10%)",
  "manufacturer": "(주)퍼슨",
  "section_codes": [
    "precautions"
  ]
}</x:v>
      </x:c>
    </x:row>
    <x:row r="1424" ht="54" customHeight="1">
      <x:c r="A1424" s="8" t="str">
        <x:v>gold-medication-f7fd24f9e550195c</x:v>
      </x:c>
      <x:c r="B1424" s="8" t="str">
        <x:v>eyak:202102183:storage:001</x:v>
      </x:c>
      <x:c r="C1424" s="8" t="str">
        <x:v>eyak:202102183:storage:001</x:v>
      </x:c>
      <x:c r="D1424" s="8" t="str">
        <x:v>근거와 함께 답변</x:v>
      </x:c>
      <x:c r="E1424" s="15" t="n">
        <x:v>1422</x:v>
      </x:c>
      <x:c r="F1424" s="8" t="str">
        <x:v>기존 검증 정답</x:v>
      </x:c>
      <x:c r="G1424" s="8" t="str">
        <x:v>https://apis.data.go.kr/1471000/DrbEasyDrugInfoService/getDrbEasyDrugList</x:v>
      </x:c>
      <x:c r="H1424" s="8" t="str">
        <x:v>{
  "item_seq": "202102183",
  "item_name": "내바렌큐액",
  "manufacturer": "부광약품(주)",
  "section_codes": [
    "storage"
  ]
}</x:v>
      </x:c>
    </x:row>
    <x:row r="1425" ht="54" customHeight="1">
      <x:c r="A1425" s="8" t="str">
        <x:v>gold-medication-11ef61a6f3a998d5</x:v>
      </x:c>
      <x:c r="B1425" s="8" t="str">
        <x:v>eyak:198501225:efficacy:001</x:v>
      </x:c>
      <x:c r="C1425" s="8" t="str">
        <x:v>eyak:198501225:efficacy:001</x:v>
      </x:c>
      <x:c r="D1425" s="8" t="str">
        <x:v>근거와 함께 답변</x:v>
      </x:c>
      <x:c r="E1425" s="15" t="n">
        <x:v>1423</x:v>
      </x:c>
      <x:c r="F1425" s="8" t="str">
        <x:v>기존 검증 정답</x:v>
      </x:c>
      <x:c r="G1425" s="8" t="str">
        <x:v>https://apis.data.go.kr/1471000/DrbEasyDrugInfoService/getDrbEasyDrugList</x:v>
      </x:c>
      <x:c r="H1425" s="8" t="str">
        <x:v>{
  "item_seq": "198501225",
  "item_name": "한미유리아크림200밀리그램(우레아)",
  "manufacturer": "한미약품(주)",
  "section_codes": [
    "efficacy"
  ]
}</x:v>
      </x:c>
    </x:row>
    <x:row r="1426" ht="54" customHeight="1">
      <x:c r="A1426" s="8" t="str">
        <x:v>gold-medication-54a37ba3c644e446</x:v>
      </x:c>
      <x:c r="B1426" s="8" t="str">
        <x:v>eyak:201200930:warning:001
eyak:201200930:precautions:002
eyak:201200930:adverse_reactions:001</x:v>
      </x:c>
      <x:c r="C1426" s="8" t="str">
        <x:v>eyak:201200930:warning:001
eyak:201200930:precautions:002
eyak:201200930:precautions:003
eyak:201200930:precautions:001
eyak:201200930:adverse_reactions:001
eyak:201200930:adverse_reactions:002</x:v>
      </x:c>
      <x:c r="D1426" s="8" t="str">
        <x:v>근거와 함께 답변</x:v>
      </x:c>
      <x:c r="E1426" s="15" t="n">
        <x:v>1424</x:v>
      </x:c>
      <x:c r="F1426" s="8" t="str">
        <x:v>기존 검증 정답</x:v>
      </x:c>
      <x:c r="G1426" s="8" t="str">
        <x:v>https://apis.data.go.kr/1471000/DrbEasyDrugInfoService/getDrbEasyDrugList</x:v>
      </x:c>
      <x:c r="H1426" s="8" t="str">
        <x:v>{
  "item_seq": "201200930",
  "item_name": "자임큐텐연질캡슐",
  "manufacturer": "(주)아이월드제약",
  "section_codes": [
    "warning",
    "precautions",
    "adverse_reactions"
  ]
}</x:v>
      </x:c>
    </x:row>
    <x:row r="1427" ht="54" customHeight="1">
      <x:c r="A1427" s="8" t="str">
        <x:v>gold-medication-12c7b92bc1b55c67</x:v>
      </x:c>
      <x:c r="B1427" s="8" t="str">
        <x:v>eyak:199401030:interactions:001</x:v>
      </x:c>
      <x:c r="C1427" s="8" t="str">
        <x:v>eyak:199401030:interactions:001</x:v>
      </x:c>
      <x:c r="D1427" s="8" t="str">
        <x:v>근거와 함께 답변</x:v>
      </x:c>
      <x:c r="E1427" s="15" t="n">
        <x:v>1425</x:v>
      </x:c>
      <x:c r="F1427" s="8" t="str">
        <x:v>기존 검증 정답</x:v>
      </x:c>
      <x:c r="G1427" s="8" t="str">
        <x:v>https://apis.data.go.kr/1471000/DrbEasyDrugInfoService/getDrbEasyDrugList</x:v>
      </x:c>
      <x:c r="H1427" s="8" t="str">
        <x:v>{
  "item_seq": "199401030",
  "item_name": "삼남아세트아미노펜정",
  "manufacturer": "삼남제약(주)",
  "section_codes": [
    "interactions"
  ]
}</x:v>
      </x:c>
    </x:row>
    <x:row r="1428" ht="54" customHeight="1">
      <x:c r="A1428" s="8" t="str">
        <x:v>gold-medication-ac2a423223ebdf1e</x:v>
      </x:c>
      <x:c r="B1428" s="8" t="str">
        <x:v>eyak:202300257:precautions:001</x:v>
      </x:c>
      <x:c r="C1428" s="8" t="str">
        <x:v>eyak:202300257:precautions:001</x:v>
      </x:c>
      <x:c r="D1428" s="8" t="str">
        <x:v>근거와 함께 답변</x:v>
      </x:c>
      <x:c r="E1428" s="15" t="n">
        <x:v>1426</x:v>
      </x:c>
      <x:c r="F1428" s="8" t="str">
        <x:v>기존 검증 정답</x:v>
      </x:c>
      <x:c r="G1428" s="8" t="str">
        <x:v>https://apis.data.go.kr/1471000/DrbEasyDrugInfoService/getDrbEasyDrugList</x:v>
      </x:c>
      <x:c r="H1428" s="8" t="str">
        <x:v>{
  "item_seq": "202300257",
  "item_name": "조아덱스판크림(D-판테놀)",
  "manufacturer": "조아제약(주)",
  "section_codes": [
    "precautions"
  ]
}</x:v>
      </x:c>
    </x:row>
    <x:row r="1429" ht="54" customHeight="1">
      <x:c r="A1429" s="8" t="str">
        <x:v>gold-medication-23ed996dc9b7b921</x:v>
      </x:c>
      <x:c r="B1429" s="8" t="str">
        <x:v>eyak:200612567:adverse_reactions:001</x:v>
      </x:c>
      <x:c r="C1429" s="8" t="str">
        <x:v>eyak:200612567:adverse_reactions:001</x:v>
      </x:c>
      <x:c r="D1429" s="8" t="str">
        <x:v>근거와 함께 답변</x:v>
      </x:c>
      <x:c r="E1429" s="15" t="n">
        <x:v>1427</x:v>
      </x:c>
      <x:c r="F1429" s="8" t="str">
        <x:v>기존 검증 정답</x:v>
      </x:c>
      <x:c r="G1429" s="8" t="str">
        <x:v>https://apis.data.go.kr/1471000/DrbEasyDrugInfoService/getDrbEasyDrugList</x:v>
      </x:c>
      <x:c r="H1429" s="8" t="str">
        <x:v>{
  "item_seq": "200612567",
  "item_name": "칼시롤정",
  "manufacturer": "성원애드콕제약(주)",
  "section_codes": [
    "adverse_reactions"
  ]
}</x:v>
      </x:c>
    </x:row>
    <x:row r="1430" ht="54" customHeight="1">
      <x:c r="A1430" s="8" t="str">
        <x:v>gold-medication-30c598baa78795ec</x:v>
      </x:c>
      <x:c r="B1430" s="8" t="str">
        <x:v>eyak:200108686:interactions:001</x:v>
      </x:c>
      <x:c r="C1430" s="8" t="str">
        <x:v>eyak:200108686:interactions:001</x:v>
      </x:c>
      <x:c r="D1430" s="8" t="str">
        <x:v>근거와 함께 답변</x:v>
      </x:c>
      <x:c r="E1430" s="15" t="n">
        <x:v>1428</x:v>
      </x:c>
      <x:c r="F1430" s="8" t="str">
        <x:v>기존 검증 정답</x:v>
      </x:c>
      <x:c r="G1430" s="8" t="str">
        <x:v>https://apis.data.go.kr/1471000/DrbEasyDrugInfoService/getDrbEasyDrugList</x:v>
      </x:c>
      <x:c r="H1430" s="8" t="str">
        <x:v>{
  "item_seq": "200108686",
  "item_name": "레스피비엔액 (옥시메타졸린염산염), 레스피비엔액 프레쉬민트 (옥시메타졸린염산염)",
  "manufacturer": "제일헬스사이언스(주)",
  "section_codes": [
    "interactions"
  ]
}</x:v>
      </x:c>
    </x:row>
    <x:row r="1431" ht="54" customHeight="1">
      <x:c r="A1431" s="8" t="str">
        <x:v>gold-medication-536c13d6177bdbaf</x:v>
      </x:c>
      <x:c r="B1431" s="8" t="str">
        <x:v>eyak:200402947:warning:001
eyak:200402947:precautions:002
eyak:200402947:adverse_reactions:002</x:v>
      </x:c>
      <x:c r="C1431" s="8" t="str">
        <x:v>eyak:200402947:warning:001
eyak:200402947:warning:002
eyak:200402947:precautions:002
eyak:200402947:precautions:003
eyak:200402947:precautions:001
eyak:200402947:adverse_reactions:002
eyak:200402947:adverse_reactions:001</x:v>
      </x:c>
      <x:c r="D1431" s="8" t="str">
        <x:v>근거와 함께 답변</x:v>
      </x:c>
      <x:c r="E1431" s="15" t="n">
        <x:v>1429</x:v>
      </x:c>
      <x:c r="F1431" s="8" t="str">
        <x:v>기존 검증 정답</x:v>
      </x:c>
      <x:c r="G1431" s="8" t="str">
        <x:v>https://apis.data.go.kr/1471000/DrbEasyDrugInfoService/getDrbEasyDrugList</x:v>
      </x:c>
      <x:c r="H1431" s="8" t="str">
        <x:v>{
  "item_seq": "200402947",
  "item_name": "타이펜8시간이알서방정",
  "manufacturer": "영풍제약(주)",
  "section_codes": [
    "warning",
    "precautions",
    "adverse_reactions"
  ]
}</x:v>
      </x:c>
    </x:row>
    <x:row r="1432" ht="54" customHeight="1">
      <x:c r="A1432" s="8" t="str">
        <x:v>gold-medication-36858a4ced259ef0</x:v>
      </x:c>
      <x:c r="B1432" s="8" t="str">
        <x:v>eyak:199403254:dosage:001</x:v>
      </x:c>
      <x:c r="C1432" s="8" t="str">
        <x:v>eyak:199403254:dosage:001</x:v>
      </x:c>
      <x:c r="D1432" s="8" t="str">
        <x:v>근거와 함께 답변</x:v>
      </x:c>
      <x:c r="E1432" s="15" t="n">
        <x:v>1430</x:v>
      </x:c>
      <x:c r="F1432" s="8" t="str">
        <x:v>기존 검증 정답</x:v>
      </x:c>
      <x:c r="G1432" s="8" t="str">
        <x:v>https://apis.data.go.kr/1471000/DrbEasyDrugInfoService/getDrbEasyDrugList</x:v>
      </x:c>
      <x:c r="H1432" s="8" t="str">
        <x:v>{
  "item_seq": "199403254",
  "item_name": "듀라티얼즈안연고(무수액체라놀린)",
  "manufacturer": "한국알콘(주)",
  "section_codes": [
    "dosage"
  ]
}</x:v>
      </x:c>
    </x:row>
    <x:row r="1433" ht="54" customHeight="1">
      <x:c r="A1433" s="8" t="str">
        <x:v>gold-medication-e0392fc7273f917c</x:v>
      </x:c>
      <x:c r="B1433" s="8" t="str">
        <x:v>eyak:202001196:precautions:001</x:v>
      </x:c>
      <x:c r="C1433" s="8" t="str">
        <x:v>eyak:202001196:precautions:001
eyak:202001196:precautions:002</x:v>
      </x:c>
      <x:c r="D1433" s="8" t="str">
        <x:v>근거와 함께 답변</x:v>
      </x:c>
      <x:c r="E1433" s="15" t="n">
        <x:v>1431</x:v>
      </x:c>
      <x:c r="F1433" s="8" t="str">
        <x:v>기존 검증 정답</x:v>
      </x:c>
      <x:c r="G1433" s="8" t="str">
        <x:v>https://apis.data.go.kr/1471000/DrbEasyDrugInfoService/getDrbEasyDrugList</x:v>
      </x:c>
      <x:c r="H1433" s="8" t="str">
        <x:v>{
  "item_seq": "202001196",
  "item_name": "마이시딜캡슐",
  "manufacturer": "원광제약(주)",
  "section_codes": [
    "precautions"
  ]
}</x:v>
      </x:c>
    </x:row>
    <x:row r="1434" ht="54" customHeight="1">
      <x:c r="A1434" s="8" t="str">
        <x:v>gold-medication-6cca0501f7eb1d99</x:v>
      </x:c>
      <x:c r="B1434" s="8" t="str">
        <x:v>eyak:201202718:interactions:001</x:v>
      </x:c>
      <x:c r="C1434" s="8" t="str">
        <x:v>eyak:201202718:interactions:001</x:v>
      </x:c>
      <x:c r="D1434" s="8" t="str">
        <x:v>근거와 함께 답변</x:v>
      </x:c>
      <x:c r="E1434" s="15" t="n">
        <x:v>1432</x:v>
      </x:c>
      <x:c r="F1434" s="8" t="str">
        <x:v>기존 검증 정답</x:v>
      </x:c>
      <x:c r="G1434" s="8" t="str">
        <x:v>https://apis.data.go.kr/1471000/DrbEasyDrugInfoService/getDrbEasyDrugList</x:v>
      </x:c>
      <x:c r="H1434" s="8" t="str">
        <x:v>{
  "item_seq": "201202718",
  "item_name": "포인타민정",
  "manufacturer": "삼천당제약(주)",
  "section_codes": [
    "interactions"
  ]
}</x:v>
      </x:c>
    </x:row>
    <x:row r="1435" ht="54" customHeight="1">
      <x:c r="A1435" s="8" t="str">
        <x:v>gold-medication-22beddae9bc95011</x:v>
      </x:c>
      <x:c r="B1435" s="8" t="str">
        <x:v>eyak:201404364:dosage:001</x:v>
      </x:c>
      <x:c r="C1435" s="8" t="str">
        <x:v>eyak:201404364:dosage:001</x:v>
      </x:c>
      <x:c r="D1435" s="8" t="str">
        <x:v>근거와 함께 답변</x:v>
      </x:c>
      <x:c r="E1435" s="15" t="n">
        <x:v>1433</x:v>
      </x:c>
      <x:c r="F1435" s="8" t="str">
        <x:v>기존 검증 정답</x:v>
      </x:c>
      <x:c r="G1435" s="8" t="str">
        <x:v>https://apis.data.go.kr/1471000/DrbEasyDrugInfoService/getDrbEasyDrugList</x:v>
      </x:c>
      <x:c r="H1435" s="8" t="str">
        <x:v>{
  "item_seq": "201404364",
  "item_name": "알피린장용정(아스피린)(수출용)",
  "manufacturer": "(주)제일제약",
  "section_codes": [
    "dosage"
  ]
}</x:v>
      </x:c>
    </x:row>
    <x:row r="1436" ht="54" customHeight="1">
      <x:c r="A1436" s="8" t="str">
        <x:v>gold-medication-2c080ee097812070</x:v>
      </x:c>
      <x:c r="B1436" s="8" t="str">
        <x:v>eyak:202201988:precautions:001</x:v>
      </x:c>
      <x:c r="C1436" s="8" t="str">
        <x:v>eyak:202201988:precautions:001
eyak:202201988:precautions:003
eyak:202201988:precautions:002</x:v>
      </x:c>
      <x:c r="D1436" s="8" t="str">
        <x:v>근거와 함께 답변</x:v>
      </x:c>
      <x:c r="E1436" s="15" t="n">
        <x:v>1434</x:v>
      </x:c>
      <x:c r="F1436" s="8" t="str">
        <x:v>기존 검증 정답</x:v>
      </x:c>
      <x:c r="G1436" s="8" t="str">
        <x:v>https://apis.data.go.kr/1471000/DrbEasyDrugInfoService/getDrbEasyDrugList</x:v>
      </x:c>
      <x:c r="H1436" s="8" t="str">
        <x:v>{
  "item_seq": "202201988",
  "item_name": "락토폴플러스정",
  "manufacturer": "(주)이든파마",
  "section_codes": [
    "precautions"
  ]
}</x:v>
      </x:c>
    </x:row>
    <x:row r="1437" ht="54" customHeight="1">
      <x:c r="A1437" s="8" t="str">
        <x:v>gold-medication-b594a473a1904fdc</x:v>
      </x:c>
      <x:c r="B1437" s="8" t="str">
        <x:v>eyak:199600770:dosage:001</x:v>
      </x:c>
      <x:c r="C1437" s="8" t="str">
        <x:v>eyak:199600770:dosage:001</x:v>
      </x:c>
      <x:c r="D1437" s="8" t="str">
        <x:v>근거와 함께 답변</x:v>
      </x:c>
      <x:c r="E1437" s="15" t="n">
        <x:v>1435</x:v>
      </x:c>
      <x:c r="F1437" s="8" t="str">
        <x:v>기존 검증 정답</x:v>
      </x:c>
      <x:c r="G1437" s="8" t="str">
        <x:v>https://apis.data.go.kr/1471000/DrbEasyDrugInfoService/getDrbEasyDrugList</x:v>
      </x:c>
      <x:c r="H1437" s="8" t="str">
        <x:v>{
  "item_seq": "199600770",
  "item_name": "세토펜정325밀리그램(아세트아미노펜)",
  "manufacturer": "삼아제약(주)",
  "section_codes": [
    "dosage"
  ]
}</x:v>
      </x:c>
    </x:row>
    <x:row r="1438" ht="54" customHeight="1">
      <x:c r="A1438" s="8" t="str">
        <x:v>gold-medication-na-3ede5c6ab9c1ac43</x:v>
      </x:c>
      <x:c r="B1438" s="8" t="str"/>
      <x:c r="C1438" s="8" t="str"/>
      <x:c r="D1438" s="8" t="str">
        <x:v>답변 거부 또는 추가 확인 요청</x:v>
      </x:c>
      <x:c r="E1438" s="15" t="n">
        <x:v>1436</x:v>
      </x:c>
      <x:c r="F1438" s="8" t="str">
        <x:v>답변 거부 기준 문구</x:v>
      </x:c>
      <x:c r="G1438" s="8" t="str">
        <x:v>https://apis.data.go.kr/1471000/DrbEasyDrugInfoService/getDrbEasyDrugList</x:v>
      </x:c>
      <x:c r="H1438" s="8" t="str">
        <x:v>{
  "item_seq": "200201703",
  "item_name": "덱사톱크림(덱사메타손프로피오네이트)",
  "manufacturer": "오스틴제약(주)",
  "section_codes": [
    "precautions",
    "adverse_reactions"
  ]
}</x:v>
      </x:c>
    </x:row>
    <x:row r="1439" ht="54" customHeight="1">
      <x:c r="A1439" s="8" t="str">
        <x:v>gold-medication-na-402cf3af78d81b3f</x:v>
      </x:c>
      <x:c r="B1439" s="8" t="str"/>
      <x:c r="C1439" s="8" t="str"/>
      <x:c r="D1439" s="8" t="str">
        <x:v>답변 거부 또는 추가 확인 요청</x:v>
      </x:c>
      <x:c r="E1439" s="15" t="n">
        <x:v>1437</x:v>
      </x:c>
      <x:c r="F1439" s="8" t="str">
        <x:v>답변 거부 기준 문구</x:v>
      </x:c>
      <x:c r="G1439" s="8" t="str">
        <x:v>https://apis.data.go.kr/1471000/DrbEasyDrugInfoService/getDrbEasyDrugList</x:v>
      </x:c>
      <x:c r="H1439" s="8" t="str">
        <x:v>{
  "item_seq": "201903082",
  "item_name": "현대에르도스테인캡슐",
  "manufacturer": "현대약품(주)",
  "section_codes": [
    "precautions"
  ]
}</x:v>
      </x:c>
    </x:row>
    <x:row r="1440" ht="54" customHeight="1">
      <x:c r="A1440" s="8" t="str">
        <x:v>gold-medication-d4f457bec231261c</x:v>
      </x:c>
      <x:c r="B1440" s="8" t="str">
        <x:v>eyak:201600731:dosage:001</x:v>
      </x:c>
      <x:c r="C1440" s="8" t="str">
        <x:v>eyak:201600731:dosage:001</x:v>
      </x:c>
      <x:c r="D1440" s="8" t="str">
        <x:v>근거와 함께 답변</x:v>
      </x:c>
      <x:c r="E1440" s="15" t="n">
        <x:v>1438</x:v>
      </x:c>
      <x:c r="F1440" s="8" t="str">
        <x:v>기존 검증 정답</x:v>
      </x:c>
      <x:c r="G1440" s="8" t="str">
        <x:v>https://apis.data.go.kr/1471000/DrbEasyDrugInfoService/getDrbEasyDrugList</x:v>
      </x:c>
      <x:c r="H1440" s="8" t="str">
        <x:v>{
  "item_seq": "201600731",
  "item_name": "화콜씨콜드연질캡슐",
  "manufacturer": "제이더블유중외제약(주)",
  "section_codes": [
    "dosage"
  ]
}</x:v>
      </x:c>
    </x:row>
    <x:row r="1441" ht="54" customHeight="1">
      <x:c r="A1441" s="8" t="str">
        <x:v>gold-medication-e064903689a541ea</x:v>
      </x:c>
      <x:c r="B1441" s="8" t="str">
        <x:v>eyak:202400498:dosage:001</x:v>
      </x:c>
      <x:c r="C1441" s="8" t="str">
        <x:v>eyak:202400498:dosage:001</x:v>
      </x:c>
      <x:c r="D1441" s="8" t="str">
        <x:v>근거와 함께 답변</x:v>
      </x:c>
      <x:c r="E1441" s="15" t="n">
        <x:v>1439</x:v>
      </x:c>
      <x:c r="F1441" s="8" t="str">
        <x:v>기존 검증 정답</x:v>
      </x:c>
      <x:c r="G1441" s="8" t="str">
        <x:v>https://apis.data.go.kr/1471000/DrbEasyDrugInfoService/getDrbEasyDrugList</x:v>
      </x:c>
      <x:c r="H1441" s="8" t="str">
        <x:v>{
  "item_seq": "202400498",
  "item_name": "제일톡톡퓨어점안액(카르복시메틸셀룰로오스나트륨)(1회용)",
  "manufacturer": "제일헬스사이언스(주)",
  "section_codes": [
    "dosage"
  ]
}</x:v>
      </x:c>
    </x:row>
    <x:row r="1442" ht="54" customHeight="1">
      <x:c r="A1442" s="8" t="str">
        <x:v>gold-medication-na-42556c5a5a54c240</x:v>
      </x:c>
      <x:c r="B1442" s="8" t="str"/>
      <x:c r="C1442" s="8" t="str"/>
      <x:c r="D1442" s="8" t="str">
        <x:v>답변 거부 또는 추가 확인 요청</x:v>
      </x:c>
      <x:c r="E1442" s="15" t="n">
        <x:v>1440</x:v>
      </x:c>
      <x:c r="F1442" s="8" t="str">
        <x:v>답변 거부 기준 문구</x:v>
      </x:c>
      <x:c r="G1442" s="8" t="str">
        <x:v>https://apis.data.go.kr/1471000/DrbEasyDrugInfoService/getDrbEasyDrugList</x:v>
      </x:c>
      <x:c r="H1442" s="8" t="str">
        <x:v>{
  "item_seq": "201802335",
  "item_name": "젬비오캡슐(엔테로코쿠스페슘스트레인세르넬레68균)",
  "manufacturer": "(주)바스칸바이오제약",
  "section_codes": [
    "efficacy"
  ]
}</x:v>
      </x:c>
    </x:row>
    <x:row r="1443" ht="54" customHeight="1">
      <x:c r="A1443" s="8" t="str">
        <x:v>gold-medication-d087477010cac097</x:v>
      </x:c>
      <x:c r="B1443" s="8" t="str">
        <x:v>eyak:200906877:precautions:002</x:v>
      </x:c>
      <x:c r="C1443" s="8" t="str">
        <x:v>eyak:200906877:precautions:002
eyak:200906877:precautions:001
eyak:200906877:precautions:003
eyak:200906877:precautions:004
eyak:200906877:precautions:005</x:v>
      </x:c>
      <x:c r="D1443" s="8" t="str">
        <x:v>근거와 함께 답변</x:v>
      </x:c>
      <x:c r="E1443" s="15" t="n">
        <x:v>1441</x:v>
      </x:c>
      <x:c r="F1443" s="8" t="str">
        <x:v>기존 검증 정답</x:v>
      </x:c>
      <x:c r="G1443" s="8" t="str">
        <x:v>https://apis.data.go.kr/1471000/DrbEasyDrugInfoService/getDrbEasyDrugList</x:v>
      </x:c>
      <x:c r="H1443" s="8" t="str">
        <x:v>{
  "item_seq": "200906877",
  "item_name": "스트렙실허니앤레몬트로키(플루르비프로펜), 스트렙실오렌지트로키(플루르비프로펜)",
  "manufacturer": "(유)옥시레킷벤키저",
  "section_codes": [
    "precautions"
  ]
}</x:v>
      </x:c>
    </x:row>
    <x:row r="1444" ht="54" customHeight="1">
      <x:c r="A1444" s="8" t="str">
        <x:v>gold-medication-9f007abff78ebc63</x:v>
      </x:c>
      <x:c r="B1444" s="8" t="str">
        <x:v>eyak:200002463:precautions:001</x:v>
      </x:c>
      <x:c r="C1444" s="8" t="str">
        <x:v>eyak:200002463:precautions:001
eyak:200002463:precautions:003
eyak:200002463:precautions:002</x:v>
      </x:c>
      <x:c r="D1444" s="8" t="str">
        <x:v>근거와 함께 답변</x:v>
      </x:c>
      <x:c r="E1444" s="15" t="n">
        <x:v>1442</x:v>
      </x:c>
      <x:c r="F1444" s="8" t="str">
        <x:v>기존 검증 정답</x:v>
      </x:c>
      <x:c r="G1444" s="8" t="str">
        <x:v>https://apis.data.go.kr/1471000/DrbEasyDrugInfoService/getDrbEasyDrugList</x:v>
      </x:c>
      <x:c r="H1444" s="8" t="str">
        <x:v>{
  "item_seq": "200002463",
  "item_name": "베타엠크림",
  "manufacturer": "고려제약(주)",
  "section_codes": [
    "precautions"
  ]
}</x:v>
      </x:c>
    </x:row>
    <x:row r="1445" ht="54" customHeight="1">
      <x:c r="A1445" s="8" t="str">
        <x:v>gold-medication-3f76cb1b2e91282e</x:v>
      </x:c>
      <x:c r="B1445" s="8" t="str">
        <x:v>eyak:201205361:adverse_reactions:001</x:v>
      </x:c>
      <x:c r="C1445" s="8" t="str">
        <x:v>eyak:201205361:adverse_reactions:001</x:v>
      </x:c>
      <x:c r="D1445" s="8" t="str">
        <x:v>근거와 함께 답변</x:v>
      </x:c>
      <x:c r="E1445" s="15" t="n">
        <x:v>1443</x:v>
      </x:c>
      <x:c r="F1445" s="8" t="str">
        <x:v>기존 검증 정답</x:v>
      </x:c>
      <x:c r="G1445" s="8" t="str">
        <x:v>https://apis.data.go.kr/1471000/DrbEasyDrugInfoService/getDrbEasyDrugList</x:v>
      </x:c>
      <x:c r="H1445" s="8" t="str">
        <x:v>{
  "item_seq": "201205361",
  "item_name": "크레온캡슐10000(판크레아스 분말)",
  "manufacturer": "한국애보트(유)",
  "section_codes": [
    "adverse_reactions"
  ]
}</x:v>
      </x:c>
    </x:row>
    <x:row r="1446" ht="54" customHeight="1">
      <x:c r="A1446" s="8" t="str">
        <x:v>gold-medication-9df9fc9d1db8f53d</x:v>
      </x:c>
      <x:c r="B1446" s="8" t="str">
        <x:v>eyak:201507762:dosage:001</x:v>
      </x:c>
      <x:c r="C1446" s="8" t="str">
        <x:v>eyak:201507762:dosage:001</x:v>
      </x:c>
      <x:c r="D1446" s="8" t="str">
        <x:v>근거와 함께 답변</x:v>
      </x:c>
      <x:c r="E1446" s="15" t="n">
        <x:v>1444</x:v>
      </x:c>
      <x:c r="F1446" s="8" t="str">
        <x:v>기존 검증 정답</x:v>
      </x:c>
      <x:c r="G1446" s="8" t="str">
        <x:v>https://apis.data.go.kr/1471000/DrbEasyDrugInfoService/getDrbEasyDrugList</x:v>
      </x:c>
      <x:c r="H1446" s="8" t="str">
        <x:v>{
  "item_seq": "201507762",
  "item_name": "엑세라민엑소정",
  "manufacturer": "일동제약(주)",
  "section_codes": [
    "dosage"
  ]
}</x:v>
      </x:c>
    </x:row>
    <x:row r="1447" ht="54" customHeight="1">
      <x:c r="A1447" s="8" t="str">
        <x:v>gold-medication-na-60a58afdbde9465d</x:v>
      </x:c>
      <x:c r="B1447" s="8" t="str"/>
      <x:c r="C1447" s="8" t="str"/>
      <x:c r="D1447" s="8" t="str">
        <x:v>답변 거부 또는 추가 확인 요청</x:v>
      </x:c>
      <x:c r="E1447" s="15" t="n">
        <x:v>1445</x:v>
      </x:c>
      <x:c r="F1447" s="8" t="str">
        <x:v>답변 거부 기준 문구</x:v>
      </x:c>
      <x:c r="G1447" s="8" t="str">
        <x:v>https://apis.data.go.kr/1471000/DrbEasyDrugInfoService/getDrbEasyDrugList</x:v>
      </x:c>
      <x:c r="H1447" s="8" t="str">
        <x:v>{
  "item_seq": "201803487",
  "item_name": "엘도스테인캡슐(에르도스테인)",
  "manufacturer": "화일약품(주)",
  "section_codes": [
    "precautions"
  ]
}</x:v>
      </x:c>
    </x:row>
    <x:row r="1448" ht="54" customHeight="1">
      <x:c r="A1448" s="8" t="str">
        <x:v>gold-medication-28cc91dca394837b</x:v>
      </x:c>
      <x:c r="B1448" s="8" t="str">
        <x:v>eyak:199501118:interactions:001</x:v>
      </x:c>
      <x:c r="C1448" s="8" t="str">
        <x:v>eyak:199501118:interactions:001</x:v>
      </x:c>
      <x:c r="D1448" s="8" t="str">
        <x:v>근거와 함께 답변</x:v>
      </x:c>
      <x:c r="E1448" s="15" t="n">
        <x:v>1446</x:v>
      </x:c>
      <x:c r="F1448" s="8" t="str">
        <x:v>기존 검증 정답</x:v>
      </x:c>
      <x:c r="G1448" s="8" t="str">
        <x:v>https://apis.data.go.kr/1471000/DrbEasyDrugInfoService/getDrbEasyDrugList</x:v>
      </x:c>
      <x:c r="H1448" s="8" t="str">
        <x:v>{
  "item_seq": "199501118",
  "item_name": "키노랄액(케토코나졸)",
  "manufacturer": "경남제약(주)",
  "section_codes": [
    "interactions"
  ]
}</x:v>
      </x:c>
    </x:row>
    <x:row r="1449" ht="54" customHeight="1">
      <x:c r="A1449" s="8" t="str">
        <x:v>gold-medication-69b7b31555d18be0</x:v>
      </x:c>
      <x:c r="B1449" s="8" t="str">
        <x:v>eyak:202201984:efficacy:001</x:v>
      </x:c>
      <x:c r="C1449" s="8" t="str">
        <x:v>eyak:202201984:efficacy:001</x:v>
      </x:c>
      <x:c r="D1449" s="8" t="str">
        <x:v>근거와 함께 답변</x:v>
      </x:c>
      <x:c r="E1449" s="15" t="n">
        <x:v>1447</x:v>
      </x:c>
      <x:c r="F1449" s="8" t="str">
        <x:v>기존 검증 정답</x:v>
      </x:c>
      <x:c r="G1449" s="8" t="str">
        <x:v>https://apis.data.go.kr/1471000/DrbEasyDrugInfoService/getDrbEasyDrugList</x:v>
      </x:c>
      <x:c r="H1449" s="8" t="str">
        <x:v>{
  "item_seq": "202201984",
  "item_name": "내린다시럽(아세트아미노펜)",
  "manufacturer": "(주)텔콘알에프제약",
  "section_codes": [
    "efficacy"
  ]
}</x:v>
      </x:c>
    </x:row>
    <x:row r="1450" ht="54" customHeight="1">
      <x:c r="A1450" s="8" t="str">
        <x:v>gold-medication-8519cd933c1c6615</x:v>
      </x:c>
      <x:c r="B1450" s="8" t="str">
        <x:v>eyak:200400785:precautions:002</x:v>
      </x:c>
      <x:c r="C1450" s="8" t="str">
        <x:v>eyak:200400785:precautions:002
eyak:200400785:precautions:001
eyak:200400785:precautions:003</x:v>
      </x:c>
      <x:c r="D1450" s="8" t="str">
        <x:v>근거와 함께 답변</x:v>
      </x:c>
      <x:c r="E1450" s="15" t="n">
        <x:v>1448</x:v>
      </x:c>
      <x:c r="F1450" s="8" t="str">
        <x:v>기존 검증 정답</x:v>
      </x:c>
      <x:c r="G1450" s="8" t="str">
        <x:v>https://apis.data.go.kr/1471000/DrbEasyDrugInfoService/getDrbEasyDrugList</x:v>
      </x:c>
      <x:c r="H1450" s="8" t="str">
        <x:v>{
  "item_seq": "200400785",
  "item_name": "다이오친에프정",
  "manufacturer": "삼아제약(주)",
  "section_codes": [
    "precautions"
  ]
}</x:v>
      </x:c>
    </x:row>
    <x:row r="1451" ht="54" customHeight="1">
      <x:c r="A1451" s="8" t="str">
        <x:v>gold-medication-na-5eee9dfb1c907fcd</x:v>
      </x:c>
      <x:c r="B1451" s="8" t="str"/>
      <x:c r="C1451" s="8" t="str"/>
      <x:c r="D1451" s="8" t="str">
        <x:v>답변 거부 또는 추가 확인 요청</x:v>
      </x:c>
      <x:c r="E1451" s="15" t="n">
        <x:v>1449</x:v>
      </x:c>
      <x:c r="F1451" s="8" t="str">
        <x:v>답변 거부 기준 문구</x:v>
      </x:c>
      <x:c r="G1451" s="8" t="str">
        <x:v>https://apis.data.go.kr/1471000/DrbEasyDrugInfoService/getDrbEasyDrugList</x:v>
      </x:c>
      <x:c r="H1451" s="8" t="str">
        <x:v>{
  "item_seq": "199601069",
  "item_name": "발무졸크림(수출용)",
  "manufacturer": "명인제약(주)",
  "section_codes": [
    "efficacy"
  ]
}</x:v>
      </x:c>
    </x:row>
    <x:row r="1452" ht="54" customHeight="1">
      <x:c r="A1452" s="8" t="str">
        <x:v>gold-medication-na-7981ec102a2b701c</x:v>
      </x:c>
      <x:c r="B1452" s="8" t="str"/>
      <x:c r="C1452" s="8" t="str"/>
      <x:c r="D1452" s="8" t="str">
        <x:v>답변 거부 또는 추가 확인 요청</x:v>
      </x:c>
      <x:c r="E1452" s="15" t="n">
        <x:v>1450</x:v>
      </x:c>
      <x:c r="F1452" s="8" t="str">
        <x:v>답변 거부 기준 문구</x:v>
      </x:c>
      <x:c r="G1452" s="8" t="str">
        <x:v>https://apis.data.go.kr/1471000/DrbEasyDrugInfoService/getDrbEasyDrugList</x:v>
      </x:c>
      <x:c r="H1452" s="8" t="str">
        <x:v>{
  "item_seq": "201706490",
  "item_name": "마그엠정(알마게이트)",
  "manufacturer": "(주)마더스제약",
  "section_codes": [
    "dosage"
  ]
}</x:v>
      </x:c>
    </x:row>
    <x:row r="1453" ht="54" customHeight="1">
      <x:c r="A1453" s="8" t="str">
        <x:v>gold-medication-e5e113ece76f2ccd</x:v>
      </x:c>
      <x:c r="B1453" s="8" t="str">
        <x:v>eyak:202001134:adverse_reactions:001</x:v>
      </x:c>
      <x:c r="C1453" s="8" t="str">
        <x:v>eyak:202001134:adverse_reactions:001</x:v>
      </x:c>
      <x:c r="D1453" s="8" t="str">
        <x:v>근거와 함께 답변</x:v>
      </x:c>
      <x:c r="E1453" s="15" t="n">
        <x:v>1451</x:v>
      </x:c>
      <x:c r="F1453" s="8" t="str">
        <x:v>기존 검증 정답</x:v>
      </x:c>
      <x:c r="G1453" s="8" t="str">
        <x:v>https://apis.data.go.kr/1471000/DrbEasyDrugInfoService/getDrbEasyDrugList</x:v>
      </x:c>
      <x:c r="H1453" s="8" t="str">
        <x:v>{
  "item_seq": "202001134",
  "item_name": "벤티브정",
  "manufacturer": "엔비케이제약(주)",
  "section_codes": [
    "adverse_reactions"
  ]
}</x:v>
      </x:c>
    </x:row>
    <x:row r="1454" ht="54" customHeight="1">
      <x:c r="A1454" s="8" t="str">
        <x:v>gold-medication-180aac9a28b2f4a9</x:v>
      </x:c>
      <x:c r="B1454" s="8" t="str">
        <x:v>eyak:202401066:dosage:001</x:v>
      </x:c>
      <x:c r="C1454" s="8" t="str">
        <x:v>eyak:202401066:dosage:001</x:v>
      </x:c>
      <x:c r="D1454" s="8" t="str">
        <x:v>근거와 함께 답변</x:v>
      </x:c>
      <x:c r="E1454" s="15" t="n">
        <x:v>1452</x:v>
      </x:c>
      <x:c r="F1454" s="8" t="str">
        <x:v>기존 검증 정답</x:v>
      </x:c>
      <x:c r="G1454" s="8" t="str">
        <x:v>https://apis.data.go.kr/1471000/DrbEasyDrugInfoService/getDrbEasyDrugList</x:v>
      </x:c>
      <x:c r="H1454" s="8" t="str">
        <x:v>{
  "item_seq": "202401066",
  "item_name": "에카슬림정",
  "manufacturer": "조아제약(주)",
  "section_codes": [
    "dosage"
  ]
}</x:v>
      </x:c>
    </x:row>
    <x:row r="1455" ht="54" customHeight="1">
      <x:c r="A1455" s="8" t="str">
        <x:v>gold-medication-35baf937ab993842</x:v>
      </x:c>
      <x:c r="B1455" s="8" t="str">
        <x:v>eyak:201802564:precautions:001</x:v>
      </x:c>
      <x:c r="C1455" s="8" t="str">
        <x:v>eyak:201802564:precautions:001
eyak:201802564:precautions:003
eyak:201802564:precautions:002
eyak:201802564:precautions:004
eyak:201802564:precautions:005</x:v>
      </x:c>
      <x:c r="D1455" s="8" t="str">
        <x:v>근거와 함께 답변</x:v>
      </x:c>
      <x:c r="E1455" s="15" t="n">
        <x:v>1453</x:v>
      </x:c>
      <x:c r="F1455" s="8" t="str">
        <x:v>기존 검증 정답</x:v>
      </x:c>
      <x:c r="G1455" s="8" t="str">
        <x:v>https://apis.data.go.kr/1471000/DrbEasyDrugInfoService/getDrbEasyDrugList</x:v>
      </x:c>
      <x:c r="H1455" s="8" t="str">
        <x:v>{
  "item_seq": "201802564",
  "item_name": "복합마이녹실액5%",
  "manufacturer": "현대약품(주)",
  "section_codes": [
    "precautions"
  ]
}</x:v>
      </x:c>
    </x:row>
    <x:row r="1456" ht="54" customHeight="1">
      <x:c r="A1456" s="8" t="str">
        <x:v>gold-medication-0cb1a7c1ca5269a4</x:v>
      </x:c>
      <x:c r="B1456" s="8" t="str">
        <x:v>eyak:201309853:efficacy:001</x:v>
      </x:c>
      <x:c r="C1456" s="8" t="str">
        <x:v>eyak:201309853:efficacy:001</x:v>
      </x:c>
      <x:c r="D1456" s="8" t="str">
        <x:v>근거와 함께 답변</x:v>
      </x:c>
      <x:c r="E1456" s="15" t="n">
        <x:v>1454</x:v>
      </x:c>
      <x:c r="F1456" s="8" t="str">
        <x:v>기존 검증 정답</x:v>
      </x:c>
      <x:c r="G1456" s="8" t="str">
        <x:v>https://apis.data.go.kr/1471000/DrbEasyDrugInfoService/getDrbEasyDrugList</x:v>
      </x:c>
      <x:c r="H1456" s="8" t="str">
        <x:v>{
  "item_seq": "201309853",
  "item_name": "엑스콜코프캡슐",
  "manufacturer": "(주)한풍제약",
  "section_codes": [
    "efficacy"
  ]
}</x:v>
      </x:c>
    </x:row>
    <x:row r="1457" ht="54" customHeight="1">
      <x:c r="A1457" s="8" t="str">
        <x:v>gold-medication-75f70aa3574d3b7b</x:v>
      </x:c>
      <x:c r="B1457" s="8" t="str">
        <x:v>eyak:200302728:precautions:002
eyak:200302728:adverse_reactions:003</x:v>
      </x:c>
      <x:c r="C1457" s="8" t="str">
        <x:v>eyak:200302728:precautions:002
eyak:200302728:precautions:001
eyak:200302728:adverse_reactions:003
eyak:200302728:adverse_reactions:002
eyak:200302728:adverse_reactions:004
eyak:200302728:adverse_reactions:001
eyak:200302728:adverse_reactions:005</x:v>
      </x:c>
      <x:c r="D1457" s="8" t="str">
        <x:v>근거와 함께 답변</x:v>
      </x:c>
      <x:c r="E1457" s="15" t="n">
        <x:v>1455</x:v>
      </x:c>
      <x:c r="F1457" s="8" t="str">
        <x:v>기존 검증 정답</x:v>
      </x:c>
      <x:c r="G1457" s="8" t="str">
        <x:v>https://apis.data.go.kr/1471000/DrbEasyDrugInfoService/getDrbEasyDrugList</x:v>
      </x:c>
      <x:c r="H1457" s="8" t="str">
        <x:v>{
  "item_seq": "200302728",
  "item_name": "니타딘정(니자티딘)",
  "manufacturer": "(주)넥스팜코리아",
  "section_codes": [
    "precautions",
    "adverse_reactions"
  ]
}</x:v>
      </x:c>
    </x:row>
    <x:row r="1458" ht="54" customHeight="1">
      <x:c r="A1458" s="8" t="str">
        <x:v>gold-medication-39cef697b3214f7d</x:v>
      </x:c>
      <x:c r="B1458" s="8" t="str">
        <x:v>eyak:200901231:efficacy:001</x:v>
      </x:c>
      <x:c r="C1458" s="8" t="str">
        <x:v>eyak:200901231:efficacy:001</x:v>
      </x:c>
      <x:c r="D1458" s="8" t="str">
        <x:v>근거와 함께 답변</x:v>
      </x:c>
      <x:c r="E1458" s="15" t="n">
        <x:v>1456</x:v>
      </x:c>
      <x:c r="F1458" s="8" t="str">
        <x:v>기존 검증 정답</x:v>
      </x:c>
      <x:c r="G1458" s="8" t="str">
        <x:v>https://apis.data.go.kr/1471000/DrbEasyDrugInfoService/getDrbEasyDrugList</x:v>
      </x:c>
      <x:c r="H1458" s="8" t="str">
        <x:v>{
  "item_seq": "200901231",
  "item_name": "알파우루사연질캡슐",
  "manufacturer": "대웅바이오(주)",
  "section_codes": [
    "efficacy"
  ]
}</x:v>
      </x:c>
    </x:row>
    <x:row r="1459" ht="54" customHeight="1">
      <x:c r="A1459" s="8" t="str">
        <x:v>gold-medication-a4440f8d6fa506f4</x:v>
      </x:c>
      <x:c r="B1459" s="8" t="str">
        <x:v>eyak:202501352:storage:001</x:v>
      </x:c>
      <x:c r="C1459" s="8" t="str">
        <x:v>eyak:202501352:storage:001</x:v>
      </x:c>
      <x:c r="D1459" s="8" t="str">
        <x:v>근거와 함께 답변</x:v>
      </x:c>
      <x:c r="E1459" s="15" t="n">
        <x:v>1457</x:v>
      </x:c>
      <x:c r="F1459" s="8" t="str">
        <x:v>기존 검증 정답</x:v>
      </x:c>
      <x:c r="G1459" s="8" t="str">
        <x:v>https://apis.data.go.kr/1471000/DrbEasyDrugInfoService/getDrbEasyDrugList</x:v>
      </x:c>
      <x:c r="H1459" s="8" t="str">
        <x:v>{
  "item_seq": "202501352",
  "item_name": "챔큐비타시럽",
  "manufacturer": "동아제약(주)",
  "section_codes": [
    "storage"
  ]
}</x:v>
      </x:c>
    </x:row>
    <x:row r="1460" ht="54" customHeight="1">
      <x:c r="A1460" s="8" t="str">
        <x:v>gold-medication-472943c6f83a2a3f</x:v>
      </x:c>
      <x:c r="B1460" s="8" t="str">
        <x:v>eyak:202204125:interactions:001</x:v>
      </x:c>
      <x:c r="C1460" s="8" t="str">
        <x:v>eyak:202204125:interactions:001</x:v>
      </x:c>
      <x:c r="D1460" s="8" t="str">
        <x:v>근거와 함께 답변</x:v>
      </x:c>
      <x:c r="E1460" s="15" t="n">
        <x:v>1458</x:v>
      </x:c>
      <x:c r="F1460" s="8" t="str">
        <x:v>기존 검증 정답</x:v>
      </x:c>
      <x:c r="G1460" s="8" t="str">
        <x:v>https://apis.data.go.kr/1471000/DrbEasyDrugInfoService/getDrbEasyDrugList</x:v>
      </x:c>
      <x:c r="H1460" s="8" t="str">
        <x:v>{
  "item_seq": "202204125",
  "item_name": "비아콘정",
  "manufacturer": "(주)일화",
  "section_codes": [
    "interactions"
  ]
}</x:v>
      </x:c>
    </x:row>
    <x:row r="1461" ht="54" customHeight="1">
      <x:c r="A1461" s="8" t="str">
        <x:v>gold-medication-288f7c7145e89fc3</x:v>
      </x:c>
      <x:c r="B1461" s="8" t="str">
        <x:v>eyak:201905366:adverse_reactions:001</x:v>
      </x:c>
      <x:c r="C1461" s="8" t="str">
        <x:v>eyak:201905366:adverse_reactions:001</x:v>
      </x:c>
      <x:c r="D1461" s="8" t="str">
        <x:v>근거와 함께 답변</x:v>
      </x:c>
      <x:c r="E1461" s="15" t="n">
        <x:v>1459</x:v>
      </x:c>
      <x:c r="F1461" s="8" t="str">
        <x:v>기존 검증 정답</x:v>
      </x:c>
      <x:c r="G1461" s="8" t="str">
        <x:v>https://apis.data.go.kr/1471000/DrbEasyDrugInfoService/getDrbEasyDrugList</x:v>
      </x:c>
      <x:c r="H1461" s="8" t="str">
        <x:v>{
  "item_seq": "201905366",
  "item_name": "엘보스캡슐(에르도스테인)",
  "manufacturer": "삼익제약(주)",
  "section_codes": [
    "adverse_reactions"
  ]
}</x:v>
      </x:c>
    </x:row>
    <x:row r="1462" ht="54" customHeight="1">
      <x:c r="A1462" s="8" t="str">
        <x:v>gold-medication-3681596c5850058b</x:v>
      </x:c>
      <x:c r="B1462" s="8" t="str">
        <x:v>eyak:198301005:precautions:001</x:v>
      </x:c>
      <x:c r="C1462" s="8" t="str">
        <x:v>eyak:198301005:precautions:001</x:v>
      </x:c>
      <x:c r="D1462" s="8" t="str">
        <x:v>근거와 함께 답변</x:v>
      </x:c>
      <x:c r="E1462" s="15" t="n">
        <x:v>1460</x:v>
      </x:c>
      <x:c r="F1462" s="8" t="str">
        <x:v>기존 검증 정답</x:v>
      </x:c>
      <x:c r="G1462" s="8" t="str">
        <x:v>https://apis.data.go.kr/1471000/DrbEasyDrugInfoService/getDrbEasyDrugList</x:v>
      </x:c>
      <x:c r="H1462" s="8" t="str">
        <x:v>{
  "item_seq": "198301005",
  "item_name": "리나치올캡슐500밀리그람(카르보시스테인)(수출명:HyundiolCapsule500Mg)",
  "manufacturer": "현대약품(주)",
  "section_codes": [
    "precautions"
  ]
}</x:v>
      </x:c>
    </x:row>
    <x:row r="1463" ht="54" customHeight="1">
      <x:c r="A1463" s="8" t="str">
        <x:v>gold-medication-e3ce33289d141146</x:v>
      </x:c>
      <x:c r="B1463" s="8" t="str">
        <x:v>eyak:201704845:precautions:002</x:v>
      </x:c>
      <x:c r="C1463" s="8" t="str">
        <x:v>eyak:201704845:precautions:002
eyak:201704845:precautions:001
eyak:201704845:precautions:003</x:v>
      </x:c>
      <x:c r="D1463" s="8" t="str">
        <x:v>근거와 함께 답변</x:v>
      </x:c>
      <x:c r="E1463" s="15" t="n">
        <x:v>1461</x:v>
      </x:c>
      <x:c r="F1463" s="8" t="str">
        <x:v>기존 검증 정답</x:v>
      </x:c>
      <x:c r="G1463" s="8" t="str">
        <x:v>https://apis.data.go.kr/1471000/DrbEasyDrugInfoService/getDrbEasyDrugList</x:v>
      </x:c>
      <x:c r="H1463" s="8" t="str">
        <x:v>{
  "item_seq": "201704845",
  "item_name": "본디칼플러스정",
  "manufacturer": "(주)아이월드제약",
  "section_codes": [
    "precautions"
  ]
}</x:v>
      </x:c>
    </x:row>
    <x:row r="1464" ht="54" customHeight="1">
      <x:c r="A1464" s="8" t="str">
        <x:v>gold-medication-na-4acd6d0fa77d6127</x:v>
      </x:c>
      <x:c r="B1464" s="8" t="str"/>
      <x:c r="C1464" s="8" t="str"/>
      <x:c r="D1464" s="8" t="str">
        <x:v>답변 거부 또는 추가 확인 요청</x:v>
      </x:c>
      <x:c r="E1464" s="15" t="n">
        <x:v>1462</x:v>
      </x:c>
      <x:c r="F1464" s="8" t="str">
        <x:v>답변 거부 기준 문구</x:v>
      </x:c>
      <x:c r="G1464" s="8" t="str">
        <x:v>https://apis.data.go.kr/1471000/DrbEasyDrugInfoService/getDrbEasyDrugList</x:v>
      </x:c>
      <x:c r="H1464" s="8" t="str">
        <x:v>{
  "item_seq": "202501737",
  "item_name": "씨콜드프리미엄정",
  "manufacturer": "(주)대웅제약",
  "section_codes": [
    "warning",
    "precautions"
  ]
}</x:v>
      </x:c>
    </x:row>
    <x:row r="1465" ht="54" customHeight="1">
      <x:c r="A1465" s="8" t="str">
        <x:v>gold-medication-ab5a647c25da3bb9</x:v>
      </x:c>
      <x:c r="B1465" s="8" t="str">
        <x:v>eyak:202300268:dosage:001</x:v>
      </x:c>
      <x:c r="C1465" s="8" t="str">
        <x:v>eyak:202300268:dosage:001</x:v>
      </x:c>
      <x:c r="D1465" s="8" t="str">
        <x:v>근거와 함께 답변</x:v>
      </x:c>
      <x:c r="E1465" s="15" t="n">
        <x:v>1463</x:v>
      </x:c>
      <x:c r="F1465" s="8" t="str">
        <x:v>기존 검증 정답</x:v>
      </x:c>
      <x:c r="G1465" s="8" t="str">
        <x:v>https://apis.data.go.kr/1471000/DrbEasyDrugInfoService/getDrbEasyDrugList</x:v>
      </x:c>
      <x:c r="H1465" s="8" t="str">
        <x:v>{
  "item_seq": "202300268",
  "item_name": "콘드로센정",
  "manufacturer": "주식회사 노바엠헬스케어",
  "section_codes": [
    "dosage"
  ]
}</x:v>
      </x:c>
    </x:row>
    <x:row r="1466" ht="54" customHeight="1">
      <x:c r="A1466" s="8" t="str">
        <x:v>gold-medication-7603b0ac31b4151c</x:v>
      </x:c>
      <x:c r="B1466" s="8" t="str">
        <x:v>eyak:198300343:warning:001
eyak:198300343:precautions:002</x:v>
      </x:c>
      <x:c r="C1466" s="8" t="str">
        <x:v>eyak:198300343:warning:001
eyak:198300343:precautions:002
eyak:198300343:precautions:001
eyak:198300343:precautions:003
eyak:198300343:precautions:004</x:v>
      </x:c>
      <x:c r="D1466" s="8" t="str">
        <x:v>근거와 함께 답변</x:v>
      </x:c>
      <x:c r="E1466" s="15" t="n">
        <x:v>1464</x:v>
      </x:c>
      <x:c r="F1466" s="8" t="str">
        <x:v>기존 검증 정답</x:v>
      </x:c>
      <x:c r="G1466" s="8" t="str">
        <x:v>https://apis.data.go.kr/1471000/DrbEasyDrugInfoService/getDrbEasyDrugList</x:v>
      </x:c>
      <x:c r="H1466" s="8" t="str">
        <x:v>{
  "item_seq": "198300343",
  "item_name": "부루펜정400밀리그램(이부프로펜)",
  "manufacturer": "삼일제약(주)",
  "section_codes": [
    "warning",
    "precautions"
  ]
}</x:v>
      </x:c>
    </x:row>
    <x:row r="1467" ht="54" customHeight="1">
      <x:c r="A1467" s="8" t="str">
        <x:v>gold-medication-93961c43c9cac630</x:v>
      </x:c>
      <x:c r="B1467" s="8" t="str">
        <x:v>eyak:201506547:precautions:002</x:v>
      </x:c>
      <x:c r="C1467" s="8" t="str">
        <x:v>eyak:201506547:precautions:002
eyak:201506547:precautions:001
eyak:201506547:precautions:003</x:v>
      </x:c>
      <x:c r="D1467" s="8" t="str">
        <x:v>근거와 함께 답변</x:v>
      </x:c>
      <x:c r="E1467" s="15" t="n">
        <x:v>1465</x:v>
      </x:c>
      <x:c r="F1467" s="8" t="str">
        <x:v>기존 검증 정답</x:v>
      </x:c>
      <x:c r="G1467" s="8" t="str">
        <x:v>https://apis.data.go.kr/1471000/DrbEasyDrugInfoService/getDrbEasyDrugList</x:v>
      </x:c>
      <x:c r="H1467" s="8" t="str">
        <x:v>{
  "item_seq": "201506547",
  "item_name": "히드론케어로션2.5%(히드로코르티손)",
  "manufacturer": "성원애드콕제약(주)",
  "section_codes": [
    "precautions"
  ]
}</x:v>
      </x:c>
    </x:row>
    <x:row r="1468" ht="54" customHeight="1">
      <x:c r="A1468" s="8" t="str">
        <x:v>gold-medication-2c0d63056b0ba4e7</x:v>
      </x:c>
      <x:c r="B1468" s="8" t="str">
        <x:v>eyak:202400301:adverse_reactions:001</x:v>
      </x:c>
      <x:c r="C1468" s="8" t="str">
        <x:v>eyak:202400301:adverse_reactions:001
eyak:202400301:adverse_reactions:002</x:v>
      </x:c>
      <x:c r="D1468" s="8" t="str">
        <x:v>근거와 함께 답변</x:v>
      </x:c>
      <x:c r="E1468" s="15" t="n">
        <x:v>1466</x:v>
      </x:c>
      <x:c r="F1468" s="8" t="str">
        <x:v>기존 검증 정답</x:v>
      </x:c>
      <x:c r="G1468" s="8" t="str">
        <x:v>https://apis.data.go.kr/1471000/DrbEasyDrugInfoService/getDrbEasyDrugList</x:v>
      </x:c>
      <x:c r="H1468" s="8" t="str">
        <x:v>{
  "item_seq": "202400301",
  "item_name": "동성비타비플러스액",
  "manufacturer": "동성제약(주)",
  "section_codes": [
    "adverse_reactions"
  ]
}</x:v>
      </x:c>
    </x:row>
    <x:row r="1469" ht="54" customHeight="1">
      <x:c r="A1469" s="8" t="str">
        <x:v>gold-medication-4795499a6b2d2e1d</x:v>
      </x:c>
      <x:c r="B1469" s="8" t="str">
        <x:v>eyak:202502043:warning:001
eyak:202502043:precautions:001</x:v>
      </x:c>
      <x:c r="C1469" s="8" t="str">
        <x:v>eyak:202502043:warning:001
eyak:202502043:precautions:001
eyak:202502043:precautions:005
eyak:202502043:precautions:002
eyak:202502043:precautions:004
eyak:202502043:precautions:003</x:v>
      </x:c>
      <x:c r="D1469" s="8" t="str">
        <x:v>근거와 함께 답변</x:v>
      </x:c>
      <x:c r="E1469" s="15" t="n">
        <x:v>1467</x:v>
      </x:c>
      <x:c r="F1469" s="8" t="str">
        <x:v>기존 검증 정답</x:v>
      </x:c>
      <x:c r="G1469" s="8" t="str">
        <x:v>https://apis.data.go.kr/1471000/DrbEasyDrugInfoService/getDrbEasyDrugList</x:v>
      </x:c>
      <x:c r="H1469" s="8" t="str">
        <x:v>{
  "item_seq": "202502043",
  "item_name": "맥시부펜콜드연질캡슐",
  "manufacturer": "한미약품(주)",
  "section_codes": [
    "warning",
    "precautions"
  ]
}</x:v>
      </x:c>
    </x:row>
    <x:row r="1470" ht="54" customHeight="1">
      <x:c r="A1470" s="8" t="str">
        <x:v>gold-medication-18773118bf5cdc49</x:v>
      </x:c>
      <x:c r="B1470" s="8" t="str">
        <x:v>eyak:201604175:precautions:001</x:v>
      </x:c>
      <x:c r="C1470" s="8" t="str">
        <x:v>eyak:201604175:precautions:001</x:v>
      </x:c>
      <x:c r="D1470" s="8" t="str">
        <x:v>근거와 함께 답변</x:v>
      </x:c>
      <x:c r="E1470" s="15" t="n">
        <x:v>1468</x:v>
      </x:c>
      <x:c r="F1470" s="8" t="str">
        <x:v>기존 검증 정답</x:v>
      </x:c>
      <x:c r="G1470" s="8" t="str">
        <x:v>https://apis.data.go.kr/1471000/DrbEasyDrugInfoService/getDrbEasyDrugList</x:v>
      </x:c>
      <x:c r="H1470" s="8" t="str">
        <x:v>{
  "item_seq": "201604175",
  "item_name": "카르틴엘정(엘카르니틴)",
  "manufacturer": "삼남제약(주)",
  "section_codes": [
    "precautions"
  ]
}</x:v>
      </x:c>
    </x:row>
    <x:row r="1471" ht="54" customHeight="1">
      <x:c r="A1471" s="8" t="str">
        <x:v>gold-medication-4016cc9bc7a90166</x:v>
      </x:c>
      <x:c r="B1471" s="8" t="str">
        <x:v>eyak:200511325:efficacy:001</x:v>
      </x:c>
      <x:c r="C1471" s="8" t="str">
        <x:v>eyak:200511325:efficacy:001</x:v>
      </x:c>
      <x:c r="D1471" s="8" t="str">
        <x:v>근거와 함께 답변</x:v>
      </x:c>
      <x:c r="E1471" s="15" t="n">
        <x:v>1469</x:v>
      </x:c>
      <x:c r="F1471" s="8" t="str">
        <x:v>기존 검증 정답</x:v>
      </x:c>
      <x:c r="G1471" s="8" t="str">
        <x:v>https://apis.data.go.kr/1471000/DrbEasyDrugInfoService/getDrbEasyDrugList</x:v>
      </x:c>
      <x:c r="H1471" s="8" t="str">
        <x:v>{
  "item_seq": "200511325",
  "item_name": "노자임캡슐(판크레아틴장용성제피정)",
  "manufacturer": "(주)한국팜비오",
  "section_codes": [
    "efficacy"
  ]
}</x:v>
      </x:c>
    </x:row>
    <x:row r="1472" ht="54" customHeight="1">
      <x:c r="A1472" s="8" t="str">
        <x:v>gold-medication-719306a1ffda1426</x:v>
      </x:c>
      <x:c r="B1472" s="8" t="str">
        <x:v>eyak:202303088:precautions:002</x:v>
      </x:c>
      <x:c r="C1472" s="8" t="str">
        <x:v>eyak:202303088:precautions:002
eyak:202303088:precautions:001
eyak:202303088:precautions:003
eyak:202303088:precautions:004</x:v>
      </x:c>
      <x:c r="D1472" s="8" t="str">
        <x:v>근거와 함께 답변</x:v>
      </x:c>
      <x:c r="E1472" s="15" t="n">
        <x:v>1470</x:v>
      </x:c>
      <x:c r="F1472" s="8" t="str">
        <x:v>기존 검증 정답</x:v>
      </x:c>
      <x:c r="G1472" s="8" t="str">
        <x:v>https://apis.data.go.kr/1471000/DrbEasyDrugInfoService/getDrbEasyDrugList</x:v>
      </x:c>
      <x:c r="H1472" s="8" t="str">
        <x:v>{
  "item_seq": "202303088",
  "item_name": "머슬펜에프정",
  "manufacturer": "한국신텍스제약(주)",
  "section_codes": [
    "precautions"
  ]
}</x:v>
      </x:c>
    </x:row>
    <x:row r="1473" ht="54" customHeight="1">
      <x:c r="A1473" s="8" t="str">
        <x:v>gold-medication-na-e811477b029f4782</x:v>
      </x:c>
      <x:c r="B1473" s="8" t="str"/>
      <x:c r="C1473" s="8" t="str"/>
      <x:c r="D1473" s="8" t="str">
        <x:v>답변 거부 또는 추가 확인 요청</x:v>
      </x:c>
      <x:c r="E1473" s="15" t="n">
        <x:v>1471</x:v>
      </x:c>
      <x:c r="F1473" s="8" t="str">
        <x:v>답변 거부 기준 문구</x:v>
      </x:c>
      <x:c r="G1473" s="8" t="str">
        <x:v>https://apis.data.go.kr/1471000/DrbEasyDrugInfoService/getDrbEasyDrugList</x:v>
      </x:c>
      <x:c r="H1473" s="8" t="str">
        <x:v>{
  "item_seq": "201702024",
  "item_name": "치클리덴탈페이스트",
  "manufacturer": "아이큐어(주)",
  "section_codes": [
    "dosage"
  ]
}</x:v>
      </x:c>
    </x:row>
    <x:row r="1474" ht="54" customHeight="1">
      <x:c r="A1474" s="8" t="str">
        <x:v>gold-medication-423c8ea19d2f8d84</x:v>
      </x:c>
      <x:c r="B1474" s="8" t="str">
        <x:v>eyak:202400026:precautions:001</x:v>
      </x:c>
      <x:c r="C1474" s="8" t="str">
        <x:v>eyak:202400026:precautions:001
eyak:202400026:precautions:002
eyak:202400026:precautions:003
eyak:202400026:precautions:004</x:v>
      </x:c>
      <x:c r="D1474" s="8" t="str">
        <x:v>근거와 함께 답변</x:v>
      </x:c>
      <x:c r="E1474" s="15" t="n">
        <x:v>1472</x:v>
      </x:c>
      <x:c r="F1474" s="8" t="str">
        <x:v>기존 검증 정답</x:v>
      </x:c>
      <x:c r="G1474" s="8" t="str">
        <x:v>https://apis.data.go.kr/1471000/DrbEasyDrugInfoService/getDrbEasyDrugList</x:v>
      </x:c>
      <x:c r="H1474" s="8" t="str">
        <x:v>{
  "item_seq": "202400026",
  "item_name": "이치레스큐플라스타",
  "manufacturer": "(주)한독",
  "section_codes": [
    "precautions"
  ]
}</x:v>
      </x:c>
    </x:row>
    <x:row r="1475" ht="54" customHeight="1">
      <x:c r="A1475" s="8" t="str">
        <x:v>gold-medication-d46f8a8d14631c25</x:v>
      </x:c>
      <x:c r="B1475" s="8" t="str">
        <x:v>eyak:201211096:adverse_reactions:001</x:v>
      </x:c>
      <x:c r="C1475" s="8" t="str">
        <x:v>eyak:201211096:adverse_reactions:001</x:v>
      </x:c>
      <x:c r="D1475" s="8" t="str">
        <x:v>근거와 함께 답변</x:v>
      </x:c>
      <x:c r="E1475" s="15" t="n">
        <x:v>1473</x:v>
      </x:c>
      <x:c r="F1475" s="8" t="str">
        <x:v>기존 검증 정답</x:v>
      </x:c>
      <x:c r="G1475" s="8" t="str">
        <x:v>https://apis.data.go.kr/1471000/DrbEasyDrugInfoService/getDrbEasyDrugList</x:v>
      </x:c>
      <x:c r="H1475" s="8" t="str">
        <x:v>{
  "item_seq": "201211096",
  "item_name": "포탈락산(락티톨수화물)",
  "manufacturer": "(주)유한양행",
  "section_codes": [
    "adverse_reactions"
  ]
}</x:v>
      </x:c>
    </x:row>
    <x:row r="1476" ht="54" customHeight="1">
      <x:c r="A1476" s="8" t="str">
        <x:v>gold-medication-d1e3d9f1ceb08c89</x:v>
      </x:c>
      <x:c r="B1476" s="8" t="str">
        <x:v>eyak:200809204:dosage:001</x:v>
      </x:c>
      <x:c r="C1476" s="8" t="str">
        <x:v>eyak:200809204:dosage:001</x:v>
      </x:c>
      <x:c r="D1476" s="8" t="str">
        <x:v>근거와 함께 답변</x:v>
      </x:c>
      <x:c r="E1476" s="15" t="n">
        <x:v>1474</x:v>
      </x:c>
      <x:c r="F1476" s="8" t="str">
        <x:v>기존 검증 정답</x:v>
      </x:c>
      <x:c r="G1476" s="8" t="str">
        <x:v>https://apis.data.go.kr/1471000/DrbEasyDrugInfoService/getDrbEasyDrugList</x:v>
      </x:c>
      <x:c r="H1476" s="8" t="str">
        <x:v>{
  "item_seq": "200809204",
  "item_name": "구아내정",
  "manufacturer": "(주)한풍제약",
  "section_codes": [
    "dosage"
  ]
}</x:v>
      </x:c>
    </x:row>
    <x:row r="1477" ht="54" customHeight="1">
      <x:c r="A1477" s="8" t="str">
        <x:v>gold-medication-f1d19422e369c92e</x:v>
      </x:c>
      <x:c r="B1477" s="8" t="str">
        <x:v>eyak:200402284:interactions:001</x:v>
      </x:c>
      <x:c r="C1477" s="8" t="str">
        <x:v>eyak:200402284:interactions:001</x:v>
      </x:c>
      <x:c r="D1477" s="8" t="str">
        <x:v>근거와 함께 답변</x:v>
      </x:c>
      <x:c r="E1477" s="15" t="n">
        <x:v>1475</x:v>
      </x:c>
      <x:c r="F1477" s="8" t="str">
        <x:v>기존 검증 정답</x:v>
      </x:c>
      <x:c r="G1477" s="8" t="str">
        <x:v>https://apis.data.go.kr/1471000/DrbEasyDrugInfoService/getDrbEasyDrugList</x:v>
      </x:c>
      <x:c r="H1477" s="8" t="str">
        <x:v>{
  "item_seq": "200402284",
  "item_name": "에도스캡슐(에르도스테인)",
  "manufacturer": "영일제약(주)",
  "section_codes": [
    "interactions"
  ]
}</x:v>
      </x:c>
    </x:row>
    <x:row r="1478" ht="54" customHeight="1">
      <x:c r="A1478" s="8" t="str">
        <x:v>gold-medication-427fa7fece2372c8</x:v>
      </x:c>
      <x:c r="B1478" s="8" t="str">
        <x:v>eyak:201504791:precautions:002</x:v>
      </x:c>
      <x:c r="C1478" s="8" t="str">
        <x:v>eyak:201504791:precautions:002
eyak:201504791:precautions:001
eyak:201504791:precautions:003</x:v>
      </x:c>
      <x:c r="D1478" s="8" t="str">
        <x:v>근거와 함께 답변</x:v>
      </x:c>
      <x:c r="E1478" s="15" t="n">
        <x:v>1476</x:v>
      </x:c>
      <x:c r="F1478" s="8" t="str">
        <x:v>기존 검증 정답</x:v>
      </x:c>
      <x:c r="G1478" s="8" t="str">
        <x:v>https://apis.data.go.kr/1471000/DrbEasyDrugInfoService/getDrbEasyDrugList</x:v>
      </x:c>
      <x:c r="H1478" s="8" t="str">
        <x:v>{
  "item_seq": "201504791",
  "item_name": "메가골드비타정",
  "manufacturer": "(주)한풍제약",
  "section_codes": [
    "precautions"
  ]
}</x:v>
      </x:c>
    </x:row>
    <x:row r="1479" ht="54" customHeight="1">
      <x:c r="A1479" s="8" t="str">
        <x:v>gold-medication-na-a6c0cb382d726e01</x:v>
      </x:c>
      <x:c r="B1479" s="8" t="str"/>
      <x:c r="C1479" s="8" t="str"/>
      <x:c r="D1479" s="8" t="str">
        <x:v>답변 거부 또는 추가 확인 요청</x:v>
      </x:c>
      <x:c r="E1479" s="15" t="n">
        <x:v>1477</x:v>
      </x:c>
      <x:c r="F1479" s="8" t="str">
        <x:v>답변 거부 기준 문구</x:v>
      </x:c>
      <x:c r="G1479" s="8" t="str">
        <x:v>https://apis.data.go.kr/1471000/DrbEasyDrugInfoService/getDrbEasyDrugList</x:v>
      </x:c>
      <x:c r="H1479" s="8" t="str">
        <x:v>{
  "item_seq": "200400550",
  "item_name": "에카씬정",
  "manufacturer": "(주)바이넥스",
  "section_codes": [
    "dosage"
  ]
}</x:v>
      </x:c>
    </x:row>
    <x:row r="1480" ht="54" customHeight="1">
      <x:c r="A1480" s="8" t="str">
        <x:v>gold-medication-2ada1edfb2d98354</x:v>
      </x:c>
      <x:c r="B1480" s="8" t="str">
        <x:v>eyak:202501426:precautions:001</x:v>
      </x:c>
      <x:c r="C1480" s="8" t="str">
        <x:v>eyak:202501426:precautions:001
eyak:202501426:precautions:002</x:v>
      </x:c>
      <x:c r="D1480" s="8" t="str">
        <x:v>근거와 함께 답변</x:v>
      </x:c>
      <x:c r="E1480" s="15" t="n">
        <x:v>1478</x:v>
      </x:c>
      <x:c r="F1480" s="8" t="str">
        <x:v>기존 검증 정답</x:v>
      </x:c>
      <x:c r="G1480" s="8" t="str">
        <x:v>https://apis.data.go.kr/1471000/DrbEasyDrugInfoService/getDrbEasyDrugList</x:v>
      </x:c>
      <x:c r="H1480" s="8" t="str">
        <x:v>{
  "item_seq": "202501426",
  "item_name": "센스온스피드더블액션액",
  "manufacturer": "동국제약(주)",
  "section_codes": [
    "precautions"
  ]
}</x:v>
      </x:c>
    </x:row>
    <x:row r="1481" ht="54" customHeight="1">
      <x:c r="A1481" s="8" t="str">
        <x:v>gold-medication-f6fe5a2bb5bc1a02</x:v>
      </x:c>
      <x:c r="B1481" s="8" t="str">
        <x:v>eyak:200301479:precautions:001</x:v>
      </x:c>
      <x:c r="C1481" s="8" t="str">
        <x:v>eyak:200301479:precautions:001</x:v>
      </x:c>
      <x:c r="D1481" s="8" t="str">
        <x:v>근거와 함께 답변</x:v>
      </x:c>
      <x:c r="E1481" s="15" t="n">
        <x:v>1479</x:v>
      </x:c>
      <x:c r="F1481" s="8" t="str">
        <x:v>기존 검증 정답</x:v>
      </x:c>
      <x:c r="G1481" s="8" t="str">
        <x:v>https://apis.data.go.kr/1471000/DrbEasyDrugInfoService/getDrbEasyDrugList</x:v>
      </x:c>
      <x:c r="H1481" s="8" t="str">
        <x:v>{
  "item_seq": "200301479",
  "item_name": "이벤캡슐",
  "manufacturer": "오스틴제약(주)",
  "section_codes": [
    "precautions"
  ]
}</x:v>
      </x:c>
    </x:row>
    <x:row r="1482" ht="54" customHeight="1">
      <x:c r="A1482" s="8" t="str">
        <x:v>gold-medication-2a5b16e96ba97a1b</x:v>
      </x:c>
      <x:c r="B1482" s="8" t="str">
        <x:v>eyak:200803561:adverse_reactions:001</x:v>
      </x:c>
      <x:c r="C1482" s="8" t="str">
        <x:v>eyak:200803561:adverse_reactions:001</x:v>
      </x:c>
      <x:c r="D1482" s="8" t="str">
        <x:v>근거와 함께 답변</x:v>
      </x:c>
      <x:c r="E1482" s="15" t="n">
        <x:v>1480</x:v>
      </x:c>
      <x:c r="F1482" s="8" t="str">
        <x:v>기존 검증 정답</x:v>
      </x:c>
      <x:c r="G1482" s="8" t="str">
        <x:v>https://apis.data.go.kr/1471000/DrbEasyDrugInfoService/getDrbEasyDrugList</x:v>
      </x:c>
      <x:c r="H1482" s="8" t="str">
        <x:v>{
  "item_seq": "200803561",
  "item_name": "파워씨연질캡슐",
  "manufacturer": "알파제약(주)",
  "section_codes": [
    "adverse_reactions"
  ]
}</x:v>
      </x:c>
    </x:row>
    <x:row r="1483" ht="54" customHeight="1">
      <x:c r="A1483" s="8" t="str">
        <x:v>gold-medication-na-e106d3b4f30dec4b</x:v>
      </x:c>
      <x:c r="B1483" s="8" t="str"/>
      <x:c r="C1483" s="8" t="str"/>
      <x:c r="D1483" s="8" t="str">
        <x:v>답변 거부 또는 추가 확인 요청</x:v>
      </x:c>
      <x:c r="E1483" s="15" t="n">
        <x:v>1481</x:v>
      </x:c>
      <x:c r="F1483" s="8" t="str">
        <x:v>답변 거부 기준 문구</x:v>
      </x:c>
      <x:c r="G1483" s="8" t="str">
        <x:v>https://apis.data.go.kr/1471000/DrbEasyDrugInfoService/getDrbEasyDrugList</x:v>
      </x:c>
      <x:c r="H1483" s="8" t="str">
        <x:v>{
  "item_seq": "200905098",
  "item_name": "이튼돌플러스캡슐",
  "manufacturer": "알파제약(주)",
  "section_codes": [
    "precautions"
  ]
}</x:v>
      </x:c>
    </x:row>
    <x:row r="1484" ht="54" customHeight="1">
      <x:c r="A1484" s="8" t="str">
        <x:v>gold-medication-na-402fc16c92922cf8</x:v>
      </x:c>
      <x:c r="B1484" s="8" t="str"/>
      <x:c r="C1484" s="8" t="str"/>
      <x:c r="D1484" s="8" t="str">
        <x:v>답변 거부 또는 추가 확인 요청</x:v>
      </x:c>
      <x:c r="E1484" s="15" t="n">
        <x:v>1482</x:v>
      </x:c>
      <x:c r="F1484" s="8" t="str">
        <x:v>답변 거부 기준 문구</x:v>
      </x:c>
      <x:c r="G1484" s="8" t="str">
        <x:v>https://apis.data.go.kr/1471000/DrbEasyDrugInfoService/getDrbEasyDrugList</x:v>
      </x:c>
      <x:c r="H1484" s="8" t="str">
        <x:v>{
  "item_seq": "201506543",
  "item_name": "휴스크럽",
  "manufacturer": "(주)휴온스메디텍",
  "section_codes": [
    "adverse_reactions"
  ]
}</x:v>
      </x:c>
    </x:row>
    <x:row r="1485" ht="54" customHeight="1">
      <x:c r="A1485" s="8" t="str">
        <x:v>gold-medication-03e04126390beb1f</x:v>
      </x:c>
      <x:c r="B1485" s="8" t="str">
        <x:v>eyak:201404416:precautions:002</x:v>
      </x:c>
      <x:c r="C1485" s="8" t="str">
        <x:v>eyak:201404416:precautions:002
eyak:201404416:precautions:001</x:v>
      </x:c>
      <x:c r="D1485" s="8" t="str">
        <x:v>근거와 함께 답변</x:v>
      </x:c>
      <x:c r="E1485" s="15" t="n">
        <x:v>1483</x:v>
      </x:c>
      <x:c r="F1485" s="8" t="str">
        <x:v>기존 검증 정답</x:v>
      </x:c>
      <x:c r="G1485" s="8" t="str">
        <x:v>https://apis.data.go.kr/1471000/DrbEasyDrugInfoService/getDrbEasyDrugList</x:v>
      </x:c>
      <x:c r="H1485" s="8" t="str">
        <x:v>{
  "item_seq": "201404416",
  "item_name": "이든알마게이트정",
  "manufacturer": "(주)이든파마",
  "section_codes": [
    "precautions"
  ]
}</x:v>
      </x:c>
    </x:row>
    <x:row r="1486" ht="54" customHeight="1">
      <x:c r="A1486" s="8" t="str">
        <x:v>gold-medication-c40767003e77db56</x:v>
      </x:c>
      <x:c r="B1486" s="8" t="str">
        <x:v>eyak:201707159:efficacy:001</x:v>
      </x:c>
      <x:c r="C1486" s="8" t="str">
        <x:v>eyak:201707159:efficacy:001</x:v>
      </x:c>
      <x:c r="D1486" s="8" t="str">
        <x:v>근거와 함께 답변</x:v>
      </x:c>
      <x:c r="E1486" s="15" t="n">
        <x:v>1484</x:v>
      </x:c>
      <x:c r="F1486" s="8" t="str">
        <x:v>기존 검증 정답</x:v>
      </x:c>
      <x:c r="G1486" s="8" t="str">
        <x:v>https://apis.data.go.kr/1471000/DrbEasyDrugInfoService/getDrbEasyDrugList</x:v>
      </x:c>
      <x:c r="H1486" s="8" t="str">
        <x:v>{
  "item_seq": "201707159",
  "item_name": "큐아크네크림",
  "manufacturer": "광동제약(주)",
  "section_codes": [
    "efficacy"
  ]
}</x:v>
      </x:c>
    </x:row>
    <x:row r="1487" ht="54" customHeight="1">
      <x:c r="A1487" s="8" t="str">
        <x:v>gold-medication-5bbcba3d13c2e5a4</x:v>
      </x:c>
      <x:c r="B1487" s="8" t="str">
        <x:v>eyak:202004088:precautions:002</x:v>
      </x:c>
      <x:c r="C1487" s="8" t="str">
        <x:v>eyak:202004088:precautions:002
eyak:202004088:precautions:001
eyak:202004088:precautions:003</x:v>
      </x:c>
      <x:c r="D1487" s="8" t="str">
        <x:v>근거와 함께 답변</x:v>
      </x:c>
      <x:c r="E1487" s="15" t="n">
        <x:v>1485</x:v>
      </x:c>
      <x:c r="F1487" s="8" t="str">
        <x:v>기존 검증 정답</x:v>
      </x:c>
      <x:c r="G1487" s="8" t="str">
        <x:v>https://apis.data.go.kr/1471000/DrbEasyDrugInfoService/getDrbEasyDrugList</x:v>
      </x:c>
      <x:c r="H1487" s="8" t="str">
        <x:v>{
  "item_seq": "202004088",
  "item_name": "마그페롤플러스연질캡슐",
  "manufacturer": "지엘파마(주)",
  "section_codes": [
    "precautions"
  ]
}</x:v>
      </x:c>
    </x:row>
    <x:row r="1488" ht="54" customHeight="1">
      <x:c r="A1488" s="8" t="str">
        <x:v>gold-medication-na-082797c966152cf6</x:v>
      </x:c>
      <x:c r="B1488" s="8" t="str"/>
      <x:c r="C1488" s="8" t="str"/>
      <x:c r="D1488" s="8" t="str">
        <x:v>답변 거부 또는 추가 확인 요청</x:v>
      </x:c>
      <x:c r="E1488" s="15" t="n">
        <x:v>1486</x:v>
      </x:c>
      <x:c r="F1488" s="8" t="str">
        <x:v>답변 거부 기준 문구</x:v>
      </x:c>
      <x:c r="G1488" s="8" t="str">
        <x:v>https://apis.data.go.kr/1471000/DrbEasyDrugInfoService/getDrbEasyDrugList</x:v>
      </x:c>
      <x:c r="H1488" s="8" t="str">
        <x:v>{
  "item_seq": "201206423",
  "item_name": "디프람스프레이0.3%(벤지다민염산염)",
  "manufacturer": "(주)엔엠제약",
  "section_codes": [
    "precautions",
    "adverse_reactions"
  ]
}</x:v>
      </x:c>
    </x:row>
    <x:row r="1489" ht="54" customHeight="1">
      <x:c r="A1489" s="8" t="str">
        <x:v>gold-medication-d008b7160bacf07e</x:v>
      </x:c>
      <x:c r="B1489" s="8" t="str">
        <x:v>eyak:199601054:efficacy:001</x:v>
      </x:c>
      <x:c r="C1489" s="8" t="str">
        <x:v>eyak:199601054:efficacy:001</x:v>
      </x:c>
      <x:c r="D1489" s="8" t="str">
        <x:v>근거와 함께 답변</x:v>
      </x:c>
      <x:c r="E1489" s="15" t="n">
        <x:v>1487</x:v>
      </x:c>
      <x:c r="F1489" s="8" t="str">
        <x:v>기존 검증 정답</x:v>
      </x:c>
      <x:c r="G1489" s="8" t="str">
        <x:v>https://apis.data.go.kr/1471000/DrbEasyDrugInfoService/getDrbEasyDrugList</x:v>
      </x:c>
      <x:c r="H1489" s="8" t="str">
        <x:v>{
  "item_seq": "199601054",
  "item_name": "쎄실크림",
  "manufacturer": "(주)제뉴파마",
  "section_codes": [
    "efficacy"
  ]
}</x:v>
      </x:c>
    </x:row>
    <x:row r="1490" ht="54" customHeight="1">
      <x:c r="A1490" s="8" t="str">
        <x:v>gold-medication-a96f8a43e2da2b8b</x:v>
      </x:c>
      <x:c r="B1490" s="8" t="str">
        <x:v>eyak:201505604:precautions:002</x:v>
      </x:c>
      <x:c r="C1490" s="8" t="str">
        <x:v>eyak:201505604:precautions:002
eyak:201505604:precautions:001</x:v>
      </x:c>
      <x:c r="D1490" s="8" t="str">
        <x:v>근거와 함께 답변</x:v>
      </x:c>
      <x:c r="E1490" s="15" t="n">
        <x:v>1488</x:v>
      </x:c>
      <x:c r="F1490" s="8" t="str">
        <x:v>기존 검증 정답</x:v>
      </x:c>
      <x:c r="G1490" s="8" t="str">
        <x:v>https://apis.data.go.kr/1471000/DrbEasyDrugInfoService/getDrbEasyDrugList</x:v>
      </x:c>
      <x:c r="H1490" s="8" t="str">
        <x:v>{
  "item_seq": "201505604",
  "item_name": "바시판포르미캡슐(바실루스리케니포르미스균)",
  "manufacturer": "조아제약(주)",
  "section_codes": [
    "precautions"
  ]
}</x:v>
      </x:c>
    </x:row>
    <x:row r="1491" ht="54" customHeight="1">
      <x:c r="A1491" s="8" t="str">
        <x:v>gold-medication-c9d3da7f573c2c25</x:v>
      </x:c>
      <x:c r="B1491" s="8" t="str">
        <x:v>eyak:202101198:precautions:001</x:v>
      </x:c>
      <x:c r="C1491" s="8" t="str">
        <x:v>eyak:202101198:precautions:001
eyak:202101198:precautions:002</x:v>
      </x:c>
      <x:c r="D1491" s="8" t="str">
        <x:v>근거와 함께 답변</x:v>
      </x:c>
      <x:c r="E1491" s="15" t="n">
        <x:v>1489</x:v>
      </x:c>
      <x:c r="F1491" s="8" t="str">
        <x:v>기존 검증 정답</x:v>
      </x:c>
      <x:c r="G1491" s="8" t="str">
        <x:v>https://apis.data.go.kr/1471000/DrbEasyDrugInfoService/getDrbEasyDrugList</x:v>
      </x:c>
      <x:c r="H1491" s="8" t="str">
        <x:v>{
  "item_seq": "202101198",
  "item_name": "이바넨큐액(디클로페낙)",
  "manufacturer": "(주)씨엠지제약",
  "section_codes": [
    "precautions"
  ]
}</x:v>
      </x:c>
    </x:row>
    <x:row r="1492" ht="54" customHeight="1">
      <x:c r="A1492" s="8" t="str">
        <x:v>gold-medication-f2519d804630988f</x:v>
      </x:c>
      <x:c r="B1492" s="8" t="str">
        <x:v>eyak:200004617:dosage:001</x:v>
      </x:c>
      <x:c r="C1492" s="8" t="str">
        <x:v>eyak:200004617:dosage:001</x:v>
      </x:c>
      <x:c r="D1492" s="8" t="str">
        <x:v>근거와 함께 답변</x:v>
      </x:c>
      <x:c r="E1492" s="15" t="n">
        <x:v>1490</x:v>
      </x:c>
      <x:c r="F1492" s="8" t="str">
        <x:v>기존 검증 정답</x:v>
      </x:c>
      <x:c r="G1492" s="8" t="str">
        <x:v>https://apis.data.go.kr/1471000/DrbEasyDrugInfoService/getDrbEasyDrugList</x:v>
      </x:c>
      <x:c r="H1492" s="8" t="str">
        <x:v>{
  "item_seq": "200004617",
  "item_name": "하이눈점안액",
  "manufacturer": "유니메드제약(주)",
  "section_codes": [
    "dosage"
  ]
}</x:v>
      </x:c>
    </x:row>
    <x:row r="1493" ht="54" customHeight="1">
      <x:c r="A1493" s="8" t="str">
        <x:v>gold-medication-d6ec609824ac203a</x:v>
      </x:c>
      <x:c r="B1493" s="8" t="str">
        <x:v>eyak:202002443:dosage:001</x:v>
      </x:c>
      <x:c r="C1493" s="8" t="str">
        <x:v>eyak:202002443:dosage:001</x:v>
      </x:c>
      <x:c r="D1493" s="8" t="str">
        <x:v>근거와 함께 답변</x:v>
      </x:c>
      <x:c r="E1493" s="15" t="n">
        <x:v>1491</x:v>
      </x:c>
      <x:c r="F1493" s="8" t="str">
        <x:v>기존 검증 정답</x:v>
      </x:c>
      <x:c r="G1493" s="8" t="str">
        <x:v>https://apis.data.go.kr/1471000/DrbEasyDrugInfoService/getDrbEasyDrugList</x:v>
      </x:c>
      <x:c r="H1493" s="8" t="str">
        <x:v>{
  "item_seq": "202002443",
  "item_name": "카네스졸플러스크림",
  "manufacturer": "주식회사더유제약",
  "section_codes": [
    "dosage"
  ]
}</x:v>
      </x:c>
    </x:row>
    <x:row r="1494" ht="54" customHeight="1">
      <x:c r="A1494" s="8" t="str">
        <x:v>gold-medication-na-84c9ba76af527f74</x:v>
      </x:c>
      <x:c r="B1494" s="8" t="str"/>
      <x:c r="C1494" s="8" t="str"/>
      <x:c r="D1494" s="8" t="str">
        <x:v>답변 거부 또는 추가 확인 요청</x:v>
      </x:c>
      <x:c r="E1494" s="15" t="n">
        <x:v>1492</x:v>
      </x:c>
      <x:c r="F1494" s="8" t="str">
        <x:v>답변 거부 기준 문구</x:v>
      </x:c>
      <x:c r="G1494" s="8" t="str">
        <x:v>https://apis.data.go.kr/1471000/DrbEasyDrugInfoService/getDrbEasyDrugList</x:v>
      </x:c>
      <x:c r="H1494" s="8" t="str">
        <x:v>{
  "item_seq": "201907883",
  "item_name": "로멜라인장용정(브로멜라인)",
  "manufacturer": "에스케이케미칼(주)",
  "section_codes": [
    "adverse_reactions"
  ]
}</x:v>
      </x:c>
    </x:row>
    <x:row r="1495" ht="54" customHeight="1">
      <x:c r="A1495" s="8" t="str">
        <x:v>gold-medication-94e378b8a1c5124e</x:v>
      </x:c>
      <x:c r="B1495" s="8" t="str">
        <x:v>eyak:202402067:adverse_reactions:001</x:v>
      </x:c>
      <x:c r="C1495" s="8" t="str">
        <x:v>eyak:202402067:adverse_reactions:001</x:v>
      </x:c>
      <x:c r="D1495" s="8" t="str">
        <x:v>근거와 함께 답변</x:v>
      </x:c>
      <x:c r="E1495" s="15" t="n">
        <x:v>1493</x:v>
      </x:c>
      <x:c r="F1495" s="8" t="str">
        <x:v>기존 검증 정답</x:v>
      </x:c>
      <x:c r="G1495" s="8" t="str">
        <x:v>https://apis.data.go.kr/1471000/DrbEasyDrugInfoService/getDrbEasyDrugList</x:v>
      </x:c>
      <x:c r="H1495" s="8" t="str">
        <x:v>{
  "item_seq": "202402067",
  "item_name": "티타노에이연고",
  "manufacturer": "일양약품(주)",
  "section_codes": [
    "adverse_reactions"
  ]
}</x:v>
      </x:c>
    </x:row>
    <x:row r="1496" ht="54" customHeight="1">
      <x:c r="A1496" s="8" t="str">
        <x:v>gold-medication-c30aa4949d7b643a</x:v>
      </x:c>
      <x:c r="B1496" s="8" t="str">
        <x:v>eyak:201907733:adverse_reactions:001</x:v>
      </x:c>
      <x:c r="C1496" s="8" t="str">
        <x:v>eyak:201907733:adverse_reactions:001</x:v>
      </x:c>
      <x:c r="D1496" s="8" t="str">
        <x:v>근거와 함께 답변</x:v>
      </x:c>
      <x:c r="E1496" s="15" t="n">
        <x:v>1494</x:v>
      </x:c>
      <x:c r="F1496" s="8" t="str">
        <x:v>기존 검증 정답</x:v>
      </x:c>
      <x:c r="G1496" s="8" t="str">
        <x:v>https://apis.data.go.kr/1471000/DrbEasyDrugInfoService/getDrbEasyDrugList</x:v>
      </x:c>
      <x:c r="H1496" s="8" t="str">
        <x:v>{
  "item_seq": "201907733",
  "item_name": "동아제약D-판테놀연고",
  "manufacturer": "동아제약(주)",
  "section_codes": [
    "adverse_reactions"
  ]
}</x:v>
      </x:c>
    </x:row>
    <x:row r="1497" ht="54" customHeight="1">
      <x:c r="A1497" s="8" t="str">
        <x:v>gold-medication-b9f58385882883e3</x:v>
      </x:c>
      <x:c r="B1497" s="8" t="str">
        <x:v>eyak:198800043:efficacy:001</x:v>
      </x:c>
      <x:c r="C1497" s="8" t="str">
        <x:v>eyak:198800043:efficacy:001</x:v>
      </x:c>
      <x:c r="D1497" s="8" t="str">
        <x:v>근거와 함께 답변</x:v>
      </x:c>
      <x:c r="E1497" s="15" t="n">
        <x:v>1495</x:v>
      </x:c>
      <x:c r="F1497" s="8" t="str">
        <x:v>기존 검증 정답</x:v>
      </x:c>
      <x:c r="G1497" s="8" t="str">
        <x:v>https://apis.data.go.kr/1471000/DrbEasyDrugInfoService/getDrbEasyDrugList</x:v>
      </x:c>
      <x:c r="H1497" s="8" t="str">
        <x:v>{
  "item_seq": "198800043",
  "item_name": "로시덴겔(피록시캄)",
  "manufacturer": "신풍제약(주)",
  "section_codes": [
    "efficacy"
  ]
}</x:v>
      </x:c>
    </x:row>
    <x:row r="1498" ht="54" customHeight="1">
      <x:c r="A1498" s="8" t="str">
        <x:v>gold-medication-ee2886f13e714b21</x:v>
      </x:c>
      <x:c r="B1498" s="8" t="str">
        <x:v>eyak:201901209:precautions:001</x:v>
      </x:c>
      <x:c r="C1498" s="8" t="str">
        <x:v>eyak:201901209:precautions:001</x:v>
      </x:c>
      <x:c r="D1498" s="8" t="str">
        <x:v>근거와 함께 답변</x:v>
      </x:c>
      <x:c r="E1498" s="15" t="n">
        <x:v>1496</x:v>
      </x:c>
      <x:c r="F1498" s="8" t="str">
        <x:v>기존 검증 정답</x:v>
      </x:c>
      <x:c r="G1498" s="8" t="str">
        <x:v>https://apis.data.go.kr/1471000/DrbEasyDrugInfoService/getDrbEasyDrugList</x:v>
      </x:c>
      <x:c r="H1498" s="8" t="str">
        <x:v>{
  "item_seq": "201901209",
  "item_name": "동성비오틴정",
  "manufacturer": "동성제약(주)",
  "section_codes": [
    "precautions"
  ]
}</x:v>
      </x:c>
    </x:row>
    <x:row r="1499" ht="54" customHeight="1">
      <x:c r="A1499" s="8" t="str">
        <x:v>gold-medication-ea1e32058ea45726</x:v>
      </x:c>
      <x:c r="B1499" s="8" t="str">
        <x:v>eyak:202300165:precautions:001</x:v>
      </x:c>
      <x:c r="C1499" s="8" t="str">
        <x:v>eyak:202300165:precautions:001</x:v>
      </x:c>
      <x:c r="D1499" s="8" t="str">
        <x:v>근거와 함께 답변</x:v>
      </x:c>
      <x:c r="E1499" s="15" t="n">
        <x:v>1497</x:v>
      </x:c>
      <x:c r="F1499" s="8" t="str">
        <x:v>기존 검증 정답</x:v>
      </x:c>
      <x:c r="G1499" s="8" t="str">
        <x:v>https://apis.data.go.kr/1471000/DrbEasyDrugInfoService/getDrbEasyDrugList</x:v>
      </x:c>
      <x:c r="H1499" s="8" t="str">
        <x:v>{
  "item_seq": "202300165",
  "item_name": "판테뉴크림(D-판테놀)",
  "manufacturer": "경남제약(주)",
  "section_codes": [
    "precautions"
  ]
}</x:v>
      </x:c>
    </x:row>
    <x:row r="1500" ht="54" customHeight="1">
      <x:c r="A1500" s="8" t="str">
        <x:v>gold-medication-c22c25df040bf93f</x:v>
      </x:c>
      <x:c r="B1500" s="8" t="str">
        <x:v>eyak:199000708:interactions:001</x:v>
      </x:c>
      <x:c r="C1500" s="8" t="str">
        <x:v>eyak:199000708:interactions:001</x:v>
      </x:c>
      <x:c r="D1500" s="8" t="str">
        <x:v>근거와 함께 답변</x:v>
      </x:c>
      <x:c r="E1500" s="15" t="n">
        <x:v>1498</x:v>
      </x:c>
      <x:c r="F1500" s="8" t="str">
        <x:v>기존 검증 정답</x:v>
      </x:c>
      <x:c r="G1500" s="8" t="str">
        <x:v>https://apis.data.go.kr/1471000/DrbEasyDrugInfoService/getDrbEasyDrugList</x:v>
      </x:c>
      <x:c r="H1500" s="8" t="str">
        <x:v>{
  "item_seq": "199000708",
  "item_name": "씨이멕스연질캡슐",
  "manufacturer": "동화약품(주)",
  "section_codes": [
    "interactions"
  ]
}</x:v>
      </x:c>
    </x:row>
    <x:row r="1501" ht="54" customHeight="1">
      <x:c r="A1501" s="8" t="str">
        <x:v>gold-medication-041ea489828dcbc8</x:v>
      </x:c>
      <x:c r="B1501" s="8" t="str">
        <x:v>eyak:202400708:precautions:001</x:v>
      </x:c>
      <x:c r="C1501" s="8" t="str">
        <x:v>eyak:202400708:precautions:001
eyak:202400708:precautions:002</x:v>
      </x:c>
      <x:c r="D1501" s="8" t="str">
        <x:v>근거와 함께 답변</x:v>
      </x:c>
      <x:c r="E1501" s="15" t="n">
        <x:v>1499</x:v>
      </x:c>
      <x:c r="F1501" s="8" t="str">
        <x:v>기존 검증 정답</x:v>
      </x:c>
      <x:c r="G1501" s="8" t="str">
        <x:v>https://apis.data.go.kr/1471000/DrbEasyDrugInfoService/getDrbEasyDrugList</x:v>
      </x:c>
      <x:c r="H1501" s="8" t="str">
        <x:v>{
  "item_seq": "202400708",
  "item_name": "알레스타정120밀리그램(펙소페나딘염산염)",
  "manufacturer": "(주)유유제약",
  "section_codes": [
    "precautions"
  ]
}</x:v>
      </x:c>
    </x:row>
    <x:row r="1502" ht="54" customHeight="1">
      <x:c r="A1502" s="8" t="str">
        <x:v>gold-medication-0d2a0c4582d58900</x:v>
      </x:c>
      <x:c r="B1502" s="8" t="str">
        <x:v>eyak:202204083:precautions:002</x:v>
      </x:c>
      <x:c r="C1502" s="8" t="str">
        <x:v>eyak:202204083:precautions:002
eyak:202204083:precautions:004
eyak:202204083:precautions:001
eyak:202204083:precautions:003
eyak:202204083:precautions:005</x:v>
      </x:c>
      <x:c r="D1502" s="8" t="str">
        <x:v>근거와 함께 답변</x:v>
      </x:c>
      <x:c r="E1502" s="15" t="n">
        <x:v>1500</x:v>
      </x:c>
      <x:c r="F1502" s="8" t="str">
        <x:v>기존 검증 정답</x:v>
      </x:c>
      <x:c r="G1502" s="8" t="str">
        <x:v>https://apis.data.go.kr/1471000/DrbEasyDrugInfoService/getDrbEasyDrugList</x:v>
      </x:c>
      <x:c r="H1502" s="8" t="str">
        <x:v>{
  "item_seq": "202204083",
  "item_name": "큐어코연질캡슐",
  "manufacturer": "아이큐어(주)",
  "section_codes": [
    "precautions"
  ]
}</x:v>
      </x:c>
    </x:row>
    <x:row r="1503" ht="54" customHeight="1">
      <x:c r="A1503" s="8" t="str">
        <x:v>gold-medication-ac82ce8d98b08c92</x:v>
      </x:c>
      <x:c r="B1503" s="8" t="str">
        <x:v>eyak:201902611:efficacy:001</x:v>
      </x:c>
      <x:c r="C1503" s="8" t="str">
        <x:v>eyak:201902611:efficacy:001</x:v>
      </x:c>
      <x:c r="D1503" s="8" t="str">
        <x:v>근거와 함께 답변</x:v>
      </x:c>
      <x:c r="E1503" s="15" t="n">
        <x:v>1501</x:v>
      </x:c>
      <x:c r="F1503" s="8" t="str">
        <x:v>기존 검증 정답</x:v>
      </x:c>
      <x:c r="G1503" s="8" t="str">
        <x:v>https://apis.data.go.kr/1471000/DrbEasyDrugInfoService/getDrbEasyDrugList</x:v>
      </x:c>
      <x:c r="H1503" s="8" t="str">
        <x:v>{
  "item_seq": "201902611",
  "item_name": "히미팔팔액(L-아스파르트산-L-아르기닌수화물)",
  "manufacturer": "(주)마더스제약",
  "section_codes": [
    "efficacy"
  ]
}</x:v>
      </x:c>
    </x:row>
    <x:row r="1504" ht="54" customHeight="1">
      <x:c r="A1504" s="8" t="str">
        <x:v>gold-medication-c629540b4da48391</x:v>
      </x:c>
      <x:c r="B1504" s="8" t="str">
        <x:v>eyak:201800971:precautions:001</x:v>
      </x:c>
      <x:c r="C1504" s="8" t="str">
        <x:v>eyak:201800971:precautions:001
eyak:201800971:precautions:002
eyak:201800971:precautions:005
eyak:201800971:precautions:003
eyak:201800971:precautions:004
eyak:201800971:precautions:006</x:v>
      </x:c>
      <x:c r="D1504" s="8" t="str">
        <x:v>근거와 함께 답변</x:v>
      </x:c>
      <x:c r="E1504" s="15" t="n">
        <x:v>1502</x:v>
      </x:c>
      <x:c r="F1504" s="8" t="str">
        <x:v>기존 검증 정답</x:v>
      </x:c>
      <x:c r="G1504" s="8" t="str">
        <x:v>https://apis.data.go.kr/1471000/DrbEasyDrugInfoService/getDrbEasyDrugList</x:v>
      </x:c>
      <x:c r="H1504" s="8" t="str">
        <x:v>{
  "item_seq": "201800971",
  "item_name": "미녹시딜바이그루트액5%(미녹시딜)",
  "manufacturer": "태극제약(주)",
  "section_codes": [
    "precautions"
  ]
}</x:v>
      </x:c>
    </x:row>
    <x:row r="1505" ht="54" customHeight="1">
      <x:c r="A1505" s="8" t="str">
        <x:v>gold-medication-63c71e5fe461f999</x:v>
      </x:c>
      <x:c r="B1505" s="8" t="str">
        <x:v>eyak:202001328:precautions:002</x:v>
      </x:c>
      <x:c r="C1505" s="8" t="str">
        <x:v>eyak:202001328:precautions:002
eyak:202001328:precautions:003
eyak:202001328:precautions:001
eyak:202001328:precautions:004</x:v>
      </x:c>
      <x:c r="D1505" s="8" t="str">
        <x:v>근거와 함께 답변</x:v>
      </x:c>
      <x:c r="E1505" s="15" t="n">
        <x:v>1503</x:v>
      </x:c>
      <x:c r="F1505" s="8" t="str">
        <x:v>기존 검증 정답</x:v>
      </x:c>
      <x:c r="G1505" s="8" t="str">
        <x:v>https://apis.data.go.kr/1471000/DrbEasyDrugInfoService/getDrbEasyDrugList</x:v>
      </x:c>
      <x:c r="H1505" s="8" t="str">
        <x:v>{
  "item_seq": "202001328",
  "item_name": "파모탑정(파모티딘)",
  "manufacturer": "동성제약(주)",
  "section_codes": [
    "precautions"
  ]
}</x:v>
      </x:c>
    </x:row>
    <x:row r="1506" ht="54" customHeight="1">
      <x:c r="A1506" s="8" t="str">
        <x:v>gold-medication-201a5a9bdb511b5e</x:v>
      </x:c>
      <x:c r="B1506" s="8" t="str">
        <x:v>eyak:195900034:precautions:001</x:v>
      </x:c>
      <x:c r="C1506" s="8" t="str">
        <x:v>eyak:195900034:precautions:001
eyak:195900034:precautions:002
eyak:195900034:precautions:003
eyak:195900034:precautions:004</x:v>
      </x:c>
      <x:c r="D1506" s="8" t="str">
        <x:v>근거와 함께 답변</x:v>
      </x:c>
      <x:c r="E1506" s="15" t="n">
        <x:v>1504</x:v>
      </x:c>
      <x:c r="F1506" s="8" t="str">
        <x:v>기존 검증 정답</x:v>
      </x:c>
      <x:c r="G1506" s="8" t="str">
        <x:v>https://apis.data.go.kr/1471000/DrbEasyDrugInfoService/getDrbEasyDrugList</x:v>
      </x:c>
      <x:c r="H1506" s="8" t="str">
        <x:v>{
  "item_seq": "195900034",
  "item_name": "신신티눈고(살리실산반창고)(수출명:SINSINCORNPLASTER)",
  "manufacturer": "신신제약(주)",
  "section_codes": [
    "precautions"
  ]
}</x:v>
      </x:c>
    </x:row>
    <x:row r="1507" ht="54" customHeight="1">
      <x:c r="A1507" s="8" t="str">
        <x:v>gold-medication-na-0154afe78d5b9caf</x:v>
      </x:c>
      <x:c r="B1507" s="8" t="str"/>
      <x:c r="C1507" s="8" t="str"/>
      <x:c r="D1507" s="8" t="str">
        <x:v>답변 거부 또는 추가 확인 요청</x:v>
      </x:c>
      <x:c r="E1507" s="15" t="n">
        <x:v>1505</x:v>
      </x:c>
      <x:c r="F1507" s="8" t="str">
        <x:v>답변 거부 기준 문구</x:v>
      </x:c>
      <x:c r="G1507" s="8" t="str">
        <x:v>https://apis.data.go.kr/1471000/DrbEasyDrugInfoService/getDrbEasyDrugList</x:v>
      </x:c>
      <x:c r="H1507" s="8" t="str">
        <x:v>{
  "item_seq": "201305834",
  "item_name": "디프로펜시럽(덱시부프로펜)",
  "manufacturer": "한국유니온제약(주)",
  "section_codes": [
    "efficacy"
  ]
}</x:v>
      </x:c>
    </x:row>
    <x:row r="1508" ht="54" customHeight="1">
      <x:c r="A1508" s="8" t="str">
        <x:v>gold-medication-4ca8f7160bf4acce</x:v>
      </x:c>
      <x:c r="B1508" s="8" t="str">
        <x:v>eyak:201701296:efficacy:001</x:v>
      </x:c>
      <x:c r="C1508" s="8" t="str">
        <x:v>eyak:201701296:efficacy:001</x:v>
      </x:c>
      <x:c r="D1508" s="8" t="str">
        <x:v>근거와 함께 답변</x:v>
      </x:c>
      <x:c r="E1508" s="15" t="n">
        <x:v>1506</x:v>
      </x:c>
      <x:c r="F1508" s="8" t="str">
        <x:v>기존 검증 정답</x:v>
      </x:c>
      <x:c r="G1508" s="8" t="str">
        <x:v>https://apis.data.go.kr/1471000/DrbEasyDrugInfoService/getDrbEasyDrugList</x:v>
      </x:c>
      <x:c r="H1508" s="8" t="str">
        <x:v>{
  "item_seq": "201701296",
  "item_name": "슈락스골드장용정",
  "manufacturer": "영풍제약(주)",
  "section_codes": [
    "efficacy"
  ]
}</x:v>
      </x:c>
    </x:row>
    <x:row r="1509" ht="54" customHeight="1">
      <x:c r="A1509" s="8" t="str">
        <x:v>gold-medication-71abad8134f9a38f</x:v>
      </x:c>
      <x:c r="B1509" s="8" t="str">
        <x:v>eyak:200901795:adverse_reactions:001</x:v>
      </x:c>
      <x:c r="C1509" s="8" t="str">
        <x:v>eyak:200901795:adverse_reactions:001</x:v>
      </x:c>
      <x:c r="D1509" s="8" t="str">
        <x:v>근거와 함께 답변</x:v>
      </x:c>
      <x:c r="E1509" s="15" t="n">
        <x:v>1507</x:v>
      </x:c>
      <x:c r="F1509" s="8" t="str">
        <x:v>기존 검증 정답</x:v>
      </x:c>
      <x:c r="G1509" s="8" t="str">
        <x:v>https://apis.data.go.kr/1471000/DrbEasyDrugInfoService/getDrbEasyDrugList</x:v>
      </x:c>
      <x:c r="H1509" s="8" t="str">
        <x:v>{
  "item_seq": "200901795",
  "item_name": "메디파프쿨카타플라스마(펠비낙)",
  "manufacturer": "조아제약(주)",
  "section_codes": [
    "adverse_reactions"
  ]
}</x:v>
      </x:c>
    </x:row>
    <x:row r="1510" ht="54" customHeight="1">
      <x:c r="A1510" s="8" t="str">
        <x:v>gold-medication-bcc77a85aa2522c4</x:v>
      </x:c>
      <x:c r="B1510" s="8" t="str">
        <x:v>eyak:202301767:adverse_reactions:001</x:v>
      </x:c>
      <x:c r="C1510" s="8" t="str">
        <x:v>eyak:202301767:adverse_reactions:001</x:v>
      </x:c>
      <x:c r="D1510" s="8" t="str">
        <x:v>근거와 함께 답변</x:v>
      </x:c>
      <x:c r="E1510" s="15" t="n">
        <x:v>1508</x:v>
      </x:c>
      <x:c r="F1510" s="8" t="str">
        <x:v>기존 검증 정답</x:v>
      </x:c>
      <x:c r="G1510" s="8" t="str">
        <x:v>https://apis.data.go.kr/1471000/DrbEasyDrugInfoService/getDrbEasyDrugList</x:v>
      </x:c>
      <x:c r="H1510" s="8" t="str">
        <x:v>{
  "item_seq": "202301767",
  "item_name": "휴로코푸시럽(아이비엽30%에탄올건조엑스(5~7.5→1))",
  "manufacturer": "한국휴텍스제약(주)",
  "section_codes": [
    "adverse_reactions"
  ]
}</x:v>
      </x:c>
    </x:row>
    <x:row r="1511" ht="54" customHeight="1">
      <x:c r="A1511" s="8" t="str">
        <x:v>gold-medication-na-ca35040c35f97680</x:v>
      </x:c>
      <x:c r="B1511" s="8" t="str"/>
      <x:c r="C1511" s="8" t="str"/>
      <x:c r="D1511" s="8" t="str">
        <x:v>답변 거부 또는 추가 확인 요청</x:v>
      </x:c>
      <x:c r="E1511" s="15" t="n">
        <x:v>1509</x:v>
      </x:c>
      <x:c r="F1511" s="8" t="str">
        <x:v>답변 거부 기준 문구</x:v>
      </x:c>
      <x:c r="G1511" s="8" t="str">
        <x:v>https://apis.data.go.kr/1471000/DrbEasyDrugInfoService/getDrbEasyDrugList</x:v>
      </x:c>
      <x:c r="H1511" s="8" t="str">
        <x:v>{
  "item_seq": "201405529",
  "item_name": "엔도콜액(시메티콘)",
  "manufacturer": "(주)한국팜비오",
  "section_codes": [
    "adverse_reactions"
  ]
}</x:v>
      </x:c>
    </x:row>
    <x:row r="1512" ht="54" customHeight="1">
      <x:c r="A1512" s="8" t="str">
        <x:v>gold-medication-8c0150066ee12328</x:v>
      </x:c>
      <x:c r="B1512" s="8" t="str">
        <x:v>eyak:199701227:interactions:001</x:v>
      </x:c>
      <x:c r="C1512" s="8" t="str">
        <x:v>eyak:199701227:interactions:001</x:v>
      </x:c>
      <x:c r="D1512" s="8" t="str">
        <x:v>근거와 함께 답변</x:v>
      </x:c>
      <x:c r="E1512" s="15" t="n">
        <x:v>1510</x:v>
      </x:c>
      <x:c r="F1512" s="8" t="str">
        <x:v>기존 검증 정답</x:v>
      </x:c>
      <x:c r="G1512" s="8" t="str">
        <x:v>https://apis.data.go.kr/1471000/DrbEasyDrugInfoService/getDrbEasyDrugList</x:v>
      </x:c>
      <x:c r="H1512" s="8" t="str">
        <x:v>{
  "item_seq": "199701227",
  "item_name": "노타민정(로라타딘)",
  "manufacturer": "안국약품(주)",
  "section_codes": [
    "interactions"
  ]
}</x:v>
      </x:c>
    </x:row>
    <x:row r="1513" ht="54" customHeight="1">
      <x:c r="A1513" s="8" t="str">
        <x:v>gold-medication-5f39e8fa43017f9b</x:v>
      </x:c>
      <x:c r="B1513" s="8" t="str">
        <x:v>eyak:202203581:precautions:001</x:v>
      </x:c>
      <x:c r="C1513" s="8" t="str">
        <x:v>eyak:202203581:precautions:001
eyak:202203581:precautions:002
eyak:202203581:precautions:003</x:v>
      </x:c>
      <x:c r="D1513" s="8" t="str">
        <x:v>근거와 함께 답변</x:v>
      </x:c>
      <x:c r="E1513" s="15" t="n">
        <x:v>1511</x:v>
      </x:c>
      <x:c r="F1513" s="8" t="str">
        <x:v>기존 검증 정답</x:v>
      </x:c>
      <x:c r="G1513" s="8" t="str">
        <x:v>https://apis.data.go.kr/1471000/DrbEasyDrugInfoService/getDrbEasyDrugList</x:v>
      </x:c>
      <x:c r="H1513" s="8" t="str">
        <x:v>{
  "item_seq": "202203581",
  "item_name": "듀오그린큐정",
  "manufacturer": "한국신텍스제약(주)",
  "section_codes": [
    "precautions"
  ]
}</x:v>
      </x:c>
    </x:row>
    <x:row r="1514" ht="54" customHeight="1">
      <x:c r="A1514" s="8" t="str">
        <x:v>gold-medication-8325b196b152234a</x:v>
      </x:c>
      <x:c r="B1514" s="8" t="str">
        <x:v>eyak:202400079:dosage:001</x:v>
      </x:c>
      <x:c r="C1514" s="8" t="str">
        <x:v>eyak:202400079:dosage:001
eyak:202400079:dosage:002</x:v>
      </x:c>
      <x:c r="D1514" s="8" t="str">
        <x:v>근거와 함께 답변</x:v>
      </x:c>
      <x:c r="E1514" s="15" t="n">
        <x:v>1512</x:v>
      </x:c>
      <x:c r="F1514" s="8" t="str">
        <x:v>기존 검증 정답</x:v>
      </x:c>
      <x:c r="G1514" s="8" t="str">
        <x:v>https://apis.data.go.kr/1471000/DrbEasyDrugInfoService/getDrbEasyDrugList</x:v>
      </x:c>
      <x:c r="H1514" s="8" t="str">
        <x:v>{
  "item_seq": "202400079",
  "item_name": "비피알레액(세티리진염산염)",
  "manufacturer": "(주)텔콘알에프제약",
  "section_codes": [
    "dosage"
  ]
}</x:v>
      </x:c>
    </x:row>
    <x:row r="1515" ht="54" customHeight="1">
      <x:c r="A1515" s="8" t="str">
        <x:v>gold-medication-03706ec9b586583c</x:v>
      </x:c>
      <x:c r="B1515" s="8" t="str">
        <x:v>eyak:201906379:storage:001</x:v>
      </x:c>
      <x:c r="C1515" s="8" t="str">
        <x:v>eyak:201906379:storage:001</x:v>
      </x:c>
      <x:c r="D1515" s="8" t="str">
        <x:v>근거와 함께 답변</x:v>
      </x:c>
      <x:c r="E1515" s="15" t="n">
        <x:v>1513</x:v>
      </x:c>
      <x:c r="F1515" s="8" t="str">
        <x:v>기존 검증 정답</x:v>
      </x:c>
      <x:c r="G1515" s="8" t="str">
        <x:v>https://apis.data.go.kr/1471000/DrbEasyDrugInfoService/getDrbEasyDrugList</x:v>
      </x:c>
      <x:c r="H1515" s="8" t="str">
        <x:v>{
  "item_seq": "201906379",
  "item_name": "엘도타인캡슐300밀리그램(에르도스테인)",
  "manufacturer": "주식회사더유제약",
  "section_codes": [
    "storage"
  ]
}</x:v>
      </x:c>
    </x:row>
    <x:row r="1516" ht="54" customHeight="1">
      <x:c r="A1516" s="8" t="str">
        <x:v>gold-medication-84b865a9af19dc98</x:v>
      </x:c>
      <x:c r="B1516" s="8" t="str">
        <x:v>eyak:201001201:warning:001
eyak:201001201:precautions:002</x:v>
      </x:c>
      <x:c r="C1516" s="8" t="str">
        <x:v>eyak:201001201:warning:001
eyak:201001201:warning:002
eyak:201001201:precautions:002
eyak:201001201:precautions:001
eyak:201001201:precautions:003
eyak:201001201:precautions:004</x:v>
      </x:c>
      <x:c r="D1516" s="8" t="str">
        <x:v>근거와 함께 답변</x:v>
      </x:c>
      <x:c r="E1516" s="15" t="n">
        <x:v>1514</x:v>
      </x:c>
      <x:c r="F1516" s="8" t="str">
        <x:v>기존 검증 정답</x:v>
      </x:c>
      <x:c r="G1516" s="8" t="str">
        <x:v>https://apis.data.go.kr/1471000/DrbEasyDrugInfoService/getDrbEasyDrugList</x:v>
      </x:c>
      <x:c r="H1516" s="8" t="str">
        <x:v>{
  "item_seq": "201001201",
  "item_name": "카엘정",
  "manufacturer": "조아제약(주)",
  "section_codes": [
    "warning",
    "precautions"
  ]
}</x:v>
      </x:c>
    </x:row>
    <x:row r="1517" ht="54" customHeight="1">
      <x:c r="A1517" s="8" t="str">
        <x:v>gold-medication-fdde61fa12c36a31</x:v>
      </x:c>
      <x:c r="B1517" s="8" t="str">
        <x:v>eyak:201803438:dosage:001</x:v>
      </x:c>
      <x:c r="C1517" s="8" t="str">
        <x:v>eyak:201803438:dosage:001</x:v>
      </x:c>
      <x:c r="D1517" s="8" t="str">
        <x:v>근거와 함께 답변</x:v>
      </x:c>
      <x:c r="E1517" s="15" t="n">
        <x:v>1515</x:v>
      </x:c>
      <x:c r="F1517" s="8" t="str">
        <x:v>기존 검증 정답</x:v>
      </x:c>
      <x:c r="G1517" s="8" t="str">
        <x:v>https://apis.data.go.kr/1471000/DrbEasyDrugInfoService/getDrbEasyDrugList</x:v>
      </x:c>
      <x:c r="H1517" s="8" t="str">
        <x:v>{
  "item_seq": "201803438",
  "item_name": "라라골드액(L-아스파르트산-L-아르기닌수화물)",
  "manufacturer": "(주)텔콘알에프제약",
  "section_codes": [
    "dosage"
  ]
}</x:v>
      </x:c>
    </x:row>
    <x:row r="1518" ht="54" customHeight="1">
      <x:c r="A1518" s="8" t="str">
        <x:v>gold-medication-na-a0260e5d13a3dc15</x:v>
      </x:c>
      <x:c r="B1518" s="8" t="str"/>
      <x:c r="C1518" s="8" t="str"/>
      <x:c r="D1518" s="8" t="str">
        <x:v>답변 거부 또는 추가 확인 요청</x:v>
      </x:c>
      <x:c r="E1518" s="15" t="n">
        <x:v>1516</x:v>
      </x:c>
      <x:c r="F1518" s="8" t="str">
        <x:v>답변 거부 기준 문구</x:v>
      </x:c>
      <x:c r="G1518" s="8" t="str">
        <x:v>https://apis.data.go.kr/1471000/DrbEasyDrugInfoService/getDrbEasyDrugList</x:v>
      </x:c>
      <x:c r="H1518" s="8" t="str">
        <x:v>{
  "item_seq": "200811440",
  "item_name": "마이딜액3%(미녹시딜)",
  "manufacturer": "제이더블유신약(주)",
  "section_codes": [
    "adverse_reactions"
  ]
}</x:v>
      </x:c>
    </x:row>
    <x:row r="1519" ht="54" customHeight="1">
      <x:c r="A1519" s="8" t="str">
        <x:v>gold-medication-e283a0c2fb95abe8</x:v>
      </x:c>
      <x:c r="B1519" s="8" t="str">
        <x:v>eyak:202106999:storage:001</x:v>
      </x:c>
      <x:c r="C1519" s="8" t="str">
        <x:v>eyak:202106999:storage:001</x:v>
      </x:c>
      <x:c r="D1519" s="8" t="str">
        <x:v>근거와 함께 답변</x:v>
      </x:c>
      <x:c r="E1519" s="15" t="n">
        <x:v>1517</x:v>
      </x:c>
      <x:c r="F1519" s="8" t="str">
        <x:v>기존 검증 정답</x:v>
      </x:c>
      <x:c r="G1519" s="8" t="str">
        <x:v>https://apis.data.go.kr/1471000/DrbEasyDrugInfoService/getDrbEasyDrugList</x:v>
      </x:c>
      <x:c r="H1519" s="8" t="str">
        <x:v>{
  "item_seq": "202106999",
  "item_name": "마그로디안연질캡슐",
  "manufacturer": "(주)서흥",
  "section_codes": [
    "storage"
  ]
}</x:v>
      </x:c>
    </x:row>
    <x:row r="1520" ht="54" customHeight="1">
      <x:c r="A1520" s="8" t="str">
        <x:v>gold-medication-b43e53921c9b45b5</x:v>
      </x:c>
      <x:c r="B1520" s="8" t="str">
        <x:v>eyak:201003177:interactions:001</x:v>
      </x:c>
      <x:c r="C1520" s="8" t="str">
        <x:v>eyak:201003177:interactions:001
eyak:201003177:interactions:002</x:v>
      </x:c>
      <x:c r="D1520" s="8" t="str">
        <x:v>근거와 함께 답변</x:v>
      </x:c>
      <x:c r="E1520" s="15" t="n">
        <x:v>1518</x:v>
      </x:c>
      <x:c r="F1520" s="8" t="str">
        <x:v>기존 검증 정답</x:v>
      </x:c>
      <x:c r="G1520" s="8" t="str">
        <x:v>https://apis.data.go.kr/1471000/DrbEasyDrugInfoService/getDrbEasyDrugList</x:v>
      </x:c>
      <x:c r="H1520" s="8" t="str">
        <x:v>{
  "item_seq": "201003177",
  "item_name": "엑소덤패취(니코틴)(수출명:Exoderm)",
  "manufacturer": "아이큐어(주)",
  "section_codes": [
    "interactions"
  ]
}</x:v>
      </x:c>
    </x:row>
    <x:row r="1521" ht="54" customHeight="1">
      <x:c r="A1521" s="8" t="str">
        <x:v>gold-medication-86716cd47d837348</x:v>
      </x:c>
      <x:c r="B1521" s="8" t="str">
        <x:v>eyak:202204012:interactions:001</x:v>
      </x:c>
      <x:c r="C1521" s="8" t="str">
        <x:v>eyak:202204012:interactions:001</x:v>
      </x:c>
      <x:c r="D1521" s="8" t="str">
        <x:v>근거와 함께 답변</x:v>
      </x:c>
      <x:c r="E1521" s="15" t="n">
        <x:v>1519</x:v>
      </x:c>
      <x:c r="F1521" s="8" t="str">
        <x:v>기존 검증 정답</x:v>
      </x:c>
      <x:c r="G1521" s="8" t="str">
        <x:v>https://apis.data.go.kr/1471000/DrbEasyDrugInfoService/getDrbEasyDrugList</x:v>
      </x:c>
      <x:c r="H1521" s="8" t="str">
        <x:v>{
  "item_seq": "202204012",
  "item_name": "엘패스정(엘카르니틴)",
  "manufacturer": "(주)일화",
  "section_codes": [
    "interactions"
  ]
}</x:v>
      </x:c>
    </x:row>
    <x:row r="1522" ht="54" customHeight="1">
      <x:c r="A1522" s="8" t="str">
        <x:v>gold-medication-2f5b9b3f2ef087db</x:v>
      </x:c>
      <x:c r="B1522" s="8" t="str">
        <x:v>eyak:201903800:precautions:001</x:v>
      </x:c>
      <x:c r="C1522" s="8" t="str">
        <x:v>eyak:201903800:precautions:001
eyak:201903800:precautions:002
eyak:201903800:precautions:003
eyak:201903800:precautions:004</x:v>
      </x:c>
      <x:c r="D1522" s="8" t="str">
        <x:v>근거와 함께 답변</x:v>
      </x:c>
      <x:c r="E1522" s="15" t="n">
        <x:v>1520</x:v>
      </x:c>
      <x:c r="F1522" s="8" t="str">
        <x:v>기존 검증 정답</x:v>
      </x:c>
      <x:c r="G1522" s="8" t="str">
        <x:v>https://apis.data.go.kr/1471000/DrbEasyDrugInfoService/getDrbEasyDrugList</x:v>
      </x:c>
      <x:c r="H1522" s="8" t="str">
        <x:v>{
  "item_seq": "201903800",
  "item_name": "팜플루콜드연질캡슐",
  "manufacturer": "코스맥스파마(주)",
  "section_codes": [
    "precautions"
  ]
}</x:v>
      </x:c>
    </x:row>
    <x:row r="1523" ht="54" customHeight="1">
      <x:c r="A1523" s="8" t="str">
        <x:v>gold-medication-70981421b80f8e60</x:v>
      </x:c>
      <x:c r="B1523" s="8" t="str">
        <x:v>eyak:202108018:interactions:001</x:v>
      </x:c>
      <x:c r="C1523" s="8" t="str">
        <x:v>eyak:202108018:interactions:001</x:v>
      </x:c>
      <x:c r="D1523" s="8" t="str">
        <x:v>근거와 함께 답변</x:v>
      </x:c>
      <x:c r="E1523" s="15" t="n">
        <x:v>1521</x:v>
      </x:c>
      <x:c r="F1523" s="8" t="str">
        <x:v>기존 검증 정답</x:v>
      </x:c>
      <x:c r="G1523" s="8" t="str">
        <x:v>https://apis.data.go.kr/1471000/DrbEasyDrugInfoService/getDrbEasyDrugList</x:v>
      </x:c>
      <x:c r="H1523" s="8" t="str">
        <x:v>{
  "item_seq": "202108018",
  "item_name": "렛잇비프로정",
  "manufacturer": "(주)대웅제약",
  "section_codes": [
    "interactions"
  ]
}</x:v>
      </x:c>
    </x:row>
    <x:row r="1524" ht="54" customHeight="1">
      <x:c r="A1524" s="8" t="str">
        <x:v>gold-medication-76319c48f2a60e54</x:v>
      </x:c>
      <x:c r="B1524" s="8" t="str">
        <x:v>eyak:201803043:efficacy:001</x:v>
      </x:c>
      <x:c r="C1524" s="8" t="str">
        <x:v>eyak:201803043:efficacy:001</x:v>
      </x:c>
      <x:c r="D1524" s="8" t="str">
        <x:v>근거와 함께 답변</x:v>
      </x:c>
      <x:c r="E1524" s="15" t="n">
        <x:v>1522</x:v>
      </x:c>
      <x:c r="F1524" s="8" t="str">
        <x:v>기존 검증 정답</x:v>
      </x:c>
      <x:c r="G1524" s="8" t="str">
        <x:v>https://apis.data.go.kr/1471000/DrbEasyDrugInfoService/getDrbEasyDrugList</x:v>
      </x:c>
      <x:c r="H1524" s="8" t="str">
        <x:v>{
  "item_seq": "201803043",
  "item_name": "이반크린액(폴리크레줄렌액50%)",
  "manufacturer": "조아제약(주)",
  "section_codes": [
    "efficacy"
  ]
}</x:v>
      </x:c>
    </x:row>
    <x:row r="1525" ht="54" customHeight="1">
      <x:c r="A1525" s="8" t="str">
        <x:v>gold-medication-7fbcba424e3736c6</x:v>
      </x:c>
      <x:c r="B1525" s="8" t="str">
        <x:v>eyak:202204621:precautions:002
eyak:202204621:adverse_reactions:001</x:v>
      </x:c>
      <x:c r="C1525" s="8" t="str">
        <x:v>eyak:202204621:precautions:002
eyak:202204621:precautions:001
eyak:202204621:precautions:003
eyak:202204621:adverse_reactions:001
eyak:202204621:adverse_reactions:002</x:v>
      </x:c>
      <x:c r="D1525" s="8" t="str">
        <x:v>근거와 함께 답변</x:v>
      </x:c>
      <x:c r="E1525" s="15" t="n">
        <x:v>1523</x:v>
      </x:c>
      <x:c r="F1525" s="8" t="str">
        <x:v>기존 검증 정답</x:v>
      </x:c>
      <x:c r="G1525" s="8" t="str">
        <x:v>https://apis.data.go.kr/1471000/DrbEasyDrugInfoService/getDrbEasyDrugList</x:v>
      </x:c>
      <x:c r="H1525" s="8" t="str">
        <x:v>{
  "item_seq": "202204621",
  "item_name": "하이타민골드정",
  "manufacturer": "미래바이오제약(주)",
  "section_codes": [
    "precautions",
    "adverse_reactions"
  ]
}</x:v>
      </x:c>
    </x:row>
    <x:row r="1526" ht="54" customHeight="1">
      <x:c r="A1526" s="8" t="str">
        <x:v>gold-medication-2259ffd090819f3c</x:v>
      </x:c>
      <x:c r="B1526" s="8" t="str">
        <x:v>eyak:202201813:efficacy:001</x:v>
      </x:c>
      <x:c r="C1526" s="8" t="str">
        <x:v>eyak:202201813:efficacy:001</x:v>
      </x:c>
      <x:c r="D1526" s="8" t="str">
        <x:v>근거와 함께 답변</x:v>
      </x:c>
      <x:c r="E1526" s="15" t="n">
        <x:v>1524</x:v>
      </x:c>
      <x:c r="F1526" s="8" t="str">
        <x:v>기존 검증 정답</x:v>
      </x:c>
      <x:c r="G1526" s="8" t="str">
        <x:v>https://apis.data.go.kr/1471000/DrbEasyDrugInfoService/getDrbEasyDrugList</x:v>
      </x:c>
      <x:c r="H1526" s="8" t="str">
        <x:v>{
  "item_seq": "202201813",
  "item_name": "베노론디정600밀리그램(디오스민)",
  "manufacturer": "한올바이오파마(주)",
  "section_codes": [
    "efficacy"
  ]
}</x:v>
      </x:c>
    </x:row>
    <x:row r="1527" ht="54" customHeight="1">
      <x:c r="A1527" s="8" t="str">
        <x:v>gold-medication-1cd2fd21cbff047e</x:v>
      </x:c>
      <x:c r="B1527" s="8" t="str">
        <x:v>eyak:199302363:interactions:001</x:v>
      </x:c>
      <x:c r="C1527" s="8" t="str">
        <x:v>eyak:199302363:interactions:001
eyak:199302363:interactions:002</x:v>
      </x:c>
      <x:c r="D1527" s="8" t="str">
        <x:v>근거와 함께 답변</x:v>
      </x:c>
      <x:c r="E1527" s="15" t="n">
        <x:v>1525</x:v>
      </x:c>
      <x:c r="F1527" s="8" t="str">
        <x:v>기존 검증 정답</x:v>
      </x:c>
      <x:c r="G1527" s="8" t="str">
        <x:v>https://apis.data.go.kr/1471000/DrbEasyDrugInfoService/getDrbEasyDrugList</x:v>
      </x:c>
      <x:c r="H1527" s="8" t="str">
        <x:v>{
  "item_seq": "199302363",
  "item_name": "이부서스펜시럽(이부프로펜)",
  "manufacturer": "한미약품(주)",
  "section_codes": [
    "interactions"
  ]
}</x:v>
      </x:c>
    </x:row>
    <x:row r="1528" ht="54" customHeight="1">
      <x:c r="A1528" s="8" t="str">
        <x:v>gold-medication-6dd8f234e4d8511f</x:v>
      </x:c>
      <x:c r="B1528" s="8" t="str">
        <x:v>eyak:198901887:adverse_reactions:001</x:v>
      </x:c>
      <x:c r="C1528" s="8" t="str">
        <x:v>eyak:198901887:adverse_reactions:001</x:v>
      </x:c>
      <x:c r="D1528" s="8" t="str">
        <x:v>근거와 함께 답변</x:v>
      </x:c>
      <x:c r="E1528" s="15" t="n">
        <x:v>1526</x:v>
      </x:c>
      <x:c r="F1528" s="8" t="str">
        <x:v>기존 검증 정답</x:v>
      </x:c>
      <x:c r="G1528" s="8" t="str">
        <x:v>https://apis.data.go.kr/1471000/DrbEasyDrugInfoService/getDrbEasyDrugList</x:v>
      </x:c>
      <x:c r="H1528" s="8" t="str">
        <x:v>{
  "item_seq": "198901887",
  "item_name": "싸이베린정",
  "manufacturer": "미래바이오제약(주)",
  "section_codes": [
    "adverse_reactions"
  ]
}</x:v>
      </x:c>
    </x:row>
    <x:row r="1529" ht="54" customHeight="1">
      <x:c r="A1529" s="8" t="str">
        <x:v>gold-medication-aac405afa5498ab6</x:v>
      </x:c>
      <x:c r="B1529" s="8" t="str">
        <x:v>eyak:200905351:interactions:001</x:v>
      </x:c>
      <x:c r="C1529" s="8" t="str">
        <x:v>eyak:200905351:interactions:001
eyak:200905351:interactions:002
eyak:200905351:interactions:003
eyak:200905351:interactions:004</x:v>
      </x:c>
      <x:c r="D1529" s="8" t="str">
        <x:v>근거와 함께 답변</x:v>
      </x:c>
      <x:c r="E1529" s="15" t="n">
        <x:v>1527</x:v>
      </x:c>
      <x:c r="F1529" s="8" t="str">
        <x:v>기존 검증 정답</x:v>
      </x:c>
      <x:c r="G1529" s="8" t="str">
        <x:v>https://apis.data.go.kr/1471000/DrbEasyDrugInfoService/getDrbEasyDrugList</x:v>
      </x:c>
      <x:c r="H1529" s="8" t="str">
        <x:v>{
  "item_seq": "200905351",
  "item_name": "덱스쿨연질캡슐(덱시부프로펜)",
  "manufacturer": "일양약품(주)",
  "section_codes": [
    "interactions"
  ]
}</x:v>
      </x:c>
    </x:row>
    <x:row r="1530" ht="54" customHeight="1">
      <x:c r="A1530" s="8" t="str">
        <x:v>gold-medication-5bcbac681d94237e</x:v>
      </x:c>
      <x:c r="B1530" s="8" t="str">
        <x:v>eyak:201700259:dosage:001</x:v>
      </x:c>
      <x:c r="C1530" s="8" t="str">
        <x:v>eyak:201700259:dosage:001</x:v>
      </x:c>
      <x:c r="D1530" s="8" t="str">
        <x:v>근거와 함께 답변</x:v>
      </x:c>
      <x:c r="E1530" s="15" t="n">
        <x:v>1528</x:v>
      </x:c>
      <x:c r="F1530" s="8" t="str">
        <x:v>기존 검증 정답</x:v>
      </x:c>
      <x:c r="G1530" s="8" t="str">
        <x:v>https://apis.data.go.kr/1471000/DrbEasyDrugInfoService/getDrbEasyDrugList</x:v>
      </x:c>
      <x:c r="H1530" s="8" t="str">
        <x:v>{
  "item_seq": "201700259",
  "item_name": "애피단정",
  "manufacturer": "유니메드제약(주)",
  "section_codes": [
    "dosage"
  ]
}</x:v>
      </x:c>
    </x:row>
    <x:row r="1531" ht="54" customHeight="1">
      <x:c r="A1531" s="8" t="str">
        <x:v>gold-medication-ed49d03045dad663</x:v>
      </x:c>
      <x:c r="B1531" s="8" t="str">
        <x:v>eyak:198901605:precautions:001</x:v>
      </x:c>
      <x:c r="C1531" s="8" t="str">
        <x:v>eyak:198901605:precautions:001</x:v>
      </x:c>
      <x:c r="D1531" s="8" t="str">
        <x:v>근거와 함께 답변</x:v>
      </x:c>
      <x:c r="E1531" s="15" t="n">
        <x:v>1529</x:v>
      </x:c>
      <x:c r="F1531" s="8" t="str">
        <x:v>기존 검증 정답</x:v>
      </x:c>
      <x:c r="G1531" s="8" t="str">
        <x:v>https://apis.data.go.kr/1471000/DrbEasyDrugInfoService/getDrbEasyDrugList</x:v>
      </x:c>
      <x:c r="H1531" s="8" t="str">
        <x:v>{
  "item_seq": "198901605",
  "item_name": "영일염산암브록솔정",
  "manufacturer": "영일제약(주)",
  "section_codes": [
    "precautions"
  ]
}</x:v>
      </x:c>
    </x:row>
    <x:row r="1532" ht="54" customHeight="1">
      <x:c r="A1532" s="8" t="str">
        <x:v>gold-medication-f44efc6f205d59da</x:v>
      </x:c>
      <x:c r="B1532" s="8" t="str">
        <x:v>eyak:201901012:dosage:001</x:v>
      </x:c>
      <x:c r="C1532" s="8" t="str">
        <x:v>eyak:201901012:dosage:001</x:v>
      </x:c>
      <x:c r="D1532" s="8" t="str">
        <x:v>근거와 함께 답변</x:v>
      </x:c>
      <x:c r="E1532" s="15" t="n">
        <x:v>1530</x:v>
      </x:c>
      <x:c r="F1532" s="8" t="str">
        <x:v>기존 검증 정답</x:v>
      </x:c>
      <x:c r="G1532" s="8" t="str">
        <x:v>https://apis.data.go.kr/1471000/DrbEasyDrugInfoService/getDrbEasyDrugList</x:v>
      </x:c>
      <x:c r="H1532" s="8" t="str">
        <x:v>{
  "item_seq": "201901012",
  "item_name": "그린헥시딘가글액(클로르헥시딘글루콘산염액)",
  "manufacturer": "(주)그린제약",
  "section_codes": [
    "dosage"
  ]
}</x:v>
      </x:c>
    </x:row>
    <x:row r="1533" ht="54" customHeight="1">
      <x:c r="A1533" s="8" t="str">
        <x:v>gold-medication-b67c935f1d6f1a41</x:v>
      </x:c>
      <x:c r="B1533" s="8" t="str">
        <x:v>eyak:201308190:precautions:003</x:v>
      </x:c>
      <x:c r="C1533" s="8" t="str">
        <x:v>eyak:201308190:precautions:003
eyak:201308190:precautions:002
eyak:201308190:precautions:004
eyak:201308190:precautions:001</x:v>
      </x:c>
      <x:c r="D1533" s="8" t="str">
        <x:v>근거와 함께 답변</x:v>
      </x:c>
      <x:c r="E1533" s="15" t="n">
        <x:v>1531</x:v>
      </x:c>
      <x:c r="F1533" s="8" t="str">
        <x:v>기존 검증 정답</x:v>
      </x:c>
      <x:c r="G1533" s="8" t="str">
        <x:v>https://apis.data.go.kr/1471000/DrbEasyDrugInfoService/getDrbEasyDrugList</x:v>
      </x:c>
      <x:c r="H1533" s="8" t="str">
        <x:v>{
  "item_seq": "201308190",
  "item_name": "유리카에스정",
  "manufacturer": "명문제약(주)",
  "section_codes": [
    "precautions"
  ]
}</x:v>
      </x:c>
    </x:row>
    <x:row r="1534" ht="54" customHeight="1">
      <x:c r="A1534" s="8" t="str">
        <x:v>gold-medication-483a922dbf5491ba</x:v>
      </x:c>
      <x:c r="B1534" s="8" t="str">
        <x:v>eyak:200810573:precautions:001</x:v>
      </x:c>
      <x:c r="C1534" s="8" t="str">
        <x:v>eyak:200810573:precautions:001</x:v>
      </x:c>
      <x:c r="D1534" s="8" t="str">
        <x:v>근거와 함께 답변</x:v>
      </x:c>
      <x:c r="E1534" s="15" t="n">
        <x:v>1532</x:v>
      </x:c>
      <x:c r="F1534" s="8" t="str">
        <x:v>기존 검증 정답</x:v>
      </x:c>
      <x:c r="G1534" s="8" t="str">
        <x:v>https://apis.data.go.kr/1471000/DrbEasyDrugInfoService/getDrbEasyDrugList</x:v>
      </x:c>
      <x:c r="H1534" s="8" t="str">
        <x:v>{
  "item_seq": "200810573",
  "item_name": "덱스파놀연고(D-판테놀)",
  "manufacturer": "태극제약(주)",
  "section_codes": [
    "precautions"
  ]
}</x:v>
      </x:c>
    </x:row>
    <x:row r="1535" ht="54" customHeight="1">
      <x:c r="A1535" s="8" t="str">
        <x:v>gold-medication-821f5305a097d48b</x:v>
      </x:c>
      <x:c r="B1535" s="8" t="str">
        <x:v>eyak:198200799:adverse_reactions:001</x:v>
      </x:c>
      <x:c r="C1535" s="8" t="str">
        <x:v>eyak:198200799:adverse_reactions:001</x:v>
      </x:c>
      <x:c r="D1535" s="8" t="str">
        <x:v>근거와 함께 답변</x:v>
      </x:c>
      <x:c r="E1535" s="15" t="n">
        <x:v>1533</x:v>
      </x:c>
      <x:c r="F1535" s="8" t="str">
        <x:v>기존 검증 정답</x:v>
      </x:c>
      <x:c r="G1535" s="8" t="str">
        <x:v>https://apis.data.go.kr/1471000/DrbEasyDrugInfoService/getDrbEasyDrugList</x:v>
      </x:c>
      <x:c r="H1535" s="8" t="str">
        <x:v>{
  "item_seq": "198200799",
  "item_name": "바스포연고",
  "manufacturer": "(주)녹십자",
  "section_codes": [
    "adverse_reactions"
  ]
}</x:v>
      </x:c>
    </x:row>
    <x:row r="1536" ht="54" customHeight="1">
      <x:c r="A1536" s="8" t="str">
        <x:v>gold-medication-b6f95e02b677324b</x:v>
      </x:c>
      <x:c r="B1536" s="8" t="str">
        <x:v>eyak:200803434:precautions:001</x:v>
      </x:c>
      <x:c r="C1536" s="8" t="str">
        <x:v>eyak:200803434:precautions:001</x:v>
      </x:c>
      <x:c r="D1536" s="8" t="str">
        <x:v>근거와 함께 답변</x:v>
      </x:c>
      <x:c r="E1536" s="15" t="n">
        <x:v>1534</x:v>
      </x:c>
      <x:c r="F1536" s="8" t="str">
        <x:v>기존 검증 정답</x:v>
      </x:c>
      <x:c r="G1536" s="8" t="str">
        <x:v>https://apis.data.go.kr/1471000/DrbEasyDrugInfoService/getDrbEasyDrugList</x:v>
      </x:c>
      <x:c r="H1536" s="8" t="str">
        <x:v>{
  "item_seq": "200803434",
  "item_name": "기스톱정(세티리진염산염)",
  "manufacturer": "(주)아이월드제약",
  "section_codes": [
    "precautions"
  ]
}</x:v>
      </x:c>
    </x:row>
    <x:row r="1537" ht="54" customHeight="1">
      <x:c r="A1537" s="8" t="str">
        <x:v>gold-medication-a0e014b76d520eb1</x:v>
      </x:c>
      <x:c r="B1537" s="8" t="str">
        <x:v>eyak:200501224:precautions:001</x:v>
      </x:c>
      <x:c r="C1537" s="8" t="str">
        <x:v>eyak:200501224:precautions:001
eyak:200501224:precautions:002</x:v>
      </x:c>
      <x:c r="D1537" s="8" t="str">
        <x:v>근거와 함께 답변</x:v>
      </x:c>
      <x:c r="E1537" s="15" t="n">
        <x:v>1535</x:v>
      </x:c>
      <x:c r="F1537" s="8" t="str">
        <x:v>기존 검증 정답</x:v>
      </x:c>
      <x:c r="G1537" s="8" t="str">
        <x:v>https://apis.data.go.kr/1471000/DrbEasyDrugInfoService/getDrbEasyDrugList</x:v>
      </x:c>
      <x:c r="H1537" s="8" t="str">
        <x:v>{
  "item_seq": "200501224",
  "item_name": "혈강고카타플라스마",
  "manufacturer": "일양약품(주)",
  "section_codes": [
    "precautions"
  ]
}</x:v>
      </x:c>
    </x:row>
    <x:row r="1538" ht="54" customHeight="1">
      <x:c r="A1538" s="8" t="str">
        <x:v>gold-medication-fb3f3609cf0187f4</x:v>
      </x:c>
      <x:c r="B1538" s="8" t="str">
        <x:v>eyak:199002022:adverse_reactions:001</x:v>
      </x:c>
      <x:c r="C1538" s="8" t="str">
        <x:v>eyak:199002022:adverse_reactions:001</x:v>
      </x:c>
      <x:c r="D1538" s="8" t="str">
        <x:v>근거와 함께 답변</x:v>
      </x:c>
      <x:c r="E1538" s="15" t="n">
        <x:v>1536</x:v>
      </x:c>
      <x:c r="F1538" s="8" t="str">
        <x:v>기존 검증 정답</x:v>
      </x:c>
      <x:c r="G1538" s="8" t="str">
        <x:v>https://apis.data.go.kr/1471000/DrbEasyDrugInfoService/getDrbEasyDrugList</x:v>
      </x:c>
      <x:c r="H1538" s="8" t="str">
        <x:v>{
  "item_seq": "199002022",
  "item_name": "복합엘씨500연질캡슐(수출명:MEGA-NAMIC)(수출용)",
  "manufacturer": "구주제약(주)",
  "section_codes": [
    "adverse_reactions"
  ]
}</x:v>
      </x:c>
    </x:row>
    <x:row r="1539" ht="54" customHeight="1">
      <x:c r="A1539" s="8" t="str">
        <x:v>gold-medication-270b99e1e759070a</x:v>
      </x:c>
      <x:c r="B1539" s="8" t="str">
        <x:v>eyak:200300655:adverse_reactions:002</x:v>
      </x:c>
      <x:c r="C1539" s="8" t="str">
        <x:v>eyak:200300655:adverse_reactions:002
eyak:200300655:adverse_reactions:001</x:v>
      </x:c>
      <x:c r="D1539" s="8" t="str">
        <x:v>근거와 함께 답변</x:v>
      </x:c>
      <x:c r="E1539" s="15" t="n">
        <x:v>1537</x:v>
      </x:c>
      <x:c r="F1539" s="8" t="str">
        <x:v>기존 검증 정답</x:v>
      </x:c>
      <x:c r="G1539" s="8" t="str">
        <x:v>https://apis.data.go.kr/1471000/DrbEasyDrugInfoService/getDrbEasyDrugList</x:v>
      </x:c>
      <x:c r="H1539" s="8" t="str">
        <x:v>{
  "item_seq": "200300655",
  "item_name": "진셀몬에스이정",
  "manufacturer": "영진약품(주)",
  "section_codes": [
    "adverse_reactions"
  ]
}</x:v>
      </x:c>
    </x:row>
    <x:row r="1540" ht="54" customHeight="1">
      <x:c r="A1540" s="8" t="str">
        <x:v>gold-medication-31df64170aabc3c3</x:v>
      </x:c>
      <x:c r="B1540" s="8" t="str">
        <x:v>eyak:201905600:precautions:001
eyak:201905600:adverse_reactions:001</x:v>
      </x:c>
      <x:c r="C1540" s="8" t="str">
        <x:v>eyak:201905600:precautions:001
eyak:201905600:adverse_reactions:001</x:v>
      </x:c>
      <x:c r="D1540" s="8" t="str">
        <x:v>근거와 함께 답변</x:v>
      </x:c>
      <x:c r="E1540" s="15" t="n">
        <x:v>1538</x:v>
      </x:c>
      <x:c r="F1540" s="8" t="str">
        <x:v>기존 검증 정답</x:v>
      </x:c>
      <x:c r="G1540" s="8" t="str">
        <x:v>https://apis.data.go.kr/1471000/DrbEasyDrugInfoService/getDrbEasyDrugList</x:v>
      </x:c>
      <x:c r="H1540" s="8" t="str">
        <x:v>{
  "item_seq": "201905600",
  "item_name": "뮤코린캡슐200밀리그램(아세틸시스테인)",
  "manufacturer": "한국신텍스제약(주)",
  "section_codes": [
    "precautions",
    "adverse_reactions"
  ]
}</x:v>
      </x:c>
    </x:row>
    <x:row r="1541" ht="54" customHeight="1">
      <x:c r="A1541" s="8" t="str">
        <x:v>gold-medication-na-601cf8d082f57f84</x:v>
      </x:c>
      <x:c r="B1541" s="8" t="str"/>
      <x:c r="C1541" s="8" t="str"/>
      <x:c r="D1541" s="8" t="str">
        <x:v>답변 거부 또는 추가 확인 요청</x:v>
      </x:c>
      <x:c r="E1541" s="15" t="n">
        <x:v>1539</x:v>
      </x:c>
      <x:c r="F1541" s="8" t="str">
        <x:v>답변 거부 기준 문구</x:v>
      </x:c>
      <x:c r="G1541" s="8" t="str">
        <x:v>https://apis.data.go.kr/1471000/DrbEasyDrugInfoService/getDrbEasyDrugList</x:v>
      </x:c>
      <x:c r="H1541" s="8" t="str">
        <x:v>{
  "item_seq": "199806775",
  "item_name": "멘소래담로션(Mentholatumlotion)",
  "manufacturer": "맨소래덤아시아퍼시픽 주식회사",
  "section_codes": [
    "adverse_reactions"
  ]
}</x:v>
      </x:c>
    </x:row>
    <x:row r="1542" ht="54" customHeight="1">
      <x:c r="A1542" s="8" t="str">
        <x:v>gold-medication-68cd06aabc9b20e1</x:v>
      </x:c>
      <x:c r="B1542" s="8" t="str">
        <x:v>eyak:198902101:dosage:001</x:v>
      </x:c>
      <x:c r="C1542" s="8" t="str">
        <x:v>eyak:198902101:dosage:001</x:v>
      </x:c>
      <x:c r="D1542" s="8" t="str">
        <x:v>근거와 함께 답변</x:v>
      </x:c>
      <x:c r="E1542" s="15" t="n">
        <x:v>1540</x:v>
      </x:c>
      <x:c r="F1542" s="8" t="str">
        <x:v>기존 검증 정답</x:v>
      </x:c>
      <x:c r="G1542" s="8" t="str">
        <x:v>https://apis.data.go.kr/1471000/DrbEasyDrugInfoService/getDrbEasyDrugList</x:v>
      </x:c>
      <x:c r="H1542" s="8" t="str">
        <x:v>{
  "item_seq": "198902101",
  "item_name": "레보시톤연질캡슐(엘-시스틴)",
  "manufacturer": "영풍제약(주)",
  "section_codes": [
    "dosage"
  ]
}</x:v>
      </x:c>
    </x:row>
    <x:row r="1543" ht="54" customHeight="1">
      <x:c r="A1543" s="8" t="str">
        <x:v>gold-medication-a0cbd40a8413da1f</x:v>
      </x:c>
      <x:c r="B1543" s="8" t="str">
        <x:v>eyak:202302128:adverse_reactions:001</x:v>
      </x:c>
      <x:c r="C1543" s="8" t="str">
        <x:v>eyak:202302128:adverse_reactions:001</x:v>
      </x:c>
      <x:c r="D1543" s="8" t="str">
        <x:v>근거와 함께 답변</x:v>
      </x:c>
      <x:c r="E1543" s="15" t="n">
        <x:v>1541</x:v>
      </x:c>
      <x:c r="F1543" s="8" t="str">
        <x:v>기존 검증 정답</x:v>
      </x:c>
      <x:c r="G1543" s="8" t="str">
        <x:v>https://apis.data.go.kr/1471000/DrbEasyDrugInfoService/getDrbEasyDrugList</x:v>
      </x:c>
      <x:c r="H1543" s="8" t="str">
        <x:v>{
  "item_seq": "202302128",
  "item_name": "마그포에이드연질캡슐",
  "manufacturer": "동방에프티엘(주)",
  "section_codes": [
    "adverse_reactions"
  ]
}</x:v>
      </x:c>
    </x:row>
    <x:row r="1544" ht="54" customHeight="1">
      <x:c r="A1544" s="8" t="str">
        <x:v>gold-medication-bc067d22b24c868b</x:v>
      </x:c>
      <x:c r="B1544" s="8" t="str">
        <x:v>eyak:201309432:efficacy:001</x:v>
      </x:c>
      <x:c r="C1544" s="8" t="str">
        <x:v>eyak:201309432:efficacy:001</x:v>
      </x:c>
      <x:c r="D1544" s="8" t="str">
        <x:v>근거와 함께 답변</x:v>
      </x:c>
      <x:c r="E1544" s="15" t="n">
        <x:v>1542</x:v>
      </x:c>
      <x:c r="F1544" s="8" t="str">
        <x:v>기존 검증 정답</x:v>
      </x:c>
      <x:c r="G1544" s="8" t="str">
        <x:v>https://apis.data.go.kr/1471000/DrbEasyDrugInfoService/getDrbEasyDrugList</x:v>
      </x:c>
      <x:c r="H1544" s="8" t="str">
        <x:v>{
  "item_seq": "201309432",
  "item_name": "기감탕노즈액",
  "manufacturer": "한국신텍스제약(주)",
  "section_codes": [
    "efficacy"
  ]
}</x:v>
      </x:c>
    </x:row>
    <x:row r="1545" ht="54" customHeight="1">
      <x:c r="A1545" s="8" t="str">
        <x:v>gold-medication-b75e21e3e53a6de5</x:v>
      </x:c>
      <x:c r="B1545" s="8" t="str">
        <x:v>eyak:198901021:adverse_reactions:001</x:v>
      </x:c>
      <x:c r="C1545" s="8" t="str">
        <x:v>eyak:198901021:adverse_reactions:001</x:v>
      </x:c>
      <x:c r="D1545" s="8" t="str">
        <x:v>근거와 함께 답변</x:v>
      </x:c>
      <x:c r="E1545" s="15" t="n">
        <x:v>1543</x:v>
      </x:c>
      <x:c r="F1545" s="8" t="str">
        <x:v>기존 검증 정답</x:v>
      </x:c>
      <x:c r="G1545" s="8" t="str">
        <x:v>https://apis.data.go.kr/1471000/DrbEasyDrugInfoService/getDrbEasyDrugList</x:v>
      </x:c>
      <x:c r="H1545" s="8" t="str">
        <x:v>{
  "item_seq": "198901021",
  "item_name": "뮤코스텐캡슐200밀리그램(아세틸시스테인)",
  "manufacturer": "(주)메디카코리아",
  "section_codes": [
    "adverse_reactions"
  ]
}</x:v>
      </x:c>
    </x:row>
    <x:row r="1546" ht="54" customHeight="1">
      <x:c r="A1546" s="8" t="str">
        <x:v>gold-medication-f9149d6949d8343d</x:v>
      </x:c>
      <x:c r="B1546" s="8" t="str">
        <x:v>eyak:202004950:efficacy:001</x:v>
      </x:c>
      <x:c r="C1546" s="8" t="str">
        <x:v>eyak:202004950:efficacy:001</x:v>
      </x:c>
      <x:c r="D1546" s="8" t="str">
        <x:v>근거와 함께 답변</x:v>
      </x:c>
      <x:c r="E1546" s="15" t="n">
        <x:v>1544</x:v>
      </x:c>
      <x:c r="F1546" s="8" t="str">
        <x:v>기존 검증 정답</x:v>
      </x:c>
      <x:c r="G1546" s="8" t="str">
        <x:v>https://apis.data.go.kr/1471000/DrbEasyDrugInfoService/getDrbEasyDrugList</x:v>
      </x:c>
      <x:c r="H1546" s="8" t="str">
        <x:v>{
  "item_seq": "202004950",
  "item_name": "케프로텍카타플라스마(케토프로펜)",
  "manufacturer": "현대약품(주)",
  "section_codes": [
    "efficacy"
  ]
}</x:v>
      </x:c>
    </x:row>
    <x:row r="1547" ht="54" customHeight="1">
      <x:c r="A1547" s="8" t="str">
        <x:v>gold-medication-na-44466456f9761a4b</x:v>
      </x:c>
      <x:c r="B1547" s="8" t="str"/>
      <x:c r="C1547" s="8" t="str"/>
      <x:c r="D1547" s="8" t="str">
        <x:v>답변 거부 또는 추가 확인 요청</x:v>
      </x:c>
      <x:c r="E1547" s="15" t="n">
        <x:v>1545</x:v>
      </x:c>
      <x:c r="F1547" s="8" t="str">
        <x:v>답변 거부 기준 문구</x:v>
      </x:c>
      <x:c r="G1547" s="8" t="str">
        <x:v>https://apis.data.go.kr/1471000/DrbEasyDrugInfoService/getDrbEasyDrugList</x:v>
      </x:c>
      <x:c r="H1547" s="8" t="str">
        <x:v>{
  "item_seq": "202501467",
  "item_name": "다비슬림정",
  "manufacturer": "(주)씨엠지제약",
  "section_codes": [
    "precautions"
  ]
}</x:v>
      </x:c>
    </x:row>
    <x:row r="1548" ht="54" customHeight="1">
      <x:c r="A1548" s="8" t="str">
        <x:v>gold-medication-5d8585f34cd885fa</x:v>
      </x:c>
      <x:c r="B1548" s="8" t="str">
        <x:v>eyak:199100632:storage:001</x:v>
      </x:c>
      <x:c r="C1548" s="8" t="str">
        <x:v>eyak:199100632:storage:001</x:v>
      </x:c>
      <x:c r="D1548" s="8" t="str">
        <x:v>근거와 함께 답변</x:v>
      </x:c>
      <x:c r="E1548" s="15" t="n">
        <x:v>1546</x:v>
      </x:c>
      <x:c r="F1548" s="8" t="str">
        <x:v>기존 검증 정답</x:v>
      </x:c>
      <x:c r="G1548" s="8" t="str">
        <x:v>https://apis.data.go.kr/1471000/DrbEasyDrugInfoService/getDrbEasyDrugList</x:v>
      </x:c>
      <x:c r="H1548" s="8" t="str">
        <x:v>{
  "item_seq": "199100632",
  "item_name": "튜란트캡슐100밀리그램(아세틸시스테인)",
  "manufacturer": "코오롱제약(주)",
  "section_codes": [
    "storage"
  ]
}</x:v>
      </x:c>
    </x:row>
    <x:row r="1549" ht="54" customHeight="1">
      <x:c r="A1549" s="8" t="str">
        <x:v>gold-medication-b0fe66e262b78053</x:v>
      </x:c>
      <x:c r="B1549" s="8" t="str">
        <x:v>eyak:200200886:efficacy:001</x:v>
      </x:c>
      <x:c r="C1549" s="8" t="str">
        <x:v>eyak:200200886:efficacy:001
eyak:200200886:efficacy:002</x:v>
      </x:c>
      <x:c r="D1549" s="8" t="str">
        <x:v>근거와 함께 답변</x:v>
      </x:c>
      <x:c r="E1549" s="15" t="n">
        <x:v>1547</x:v>
      </x:c>
      <x:c r="F1549" s="8" t="str">
        <x:v>기존 검증 정답</x:v>
      </x:c>
      <x:c r="G1549" s="8" t="str">
        <x:v>https://apis.data.go.kr/1471000/DrbEasyDrugInfoService/getDrbEasyDrugList</x:v>
      </x:c>
      <x:c r="H1549" s="8" t="str">
        <x:v>{
  "item_seq": "200200886",
  "item_name": "벤타손연고(무피로신)",
  "manufacturer": "(주)제뉴파마",
  "section_codes": [
    "efficacy"
  ]
}</x:v>
      </x:c>
    </x:row>
    <x:row r="1550" ht="54" customHeight="1">
      <x:c r="A1550" s="8" t="str">
        <x:v>gold-medication-db518c67ae8a7635</x:v>
      </x:c>
      <x:c r="B1550" s="8" t="str">
        <x:v>eyak:201902982:precautions:002</x:v>
      </x:c>
      <x:c r="C1550" s="8" t="str">
        <x:v>eyak:201902982:precautions:002
eyak:201902982:precautions:004
eyak:201902982:precautions:001
eyak:201902982:precautions:003
eyak:201902982:precautions:005</x:v>
      </x:c>
      <x:c r="D1550" s="8" t="str">
        <x:v>근거와 함께 답변</x:v>
      </x:c>
      <x:c r="E1550" s="15" t="n">
        <x:v>1548</x:v>
      </x:c>
      <x:c r="F1550" s="8" t="str">
        <x:v>기존 검증 정답</x:v>
      </x:c>
      <x:c r="G1550" s="8" t="str">
        <x:v>https://apis.data.go.kr/1471000/DrbEasyDrugInfoService/getDrbEasyDrugList</x:v>
      </x:c>
      <x:c r="H1550" s="8" t="str">
        <x:v>{
  "item_seq": "201902982",
  "item_name": "덱스원큐연질캡슐(덱시부프로펜)",
  "manufacturer": "동아제약(주)",
  "section_codes": [
    "precautions"
  ]
}</x:v>
      </x:c>
    </x:row>
    <x:row r="1551" ht="54" customHeight="1">
      <x:c r="A1551" s="8" t="str">
        <x:v>gold-medication-0977498b079b9afc</x:v>
      </x:c>
      <x:c r="B1551" s="8" t="str">
        <x:v>eyak:202402457:interactions:001</x:v>
      </x:c>
      <x:c r="C1551" s="8" t="str">
        <x:v>eyak:202402457:interactions:001</x:v>
      </x:c>
      <x:c r="D1551" s="8" t="str">
        <x:v>근거와 함께 답변</x:v>
      </x:c>
      <x:c r="E1551" s="15" t="n">
        <x:v>1549</x:v>
      </x:c>
      <x:c r="F1551" s="8" t="str">
        <x:v>기존 검증 정답</x:v>
      </x:c>
      <x:c r="G1551" s="8" t="str">
        <x:v>https://apis.data.go.kr/1471000/DrbEasyDrugInfoService/getDrbEasyDrugList</x:v>
      </x:c>
      <x:c r="H1551" s="8" t="str">
        <x:v>{
  "item_seq": "202402457",
  "item_name": "이지엔6에이스정(아세트아미노펜)",
  "manufacturer": "(주)대웅제약",
  "section_codes": [
    "interactions"
  ]
}</x:v>
      </x:c>
    </x:row>
    <x:row r="1552" ht="54" customHeight="1">
      <x:c r="A1552" s="8" t="str">
        <x:v>gold-medication-e6cc66caa5610b58</x:v>
      </x:c>
      <x:c r="B1552" s="8" t="str">
        <x:v>eyak:201309612:interactions:001</x:v>
      </x:c>
      <x:c r="C1552" s="8" t="str">
        <x:v>eyak:201309612:interactions:001</x:v>
      </x:c>
      <x:c r="D1552" s="8" t="str">
        <x:v>근거와 함께 답변</x:v>
      </x:c>
      <x:c r="E1552" s="15" t="n">
        <x:v>1550</x:v>
      </x:c>
      <x:c r="F1552" s="8" t="str">
        <x:v>기존 검증 정답</x:v>
      </x:c>
      <x:c r="G1552" s="8" t="str">
        <x:v>https://apis.data.go.kr/1471000/DrbEasyDrugInfoService/getDrbEasyDrugList</x:v>
      </x:c>
      <x:c r="H1552" s="8" t="str">
        <x:v>{
  "item_seq": "201309612",
  "item_name": "메가트루골드정",
  "manufacturer": "(주)유한양행",
  "section_codes": [
    "interactions"
  ]
}</x:v>
      </x:c>
    </x:row>
    <x:row r="1553" ht="54" customHeight="1">
      <x:c r="A1553" s="8" t="str">
        <x:v>gold-medication-1131415fe659df00</x:v>
      </x:c>
      <x:c r="B1553" s="8" t="str">
        <x:v>eyak:200101554:precautions:002</x:v>
      </x:c>
      <x:c r="C1553" s="8" t="str">
        <x:v>eyak:200101554:precautions:002
eyak:200101554:precautions:003
eyak:200101554:precautions:001
eyak:200101554:precautions:004</x:v>
      </x:c>
      <x:c r="D1553" s="8" t="str">
        <x:v>근거와 함께 답변</x:v>
      </x:c>
      <x:c r="E1553" s="15" t="n">
        <x:v>1551</x:v>
      </x:c>
      <x:c r="F1553" s="8" t="str">
        <x:v>기존 검증 정답</x:v>
      </x:c>
      <x:c r="G1553" s="8" t="str">
        <x:v>https://apis.data.go.kr/1471000/DrbEasyDrugInfoService/getDrbEasyDrugList</x:v>
      </x:c>
      <x:c r="H1553" s="8" t="str">
        <x:v>{
  "item_seq": "200101554",
  "item_name": "화인코프에이캡슐",
  "manufacturer": "삼진제약(주)",
  "section_codes": [
    "precautions"
  ]
}</x:v>
      </x:c>
    </x:row>
    <x:row r="1554" ht="54" customHeight="1">
      <x:c r="A1554" s="8" t="str">
        <x:v>gold-medication-7e7a834fc12d7c61</x:v>
      </x:c>
      <x:c r="B1554" s="8" t="str">
        <x:v>eyak:200606621:efficacy:001</x:v>
      </x:c>
      <x:c r="C1554" s="8" t="str">
        <x:v>eyak:200606621:efficacy:001
eyak:200606621:efficacy:002</x:v>
      </x:c>
      <x:c r="D1554" s="8" t="str">
        <x:v>근거와 함께 답변</x:v>
      </x:c>
      <x:c r="E1554" s="15" t="n">
        <x:v>1552</x:v>
      </x:c>
      <x:c r="F1554" s="8" t="str">
        <x:v>기존 검증 정답</x:v>
      </x:c>
      <x:c r="G1554" s="8" t="str">
        <x:v>https://apis.data.go.kr/1471000/DrbEasyDrugInfoService/getDrbEasyDrugList</x:v>
      </x:c>
      <x:c r="H1554" s="8" t="str">
        <x:v>{
  "item_seq": "200606621",
  "item_name": "박테로신연고(무피로신)(수출명: KM MUPIROCIN Oint)",
  "manufacturer": "주식회사제뉴원사이언스",
  "section_codes": [
    "efficacy"
  ]
}</x:v>
      </x:c>
    </x:row>
    <x:row r="1555" ht="54" customHeight="1">
      <x:c r="A1555" s="8" t="str">
        <x:v>gold-medication-2292ea1e8aed05a7</x:v>
      </x:c>
      <x:c r="B1555" s="8" t="str">
        <x:v>eyak:200403642:dosage:001</x:v>
      </x:c>
      <x:c r="C1555" s="8" t="str">
        <x:v>eyak:200403642:dosage:001</x:v>
      </x:c>
      <x:c r="D1555" s="8" t="str">
        <x:v>근거와 함께 답변</x:v>
      </x:c>
      <x:c r="E1555" s="15" t="n">
        <x:v>1553</x:v>
      </x:c>
      <x:c r="F1555" s="8" t="str">
        <x:v>기존 검증 정답</x:v>
      </x:c>
      <x:c r="G1555" s="8" t="str">
        <x:v>https://apis.data.go.kr/1471000/DrbEasyDrugInfoService/getDrbEasyDrugList</x:v>
      </x:c>
      <x:c r="H1555" s="8" t="str">
        <x:v>{
  "item_seq": "200403642",
  "item_name": "두캅스에이연질캡슐",
  "manufacturer": "(주)알피바이오",
  "section_codes": [
    "dosage"
  ]
}</x:v>
      </x:c>
    </x:row>
    <x:row r="1556" ht="54" customHeight="1">
      <x:c r="A1556" s="8" t="str">
        <x:v>gold-medication-na-f53f0edf6018adba</x:v>
      </x:c>
      <x:c r="B1556" s="8" t="str"/>
      <x:c r="C1556" s="8" t="str"/>
      <x:c r="D1556" s="8" t="str">
        <x:v>답변 거부 또는 추가 확인 요청</x:v>
      </x:c>
      <x:c r="E1556" s="15" t="n">
        <x:v>1554</x:v>
      </x:c>
      <x:c r="F1556" s="8" t="str">
        <x:v>답변 거부 기준 문구</x:v>
      </x:c>
      <x:c r="G1556" s="8" t="str">
        <x:v>https://apis.data.go.kr/1471000/DrbEasyDrugInfoService/getDrbEasyDrugList</x:v>
      </x:c>
      <x:c r="H1556" s="8" t="str">
        <x:v>{
  "item_seq": "200901257",
  "item_name": "부스코판플러스정",
  "manufacturer": "오펠라헬스케어코리아(주)",
  "section_codes": [
    "warning",
    "precautions",
    "adverse_reactions"
  ]
}</x:v>
      </x:c>
    </x:row>
    <x:row r="1557" ht="54" customHeight="1">
      <x:c r="A1557" s="8" t="str">
        <x:v>gold-medication-0a4adaab823fce7b</x:v>
      </x:c>
      <x:c r="B1557" s="8" t="str">
        <x:v>eyak:200300808:efficacy:001</x:v>
      </x:c>
      <x:c r="C1557" s="8" t="str">
        <x:v>eyak:200300808:efficacy:001</x:v>
      </x:c>
      <x:c r="D1557" s="8" t="str">
        <x:v>근거와 함께 답변</x:v>
      </x:c>
      <x:c r="E1557" s="15" t="n">
        <x:v>1555</x:v>
      </x:c>
      <x:c r="F1557" s="8" t="str">
        <x:v>기존 검증 정답</x:v>
      </x:c>
      <x:c r="G1557" s="8" t="str">
        <x:v>https://apis.data.go.kr/1471000/DrbEasyDrugInfoService/getDrbEasyDrugList</x:v>
      </x:c>
      <x:c r="H1557" s="8" t="str">
        <x:v>{
  "item_seq": "200300808",
  "item_name": "발렌시아연질캡슐",
  "manufacturer": "태극제약(주)",
  "section_codes": [
    "efficacy"
  ]
}</x:v>
      </x:c>
    </x:row>
    <x:row r="1558" ht="54" customHeight="1">
      <x:c r="A1558" s="8" t="str">
        <x:v>gold-medication-93c29669241daa7b</x:v>
      </x:c>
      <x:c r="B1558" s="8" t="str">
        <x:v>eyak:201100266:precautions:002</x:v>
      </x:c>
      <x:c r="C1558" s="8" t="str">
        <x:v>eyak:201100266:precautions:002
eyak:201100266:precautions:001
eyak:201100266:precautions:003</x:v>
      </x:c>
      <x:c r="D1558" s="8" t="str">
        <x:v>근거와 함께 답변</x:v>
      </x:c>
      <x:c r="E1558" s="15" t="n">
        <x:v>1556</x:v>
      </x:c>
      <x:c r="F1558" s="8" t="str">
        <x:v>기존 검증 정답</x:v>
      </x:c>
      <x:c r="G1558" s="8" t="str">
        <x:v>https://apis.data.go.kr/1471000/DrbEasyDrugInfoService/getDrbEasyDrugList</x:v>
      </x:c>
      <x:c r="H1558" s="8" t="str">
        <x:v>{
  "item_seq": "201100266",
  "item_name": "올비틸아이시럽",
  "manufacturer": "영진약품(주)",
  "section_codes": [
    "precautions"
  ]
}</x:v>
      </x:c>
    </x:row>
    <x:row r="1559" ht="54" customHeight="1">
      <x:c r="A1559" s="8" t="str">
        <x:v>gold-medication-18475a6dfaf97e5d</x:v>
      </x:c>
      <x:c r="B1559" s="8" t="str">
        <x:v>eyak:200811058:interactions:001</x:v>
      </x:c>
      <x:c r="C1559" s="8" t="str">
        <x:v>eyak:200811058:interactions:001</x:v>
      </x:c>
      <x:c r="D1559" s="8" t="str">
        <x:v>근거와 함께 답변</x:v>
      </x:c>
      <x:c r="E1559" s="15" t="n">
        <x:v>1557</x:v>
      </x:c>
      <x:c r="F1559" s="8" t="str">
        <x:v>기존 검증 정답</x:v>
      </x:c>
      <x:c r="G1559" s="8" t="str">
        <x:v>https://apis.data.go.kr/1471000/DrbEasyDrugInfoService/getDrbEasyDrugList</x:v>
      </x:c>
      <x:c r="H1559" s="8" t="str">
        <x:v>{
  "item_seq": "200811058",
  "item_name": "바이코비정",
  "manufacturer": "(주)한국파비스제약",
  "section_codes": [
    "interactions"
  ]
}</x:v>
      </x:c>
    </x:row>
    <x:row r="1560" ht="54" customHeight="1">
      <x:c r="A1560" s="8" t="str">
        <x:v>gold-medication-0aae64204ca27967</x:v>
      </x:c>
      <x:c r="B1560" s="8" t="str">
        <x:v>eyak:201603171:interactions:001</x:v>
      </x:c>
      <x:c r="C1560" s="8" t="str">
        <x:v>eyak:201603171:interactions:001</x:v>
      </x:c>
      <x:c r="D1560" s="8" t="str">
        <x:v>근거와 함께 답변</x:v>
      </x:c>
      <x:c r="E1560" s="15" t="n">
        <x:v>1558</x:v>
      </x:c>
      <x:c r="F1560" s="8" t="str">
        <x:v>기존 검증 정답</x:v>
      </x:c>
      <x:c r="G1560" s="8" t="str">
        <x:v>https://apis.data.go.kr/1471000/DrbEasyDrugInfoService/getDrbEasyDrugList</x:v>
      </x:c>
      <x:c r="H1560" s="8" t="str">
        <x:v>{
  "item_seq": "201603171",
  "item_name": "엘도원캡슐(에르도스테인)",
  "manufacturer": "(주)텔콘알에프제약",
  "section_codes": [
    "interactions"
  ]
}</x:v>
      </x:c>
    </x:row>
    <x:row r="1561" ht="54" customHeight="1">
      <x:c r="A1561" s="8" t="str">
        <x:v>gold-medication-na-9fb9983a361f596a</x:v>
      </x:c>
      <x:c r="B1561" s="8" t="str"/>
      <x:c r="C1561" s="8" t="str"/>
      <x:c r="D1561" s="8" t="str">
        <x:v>답변 거부 또는 추가 확인 요청</x:v>
      </x:c>
      <x:c r="E1561" s="15" t="n">
        <x:v>1559</x:v>
      </x:c>
      <x:c r="F1561" s="8" t="str">
        <x:v>답변 거부 기준 문구</x:v>
      </x:c>
      <x:c r="G1561" s="8" t="str">
        <x:v>https://apis.data.go.kr/1471000/DrbEasyDrugInfoService/getDrbEasyDrugList</x:v>
      </x:c>
      <x:c r="H1561" s="8" t="str">
        <x:v>{
  "item_seq": "199900422",
  "item_name": "성광포비딘(포비돈요오드액10%)",
  "manufacturer": "(주)퍼슨",
  "section_codes": [
    "precautions"
  ]
}</x:v>
      </x:c>
    </x:row>
    <x:row r="1562" ht="54" customHeight="1">
      <x:c r="A1562" s="8" t="str">
        <x:v>gold-medication-7963fcc831f84abc</x:v>
      </x:c>
      <x:c r="B1562" s="8" t="str">
        <x:v>eyak:200401423:adverse_reactions:001</x:v>
      </x:c>
      <x:c r="C1562" s="8" t="str">
        <x:v>eyak:200401423:adverse_reactions:001</x:v>
      </x:c>
      <x:c r="D1562" s="8" t="str">
        <x:v>근거와 함께 답변</x:v>
      </x:c>
      <x:c r="E1562" s="15" t="n">
        <x:v>1560</x:v>
      </x:c>
      <x:c r="F1562" s="8" t="str">
        <x:v>기존 검증 정답</x:v>
      </x:c>
      <x:c r="G1562" s="8" t="str">
        <x:v>https://apis.data.go.kr/1471000/DrbEasyDrugInfoService/getDrbEasyDrugList</x:v>
      </x:c>
      <x:c r="H1562" s="8" t="str">
        <x:v>{
  "item_seq": "200401423",
  "item_name": "진생고카타플라스마",
  "manufacturer": "신신제약(주)",
  "section_codes": [
    "adverse_reactions"
  ]
}</x:v>
      </x:c>
    </x:row>
    <x:row r="1563" ht="54" customHeight="1">
      <x:c r="A1563" s="8" t="str">
        <x:v>gold-medication-f0ebf4d654b4dc04</x:v>
      </x:c>
      <x:c r="B1563" s="8" t="str">
        <x:v>eyak:201908295:warning:001
eyak:201908295:precautions:003
eyak:201908295:adverse_reactions:002</x:v>
      </x:c>
      <x:c r="C1563" s="8" t="str">
        <x:v>eyak:201908295:warning:001
eyak:201908295:warning:003
eyak:201908295:warning:002
eyak:201908295:precautions:003
eyak:201908295:precautions:002
eyak:201908295:precautions:001
eyak:201908295:adverse_reactions:002
eyak:201908295:adverse_reactions:001
eyak:201908295:adverse_reactions:003</x:v>
      </x:c>
      <x:c r="D1563" s="8" t="str">
        <x:v>근거와 함께 답변</x:v>
      </x:c>
      <x:c r="E1563" s="15" t="n">
        <x:v>1561</x:v>
      </x:c>
      <x:c r="F1563" s="8" t="str">
        <x:v>기존 검증 정답</x:v>
      </x:c>
      <x:c r="G1563" s="8" t="str">
        <x:v>https://apis.data.go.kr/1471000/DrbEasyDrugInfoService/getDrbEasyDrugList</x:v>
      </x:c>
      <x:c r="H1563" s="8" t="str">
        <x:v>{
  "item_seq": "201908295",
  "item_name": "게보린소프트연질캡슐",
  "manufacturer": "삼진제약(주)",
  "section_codes": [
    "warning",
    "precautions",
    "adverse_reactions"
  ]
}</x:v>
      </x:c>
    </x:row>
    <x:row r="1564" ht="54" customHeight="1">
      <x:c r="A1564" s="8" t="str">
        <x:v>gold-medication-5a19e7c311a73981</x:v>
      </x:c>
      <x:c r="B1564" s="8" t="str">
        <x:v>eyak:201601453:dosage:001</x:v>
      </x:c>
      <x:c r="C1564" s="8" t="str">
        <x:v>eyak:201601453:dosage:001</x:v>
      </x:c>
      <x:c r="D1564" s="8" t="str">
        <x:v>근거와 함께 답변</x:v>
      </x:c>
      <x:c r="E1564" s="15" t="n">
        <x:v>1562</x:v>
      </x:c>
      <x:c r="F1564" s="8" t="str">
        <x:v>기존 검증 정답</x:v>
      </x:c>
      <x:c r="G1564" s="8" t="str">
        <x:v>https://apis.data.go.kr/1471000/DrbEasyDrugInfoService/getDrbEasyDrugList</x:v>
      </x:c>
      <x:c r="H1564" s="8" t="str">
        <x:v>{
  "item_seq": "201601453",
  "item_name": "제노타에이캡슐",
  "manufacturer": "조아제약(주)",
  "section_codes": [
    "dosage"
  ]
}</x:v>
      </x:c>
    </x:row>
    <x:row r="1565" ht="54" customHeight="1">
      <x:c r="A1565" s="8" t="str">
        <x:v>gold-medication-bad4a053cd0d7523</x:v>
      </x:c>
      <x:c r="B1565" s="8" t="str">
        <x:v>eyak:201503940:adverse_reactions:001</x:v>
      </x:c>
      <x:c r="C1565" s="8" t="str">
        <x:v>eyak:201503940:adverse_reactions:001
eyak:201503940:adverse_reactions:002</x:v>
      </x:c>
      <x:c r="D1565" s="8" t="str">
        <x:v>근거와 함께 답변</x:v>
      </x:c>
      <x:c r="E1565" s="15" t="n">
        <x:v>1563</x:v>
      </x:c>
      <x:c r="F1565" s="8" t="str">
        <x:v>기존 검증 정답</x:v>
      </x:c>
      <x:c r="G1565" s="8" t="str">
        <x:v>https://apis.data.go.kr/1471000/DrbEasyDrugInfoService/getDrbEasyDrugList</x:v>
      </x:c>
      <x:c r="H1565" s="8" t="str">
        <x:v>{
  "item_seq": "201503940",
  "item_name": "뉴로셀텍정",
  "manufacturer": "고려제약(주)",
  "section_codes": [
    "adverse_reactions"
  ]
}</x:v>
      </x:c>
    </x:row>
    <x:row r="1566" ht="54" customHeight="1">
      <x:c r="A1566" s="8" t="str">
        <x:v>gold-medication-0b0fe37d7a34c057</x:v>
      </x:c>
      <x:c r="B1566" s="8" t="str">
        <x:v>eyak:202101302:precautions:001</x:v>
      </x:c>
      <x:c r="C1566" s="8" t="str">
        <x:v>eyak:202101302:precautions:001
eyak:202101302:precautions:002</x:v>
      </x:c>
      <x:c r="D1566" s="8" t="str">
        <x:v>근거와 함께 답변</x:v>
      </x:c>
      <x:c r="E1566" s="15" t="n">
        <x:v>1564</x:v>
      </x:c>
      <x:c r="F1566" s="8" t="str">
        <x:v>기존 검증 정답</x:v>
      </x:c>
      <x:c r="G1566" s="8" t="str">
        <x:v>https://apis.data.go.kr/1471000/DrbEasyDrugInfoService/getDrbEasyDrugList</x:v>
      </x:c>
      <x:c r="H1566" s="8" t="str">
        <x:v>{
  "item_seq": "202101302",
  "item_name": "스웨티브센스액(염화알루미늄)",
  "manufacturer": "(주)퍼슨",
  "section_codes": [
    "precautions"
  ]
}</x:v>
      </x:c>
    </x:row>
    <x:row r="1567" ht="54" customHeight="1">
      <x:c r="A1567" s="8" t="str">
        <x:v>gold-medication-649cb610c68a265a</x:v>
      </x:c>
      <x:c r="B1567" s="8" t="str">
        <x:v>eyak:202008319:efficacy:001</x:v>
      </x:c>
      <x:c r="C1567" s="8" t="str">
        <x:v>eyak:202008319:efficacy:001</x:v>
      </x:c>
      <x:c r="D1567" s="8" t="str">
        <x:v>근거와 함께 답변</x:v>
      </x:c>
      <x:c r="E1567" s="15" t="n">
        <x:v>1565</x:v>
      </x:c>
      <x:c r="F1567" s="8" t="str">
        <x:v>기존 검증 정답</x:v>
      </x:c>
      <x:c r="G1567" s="8" t="str">
        <x:v>https://apis.data.go.kr/1471000/DrbEasyDrugInfoService/getDrbEasyDrugList</x:v>
      </x:c>
      <x:c r="H1567" s="8" t="str">
        <x:v>{
  "item_seq": "202008319",
  "item_name": "속편엔이중정",
  "manufacturer": "(주)한국파비스제약",
  "section_codes": [
    "efficacy"
  ]
}</x:v>
      </x:c>
    </x:row>
    <x:row r="1568" ht="54" customHeight="1">
      <x:c r="A1568" s="8" t="str">
        <x:v>gold-medication-d49ab56af3a2f898</x:v>
      </x:c>
      <x:c r="B1568" s="8" t="str">
        <x:v>eyak:201404888:storage:001</x:v>
      </x:c>
      <x:c r="C1568" s="8" t="str">
        <x:v>eyak:201404888:storage:001</x:v>
      </x:c>
      <x:c r="D1568" s="8" t="str">
        <x:v>근거와 함께 답변</x:v>
      </x:c>
      <x:c r="E1568" s="15" t="n">
        <x:v>1566</x:v>
      </x:c>
      <x:c r="F1568" s="8" t="str">
        <x:v>기존 검증 정답</x:v>
      </x:c>
      <x:c r="G1568" s="8" t="str">
        <x:v>https://apis.data.go.kr/1471000/DrbEasyDrugInfoService/getDrbEasyDrugList</x:v>
      </x:c>
      <x:c r="H1568" s="8" t="str">
        <x:v>{
  "item_seq": "201404888",
  "item_name": "로피딘캡슐(로페라미드염산염)(수출용)",
  "manufacturer": "(주)화이트생명과학",
  "section_codes": [
    "storage"
  ]
}</x:v>
      </x:c>
    </x:row>
    <x:row r="1569" ht="54" customHeight="1">
      <x:c r="A1569" s="8" t="str">
        <x:v>gold-medication-5a4db272ca4b743f</x:v>
      </x:c>
      <x:c r="B1569" s="8" t="str">
        <x:v>eyak:202203304:efficacy:001</x:v>
      </x:c>
      <x:c r="C1569" s="8" t="str">
        <x:v>eyak:202203304:efficacy:001
eyak:202203304:efficacy:002</x:v>
      </x:c>
      <x:c r="D1569" s="8" t="str">
        <x:v>근거와 함께 답변</x:v>
      </x:c>
      <x:c r="E1569" s="15" t="n">
        <x:v>1567</x:v>
      </x:c>
      <x:c r="F1569" s="8" t="str">
        <x:v>기존 검증 정답</x:v>
      </x:c>
      <x:c r="G1569" s="8" t="str">
        <x:v>https://apis.data.go.kr/1471000/DrbEasyDrugInfoService/getDrbEasyDrugList</x:v>
      </x:c>
      <x:c r="H1569" s="8" t="str">
        <x:v>{
  "item_seq": "202203304",
  "item_name": "이부콜벤연질캡슐400밀리그램(이부프로펜)",
  "manufacturer": "명문제약(주)",
  "section_codes": [
    "efficacy"
  ]
}</x:v>
      </x:c>
    </x:row>
    <x:row r="1570" ht="54" customHeight="1">
      <x:c r="A1570" s="8" t="str">
        <x:v>gold-medication-4cd03a7c85b8f851</x:v>
      </x:c>
      <x:c r="B1570" s="8" t="str">
        <x:v>eyak:199600367:efficacy:001</x:v>
      </x:c>
      <x:c r="C1570" s="8" t="str">
        <x:v>eyak:199600367:efficacy:001</x:v>
      </x:c>
      <x:c r="D1570" s="8" t="str">
        <x:v>근거와 함께 답변</x:v>
      </x:c>
      <x:c r="E1570" s="15" t="n">
        <x:v>1568</x:v>
      </x:c>
      <x:c r="F1570" s="8" t="str">
        <x:v>기존 검증 정답</x:v>
      </x:c>
      <x:c r="G1570" s="8" t="str">
        <x:v>https://apis.data.go.kr/1471000/DrbEasyDrugInfoService/getDrbEasyDrugList</x:v>
      </x:c>
      <x:c r="H1570" s="8" t="str">
        <x:v>{
  "item_seq": "199600367",
  "item_name": "판키아제정",
  "manufacturer": "일동제약(주)",
  "section_codes": [
    "efficacy"
  ]
}</x:v>
      </x:c>
    </x:row>
    <x:row r="1571" ht="54" customHeight="1">
      <x:c r="A1571" s="8" t="str">
        <x:v>gold-medication-04a0a488020a0a1a</x:v>
      </x:c>
      <x:c r="B1571" s="8" t="str">
        <x:v>eyak:200201831:warning:001
eyak:200201831:precautions:003
eyak:200201831:adverse_reactions:005</x:v>
      </x:c>
      <x:c r="C1571" s="8" t="str">
        <x:v>eyak:200201831:warning:001
eyak:200201831:warning:002
eyak:200201831:precautions:003
eyak:200201831:precautions:001
eyak:200201831:precautions:005
eyak:200201831:precautions:002
eyak:200201831:precautions:004
eyak:200201831:adverse_reactions:005
eyak:200201831:adverse_reactions:002
eyak:200201831:adverse_reactions:004
eyak:200201831:adverse_reactions:006
eyak:200201831:adverse_reactions:003
eyak:200201831:adverse_reactions:001
eyak:200201831:adverse_reactions:007
eyak:200201831:adverse_reactions:008</x:v>
      </x:c>
      <x:c r="D1571" s="8" t="str">
        <x:v>근거와 함께 답변</x:v>
      </x:c>
      <x:c r="E1571" s="15" t="n">
        <x:v>1569</x:v>
      </x:c>
      <x:c r="F1571" s="8" t="str">
        <x:v>기존 검증 정답</x:v>
      </x:c>
      <x:c r="G1571" s="8" t="str">
        <x:v>https://apis.data.go.kr/1471000/DrbEasyDrugInfoService/getDrbEasyDrugList</x:v>
      </x:c>
      <x:c r="H1571" s="8" t="str">
        <x:v>{
  "item_seq": "200201831",
  "item_name": "애스펜정(덱시부프로펜)",
  "manufacturer": "영일제약(주)",
  "section_codes": [
    "warning",
    "precautions",
    "adverse_reactions"
  ]
}</x:v>
      </x:c>
    </x:row>
    <x:row r="1572" ht="54" customHeight="1">
      <x:c r="A1572" s="8" t="str">
        <x:v>gold-medication-a6ea7db0171d38a2</x:v>
      </x:c>
      <x:c r="B1572" s="8" t="str">
        <x:v>eyak:201602682:adverse_reactions:001</x:v>
      </x:c>
      <x:c r="C1572" s="8" t="str">
        <x:v>eyak:201602682:adverse_reactions:001</x:v>
      </x:c>
      <x:c r="D1572" s="8" t="str">
        <x:v>근거와 함께 답변</x:v>
      </x:c>
      <x:c r="E1572" s="15" t="n">
        <x:v>1570</x:v>
      </x:c>
      <x:c r="F1572" s="8" t="str">
        <x:v>기존 검증 정답</x:v>
      </x:c>
      <x:c r="G1572" s="8" t="str">
        <x:v>https://apis.data.go.kr/1471000/DrbEasyDrugInfoService/getDrbEasyDrugList</x:v>
      </x:c>
      <x:c r="H1572" s="8" t="str">
        <x:v>{
  "item_seq": "201602682",
  "item_name": "메클린구강용해필름25밀리그램(메클리진염산염수화물)(오렌지향)",
  "manufacturer": "(주)씨티씨바이오",
  "section_codes": [
    "adverse_reactions"
  ]
}</x:v>
      </x:c>
    </x:row>
    <x:row r="1573" ht="54" customHeight="1">
      <x:c r="A1573" s="8" t="str">
        <x:v>gold-medication-8ad7b83d00ae1f67</x:v>
      </x:c>
      <x:c r="B1573" s="8" t="str">
        <x:v>eyak:201905349:efficacy:001</x:v>
      </x:c>
      <x:c r="C1573" s="8" t="str">
        <x:v>eyak:201905349:efficacy:001</x:v>
      </x:c>
      <x:c r="D1573" s="8" t="str">
        <x:v>근거와 함께 답변</x:v>
      </x:c>
      <x:c r="E1573" s="15" t="n">
        <x:v>1571</x:v>
      </x:c>
      <x:c r="F1573" s="8" t="str">
        <x:v>기존 검증 정답</x:v>
      </x:c>
      <x:c r="G1573" s="8" t="str">
        <x:v>https://apis.data.go.kr/1471000/DrbEasyDrugInfoService/getDrbEasyDrugList</x:v>
      </x:c>
      <x:c r="H1573" s="8" t="str">
        <x:v>{
  "item_seq": "201905349",
  "item_name": "유비센정",
  "manufacturer": "한국신텍스제약(주)",
  "section_codes": [
    "efficacy"
  ]
}</x:v>
      </x:c>
    </x:row>
    <x:row r="1574" ht="54" customHeight="1">
      <x:c r="A1574" s="8" t="str">
        <x:v>gold-medication-3adb3188e5d10b0b</x:v>
      </x:c>
      <x:c r="B1574" s="8" t="str">
        <x:v>eyak:201605155:interactions:001</x:v>
      </x:c>
      <x:c r="C1574" s="8" t="str">
        <x:v>eyak:201605155:interactions:001</x:v>
      </x:c>
      <x:c r="D1574" s="8" t="str">
        <x:v>근거와 함께 답변</x:v>
      </x:c>
      <x:c r="E1574" s="15" t="n">
        <x:v>1572</x:v>
      </x:c>
      <x:c r="F1574" s="8" t="str">
        <x:v>기존 검증 정답</x:v>
      </x:c>
      <x:c r="G1574" s="8" t="str">
        <x:v>https://apis.data.go.kr/1471000/DrbEasyDrugInfoService/getDrbEasyDrugList</x:v>
      </x:c>
      <x:c r="H1574" s="8" t="str">
        <x:v>{
  "item_seq": "201605155",
  "item_name": "헤모락에이캡슐",
  "manufacturer": "알리코제약(주)",
  "section_codes": [
    "interactions"
  ]
}</x:v>
      </x:c>
    </x:row>
    <x:row r="1575" ht="54" customHeight="1">
      <x:c r="A1575" s="8" t="str">
        <x:v>gold-medication-4c0670618150516e</x:v>
      </x:c>
      <x:c r="B1575" s="8" t="str">
        <x:v>eyak:200404205:dosage:001</x:v>
      </x:c>
      <x:c r="C1575" s="8" t="str">
        <x:v>eyak:200404205:dosage:001</x:v>
      </x:c>
      <x:c r="D1575" s="8" t="str">
        <x:v>근거와 함께 답변</x:v>
      </x:c>
      <x:c r="E1575" s="15" t="n">
        <x:v>1573</x:v>
      </x:c>
      <x:c r="F1575" s="8" t="str">
        <x:v>기존 검증 정답</x:v>
      </x:c>
      <x:c r="G1575" s="8" t="str">
        <x:v>https://apis.data.go.kr/1471000/DrbEasyDrugInfoService/getDrbEasyDrugList</x:v>
      </x:c>
      <x:c r="H1575" s="8" t="str">
        <x:v>{
  "item_seq": "200404205",
  "item_name": "메부라틴정150밀리그람(트리메부틴말레산염)(수출명:MEBURATIN Tablet 150mg)",
  "manufacturer": "(주)넥스팜코리아",
  "section_codes": [
    "dosage"
  ]
}</x:v>
      </x:c>
    </x:row>
    <x:row r="1576" ht="54" customHeight="1">
      <x:c r="A1576" s="8" t="str">
        <x:v>gold-medication-bf3cf65f1fcb7789</x:v>
      </x:c>
      <x:c r="B1576" s="8" t="str">
        <x:v>eyak:202006820:efficacy:001</x:v>
      </x:c>
      <x:c r="C1576" s="8" t="str">
        <x:v>eyak:202006820:efficacy:001</x:v>
      </x:c>
      <x:c r="D1576" s="8" t="str">
        <x:v>근거와 함께 답변</x:v>
      </x:c>
      <x:c r="E1576" s="15" t="n">
        <x:v>1574</x:v>
      </x:c>
      <x:c r="F1576" s="8" t="str">
        <x:v>기존 검증 정답</x:v>
      </x:c>
      <x:c r="G1576" s="8" t="str">
        <x:v>https://apis.data.go.kr/1471000/DrbEasyDrugInfoService/getDrbEasyDrugList</x:v>
      </x:c>
      <x:c r="H1576" s="8" t="str">
        <x:v>{
  "item_seq": "202006820",
  "item_name": "파모위튼정10밀리그램(파모티딘)",
  "manufacturer": "맥널티제약(주)",
  "section_codes": [
    "efficacy"
  ]
}</x:v>
      </x:c>
    </x:row>
    <x:row r="1577" ht="54" customHeight="1">
      <x:c r="A1577" s="8" t="str">
        <x:v>gold-medication-022193f1b0203f38</x:v>
      </x:c>
      <x:c r="B1577" s="8" t="str">
        <x:v>eyak:201308924:efficacy:001</x:v>
      </x:c>
      <x:c r="C1577" s="8" t="str">
        <x:v>eyak:201308924:efficacy:001</x:v>
      </x:c>
      <x:c r="D1577" s="8" t="str">
        <x:v>근거와 함께 답변</x:v>
      </x:c>
      <x:c r="E1577" s="15" t="n">
        <x:v>1575</x:v>
      </x:c>
      <x:c r="F1577" s="8" t="str">
        <x:v>기존 검증 정답</x:v>
      </x:c>
      <x:c r="G1577" s="8" t="str">
        <x:v>https://apis.data.go.kr/1471000/DrbEasyDrugInfoService/getDrbEasyDrugList</x:v>
      </x:c>
      <x:c r="H1577" s="8" t="str">
        <x:v>{
  "item_seq": "201308924",
  "item_name": "하원아스피린장용정100mg",
  "manufacturer": "(주)하원제약",
  "section_codes": [
    "efficacy"
  ]
}</x:v>
      </x:c>
    </x:row>
    <x:row r="1578" ht="54" customHeight="1">
      <x:c r="A1578" s="8" t="str">
        <x:v>gold-medication-d3bc371ccc1adf7e</x:v>
      </x:c>
      <x:c r="B1578" s="8" t="str">
        <x:v>eyak:200401131:precautions:001</x:v>
      </x:c>
      <x:c r="C1578" s="8" t="str">
        <x:v>eyak:200401131:precautions:001
eyak:200401131:precautions:002
eyak:200401131:precautions:005
eyak:200401131:precautions:003
eyak:200401131:precautions:004</x:v>
      </x:c>
      <x:c r="D1578" s="8" t="str">
        <x:v>근거와 함께 답변</x:v>
      </x:c>
      <x:c r="E1578" s="15" t="n">
        <x:v>1576</x:v>
      </x:c>
      <x:c r="F1578" s="8" t="str">
        <x:v>기존 검증 정답</x:v>
      </x:c>
      <x:c r="G1578" s="8" t="str">
        <x:v>https://apis.data.go.kr/1471000/DrbEasyDrugInfoService/getDrbEasyDrugList</x:v>
      </x:c>
      <x:c r="H1578" s="8" t="str">
        <x:v>{
  "item_seq": "200401131",
  "item_name": "모바린액5%(미녹시딜)",
  "manufacturer": "(주)일화",
  "section_codes": [
    "precautions"
  ]
}</x:v>
      </x:c>
    </x:row>
    <x:row r="1579" ht="54" customHeight="1">
      <x:c r="A1579" s="8" t="str">
        <x:v>gold-medication-na-73dc81b66d60b8f1</x:v>
      </x:c>
      <x:c r="B1579" s="8" t="str"/>
      <x:c r="C1579" s="8" t="str"/>
      <x:c r="D1579" s="8" t="str">
        <x:v>답변 거부 또는 추가 확인 요청</x:v>
      </x:c>
      <x:c r="E1579" s="15" t="n">
        <x:v>1577</x:v>
      </x:c>
      <x:c r="F1579" s="8" t="str">
        <x:v>답변 거부 기준 문구</x:v>
      </x:c>
      <x:c r="G1579" s="8" t="str">
        <x:v>https://apis.data.go.kr/1471000/DrbEasyDrugInfoService/getDrbEasyDrugList</x:v>
      </x:c>
      <x:c r="H1579" s="8" t="str">
        <x:v>{
  "item_seq": "200904649",
  "item_name": "파라스트캡슐",
  "manufacturer": "(주)테라젠이텍스",
  "section_codes": [
    "dosage"
  ]
}</x:v>
      </x:c>
    </x:row>
    <x:row r="1580" ht="54" customHeight="1">
      <x:c r="A1580" s="8" t="str">
        <x:v>gold-medication-56f1f9c598068551</x:v>
      </x:c>
      <x:c r="B1580" s="8" t="str">
        <x:v>eyak:200200858:interactions:001</x:v>
      </x:c>
      <x:c r="C1580" s="8" t="str">
        <x:v>eyak:200200858:interactions:001</x:v>
      </x:c>
      <x:c r="D1580" s="8" t="str">
        <x:v>근거와 함께 답변</x:v>
      </x:c>
      <x:c r="E1580" s="15" t="n">
        <x:v>1578</x:v>
      </x:c>
      <x:c r="F1580" s="8" t="str">
        <x:v>기존 검증 정답</x:v>
      </x:c>
      <x:c r="G1580" s="8" t="str">
        <x:v>https://apis.data.go.kr/1471000/DrbEasyDrugInfoService/getDrbEasyDrugList</x:v>
      </x:c>
      <x:c r="H1580" s="8" t="str">
        <x:v>{
  "item_seq": "200200858",
  "item_name": "알나졸정400밀리그램(알벤다졸)",
  "manufacturer": "태극제약(주)",
  "section_codes": [
    "interactions"
  ]
}</x:v>
      </x:c>
    </x:row>
    <x:row r="1581" ht="54" customHeight="1">
      <x:c r="A1581" s="8" t="str">
        <x:v>gold-medication-b6e2eca6e6ea3b3d</x:v>
      </x:c>
      <x:c r="B1581" s="8" t="str">
        <x:v>eyak:202200981:efficacy:001</x:v>
      </x:c>
      <x:c r="C1581" s="8" t="str">
        <x:v>eyak:202200981:efficacy:001</x:v>
      </x:c>
      <x:c r="D1581" s="8" t="str">
        <x:v>근거와 함께 답변</x:v>
      </x:c>
      <x:c r="E1581" s="15" t="n">
        <x:v>1579</x:v>
      </x:c>
      <x:c r="F1581" s="8" t="str">
        <x:v>기존 검증 정답</x:v>
      </x:c>
      <x:c r="G1581" s="8" t="str">
        <x:v>https://apis.data.go.kr/1471000/DrbEasyDrugInfoService/getDrbEasyDrugList</x:v>
      </x:c>
      <x:c r="H1581" s="8" t="str">
        <x:v>{
  "item_seq": "202200981",
  "item_name": "리스카펜정",
  "manufacturer": "(주)시어스제약",
  "section_codes": [
    "efficacy"
  ]
}</x:v>
      </x:c>
    </x:row>
    <x:row r="1582" ht="54" customHeight="1">
      <x:c r="A1582" s="8" t="str">
        <x:v>gold-medication-8c2790ece05baea4</x:v>
      </x:c>
      <x:c r="B1582" s="8" t="str">
        <x:v>eyak:202002056:dosage:001</x:v>
      </x:c>
      <x:c r="C1582" s="8" t="str">
        <x:v>eyak:202002056:dosage:001</x:v>
      </x:c>
      <x:c r="D1582" s="8" t="str">
        <x:v>근거와 함께 답변</x:v>
      </x:c>
      <x:c r="E1582" s="15" t="n">
        <x:v>1580</x:v>
      </x:c>
      <x:c r="F1582" s="8" t="str">
        <x:v>기존 검증 정답</x:v>
      </x:c>
      <x:c r="G1582" s="8" t="str">
        <x:v>https://apis.data.go.kr/1471000/DrbEasyDrugInfoService/getDrbEasyDrugList</x:v>
      </x:c>
      <x:c r="H1582" s="8" t="str">
        <x:v>{
  "item_seq": "202002056",
  "item_name": "애니큐어연고",
  "manufacturer": "경동제약(주)",
  "section_codes": [
    "dosage"
  ]
}</x:v>
      </x:c>
    </x:row>
    <x:row r="1583" ht="54" customHeight="1">
      <x:c r="A1583" s="8" t="str">
        <x:v>gold-medication-38b9a27d06ec26f2</x:v>
      </x:c>
      <x:c r="B1583" s="8" t="str">
        <x:v>eyak:200410715:storage:001</x:v>
      </x:c>
      <x:c r="C1583" s="8" t="str">
        <x:v>eyak:200410715:storage:001</x:v>
      </x:c>
      <x:c r="D1583" s="8" t="str">
        <x:v>근거와 함께 답변</x:v>
      </x:c>
      <x:c r="E1583" s="15" t="n">
        <x:v>1581</x:v>
      </x:c>
      <x:c r="F1583" s="8" t="str">
        <x:v>기존 검증 정답</x:v>
      </x:c>
      <x:c r="G1583" s="8" t="str">
        <x:v>https://apis.data.go.kr/1471000/DrbEasyDrugInfoService/getDrbEasyDrugList</x:v>
      </x:c>
      <x:c r="H1583" s="8" t="str">
        <x:v>{
  "item_seq": "200410715",
  "item_name": "칼테오-40정(Calteo-40Tablets)",
  "manufacturer": "(주)파마택코리아",
  "section_codes": [
    "storage"
  ]
}</x:v>
      </x:c>
    </x:row>
    <x:row r="1584" ht="54" customHeight="1">
      <x:c r="A1584" s="8" t="str">
        <x:v>gold-medication-23ab016575648bc9</x:v>
      </x:c>
      <x:c r="B1584" s="8" t="str">
        <x:v>eyak:201101014:dosage:001</x:v>
      </x:c>
      <x:c r="C1584" s="8" t="str">
        <x:v>eyak:201101014:dosage:001</x:v>
      </x:c>
      <x:c r="D1584" s="8" t="str">
        <x:v>근거와 함께 답변</x:v>
      </x:c>
      <x:c r="E1584" s="15" t="n">
        <x:v>1582</x:v>
      </x:c>
      <x:c r="F1584" s="8" t="str">
        <x:v>기존 검증 정답</x:v>
      </x:c>
      <x:c r="G1584" s="8" t="str">
        <x:v>https://apis.data.go.kr/1471000/DrbEasyDrugInfoService/getDrbEasyDrugList</x:v>
      </x:c>
      <x:c r="H1584" s="8" t="str">
        <x:v>{
  "item_seq": "201101014",
  "item_name": "칼디업츄어블정",
  "manufacturer": "(주)휴온스",
  "section_codes": [
    "dosage"
  ]
}</x:v>
      </x:c>
    </x:row>
    <x:row r="1585" ht="54" customHeight="1">
      <x:c r="A1585" s="8" t="str">
        <x:v>gold-medication-1b7225435e4a6f23</x:v>
      </x:c>
      <x:c r="B1585" s="8" t="str">
        <x:v>eyak:202102215:interactions:001</x:v>
      </x:c>
      <x:c r="C1585" s="8" t="str">
        <x:v>eyak:202102215:interactions:001</x:v>
      </x:c>
      <x:c r="D1585" s="8" t="str">
        <x:v>근거와 함께 답변</x:v>
      </x:c>
      <x:c r="E1585" s="15" t="n">
        <x:v>1583</x:v>
      </x:c>
      <x:c r="F1585" s="8" t="str">
        <x:v>기존 검증 정답</x:v>
      </x:c>
      <x:c r="G1585" s="8" t="str">
        <x:v>https://apis.data.go.kr/1471000/DrbEasyDrugInfoService/getDrbEasyDrugList</x:v>
      </x:c>
      <x:c r="H1585" s="8" t="str">
        <x:v>{
  "item_seq": "202102215",
  "item_name": "비타메드레모나산",
  "manufacturer": "경남제약(주)",
  "section_codes": [
    "interactions"
  ]
}</x:v>
      </x:c>
    </x:row>
    <x:row r="1586" ht="54" customHeight="1">
      <x:c r="A1586" s="8" t="str">
        <x:v>gold-medication-99aac42f28c59565</x:v>
      </x:c>
      <x:c r="B1586" s="8" t="str">
        <x:v>eyak:201602871:interactions:001</x:v>
      </x:c>
      <x:c r="C1586" s="8" t="str">
        <x:v>eyak:201602871:interactions:001</x:v>
      </x:c>
      <x:c r="D1586" s="8" t="str">
        <x:v>근거와 함께 답변</x:v>
      </x:c>
      <x:c r="E1586" s="15" t="n">
        <x:v>1584</x:v>
      </x:c>
      <x:c r="F1586" s="8" t="str">
        <x:v>기존 검증 정답</x:v>
      </x:c>
      <x:c r="G1586" s="8" t="str">
        <x:v>https://apis.data.go.kr/1471000/DrbEasyDrugInfoService/getDrbEasyDrugList</x:v>
      </x:c>
      <x:c r="H1586" s="8" t="str">
        <x:v>{
  "item_seq": "201602871",
  "item_name": "뉴에르도테캡슐(에르도스테인)",
  "manufacturer": "안국뉴팜(주)",
  "section_codes": [
    "interactions"
  ]
}</x:v>
      </x:c>
    </x:row>
    <x:row r="1587" ht="54" customHeight="1">
      <x:c r="A1587" s="8" t="str">
        <x:v>gold-medication-1f50562c007751fe</x:v>
      </x:c>
      <x:c r="B1587" s="8" t="str">
        <x:v>eyak:202303174:dosage:001</x:v>
      </x:c>
      <x:c r="C1587" s="8" t="str">
        <x:v>eyak:202303174:dosage:001</x:v>
      </x:c>
      <x:c r="D1587" s="8" t="str">
        <x:v>근거와 함께 답변</x:v>
      </x:c>
      <x:c r="E1587" s="15" t="n">
        <x:v>1585</x:v>
      </x:c>
      <x:c r="F1587" s="8" t="str">
        <x:v>기존 검증 정답</x:v>
      </x:c>
      <x:c r="G1587" s="8" t="str">
        <x:v>https://apis.data.go.kr/1471000/DrbEasyDrugInfoService/getDrbEasyDrugList</x:v>
      </x:c>
      <x:c r="H1587" s="8" t="str">
        <x:v>{
  "item_seq": "202303174",
  "item_name": "맥스콘드로이틴1200경구용겔(콘드로이틴설페이트나트륨)(1200mg/8g, 1200mg/12g)",
  "manufacturer": "동아제약(주)",
  "section_codes": [
    "dosage"
  ]
}</x:v>
      </x:c>
    </x:row>
    <x:row r="1588" ht="54" customHeight="1">
      <x:c r="A1588" s="8" t="str">
        <x:v>gold-medication-22864ca881e0b09d</x:v>
      </x:c>
      <x:c r="B1588" s="8" t="str">
        <x:v>eyak:201901187:storage:001</x:v>
      </x:c>
      <x:c r="C1588" s="8" t="str">
        <x:v>eyak:201901187:storage:001</x:v>
      </x:c>
      <x:c r="D1588" s="8" t="str">
        <x:v>근거와 함께 답변</x:v>
      </x:c>
      <x:c r="E1588" s="15" t="n">
        <x:v>1586</x:v>
      </x:c>
      <x:c r="F1588" s="8" t="str">
        <x:v>기존 검증 정답</x:v>
      </x:c>
      <x:c r="G1588" s="8" t="str">
        <x:v>https://apis.data.go.kr/1471000/DrbEasyDrugInfoService/getDrbEasyDrugList</x:v>
      </x:c>
      <x:c r="H1588" s="8" t="str">
        <x:v>{
  "item_seq": "201901187",
  "item_name": "액티브피록시캄겔(피록시캄)",
  "manufacturer": "일양바이오팜(주)",
  "section_codes": [
    "storage"
  ]
}</x:v>
      </x:c>
    </x:row>
    <x:row r="1589" ht="54" customHeight="1">
      <x:c r="A1589" s="8" t="str">
        <x:v>gold-medication-c59e3fa176a8cb15</x:v>
      </x:c>
      <x:c r="B1589" s="8" t="str">
        <x:v>eyak:202401760:adverse_reactions:001</x:v>
      </x:c>
      <x:c r="C1589" s="8" t="str">
        <x:v>eyak:202401760:adverse_reactions:001</x:v>
      </x:c>
      <x:c r="D1589" s="8" t="str">
        <x:v>근거와 함께 답변</x:v>
      </x:c>
      <x:c r="E1589" s="15" t="n">
        <x:v>1587</x:v>
      </x:c>
      <x:c r="F1589" s="8" t="str">
        <x:v>기존 검증 정답</x:v>
      </x:c>
      <x:c r="G1589" s="8" t="str">
        <x:v>https://apis.data.go.kr/1471000/DrbEasyDrugInfoService/getDrbEasyDrugList</x:v>
      </x:c>
      <x:c r="H1589" s="8" t="str">
        <x:v>{
  "item_seq": "202401760",
  "item_name": "올대원맥스정",
  "manufacturer": "(주)한풍제약",
  "section_codes": [
    "adverse_reactions"
  ]
}</x:v>
      </x:c>
    </x:row>
    <x:row r="1590" ht="54" customHeight="1">
      <x:c r="A1590" s="8" t="str">
        <x:v>gold-medication-e2b30e02d35b3c2d</x:v>
      </x:c>
      <x:c r="B1590" s="8" t="str">
        <x:v>eyak:202500181:interactions:001</x:v>
      </x:c>
      <x:c r="C1590" s="8" t="str">
        <x:v>eyak:202500181:interactions:001</x:v>
      </x:c>
      <x:c r="D1590" s="8" t="str">
        <x:v>근거와 함께 답변</x:v>
      </x:c>
      <x:c r="E1590" s="15" t="n">
        <x:v>1588</x:v>
      </x:c>
      <x:c r="F1590" s="8" t="str">
        <x:v>기존 검증 정답</x:v>
      </x:c>
      <x:c r="G1590" s="8" t="str">
        <x:v>https://apis.data.go.kr/1471000/DrbEasyDrugInfoService/getDrbEasyDrugList</x:v>
      </x:c>
      <x:c r="H1590" s="8" t="str">
        <x:v>{
  "item_seq": "202500181",
  "item_name": "아이오쿨리뉴피디알엔점안액(폴리데옥시리보뉴클레오티드나트륨)(1회용)",
  "manufacturer": "동아제약(주)",
  "section_codes": [
    "interactions"
  ]
}</x:v>
      </x:c>
    </x:row>
    <x:row r="1591" ht="54" customHeight="1">
      <x:c r="A1591" s="8" t="str">
        <x:v>gold-medication-9a12b91731ea016b</x:v>
      </x:c>
      <x:c r="B1591" s="8" t="str">
        <x:v>eyak:201901623:efficacy:001</x:v>
      </x:c>
      <x:c r="C1591" s="8" t="str">
        <x:v>eyak:201901623:efficacy:001</x:v>
      </x:c>
      <x:c r="D1591" s="8" t="str">
        <x:v>근거와 함께 답변</x:v>
      </x:c>
      <x:c r="E1591" s="15" t="n">
        <x:v>1589</x:v>
      </x:c>
      <x:c r="F1591" s="8" t="str">
        <x:v>기존 검증 정답</x:v>
      </x:c>
      <x:c r="G1591" s="8" t="str">
        <x:v>https://apis.data.go.kr/1471000/DrbEasyDrugInfoService/getDrbEasyDrugList</x:v>
      </x:c>
      <x:c r="H1591" s="8" t="str">
        <x:v>{
  "item_seq": "201901623",
  "item_name": "하니동전파스플라스타",
  "manufacturer": "원광제약(주)",
  "section_codes": [
    "efficacy"
  ]
}</x:v>
      </x:c>
    </x:row>
    <x:row r="1592" ht="54" customHeight="1">
      <x:c r="A1592" s="8" t="str">
        <x:v>gold-medication-271683557070c754</x:v>
      </x:c>
      <x:c r="B1592" s="8" t="str">
        <x:v>eyak:200713004:efficacy:001</x:v>
      </x:c>
      <x:c r="C1592" s="8" t="str">
        <x:v>eyak:200713004:efficacy:001</x:v>
      </x:c>
      <x:c r="D1592" s="8" t="str">
        <x:v>근거와 함께 답변</x:v>
      </x:c>
      <x:c r="E1592" s="15" t="n">
        <x:v>1590</x:v>
      </x:c>
      <x:c r="F1592" s="8" t="str">
        <x:v>기존 검증 정답</x:v>
      </x:c>
      <x:c r="G1592" s="8" t="str">
        <x:v>https://apis.data.go.kr/1471000/DrbEasyDrugInfoService/getDrbEasyDrugList</x:v>
      </x:c>
      <x:c r="H1592" s="8" t="str">
        <x:v>{
  "item_seq": "200713004",
  "item_name": "제이웰라민연질캡슐",
  "manufacturer": "(주)비보존제약",
  "section_codes": [
    "efficacy"
  ]
}</x:v>
      </x:c>
    </x:row>
    <x:row r="1593" ht="54" customHeight="1">
      <x:c r="A1593" s="8" t="str">
        <x:v>gold-medication-e5ba68c7e15e95fe</x:v>
      </x:c>
      <x:c r="B1593" s="8" t="str">
        <x:v>eyak:201801714:interactions:001</x:v>
      </x:c>
      <x:c r="C1593" s="8" t="str">
        <x:v>eyak:201801714:interactions:001
eyak:201801714:interactions:002</x:v>
      </x:c>
      <x:c r="D1593" s="8" t="str">
        <x:v>근거와 함께 답변</x:v>
      </x:c>
      <x:c r="E1593" s="15" t="n">
        <x:v>1591</x:v>
      </x:c>
      <x:c r="F1593" s="8" t="str">
        <x:v>기존 검증 정답</x:v>
      </x:c>
      <x:c r="G1593" s="8" t="str">
        <x:v>https://apis.data.go.kr/1471000/DrbEasyDrugInfoService/getDrbEasyDrugList</x:v>
      </x:c>
      <x:c r="H1593" s="8" t="str">
        <x:v>{
  "item_seq": "201801714",
  "item_name": "엑쎈코연질캡슐",
  "manufacturer": "(주)알피바이오",
  "section_codes": [
    "interactions"
  ]
}</x:v>
      </x:c>
    </x:row>
    <x:row r="1594" ht="54" customHeight="1">
      <x:c r="A1594" s="8" t="str">
        <x:v>gold-medication-e1b57be1c0e3b83b</x:v>
      </x:c>
      <x:c r="B1594" s="8" t="str">
        <x:v>eyak:202106244:warning:001
eyak:202106244:precautions:001</x:v>
      </x:c>
      <x:c r="C1594" s="8" t="str">
        <x:v>eyak:202106244:warning:001
eyak:202106244:precautions:001
eyak:202106244:precautions:002
eyak:202106244:precautions:003
eyak:202106244:precautions:004</x:v>
      </x:c>
      <x:c r="D1594" s="8" t="str">
        <x:v>근거와 함께 답변</x:v>
      </x:c>
      <x:c r="E1594" s="15" t="n">
        <x:v>1592</x:v>
      </x:c>
      <x:c r="F1594" s="8" t="str">
        <x:v>기존 검증 정답</x:v>
      </x:c>
      <x:c r="G1594" s="8" t="str">
        <x:v>https://apis.data.go.kr/1471000/DrbEasyDrugInfoService/getDrbEasyDrugList</x:v>
      </x:c>
      <x:c r="H1594" s="8" t="str">
        <x:v>{
  "item_seq": "202106244",
  "item_name": "헤파코엔플러스정",
  "manufacturer": "미래바이오제약(주)",
  "section_codes": [
    "warning",
    "precautions"
  ]
}</x:v>
      </x:c>
    </x:row>
    <x:row r="1595" ht="54" customHeight="1">
      <x:c r="A1595" s="8" t="str">
        <x:v>gold-medication-9f9a5038b2feaf52</x:v>
      </x:c>
      <x:c r="B1595" s="8" t="str">
        <x:v>eyak:200700801:precautions:001</x:v>
      </x:c>
      <x:c r="C1595" s="8" t="str">
        <x:v>eyak:200700801:precautions:001
eyak:200700801:precautions:002
eyak:200700801:precautions:003
eyak:200700801:precautions:004</x:v>
      </x:c>
      <x:c r="D1595" s="8" t="str">
        <x:v>근거와 함께 답변</x:v>
      </x:c>
      <x:c r="E1595" s="15" t="n">
        <x:v>1593</x:v>
      </x:c>
      <x:c r="F1595" s="8" t="str">
        <x:v>기존 검증 정답</x:v>
      </x:c>
      <x:c r="G1595" s="8" t="str">
        <x:v>https://apis.data.go.kr/1471000/DrbEasyDrugInfoService/getDrbEasyDrugList</x:v>
      </x:c>
      <x:c r="H1595" s="8" t="str">
        <x:v>{
  "item_seq": "200700801",
  "item_name": "백일후애액2%(미녹시딜)",
  "manufacturer": "동광제약(주)",
  "section_codes": [
    "precautions"
  ]
}</x:v>
      </x:c>
    </x:row>
    <x:row r="1596" ht="54" customHeight="1">
      <x:c r="A1596" s="8" t="str">
        <x:v>gold-medication-b429a33b921ba4e2</x:v>
      </x:c>
      <x:c r="B1596" s="8" t="str">
        <x:v>eyak:199800190:efficacy:001</x:v>
      </x:c>
      <x:c r="C1596" s="8" t="str">
        <x:v>eyak:199800190:efficacy:001</x:v>
      </x:c>
      <x:c r="D1596" s="8" t="str">
        <x:v>근거와 함께 답변</x:v>
      </x:c>
      <x:c r="E1596" s="15" t="n">
        <x:v>1594</x:v>
      </x:c>
      <x:c r="F1596" s="8" t="str">
        <x:v>기존 검증 정답</x:v>
      </x:c>
      <x:c r="G1596" s="8" t="str">
        <x:v>https://apis.data.go.kr/1471000/DrbEasyDrugInfoService/getDrbEasyDrugList</x:v>
      </x:c>
      <x:c r="H1596" s="8" t="str">
        <x:v>{
  "item_seq": "199800190",
  "item_name": "센쥬씨엘점안액",
  "manufacturer": "제이더블유중외제약(주)",
  "section_codes": [
    "efficacy"
  ]
}</x:v>
      </x:c>
    </x:row>
    <x:row r="1597" ht="54" customHeight="1">
      <x:c r="A1597" s="8" t="str">
        <x:v>gold-medication-178a5d3259838ecc</x:v>
      </x:c>
      <x:c r="B1597" s="8" t="str">
        <x:v>eyak:201901314:dosage:002</x:v>
      </x:c>
      <x:c r="C1597" s="8" t="str">
        <x:v>eyak:201901314:dosage:002
eyak:201901314:dosage:001</x:v>
      </x:c>
      <x:c r="D1597" s="8" t="str">
        <x:v>근거와 함께 답변</x:v>
      </x:c>
      <x:c r="E1597" s="15" t="n">
        <x:v>1595</x:v>
      </x:c>
      <x:c r="F1597" s="8" t="str">
        <x:v>기존 검증 정답</x:v>
      </x:c>
      <x:c r="G1597" s="8" t="str">
        <x:v>https://apis.data.go.kr/1471000/DrbEasyDrugInfoService/getDrbEasyDrugList</x:v>
      </x:c>
      <x:c r="H1597" s="8" t="str">
        <x:v>{
  "item_seq": "201901314",
  "item_name": "인콤정(알벤다졸)",
  "manufacturer": "(주)이든파마",
  "section_codes": [
    "dosage"
  ]
}</x:v>
      </x:c>
    </x:row>
    <x:row r="1598" ht="54" customHeight="1">
      <x:c r="A1598" s="8" t="str">
        <x:v>gold-medication-f806cdf9a2641ece</x:v>
      </x:c>
      <x:c r="B1598" s="8" t="str">
        <x:v>eyak:202002759:efficacy:001</x:v>
      </x:c>
      <x:c r="C1598" s="8" t="str">
        <x:v>eyak:202002759:efficacy:001</x:v>
      </x:c>
      <x:c r="D1598" s="8" t="str">
        <x:v>근거와 함께 답변</x:v>
      </x:c>
      <x:c r="E1598" s="15" t="n">
        <x:v>1596</x:v>
      </x:c>
      <x:c r="F1598" s="8" t="str">
        <x:v>기존 검증 정답</x:v>
      </x:c>
      <x:c r="G1598" s="8" t="str">
        <x:v>https://apis.data.go.kr/1471000/DrbEasyDrugInfoService/getDrbEasyDrugList</x:v>
      </x:c>
      <x:c r="H1598" s="8" t="str">
        <x:v>{
  "item_seq": "202002759",
  "item_name": "팜도인캡슐(에르도스테인)",
  "manufacturer": "(주)한국팜비오",
  "section_codes": [
    "efficacy"
  ]
}</x:v>
      </x:c>
    </x:row>
    <x:row r="1599" ht="54" customHeight="1">
      <x:c r="A1599" s="8" t="str">
        <x:v>gold-medication-eaaadeafd0131fd3</x:v>
      </x:c>
      <x:c r="B1599" s="8" t="str">
        <x:v>eyak:201803248:efficacy:001</x:v>
      </x:c>
      <x:c r="C1599" s="8" t="str">
        <x:v>eyak:201803248:efficacy:001</x:v>
      </x:c>
      <x:c r="D1599" s="8" t="str">
        <x:v>근거와 함께 답변</x:v>
      </x:c>
      <x:c r="E1599" s="15" t="n">
        <x:v>1597</x:v>
      </x:c>
      <x:c r="F1599" s="8" t="str">
        <x:v>기존 검증 정답</x:v>
      </x:c>
      <x:c r="G1599" s="8" t="str">
        <x:v>https://apis.data.go.kr/1471000/DrbEasyDrugInfoService/getDrbEasyDrugList</x:v>
      </x:c>
      <x:c r="H1599" s="8" t="str">
        <x:v>{
  "item_seq": "201803248",
  "item_name": "메가콘600정",
  "manufacturer": "(주)경보제약",
  "section_codes": [
    "efficacy"
  ]
}</x:v>
      </x:c>
    </x:row>
    <x:row r="1600" ht="54" customHeight="1">
      <x:c r="A1600" s="8" t="str">
        <x:v>gold-medication-52f31bb642d41130</x:v>
      </x:c>
      <x:c r="B1600" s="8" t="str">
        <x:v>eyak:201508320:adverse_reactions:001</x:v>
      </x:c>
      <x:c r="C1600" s="8" t="str">
        <x:v>eyak:201508320:adverse_reactions:001</x:v>
      </x:c>
      <x:c r="D1600" s="8" t="str">
        <x:v>근거와 함께 답변</x:v>
      </x:c>
      <x:c r="E1600" s="15" t="n">
        <x:v>1598</x:v>
      </x:c>
      <x:c r="F1600" s="8" t="str">
        <x:v>기존 검증 정답</x:v>
      </x:c>
      <x:c r="G1600" s="8" t="str">
        <x:v>https://apis.data.go.kr/1471000/DrbEasyDrugInfoService/getDrbEasyDrugList</x:v>
      </x:c>
      <x:c r="H1600" s="8" t="str">
        <x:v>{
  "item_seq": "201508320",
  "item_name": "노펜피록시캄겔(피록시캄)",
  "manufacturer": "제이더블유중외제약(주)",
  "section_codes": [
    "adverse_reactions"
  ]
}</x:v>
      </x:c>
    </x:row>
    <x:row r="1601" ht="54" customHeight="1">
      <x:c r="A1601" s="8" t="str">
        <x:v>gold-medication-cdb5daaea83598ed</x:v>
      </x:c>
      <x:c r="B1601" s="8" t="str">
        <x:v>eyak:201005753:adverse_reactions:003</x:v>
      </x:c>
      <x:c r="C1601" s="8" t="str">
        <x:v>eyak:201005753:adverse_reactions:003
eyak:201005753:adverse_reactions:004
eyak:201005753:adverse_reactions:002
eyak:201005753:adverse_reactions:005
eyak:201005753:adverse_reactions:001</x:v>
      </x:c>
      <x:c r="D1601" s="8" t="str">
        <x:v>근거와 함께 답변</x:v>
      </x:c>
      <x:c r="E1601" s="15" t="n">
        <x:v>1599</x:v>
      </x:c>
      <x:c r="F1601" s="8" t="str">
        <x:v>기존 검증 정답</x:v>
      </x:c>
      <x:c r="G1601" s="8" t="str">
        <x:v>https://apis.data.go.kr/1471000/DrbEasyDrugInfoService/getDrbEasyDrugList</x:v>
      </x:c>
      <x:c r="H1601" s="8" t="str">
        <x:v>{
  "item_seq": "201005753",
  "item_name": "맥시펜시럽(덱시부프로펜)",
  "manufacturer": "진양제약(주)",
  "section_codes": [
    "adverse_reactions"
  ]
}</x:v>
      </x:c>
    </x:row>
    <x:row r="1602" ht="54" customHeight="1">
      <x:c r="A1602" s="8" t="str">
        <x:v>gold-medication-59a4b279f60c9185</x:v>
      </x:c>
      <x:c r="B1602" s="8" t="str">
        <x:v>eyak:201501112:efficacy:001</x:v>
      </x:c>
      <x:c r="C1602" s="8" t="str">
        <x:v>eyak:201501112:efficacy:001</x:v>
      </x:c>
      <x:c r="D1602" s="8" t="str">
        <x:v>근거와 함께 답변</x:v>
      </x:c>
      <x:c r="E1602" s="15" t="n">
        <x:v>1600</x:v>
      </x:c>
      <x:c r="F1602" s="8" t="str">
        <x:v>기존 검증 정답</x:v>
      </x:c>
      <x:c r="G1602" s="8" t="str">
        <x:v>https://apis.data.go.kr/1471000/DrbEasyDrugInfoService/getDrbEasyDrugList</x:v>
      </x:c>
      <x:c r="H1602" s="8" t="str">
        <x:v>{
  "item_seq": "201501112",
  "item_name": "코디톱플라스타(디클로페낙디에틸암모늄)",
  "manufacturer": "코오롱제약(주)",
  "section_codes": [
    "efficacy"
  ]
}</x:v>
      </x:c>
    </x:row>
    <x:row r="1603" ht="54" customHeight="1">
      <x:c r="A1603" s="8" t="str">
        <x:v>gold-medication-na-a96ca977741268e6</x:v>
      </x:c>
      <x:c r="B1603" s="8" t="str"/>
      <x:c r="C1603" s="8" t="str"/>
      <x:c r="D1603" s="8" t="str">
        <x:v>답변 거부 또는 추가 확인 요청</x:v>
      </x:c>
      <x:c r="E1603" s="15" t="n">
        <x:v>1601</x:v>
      </x:c>
      <x:c r="F1603" s="8" t="str">
        <x:v>답변 거부 기준 문구</x:v>
      </x:c>
      <x:c r="G1603" s="8" t="str">
        <x:v>https://apis.data.go.kr/1471000/DrbEasyDrugInfoService/getDrbEasyDrugList</x:v>
      </x:c>
      <x:c r="H1603" s="8" t="str">
        <x:v>{
  "item_seq": "200401295",
  "item_name": "테라빅정",
  "manufacturer": "일양약품(주)",
  "section_codes": [
    "efficacy"
  ]
}</x:v>
      </x:c>
    </x:row>
    <x:row r="1604" ht="54" customHeight="1">
      <x:c r="A1604" s="8" t="str">
        <x:v>gold-medication-5934bb6fb4b8cd60</x:v>
      </x:c>
      <x:c r="B1604" s="8" t="str">
        <x:v>eyak:202300042:adverse_reactions:001</x:v>
      </x:c>
      <x:c r="C1604" s="8" t="str">
        <x:v>eyak:202300042:adverse_reactions:001</x:v>
      </x:c>
      <x:c r="D1604" s="8" t="str">
        <x:v>근거와 함께 답변</x:v>
      </x:c>
      <x:c r="E1604" s="15" t="n">
        <x:v>1602</x:v>
      </x:c>
      <x:c r="F1604" s="8" t="str">
        <x:v>기존 검증 정답</x:v>
      </x:c>
      <x:c r="G1604" s="8" t="str">
        <x:v>https://apis.data.go.kr/1471000/DrbEasyDrugInfoService/getDrbEasyDrugList</x:v>
      </x:c>
      <x:c r="H1604" s="8" t="str">
        <x:v>{
  "item_seq": "202300042",
  "item_name": "노량캡슐",
  "manufacturer": "(주)한풍제약",
  "section_codes": [
    "adverse_reactions"
  ]
}</x:v>
      </x:c>
    </x:row>
    <x:row r="1605" ht="54" customHeight="1">
      <x:c r="A1605" s="8" t="str">
        <x:v>gold-medication-d840d618644952f0</x:v>
      </x:c>
      <x:c r="B1605" s="8" t="str">
        <x:v>eyak:202202694:precautions:001</x:v>
      </x:c>
      <x:c r="C1605" s="8" t="str">
        <x:v>eyak:202202694:precautions:001
eyak:202202694:precautions:002
eyak:202202694:precautions:004
eyak:202202694:precautions:003</x:v>
      </x:c>
      <x:c r="D1605" s="8" t="str">
        <x:v>근거와 함께 답변</x:v>
      </x:c>
      <x:c r="E1605" s="15" t="n">
        <x:v>1603</x:v>
      </x:c>
      <x:c r="F1605" s="8" t="str">
        <x:v>기존 검증 정답</x:v>
      </x:c>
      <x:c r="G1605" s="8" t="str">
        <x:v>https://apis.data.go.kr/1471000/DrbEasyDrugInfoService/getDrbEasyDrugList</x:v>
      </x:c>
      <x:c r="H1605" s="8" t="str">
        <x:v>{
  "item_seq": "202202694",
  "item_name": "원스아이점안액1%(카르복시메틸셀룰로오스나트륨)(1회용)",
  "manufacturer": "국제약품(주)",
  "section_codes": [
    "precautions"
  ]
}</x:v>
      </x:c>
    </x:row>
    <x:row r="1606" ht="54" customHeight="1">
      <x:c r="A1606" s="8" t="str">
        <x:v>gold-medication-237ec782bb715be8</x:v>
      </x:c>
      <x:c r="B1606" s="8" t="str">
        <x:v>eyak:198901706:precautions:001</x:v>
      </x:c>
      <x:c r="C1606" s="8" t="str">
        <x:v>eyak:198901706:precautions:001</x:v>
      </x:c>
      <x:c r="D1606" s="8" t="str">
        <x:v>근거와 함께 답변</x:v>
      </x:c>
      <x:c r="E1606" s="15" t="n">
        <x:v>1604</x:v>
      </x:c>
      <x:c r="F1606" s="8" t="str">
        <x:v>기존 검증 정답</x:v>
      </x:c>
      <x:c r="G1606" s="8" t="str">
        <x:v>https://apis.data.go.kr/1471000/DrbEasyDrugInfoService/getDrbEasyDrugList</x:v>
      </x:c>
      <x:c r="H1606" s="8" t="str">
        <x:v>{
  "item_seq": "198901706",
  "item_name": "엑스펙토시럽2%(카르보시스테인)",
  "manufacturer": "(주)팜젠사이언스",
  "section_codes": [
    "precautions"
  ]
}</x:v>
      </x:c>
    </x:row>
    <x:row r="1607" ht="54" customHeight="1">
      <x:c r="A1607" s="8" t="str">
        <x:v>gold-medication-263c570d1561279f</x:v>
      </x:c>
      <x:c r="B1607" s="8" t="str">
        <x:v>eyak:202001535:storage:001</x:v>
      </x:c>
      <x:c r="C1607" s="8" t="str">
        <x:v>eyak:202001535:storage:001</x:v>
      </x:c>
      <x:c r="D1607" s="8" t="str">
        <x:v>근거와 함께 답변</x:v>
      </x:c>
      <x:c r="E1607" s="15" t="n">
        <x:v>1605</x:v>
      </x:c>
      <x:c r="F1607" s="8" t="str">
        <x:v>기존 검증 정답</x:v>
      </x:c>
      <x:c r="G1607" s="8" t="str">
        <x:v>https://apis.data.go.kr/1471000/DrbEasyDrugInfoService/getDrbEasyDrugList</x:v>
      </x:c>
      <x:c r="H1607" s="8" t="str">
        <x:v>{
  "item_seq": "202001535",
  "item_name": "슬림제이정",
  "manufacturer": "한국신텍스제약(주)",
  "section_codes": [
    "storage"
  ]
}</x:v>
      </x:c>
    </x:row>
    <x:row r="1608" ht="54" customHeight="1">
      <x:c r="A1608" s="8" t="str">
        <x:v>gold-medication-8fa34639c5c1cc9f</x:v>
      </x:c>
      <x:c r="B1608" s="8" t="str">
        <x:v>eyak:200200406:interactions:001</x:v>
      </x:c>
      <x:c r="C1608" s="8" t="str">
        <x:v>eyak:200200406:interactions:001</x:v>
      </x:c>
      <x:c r="D1608" s="8" t="str">
        <x:v>근거와 함께 답변</x:v>
      </x:c>
      <x:c r="E1608" s="15" t="n">
        <x:v>1606</x:v>
      </x:c>
      <x:c r="F1608" s="8" t="str">
        <x:v>기존 검증 정답</x:v>
      </x:c>
      <x:c r="G1608" s="8" t="str">
        <x:v>https://apis.data.go.kr/1471000/DrbEasyDrugInfoService/getDrbEasyDrugList</x:v>
      </x:c>
      <x:c r="H1608" s="8" t="str">
        <x:v>{
  "item_seq": "200200406",
  "item_name": "이바내정",
  "manufacturer": "정우신약(주)",
  "section_codes": [
    "interactions"
  ]
}</x:v>
      </x:c>
    </x:row>
    <x:row r="1609" ht="54" customHeight="1">
      <x:c r="A1609" s="8" t="str">
        <x:v>gold-medication-6548e4c96df815cf</x:v>
      </x:c>
      <x:c r="B1609" s="8" t="str">
        <x:v>eyak:200903837:adverse_reactions:001</x:v>
      </x:c>
      <x:c r="C1609" s="8" t="str">
        <x:v>eyak:200903837:adverse_reactions:001</x:v>
      </x:c>
      <x:c r="D1609" s="8" t="str">
        <x:v>근거와 함께 답변</x:v>
      </x:c>
      <x:c r="E1609" s="15" t="n">
        <x:v>1607</x:v>
      </x:c>
      <x:c r="F1609" s="8" t="str">
        <x:v>기존 검증 정답</x:v>
      </x:c>
      <x:c r="G1609" s="8" t="str">
        <x:v>https://apis.data.go.kr/1471000/DrbEasyDrugInfoService/getDrbEasyDrugList</x:v>
      </x:c>
      <x:c r="H1609" s="8" t="str">
        <x:v>{
  "item_seq": "200903837",
  "item_name": "마이녹실에스캡슐",
  "manufacturer": "현대약품(주)",
  "section_codes": [
    "adverse_reactions"
  ]
}</x:v>
      </x:c>
    </x:row>
    <x:row r="1610" ht="54" customHeight="1">
      <x:c r="A1610" s="8" t="str">
        <x:v>gold-medication-18c107e501069ad6</x:v>
      </x:c>
      <x:c r="B1610" s="8" t="str">
        <x:v>eyak:201800344:warning:001
eyak:201800344:precautions:003
eyak:201800344:adverse_reactions:002</x:v>
      </x:c>
      <x:c r="C1610" s="8" t="str">
        <x:v>eyak:201800344:warning:001
eyak:201800344:precautions:003
eyak:201800344:precautions:004
eyak:201800344:precautions:002
eyak:201800344:precautions:005
eyak:201800344:precautions:001
eyak:201800344:adverse_reactions:002
eyak:201800344:adverse_reactions:001</x:v>
      </x:c>
      <x:c r="D1610" s="8" t="str">
        <x:v>근거와 함께 답변</x:v>
      </x:c>
      <x:c r="E1610" s="15" t="n">
        <x:v>1608</x:v>
      </x:c>
      <x:c r="F1610" s="8" t="str">
        <x:v>기존 검증 정답</x:v>
      </x:c>
      <x:c r="G1610" s="8" t="str">
        <x:v>https://apis.data.go.kr/1471000/DrbEasyDrugInfoService/getDrbEasyDrugList</x:v>
      </x:c>
      <x:c r="H1610" s="8" t="str">
        <x:v>{
  "item_seq": "201800344",
  "item_name": "아노덱스정",
  "manufacturer": "(주)팜젠사이언스",
  "section_codes": [
    "warning",
    "precautions",
    "adverse_reactions"
  ]
}</x:v>
      </x:c>
    </x:row>
    <x:row r="1611" ht="54" customHeight="1">
      <x:c r="A1611" s="8" t="str">
        <x:v>gold-medication-9f27d12c7f7e97ba</x:v>
      </x:c>
      <x:c r="B1611" s="8" t="str">
        <x:v>eyak:202401098:precautions:001</x:v>
      </x:c>
      <x:c r="C1611" s="8" t="str">
        <x:v>eyak:202401098:precautions:001
eyak:202401098:precautions:002</x:v>
      </x:c>
      <x:c r="D1611" s="8" t="str">
        <x:v>근거와 함께 답변</x:v>
      </x:c>
      <x:c r="E1611" s="15" t="n">
        <x:v>1609</x:v>
      </x:c>
      <x:c r="F1611" s="8" t="str">
        <x:v>기존 검증 정답</x:v>
      </x:c>
      <x:c r="G1611" s="8" t="str">
        <x:v>https://apis.data.go.kr/1471000/DrbEasyDrugInfoService/getDrbEasyDrugList</x:v>
      </x:c>
      <x:c r="H1611" s="8" t="str">
        <x:v>{
  "item_seq": "202401098",
  "item_name": "카바몰플러스정",
  "manufacturer": "신일제약(주)",
  "section_codes": [
    "precautions"
  ]
}</x:v>
      </x:c>
    </x:row>
    <x:row r="1612" ht="54" customHeight="1">
      <x:c r="A1612" s="8" t="str">
        <x:v>gold-medication-ca5657c8c207a35d</x:v>
      </x:c>
      <x:c r="B1612" s="8" t="str">
        <x:v>eyak:200201841:precautions:001</x:v>
      </x:c>
      <x:c r="C1612" s="8" t="str">
        <x:v>eyak:200201841:precautions:001
eyak:200201841:precautions:002
eyak:200201841:precautions:003
eyak:200201841:precautions:004</x:v>
      </x:c>
      <x:c r="D1612" s="8" t="str">
        <x:v>근거와 함께 답변</x:v>
      </x:c>
      <x:c r="E1612" s="15" t="n">
        <x:v>1610</x:v>
      </x:c>
      <x:c r="F1612" s="8" t="str">
        <x:v>기존 검증 정답</x:v>
      </x:c>
      <x:c r="G1612" s="8" t="str">
        <x:v>https://apis.data.go.kr/1471000/DrbEasyDrugInfoService/getDrbEasyDrugList</x:v>
      </x:c>
      <x:c r="H1612" s="8" t="str">
        <x:v>{
  "item_seq": "200201841",
  "item_name": "헥시덱스-4액(클로르헥시딘글루콘산염액)",
  "manufacturer": "하이플생명과학(주)",
  "section_codes": [
    "precautions"
  ]
}</x:v>
      </x:c>
    </x:row>
    <x:row r="1613" ht="54" customHeight="1">
      <x:c r="A1613" s="8" t="str">
        <x:v>gold-medication-58301f0b9c014aa3</x:v>
      </x:c>
      <x:c r="B1613" s="8" t="str">
        <x:v>eyak:201201051:adverse_reactions:001</x:v>
      </x:c>
      <x:c r="C1613" s="8" t="str">
        <x:v>eyak:201201051:adverse_reactions:001
eyak:201201051:adverse_reactions:002</x:v>
      </x:c>
      <x:c r="D1613" s="8" t="str">
        <x:v>근거와 함께 답변</x:v>
      </x:c>
      <x:c r="E1613" s="15" t="n">
        <x:v>1611</x:v>
      </x:c>
      <x:c r="F1613" s="8" t="str">
        <x:v>기존 검증 정답</x:v>
      </x:c>
      <x:c r="G1613" s="8" t="str">
        <x:v>https://apis.data.go.kr/1471000/DrbEasyDrugInfoService/getDrbEasyDrugList</x:v>
      </x:c>
      <x:c r="H1613" s="8" t="str">
        <x:v>{
  "item_seq": "201201051",
  "item_name": "삐콤씨이브정",
  "manufacturer": "(주)유한양행",
  "section_codes": [
    "adverse_reactions"
  ]
}</x:v>
      </x:c>
    </x:row>
    <x:row r="1614" ht="54" customHeight="1">
      <x:c r="A1614" s="8" t="str">
        <x:v>gold-medication-26e3bdca1e7b7803</x:v>
      </x:c>
      <x:c r="B1614" s="8" t="str">
        <x:v>eyak:200607841:storage:001</x:v>
      </x:c>
      <x:c r="C1614" s="8" t="str">
        <x:v>eyak:200607841:storage:001</x:v>
      </x:c>
      <x:c r="D1614" s="8" t="str">
        <x:v>근거와 함께 답변</x:v>
      </x:c>
      <x:c r="E1614" s="15" t="n">
        <x:v>1612</x:v>
      </x:c>
      <x:c r="F1614" s="8" t="str">
        <x:v>기존 검증 정답</x:v>
      </x:c>
      <x:c r="G1614" s="8" t="str">
        <x:v>https://apis.data.go.kr/1471000/DrbEasyDrugInfoService/getDrbEasyDrugList</x:v>
      </x:c>
      <x:c r="H1614" s="8" t="str">
        <x:v>{
  "item_seq": "200607841",
  "item_name": "엑스칠플러스연고",
  "manufacturer": "시믹씨엠오코리아주식회사",
  "section_codes": [
    "storage"
  ]
}</x:v>
      </x:c>
    </x:row>
    <x:row r="1615" ht="54" customHeight="1">
      <x:c r="A1615" s="8" t="str">
        <x:v>gold-medication-5148b384f31940b8</x:v>
      </x:c>
      <x:c r="B1615" s="8" t="str">
        <x:v>eyak:201405818:interactions:001</x:v>
      </x:c>
      <x:c r="C1615" s="8" t="str">
        <x:v>eyak:201405818:interactions:001
eyak:201405818:interactions:002</x:v>
      </x:c>
      <x:c r="D1615" s="8" t="str">
        <x:v>근거와 함께 답변</x:v>
      </x:c>
      <x:c r="E1615" s="15" t="n">
        <x:v>1613</x:v>
      </x:c>
      <x:c r="F1615" s="8" t="str">
        <x:v>기존 검증 정답</x:v>
      </x:c>
      <x:c r="G1615" s="8" t="str">
        <x:v>https://apis.data.go.kr/1471000/DrbEasyDrugInfoService/getDrbEasyDrugList</x:v>
      </x:c>
      <x:c r="H1615" s="8" t="str">
        <x:v>{
  "item_seq": "201405818",
  "item_name": "비알이부펜시럽(이부프로펜)",
  "manufacturer": "(주)보령바이오파마",
  "section_codes": [
    "interactions"
  ]
}</x:v>
      </x:c>
    </x:row>
    <x:row r="1616" ht="54" customHeight="1">
      <x:c r="A1616" s="8" t="str">
        <x:v>gold-medication-d34cd38e7dc7d148</x:v>
      </x:c>
      <x:c r="B1616" s="8" t="str">
        <x:v>eyak:200402585:adverse_reactions:001</x:v>
      </x:c>
      <x:c r="C1616" s="8" t="str">
        <x:v>eyak:200402585:adverse_reactions:001</x:v>
      </x:c>
      <x:c r="D1616" s="8" t="str">
        <x:v>근거와 함께 답변</x:v>
      </x:c>
      <x:c r="E1616" s="15" t="n">
        <x:v>1614</x:v>
      </x:c>
      <x:c r="F1616" s="8" t="str">
        <x:v>기존 검증 정답</x:v>
      </x:c>
      <x:c r="G1616" s="8" t="str">
        <x:v>https://apis.data.go.kr/1471000/DrbEasyDrugInfoService/getDrbEasyDrugList</x:v>
      </x:c>
      <x:c r="H1616" s="8" t="str">
        <x:v>{
  "item_seq": "200402585",
  "item_name": "알레스탑-에스정",
  "manufacturer": "신일제약(주)",
  "section_codes": [
    "adverse_reactions"
  ]
}</x:v>
      </x:c>
    </x:row>
    <x:row r="1617" ht="54" customHeight="1">
      <x:c r="A1617" s="8" t="str">
        <x:v>gold-medication-7b70ab1d511b3095</x:v>
      </x:c>
      <x:c r="B1617" s="8" t="str">
        <x:v>eyak:202400659:interactions:001</x:v>
      </x:c>
      <x:c r="C1617" s="8" t="str">
        <x:v>eyak:202400659:interactions:001</x:v>
      </x:c>
      <x:c r="D1617" s="8" t="str">
        <x:v>근거와 함께 답변</x:v>
      </x:c>
      <x:c r="E1617" s="15" t="n">
        <x:v>1615</x:v>
      </x:c>
      <x:c r="F1617" s="8" t="str">
        <x:v>기존 검증 정답</x:v>
      </x:c>
      <x:c r="G1617" s="8" t="str">
        <x:v>https://apis.data.go.kr/1471000/DrbEasyDrugInfoService/getDrbEasyDrugList</x:v>
      </x:c>
      <x:c r="H1617" s="8" t="str">
        <x:v>{
  "item_seq": "202400659",
  "item_name": "씨엠지암브록솔정(암브록솔염산염)",
  "manufacturer": "(주)씨엠지제약",
  "section_codes": [
    "interactions"
  ]
}</x:v>
      </x:c>
    </x:row>
    <x:row r="1618" ht="54" customHeight="1">
      <x:c r="A1618" s="8" t="str">
        <x:v>gold-medication-8c87549256f871ab</x:v>
      </x:c>
      <x:c r="B1618" s="8" t="str">
        <x:v>eyak:200906281:interactions:001</x:v>
      </x:c>
      <x:c r="C1618" s="8" t="str">
        <x:v>eyak:200906281:interactions:001</x:v>
      </x:c>
      <x:c r="D1618" s="8" t="str">
        <x:v>근거와 함께 답변</x:v>
      </x:c>
      <x:c r="E1618" s="15" t="n">
        <x:v>1616</x:v>
      </x:c>
      <x:c r="F1618" s="8" t="str">
        <x:v>기존 검증 정답</x:v>
      </x:c>
      <x:c r="G1618" s="8" t="str">
        <x:v>https://apis.data.go.kr/1471000/DrbEasyDrugInfoService/getDrbEasyDrugList</x:v>
      </x:c>
      <x:c r="H1618" s="8" t="str">
        <x:v>{
  "item_seq": "200906281",
  "item_name": "노스핀캡슐",
  "manufacturer": "오스틴제약(주)",
  "section_codes": [
    "interactions"
  ]
}</x:v>
      </x:c>
    </x:row>
    <x:row r="1619" ht="54" customHeight="1">
      <x:c r="A1619" s="8" t="str">
        <x:v>gold-medication-65697538cd32e0cb</x:v>
      </x:c>
      <x:c r="B1619" s="8" t="str">
        <x:v>eyak:200300703:warning:001
eyak:200300703:precautions:003
eyak:200300703:adverse_reactions:001</x:v>
      </x:c>
      <x:c r="C1619" s="8" t="str">
        <x:v>eyak:200300703:warning:001
eyak:200300703:precautions:003
eyak:200300703:precautions:002
eyak:200300703:precautions:001
eyak:200300703:adverse_reactions:001
eyak:200300703:adverse_reactions:002</x:v>
      </x:c>
      <x:c r="D1619" s="8" t="str">
        <x:v>근거와 함께 답변</x:v>
      </x:c>
      <x:c r="E1619" s="15" t="n">
        <x:v>1617</x:v>
      </x:c>
      <x:c r="F1619" s="8" t="str">
        <x:v>기존 검증 정답</x:v>
      </x:c>
      <x:c r="G1619" s="8" t="str">
        <x:v>https://apis.data.go.kr/1471000/DrbEasyDrugInfoService/getDrbEasyDrugList</x:v>
      </x:c>
      <x:c r="H1619" s="8" t="str">
        <x:v>{
  "item_seq": "200300703",
  "item_name": "하이비날골드정",
  "manufacturer": "(주)한독",
  "section_codes": [
    "warning",
    "precautions",
    "adverse_reactions"
  ]
}</x:v>
      </x:c>
    </x:row>
    <x:row r="1620" ht="54" customHeight="1">
      <x:c r="A1620" s="8" t="str">
        <x:v>gold-medication-na-c583139d5cdef605</x:v>
      </x:c>
      <x:c r="B1620" s="8" t="str"/>
      <x:c r="C1620" s="8" t="str"/>
      <x:c r="D1620" s="8" t="str">
        <x:v>답변 거부 또는 추가 확인 요청</x:v>
      </x:c>
      <x:c r="E1620" s="15" t="n">
        <x:v>1618</x:v>
      </x:c>
      <x:c r="F1620" s="8" t="str">
        <x:v>답변 거부 기준 문구</x:v>
      </x:c>
      <x:c r="G1620" s="8" t="str">
        <x:v>https://apis.data.go.kr/1471000/DrbEasyDrugInfoService/getDrbEasyDrugList</x:v>
      </x:c>
      <x:c r="H1620" s="8" t="str">
        <x:v>{
  "item_seq": "202202278",
  "item_name": "파세몰시럽(아세트아미노펜)",
  "manufacturer": "신일제약(주)",
  "section_codes": [
    "adverse_reactions"
  ]
}</x:v>
      </x:c>
    </x:row>
    <x:row r="1621" ht="54" customHeight="1">
      <x:c r="A1621" s="8" t="str">
        <x:v>gold-medication-f41704a9f959bf33</x:v>
      </x:c>
      <x:c r="B1621" s="8" t="str">
        <x:v>eyak:201200989:efficacy:001</x:v>
      </x:c>
      <x:c r="C1621" s="8" t="str">
        <x:v>eyak:201200989:efficacy:001</x:v>
      </x:c>
      <x:c r="D1621" s="8" t="str">
        <x:v>근거와 함께 답변</x:v>
      </x:c>
      <x:c r="E1621" s="15" t="n">
        <x:v>1619</x:v>
      </x:c>
      <x:c r="F1621" s="8" t="str">
        <x:v>기존 검증 정답</x:v>
      </x:c>
      <x:c r="G1621" s="8" t="str">
        <x:v>https://apis.data.go.kr/1471000/DrbEasyDrugInfoService/getDrbEasyDrugList</x:v>
      </x:c>
      <x:c r="H1621" s="8" t="str">
        <x:v>{
  "item_seq": "201200989",
  "item_name": "헥시탄0.5%액(클로르헥시딘글루콘산염액)",
  "manufacturer": "(주)퍼슨",
  "section_codes": [
    "efficacy"
  ]
}</x:v>
      </x:c>
    </x:row>
    <x:row r="1622" ht="54" customHeight="1">
      <x:c r="A1622" s="8" t="str">
        <x:v>gold-medication-7f7de1c555b2b117</x:v>
      </x:c>
      <x:c r="B1622" s="8" t="str">
        <x:v>eyak:199702618:precautions:001</x:v>
      </x:c>
      <x:c r="C1622" s="8" t="str">
        <x:v>eyak:199702618:precautions:001
eyak:199702618:precautions:002
eyak:199702618:precautions:003</x:v>
      </x:c>
      <x:c r="D1622" s="8" t="str">
        <x:v>근거와 함께 답변</x:v>
      </x:c>
      <x:c r="E1622" s="15" t="n">
        <x:v>1620</x:v>
      </x:c>
      <x:c r="F1622" s="8" t="str">
        <x:v>기존 검증 정답</x:v>
      </x:c>
      <x:c r="G1622" s="8" t="str">
        <x:v>https://apis.data.go.kr/1471000/DrbEasyDrugInfoService/getDrbEasyDrugList</x:v>
      </x:c>
      <x:c r="H1622" s="8" t="str">
        <x:v>{
  "item_seq": "199702618",
  "item_name": "로페랄연질캡슐",
  "manufacturer": "(주)한국파비스제약",
  "section_codes": [
    "precautions"
  ]
}</x:v>
      </x:c>
    </x:row>
    <x:row r="1623" ht="54" customHeight="1">
      <x:c r="A1623" s="8" t="str">
        <x:v>gold-medication-f21664a88175da4b</x:v>
      </x:c>
      <x:c r="B1623" s="8" t="str">
        <x:v>eyak:201404271:precautions:001</x:v>
      </x:c>
      <x:c r="C1623" s="8" t="str">
        <x:v>eyak:201404271:precautions:001
eyak:201404271:precautions:002</x:v>
      </x:c>
      <x:c r="D1623" s="8" t="str">
        <x:v>근거와 함께 답변</x:v>
      </x:c>
      <x:c r="E1623" s="15" t="n">
        <x:v>1621</x:v>
      </x:c>
      <x:c r="F1623" s="8" t="str">
        <x:v>기존 검증 정답</x:v>
      </x:c>
      <x:c r="G1623" s="8" t="str">
        <x:v>https://apis.data.go.kr/1471000/DrbEasyDrugInfoService/getDrbEasyDrugList</x:v>
      </x:c>
      <x:c r="H1623" s="8" t="str">
        <x:v>{
  "item_seq": "201404271",
  "item_name": "디센트에스정",
  "manufacturer": "(주)바이넥스",
  "section_codes": [
    "precautions"
  ]
}</x:v>
      </x:c>
    </x:row>
    <x:row r="1624" ht="54" customHeight="1">
      <x:c r="A1624" s="8" t="str">
        <x:v>gold-medication-318c836def4a901c</x:v>
      </x:c>
      <x:c r="B1624" s="8" t="str">
        <x:v>eyak:202003708:adverse_reactions:001</x:v>
      </x:c>
      <x:c r="C1624" s="8" t="str">
        <x:v>eyak:202003708:adverse_reactions:001</x:v>
      </x:c>
      <x:c r="D1624" s="8" t="str">
        <x:v>근거와 함께 답변</x:v>
      </x:c>
      <x:c r="E1624" s="15" t="n">
        <x:v>1622</x:v>
      </x:c>
      <x:c r="F1624" s="8" t="str">
        <x:v>기존 검증 정답</x:v>
      </x:c>
      <x:c r="G1624" s="8" t="str">
        <x:v>https://apis.data.go.kr/1471000/DrbEasyDrugInfoService/getDrbEasyDrugList</x:v>
      </x:c>
      <x:c r="H1624" s="8" t="str">
        <x:v>{
  "item_seq": "202003708",
  "item_name": "아이엔점안액(순), 아이엔점안액(쿨), 아이엔점안액(쿨하이)",
  "manufacturer": "대우제약(주)",
  "section_codes": [
    "adverse_reactions"
  ]
}</x:v>
      </x:c>
    </x:row>
    <x:row r="1625" ht="54" customHeight="1">
      <x:c r="A1625" s="8" t="str">
        <x:v>gold-medication-9f1d2f0d24ee3be6</x:v>
      </x:c>
      <x:c r="B1625" s="8" t="str">
        <x:v>eyak:202400920:interactions:001</x:v>
      </x:c>
      <x:c r="C1625" s="8" t="str">
        <x:v>eyak:202400920:interactions:001</x:v>
      </x:c>
      <x:c r="D1625" s="8" t="str">
        <x:v>근거와 함께 답변</x:v>
      </x:c>
      <x:c r="E1625" s="15" t="n">
        <x:v>1623</x:v>
      </x:c>
      <x:c r="F1625" s="8" t="str">
        <x:v>기존 검증 정답</x:v>
      </x:c>
      <x:c r="G1625" s="8" t="str">
        <x:v>https://apis.data.go.kr/1471000/DrbEasyDrugInfoService/getDrbEasyDrugList</x:v>
      </x:c>
      <x:c r="H1625" s="8" t="str">
        <x:v>{
  "item_seq": "202400920",
  "item_name": "마이펜엑스정",
  "manufacturer": "코오롱제약(주)",
  "section_codes": [
    "interactions"
  ]
}</x:v>
      </x:c>
    </x:row>
    <x:row r="1626" ht="54" customHeight="1">
      <x:c r="A1626" s="8" t="str">
        <x:v>gold-medication-37848e5b182bec22</x:v>
      </x:c>
      <x:c r="B1626" s="8" t="str">
        <x:v>eyak:200711759:precautions:001</x:v>
      </x:c>
      <x:c r="C1626" s="8" t="str">
        <x:v>eyak:200711759:precautions:001
eyak:200711759:precautions:002</x:v>
      </x:c>
      <x:c r="D1626" s="8" t="str">
        <x:v>근거와 함께 답변</x:v>
      </x:c>
      <x:c r="E1626" s="15" t="n">
        <x:v>1624</x:v>
      </x:c>
      <x:c r="F1626" s="8" t="str">
        <x:v>기존 검증 정답</x:v>
      </x:c>
      <x:c r="G1626" s="8" t="str">
        <x:v>https://apis.data.go.kr/1471000/DrbEasyDrugInfoService/getDrbEasyDrugList</x:v>
      </x:c>
      <x:c r="H1626" s="8" t="str">
        <x:v>{
  "item_seq": "200711759",
  "item_name": "맨담한방고카타플라스마",
  "manufacturer": "(주)보령",
  "section_codes": [
    "precautions"
  ]
}</x:v>
      </x:c>
    </x:row>
    <x:row r="1627" ht="54" customHeight="1">
      <x:c r="A1627" s="8" t="str">
        <x:v>gold-medication-1f753a2ac97e8aa6</x:v>
      </x:c>
      <x:c r="B1627" s="8" t="str">
        <x:v>eyak:202001662:precautions:002
eyak:202001662:adverse_reactions:002</x:v>
      </x:c>
      <x:c r="C1627" s="8" t="str">
        <x:v>eyak:202001662:precautions:002
eyak:202001662:precautions:003
eyak:202001662:precautions:004
eyak:202001662:precautions:001
eyak:202001662:adverse_reactions:002
eyak:202001662:adverse_reactions:001</x:v>
      </x:c>
      <x:c r="D1627" s="8" t="str">
        <x:v>근거와 함께 답변</x:v>
      </x:c>
      <x:c r="E1627" s="15" t="n">
        <x:v>1625</x:v>
      </x:c>
      <x:c r="F1627" s="8" t="str">
        <x:v>기존 검증 정답</x:v>
      </x:c>
      <x:c r="G1627" s="8" t="str">
        <x:v>https://apis.data.go.kr/1471000/DrbEasyDrugInfoService/getDrbEasyDrugList</x:v>
      </x:c>
      <x:c r="H1627" s="8" t="str">
        <x:v>{
  "item_seq": "202001662",
  "item_name": "아이파프케어팝카타플라스마(케토프로펜)",
  "manufacturer": "아이큐어(주)",
  "section_codes": [
    "precautions",
    "adverse_reactions"
  ]
}</x:v>
      </x:c>
    </x:row>
    <x:row r="1628" ht="54" customHeight="1">
      <x:c r="A1628" s="8" t="str">
        <x:v>gold-medication-12551ffda9d09a92</x:v>
      </x:c>
      <x:c r="B1628" s="8" t="str">
        <x:v>eyak:202403032:warning:001
eyak:202403032:precautions:004
eyak:202403032:adverse_reactions:002</x:v>
      </x:c>
      <x:c r="C1628" s="8" t="str">
        <x:v>eyak:202403032:warning:001
eyak:202403032:warning:002
eyak:202403032:precautions:004
eyak:202403032:precautions:003
eyak:202403032:precautions:002
eyak:202403032:precautions:001
eyak:202403032:adverse_reactions:002
eyak:202403032:adverse_reactions:001
eyak:202403032:adverse_reactions:003</x:v>
      </x:c>
      <x:c r="D1628" s="8" t="str">
        <x:v>근거와 함께 답변</x:v>
      </x:c>
      <x:c r="E1628" s="15" t="n">
        <x:v>1626</x:v>
      </x:c>
      <x:c r="F1628" s="8" t="str">
        <x:v>기존 검증 정답</x:v>
      </x:c>
      <x:c r="G1628" s="8" t="str">
        <x:v>https://apis.data.go.kr/1471000/DrbEasyDrugInfoService/getDrbEasyDrugList</x:v>
      </x:c>
      <x:c r="H1628" s="8" t="str">
        <x:v>{
  "item_seq": "202403032",
  "item_name": "엑스콜큐코프시럽",
  "manufacturer": "(주)한풍제약",
  "section_codes": [
    "warning",
    "precautions",
    "adverse_reactions"
  ]
}</x:v>
      </x:c>
    </x:row>
    <x:row r="1629" ht="54" customHeight="1">
      <x:c r="A1629" s="8" t="str">
        <x:v>gold-medication-668c266afd200d9a</x:v>
      </x:c>
      <x:c r="B1629" s="8" t="str">
        <x:v>eyak:201306492:storage:001</x:v>
      </x:c>
      <x:c r="C1629" s="8" t="str">
        <x:v>eyak:201306492:storage:001</x:v>
      </x:c>
      <x:c r="D1629" s="8" t="str">
        <x:v>근거와 함께 답변</x:v>
      </x:c>
      <x:c r="E1629" s="15" t="n">
        <x:v>1627</x:v>
      </x:c>
      <x:c r="F1629" s="8" t="str">
        <x:v>기존 검증 정답</x:v>
      </x:c>
      <x:c r="G1629" s="8" t="str">
        <x:v>https://apis.data.go.kr/1471000/DrbEasyDrugInfoService/getDrbEasyDrugList</x:v>
      </x:c>
      <x:c r="H1629" s="8" t="str">
        <x:v>{
  "item_seq": "201306492",
  "item_name": "캐롤엔연질캡슐(나프록센)",
  "manufacturer": "일동제약(주)",
  "section_codes": [
    "storage"
  ]
}</x:v>
      </x:c>
    </x:row>
    <x:row r="1630" ht="54" customHeight="1">
      <x:c r="A1630" s="8" t="str">
        <x:v>gold-medication-44af456f8cf25930</x:v>
      </x:c>
      <x:c r="B1630" s="8" t="str">
        <x:v>eyak:201906058:warning:001
eyak:201906058:precautions:001</x:v>
      </x:c>
      <x:c r="C1630" s="8" t="str">
        <x:v>eyak:201906058:warning:001
eyak:201906058:precautions:001
eyak:201906058:precautions:002
eyak:201906058:precautions:004
eyak:201906058:precautions:003
eyak:201906058:precautions:005</x:v>
      </x:c>
      <x:c r="D1630" s="8" t="str">
        <x:v>근거와 함께 답변</x:v>
      </x:c>
      <x:c r="E1630" s="15" t="n">
        <x:v>1628</x:v>
      </x:c>
      <x:c r="F1630" s="8" t="str">
        <x:v>기존 검증 정답</x:v>
      </x:c>
      <x:c r="G1630" s="8" t="str">
        <x:v>https://apis.data.go.kr/1471000/DrbEasyDrugInfoService/getDrbEasyDrugList</x:v>
      </x:c>
      <x:c r="H1630" s="8" t="str">
        <x:v>{
  "item_seq": "201906058",
  "item_name": "팜페인프로연질캡슐(덱시부프로펜)",
  "manufacturer": "이연제약(주)",
  "section_codes": [
    "warning",
    "precautions"
  ]
}</x:v>
      </x:c>
    </x:row>
    <x:row r="1631" ht="54" customHeight="1">
      <x:c r="A1631" s="8" t="str">
        <x:v>gold-medication-2861a0041b51ada6</x:v>
      </x:c>
      <x:c r="B1631" s="8" t="str">
        <x:v>eyak:201802270:storage:001</x:v>
      </x:c>
      <x:c r="C1631" s="8" t="str">
        <x:v>eyak:201802270:storage:001</x:v>
      </x:c>
      <x:c r="D1631" s="8" t="str">
        <x:v>근거와 함께 답변</x:v>
      </x:c>
      <x:c r="E1631" s="15" t="n">
        <x:v>1629</x:v>
      </x:c>
      <x:c r="F1631" s="8" t="str">
        <x:v>기존 검증 정답</x:v>
      </x:c>
      <x:c r="G1631" s="8" t="str">
        <x:v>https://apis.data.go.kr/1471000/DrbEasyDrugInfoService/getDrbEasyDrugList</x:v>
      </x:c>
      <x:c r="H1631" s="8" t="str">
        <x:v>{
  "item_seq": "201802270",
  "item_name": "내간애액",
  "manufacturer": "초당약품공업(주)",
  "section_codes": [
    "storage"
  ]
}</x:v>
      </x:c>
    </x:row>
    <x:row r="1632" ht="54" customHeight="1">
      <x:c r="A1632" s="8" t="str">
        <x:v>gold-medication-fb0a2bbc8951b362</x:v>
      </x:c>
      <x:c r="B1632" s="8" t="str">
        <x:v>eyak:202500569:adverse_reactions:001</x:v>
      </x:c>
      <x:c r="C1632" s="8" t="str">
        <x:v>eyak:202500569:adverse_reactions:001</x:v>
      </x:c>
      <x:c r="D1632" s="8" t="str">
        <x:v>근거와 함께 답변</x:v>
      </x:c>
      <x:c r="E1632" s="15" t="n">
        <x:v>1630</x:v>
      </x:c>
      <x:c r="F1632" s="8" t="str">
        <x:v>기존 검증 정답</x:v>
      </x:c>
      <x:c r="G1632" s="8" t="str">
        <x:v>https://apis.data.go.kr/1471000/DrbEasyDrugInfoService/getDrbEasyDrugList</x:v>
      </x:c>
      <x:c r="H1632" s="8" t="str">
        <x:v>{
  "item_seq": "202500569",
  "item_name": "센스카나겔",
  "manufacturer": "동국제약(주)",
  "section_codes": [
    "adverse_reactions"
  ]
}</x:v>
      </x:c>
    </x:row>
    <x:row r="1633" ht="54" customHeight="1">
      <x:c r="A1633" s="8" t="str">
        <x:v>gold-medication-c1157a0f7d364433</x:v>
      </x:c>
      <x:c r="B1633" s="8" t="str">
        <x:v>eyak:202002774:precautions:001
eyak:202002774:adverse_reactions:001</x:v>
      </x:c>
      <x:c r="C1633" s="8" t="str">
        <x:v>eyak:202002774:precautions:001
eyak:202002774:precautions:002
eyak:202002774:precautions:003
eyak:202002774:adverse_reactions:001</x:v>
      </x:c>
      <x:c r="D1633" s="8" t="str">
        <x:v>근거와 함께 답변</x:v>
      </x:c>
      <x:c r="E1633" s="15" t="n">
        <x:v>1631</x:v>
      </x:c>
      <x:c r="F1633" s="8" t="str">
        <x:v>기존 검증 정답</x:v>
      </x:c>
      <x:c r="G1633" s="8" t="str">
        <x:v>https://apis.data.go.kr/1471000/DrbEasyDrugInfoService/getDrbEasyDrugList</x:v>
      </x:c>
      <x:c r="H1633" s="8" t="str">
        <x:v>{
  "item_seq": "202002774",
  "item_name": "마스터치크림",
  "manufacturer": "일양바이오팜(주)",
  "section_codes": [
    "precautions",
    "adverse_reactions"
  ]
}</x:v>
      </x:c>
    </x:row>
    <x:row r="1634" ht="54" customHeight="1">
      <x:c r="A1634" s="8" t="str">
        <x:v>gold-medication-a854fa326d23194d</x:v>
      </x:c>
      <x:c r="B1634" s="8" t="str">
        <x:v>eyak:200001364:efficacy:001</x:v>
      </x:c>
      <x:c r="C1634" s="8" t="str">
        <x:v>eyak:200001364:efficacy:001</x:v>
      </x:c>
      <x:c r="D1634" s="8" t="str">
        <x:v>근거와 함께 답변</x:v>
      </x:c>
      <x:c r="E1634" s="15" t="n">
        <x:v>1632</x:v>
      </x:c>
      <x:c r="F1634" s="8" t="str">
        <x:v>기존 검증 정답</x:v>
      </x:c>
      <x:c r="G1634" s="8" t="str">
        <x:v>https://apis.data.go.kr/1471000/DrbEasyDrugInfoService/getDrbEasyDrugList</x:v>
      </x:c>
      <x:c r="H1634" s="8" t="str">
        <x:v>{
  "item_seq": "200001364",
  "item_name": "프러스지크림",
  "manufacturer": "안국약품(주)",
  "section_codes": [
    "efficacy"
  ]
}</x:v>
      </x:c>
    </x:row>
    <x:row r="1635" ht="54" customHeight="1">
      <x:c r="A1635" s="8" t="str">
        <x:v>gold-medication-be0a6c84ded6b73e</x:v>
      </x:c>
      <x:c r="B1635" s="8" t="str">
        <x:v>eyak:202300661:dosage:001</x:v>
      </x:c>
      <x:c r="C1635" s="8" t="str">
        <x:v>eyak:202300661:dosage:001</x:v>
      </x:c>
      <x:c r="D1635" s="8" t="str">
        <x:v>근거와 함께 답변</x:v>
      </x:c>
      <x:c r="E1635" s="15" t="n">
        <x:v>1633</x:v>
      </x:c>
      <x:c r="F1635" s="8" t="str">
        <x:v>기존 검증 정답</x:v>
      </x:c>
      <x:c r="G1635" s="8" t="str">
        <x:v>https://apis.data.go.kr/1471000/DrbEasyDrugInfoService/getDrbEasyDrugList</x:v>
      </x:c>
      <x:c r="H1635" s="8" t="str">
        <x:v>{
  "item_seq": "202300661",
  "item_name": "맥스타민메가맥스정",
  "manufacturer": "(주)일화",
  "section_codes": [
    "dosage"
  ]
}</x:v>
      </x:c>
    </x:row>
    <x:row r="1636" ht="54" customHeight="1">
      <x:c r="A1636" s="8" t="str">
        <x:v>gold-medication-adde695877958d03</x:v>
      </x:c>
      <x:c r="B1636" s="8" t="str">
        <x:v>eyak:200905328:dosage:001</x:v>
      </x:c>
      <x:c r="C1636" s="8" t="str">
        <x:v>eyak:200905328:dosage:001</x:v>
      </x:c>
      <x:c r="D1636" s="8" t="str">
        <x:v>근거와 함께 답변</x:v>
      </x:c>
      <x:c r="E1636" s="15" t="n">
        <x:v>1634</x:v>
      </x:c>
      <x:c r="F1636" s="8" t="str">
        <x:v>기존 검증 정답</x:v>
      </x:c>
      <x:c r="G1636" s="8" t="str">
        <x:v>https://apis.data.go.kr/1471000/DrbEasyDrugInfoService/getDrbEasyDrugList</x:v>
      </x:c>
      <x:c r="H1636" s="8" t="str">
        <x:v>{
  "item_seq": "200905328",
  "item_name": "엠마오플러스크림(리도카인)",
  "manufacturer": "알리코제약(주)",
  "section_codes": [
    "dosage"
  ]
}</x:v>
      </x:c>
    </x:row>
    <x:row r="1637" ht="54" customHeight="1">
      <x:c r="A1637" s="8" t="str">
        <x:v>gold-medication-304ff6115fc64644</x:v>
      </x:c>
      <x:c r="B1637" s="8" t="str">
        <x:v>eyak:202005006:warning:001
eyak:202005006:precautions:001</x:v>
      </x:c>
      <x:c r="C1637" s="8" t="str">
        <x:v>eyak:202005006:warning:001
eyak:202005006:warning:002
eyak:202005006:warning:003
eyak:202005006:precautions:001
eyak:202005006:precautions:003
eyak:202005006:precautions:002</x:v>
      </x:c>
      <x:c r="D1637" s="8" t="str">
        <x:v>근거와 함께 답변</x:v>
      </x:c>
      <x:c r="E1637" s="15" t="n">
        <x:v>1635</x:v>
      </x:c>
      <x:c r="F1637" s="8" t="str">
        <x:v>기존 검증 정답</x:v>
      </x:c>
      <x:c r="G1637" s="8" t="str">
        <x:v>https://apis.data.go.kr/1471000/DrbEasyDrugInfoService/getDrbEasyDrugList</x:v>
      </x:c>
      <x:c r="H1637" s="8" t="str">
        <x:v>{
  "item_seq": "202005006",
  "item_name": "페인엔젤레이디연질캡슐",
  "manufacturer": "제이더블유중외제약(주)",
  "section_codes": [
    "warning",
    "precautions"
  ]
}</x:v>
      </x:c>
    </x:row>
    <x:row r="1638" ht="54" customHeight="1">
      <x:c r="A1638" s="8" t="str">
        <x:v>gold-medication-2c20d1b89f66bfdd</x:v>
      </x:c>
      <x:c r="B1638" s="8" t="str">
        <x:v>eyak:202301761:precautions:002</x:v>
      </x:c>
      <x:c r="C1638" s="8" t="str">
        <x:v>eyak:202301761:precautions:002
eyak:202301761:precautions:001
eyak:202301761:precautions:003</x:v>
      </x:c>
      <x:c r="D1638" s="8" t="str">
        <x:v>근거와 함께 답변</x:v>
      </x:c>
      <x:c r="E1638" s="15" t="n">
        <x:v>1636</x:v>
      </x:c>
      <x:c r="F1638" s="8" t="str">
        <x:v>기존 검증 정답</x:v>
      </x:c>
      <x:c r="G1638" s="8" t="str">
        <x:v>https://apis.data.go.kr/1471000/DrbEasyDrugInfoService/getDrbEasyDrugList</x:v>
      </x:c>
      <x:c r="H1638" s="8" t="str">
        <x:v>{
  "item_seq": "202301761",
  "item_name": "사라펜쿨카타플라스마(디클로페낙나트륨)",
  "manufacturer": "동국제약(주)",
  "section_codes": [
    "precautions"
  ]
}</x:v>
      </x:c>
    </x:row>
    <x:row r="1639" ht="54" customHeight="1">
      <x:c r="A1639" s="8" t="str">
        <x:v>gold-medication-na-1f105a900ca44065</x:v>
      </x:c>
      <x:c r="B1639" s="8" t="str"/>
      <x:c r="C1639" s="8" t="str"/>
      <x:c r="D1639" s="8" t="str">
        <x:v>답변 거부 또는 추가 확인 요청</x:v>
      </x:c>
      <x:c r="E1639" s="15" t="n">
        <x:v>1637</x:v>
      </x:c>
      <x:c r="F1639" s="8" t="str">
        <x:v>답변 거부 기준 문구</x:v>
      </x:c>
      <x:c r="G1639" s="8" t="str">
        <x:v>https://apis.data.go.kr/1471000/DrbEasyDrugInfoService/getDrbEasyDrugList</x:v>
      </x:c>
      <x:c r="H1639" s="8" t="str">
        <x:v>{
  "item_seq": "201804672",
  "item_name": "그린헥시딘0.5%액(클로르헥시딘글루콘산염액)",
  "manufacturer": "(주)그린제약",
  "section_codes": [
    "adverse_reactions"
  ]
}</x:v>
      </x:c>
    </x:row>
    <x:row r="1640" ht="54" customHeight="1">
      <x:c r="A1640" s="8" t="str">
        <x:v>gold-medication-0afed6565b16b3da</x:v>
      </x:c>
      <x:c r="B1640" s="8" t="str">
        <x:v>eyak:202401259:dosage:001</x:v>
      </x:c>
      <x:c r="C1640" s="8" t="str">
        <x:v>eyak:202401259:dosage:001</x:v>
      </x:c>
      <x:c r="D1640" s="8" t="str">
        <x:v>근거와 함께 답변</x:v>
      </x:c>
      <x:c r="E1640" s="15" t="n">
        <x:v>1638</x:v>
      </x:c>
      <x:c r="F1640" s="8" t="str">
        <x:v>기존 검증 정답</x:v>
      </x:c>
      <x:c r="G1640" s="8" t="str">
        <x:v>https://apis.data.go.kr/1471000/DrbEasyDrugInfoService/getDrbEasyDrugList</x:v>
      </x:c>
      <x:c r="H1640" s="8" t="str">
        <x:v>{
  "item_seq": "202401259",
  "item_name": "디카돌정",
  "manufacturer": "한국프라임제약(주)",
  "section_codes": [
    "dosage"
  ]
}</x:v>
      </x:c>
    </x:row>
    <x:row r="1641" ht="54" customHeight="1">
      <x:c r="A1641" s="8" t="str">
        <x:v>gold-medication-3d4437107083c3b8</x:v>
      </x:c>
      <x:c r="B1641" s="8" t="str">
        <x:v>eyak:197700312:storage:001</x:v>
      </x:c>
      <x:c r="C1641" s="8" t="str">
        <x:v>eyak:197700312:storage:001</x:v>
      </x:c>
      <x:c r="D1641" s="8" t="str">
        <x:v>근거와 함께 답변</x:v>
      </x:c>
      <x:c r="E1641" s="15" t="n">
        <x:v>1639</x:v>
      </x:c>
      <x:c r="F1641" s="8" t="str">
        <x:v>기존 검증 정답</x:v>
      </x:c>
      <x:c r="G1641" s="8" t="str">
        <x:v>https://apis.data.go.kr/1471000/DrbEasyDrugInfoService/getDrbEasyDrugList</x:v>
      </x:c>
      <x:c r="H1641" s="8" t="str">
        <x:v>{
  "item_seq": "197700312",
  "item_name": "안티비오과립75밀리그람(락토바실루스아시도필루스)(수출용)",
  "manufacturer": "한화제약(주)",
  "section_codes": [
    "storage"
  ]
}</x:v>
      </x:c>
    </x:row>
    <x:row r="1642" ht="54" customHeight="1">
      <x:c r="A1642" s="8" t="str">
        <x:v>gold-medication-0d37e5506c21f43d</x:v>
      </x:c>
      <x:c r="B1642" s="8" t="str">
        <x:v>eyak:201202816:precautions:002</x:v>
      </x:c>
      <x:c r="C1642" s="8" t="str">
        <x:v>eyak:201202816:precautions:002
eyak:201202816:precautions:001
eyak:201202816:precautions:003</x:v>
      </x:c>
      <x:c r="D1642" s="8" t="str">
        <x:v>근거와 함께 답변</x:v>
      </x:c>
      <x:c r="E1642" s="15" t="n">
        <x:v>1640</x:v>
      </x:c>
      <x:c r="F1642" s="8" t="str">
        <x:v>기존 검증 정답</x:v>
      </x:c>
      <x:c r="G1642" s="8" t="str">
        <x:v>https://apis.data.go.kr/1471000/DrbEasyDrugInfoService/getDrbEasyDrugList</x:v>
      </x:c>
      <x:c r="H1642" s="8" t="str">
        <x:v>{
  "item_seq": "201202816",
  "item_name": "쌍패원코프액",
  "manufacturer": "정우신약(주)",
  "section_codes": [
    "precautions"
  ]
}</x:v>
      </x:c>
    </x:row>
    <x:row r="1643" ht="54" customHeight="1">
      <x:c r="A1643" s="8" t="str">
        <x:v>gold-medication-f999d169c702c97a</x:v>
      </x:c>
      <x:c r="B1643" s="8" t="str">
        <x:v>eyak:200403052:precautions:001</x:v>
      </x:c>
      <x:c r="C1643" s="8" t="str">
        <x:v>eyak:200403052:precautions:001</x:v>
      </x:c>
      <x:c r="D1643" s="8" t="str">
        <x:v>근거와 함께 답변</x:v>
      </x:c>
      <x:c r="E1643" s="15" t="n">
        <x:v>1641</x:v>
      </x:c>
      <x:c r="F1643" s="8" t="str">
        <x:v>기존 검증 정답</x:v>
      </x:c>
      <x:c r="G1643" s="8" t="str">
        <x:v>https://apis.data.go.kr/1471000/DrbEasyDrugInfoService/getDrbEasyDrugList</x:v>
      </x:c>
      <x:c r="H1643" s="8" t="str">
        <x:v>{
  "item_seq": "200403052",
  "item_name": "메부틴정(트리메부틴말레산염)(수출명: Supertrim Tab.)",
  "manufacturer": "구주제약(주)",
  "section_codes": [
    "precautions"
  ]
}</x:v>
      </x:c>
    </x:row>
    <x:row r="1644" ht="54" customHeight="1">
      <x:c r="A1644" s="8" t="str">
        <x:v>gold-medication-d46ab77a2e9a0f47</x:v>
      </x:c>
      <x:c r="B1644" s="8" t="str">
        <x:v>eyak:201900823:precautions:001</x:v>
      </x:c>
      <x:c r="C1644" s="8" t="str">
        <x:v>eyak:201900823:precautions:001</x:v>
      </x:c>
      <x:c r="D1644" s="8" t="str">
        <x:v>근거와 함께 답변</x:v>
      </x:c>
      <x:c r="E1644" s="15" t="n">
        <x:v>1642</x:v>
      </x:c>
      <x:c r="F1644" s="8" t="str">
        <x:v>기존 검증 정답</x:v>
      </x:c>
      <x:c r="G1644" s="8" t="str">
        <x:v>https://apis.data.go.kr/1471000/DrbEasyDrugInfoService/getDrbEasyDrugList</x:v>
      </x:c>
      <x:c r="H1644" s="8" t="str">
        <x:v>{
  "item_seq": "201900823",
  "item_name": "엘도르캡슐(에르도스테인)",
  "manufacturer": "익수제약(주)",
  "section_codes": [
    "precautions"
  ]
}</x:v>
      </x:c>
    </x:row>
    <x:row r="1645" ht="54" customHeight="1">
      <x:c r="A1645" s="8" t="str">
        <x:v>gold-medication-ca6fd1982d7d83de</x:v>
      </x:c>
      <x:c r="B1645" s="8" t="str">
        <x:v>eyak:202401681:precautions:005</x:v>
      </x:c>
      <x:c r="C1645" s="8" t="str">
        <x:v>eyak:202401681:precautions:005
eyak:202401681:precautions:004
eyak:202401681:precautions:006
eyak:202401681:precautions:003
eyak:202401681:precautions:002
eyak:202401681:precautions:001</x:v>
      </x:c>
      <x:c r="D1645" s="8" t="str">
        <x:v>근거와 함께 답변</x:v>
      </x:c>
      <x:c r="E1645" s="15" t="n">
        <x:v>1643</x:v>
      </x:c>
      <x:c r="F1645" s="8" t="str">
        <x:v>기존 검증 정답</x:v>
      </x:c>
      <x:c r="G1645" s="8" t="str">
        <x:v>https://apis.data.go.kr/1471000/DrbEasyDrugInfoService/getDrbEasyDrugList</x:v>
      </x:c>
      <x:c r="H1645" s="8" t="str">
        <x:v>{
  "item_seq": "202401681",
  "item_name": "다펜덱시연질캡슐(덱시부프로펜)",
  "manufacturer": "조아제약(주)",
  "section_codes": [
    "precautions"
  ]
}</x:v>
      </x:c>
    </x:row>
    <x:row r="1646" ht="54" customHeight="1">
      <x:c r="A1646" s="8" t="str">
        <x:v>gold-medication-5d36df23b0173da6</x:v>
      </x:c>
      <x:c r="B1646" s="8" t="str">
        <x:v>eyak:200801346:adverse_reactions:001</x:v>
      </x:c>
      <x:c r="C1646" s="8" t="str">
        <x:v>eyak:200801346:adverse_reactions:001</x:v>
      </x:c>
      <x:c r="D1646" s="8" t="str">
        <x:v>근거와 함께 답변</x:v>
      </x:c>
      <x:c r="E1646" s="15" t="n">
        <x:v>1644</x:v>
      </x:c>
      <x:c r="F1646" s="8" t="str">
        <x:v>기존 검증 정답</x:v>
      </x:c>
      <x:c r="G1646" s="8" t="str">
        <x:v>https://apis.data.go.kr/1471000/DrbEasyDrugInfoService/getDrbEasyDrugList</x:v>
      </x:c>
      <x:c r="H1646" s="8" t="str">
        <x:v>{
  "item_seq": "200801346",
  "item_name": "구미헥시크린에이액(글루콘산클로르헥시딘액)",
  "manufacturer": "구미제약(주)",
  "section_codes": [
    "adverse_reactions"
  ]
}</x:v>
      </x:c>
    </x:row>
    <x:row r="1647" ht="54" customHeight="1">
      <x:c r="A1647" s="8" t="str">
        <x:v>gold-medication-47162a3cde332760</x:v>
      </x:c>
      <x:c r="B1647" s="8" t="str">
        <x:v>eyak:199801877:warning:001
eyak:199801877:precautions:001
eyak:199801877:adverse_reactions:002</x:v>
      </x:c>
      <x:c r="C1647" s="8" t="str">
        <x:v>eyak:199801877:warning:001
eyak:199801877:precautions:001
eyak:199801877:precautions:004
eyak:199801877:precautions:002
eyak:199801877:precautions:003
eyak:199801877:adverse_reactions:002
eyak:199801877:adverse_reactions:003
eyak:199801877:adverse_reactions:001</x:v>
      </x:c>
      <x:c r="D1647" s="8" t="str">
        <x:v>근거와 함께 답변</x:v>
      </x:c>
      <x:c r="E1647" s="15" t="n">
        <x:v>1645</x:v>
      </x:c>
      <x:c r="F1647" s="8" t="str">
        <x:v>기존 검증 정답</x:v>
      </x:c>
      <x:c r="G1647" s="8" t="str">
        <x:v>https://apis.data.go.kr/1471000/DrbEasyDrugInfoService/getDrbEasyDrugList</x:v>
      </x:c>
      <x:c r="H1647" s="8" t="str">
        <x:v>{
  "item_seq": "199801877",
  "item_name": "아나리바정",
  "manufacturer": "오스틴제약(주)",
  "section_codes": [
    "warning",
    "precautions",
    "adverse_reactions"
  ]
}</x:v>
      </x:c>
    </x:row>
    <x:row r="1648" ht="54" customHeight="1">
      <x:c r="A1648" s="8" t="str">
        <x:v>gold-medication-14f86e0e9c2f5616</x:v>
      </x:c>
      <x:c r="B1648" s="8" t="str">
        <x:v>eyak:200001638:precautions:001</x:v>
      </x:c>
      <x:c r="C1648" s="8" t="str">
        <x:v>eyak:200001638:precautions:001
eyak:200001638:precautions:002
eyak:200001638:precautions:003</x:v>
      </x:c>
      <x:c r="D1648" s="8" t="str">
        <x:v>근거와 함께 답변</x:v>
      </x:c>
      <x:c r="E1648" s="15" t="n">
        <x:v>1646</x:v>
      </x:c>
      <x:c r="F1648" s="8" t="str">
        <x:v>기존 검증 정답</x:v>
      </x:c>
      <x:c r="G1648" s="8" t="str">
        <x:v>https://apis.data.go.kr/1471000/DrbEasyDrugInfoService/getDrbEasyDrugList</x:v>
      </x:c>
      <x:c r="H1648" s="8" t="str">
        <x:v>{
  "item_seq": "200001638",
  "item_name": "헤모니아캡슐(폴리사카리드철착염)",
  "manufacturer": "(주)동구바이오제약",
  "section_codes": [
    "precautions"
  ]
}</x:v>
      </x:c>
    </x:row>
    <x:row r="1649" ht="54" customHeight="1">
      <x:c r="A1649" s="8" t="str">
        <x:v>gold-medication-aa0dee4879bf7640</x:v>
      </x:c>
      <x:c r="B1649" s="8" t="str">
        <x:v>eyak:201101838:adverse_reactions:001</x:v>
      </x:c>
      <x:c r="C1649" s="8" t="str">
        <x:v>eyak:201101838:adverse_reactions:001</x:v>
      </x:c>
      <x:c r="D1649" s="8" t="str">
        <x:v>근거와 함께 답변</x:v>
      </x:c>
      <x:c r="E1649" s="15" t="n">
        <x:v>1647</x:v>
      </x:c>
      <x:c r="F1649" s="8" t="str">
        <x:v>기존 검증 정답</x:v>
      </x:c>
      <x:c r="G1649" s="8" t="str">
        <x:v>https://apis.data.go.kr/1471000/DrbEasyDrugInfoService/getDrbEasyDrugList</x:v>
      </x:c>
      <x:c r="H1649" s="8" t="str">
        <x:v>{
  "item_seq": "201101838",
  "item_name": "아이원점안액",
  "manufacturer": "명문제약(주)",
  "section_codes": [
    "adverse_reactions"
  ]
}</x:v>
      </x:c>
    </x:row>
    <x:row r="1650" ht="54" customHeight="1">
      <x:c r="A1650" s="8" t="str">
        <x:v>gold-medication-85c591e37e005ed0</x:v>
      </x:c>
      <x:c r="B1650" s="8" t="str">
        <x:v>eyak:201500313:adverse_reactions:002</x:v>
      </x:c>
      <x:c r="C1650" s="8" t="str">
        <x:v>eyak:201500313:adverse_reactions:002
eyak:201500313:adverse_reactions:001</x:v>
      </x:c>
      <x:c r="D1650" s="8" t="str">
        <x:v>근거와 함께 답변</x:v>
      </x:c>
      <x:c r="E1650" s="15" t="n">
        <x:v>1648</x:v>
      </x:c>
      <x:c r="F1650" s="8" t="str">
        <x:v>기존 검증 정답</x:v>
      </x:c>
      <x:c r="G1650" s="8" t="str">
        <x:v>https://apis.data.go.kr/1471000/DrbEasyDrugInfoService/getDrbEasyDrugList</x:v>
      </x:c>
      <x:c r="H1650" s="8" t="str">
        <x:v>{
  "item_seq": "201500313",
  "item_name": "아로나민실버프리미엄정",
  "manufacturer": "일동제약(주)",
  "section_codes": [
    "adverse_reactions"
  ]
}</x:v>
      </x:c>
    </x:row>
    <x:row r="1651" ht="54" customHeight="1">
      <x:c r="A1651" s="8" t="str">
        <x:v>gold-medication-3760e0c2caae0442</x:v>
      </x:c>
      <x:c r="B1651" s="8" t="str">
        <x:v>eyak:201206822:efficacy:001</x:v>
      </x:c>
      <x:c r="C1651" s="8" t="str">
        <x:v>eyak:201206822:efficacy:001</x:v>
      </x:c>
      <x:c r="D1651" s="8" t="str">
        <x:v>근거와 함께 답변</x:v>
      </x:c>
      <x:c r="E1651" s="15" t="n">
        <x:v>1649</x:v>
      </x:c>
      <x:c r="F1651" s="8" t="str">
        <x:v>기존 검증 정답</x:v>
      </x:c>
      <x:c r="G1651" s="8" t="str">
        <x:v>https://apis.data.go.kr/1471000/DrbEasyDrugInfoService/getDrbEasyDrugList</x:v>
      </x:c>
      <x:c r="H1651" s="8" t="str">
        <x:v>{
  "item_seq": "201206822",
  "item_name": "노즈케어점비액",
  "manufacturer": "부광약품(주)",
  "section_codes": [
    "efficacy"
  ]
}</x:v>
      </x:c>
    </x:row>
    <x:row r="1652" ht="54" customHeight="1">
      <x:c r="A1652" s="8" t="str">
        <x:v>gold-medication-na-091c7b256d91942e</x:v>
      </x:c>
      <x:c r="B1652" s="8" t="str"/>
      <x:c r="C1652" s="8" t="str"/>
      <x:c r="D1652" s="8" t="str">
        <x:v>답변 거부 또는 추가 확인 요청</x:v>
      </x:c>
      <x:c r="E1652" s="15" t="n">
        <x:v>1650</x:v>
      </x:c>
      <x:c r="F1652" s="8" t="str">
        <x:v>답변 거부 기준 문구</x:v>
      </x:c>
      <x:c r="G1652" s="8" t="str">
        <x:v>https://apis.data.go.kr/1471000/DrbEasyDrugInfoService/getDrbEasyDrugList</x:v>
      </x:c>
      <x:c r="H1652" s="8" t="str">
        <x:v>{
  "item_seq": "202002774",
  "item_name": "마스터치크림",
  "manufacturer": "일양바이오팜(주)",
  "section_codes": [
    "precautions",
    "adverse_reactions"
  ]
}</x:v>
      </x:c>
    </x:row>
    <x:row r="1653" ht="54" customHeight="1">
      <x:c r="A1653" s="8" t="str">
        <x:v>gold-medication-25e716b36ccb2048</x:v>
      </x:c>
      <x:c r="B1653" s="8" t="str">
        <x:v>eyak:199804309:warning:001
eyak:199804309:precautions:002</x:v>
      </x:c>
      <x:c r="C1653" s="8" t="str">
        <x:v>eyak:199804309:warning:001
eyak:199804309:warning:002
eyak:199804309:warning:003
eyak:199804309:precautions:002
eyak:199804309:precautions:004
eyak:199804309:precautions:001
eyak:199804309:precautions:003</x:v>
      </x:c>
      <x:c r="D1653" s="8" t="str">
        <x:v>근거와 함께 답변</x:v>
      </x:c>
      <x:c r="E1653" s="15" t="n">
        <x:v>1651</x:v>
      </x:c>
      <x:c r="F1653" s="8" t="str">
        <x:v>기존 검증 정답</x:v>
      </x:c>
      <x:c r="G1653" s="8" t="str">
        <x:v>https://apis.data.go.kr/1471000/DrbEasyDrugInfoService/getDrbEasyDrugList</x:v>
      </x:c>
      <x:c r="H1653" s="8" t="str">
        <x:v>{
  "item_seq": "199804309",
  "item_name": "알로판400mg정(이부프로펜)",
  "manufacturer": "(주)넥스팜코리아",
  "section_codes": [
    "warning",
    "precautions"
  ]
}</x:v>
      </x:c>
    </x:row>
    <x:row r="1654" ht="54" customHeight="1">
      <x:c r="A1654" s="8" t="str">
        <x:v>gold-medication-bf0f4714f837e59e</x:v>
      </x:c>
      <x:c r="B1654" s="8" t="str">
        <x:v>eyak:202202278:adverse_reactions:001</x:v>
      </x:c>
      <x:c r="C1654" s="8" t="str">
        <x:v>eyak:202202278:adverse_reactions:001
eyak:202202278:adverse_reactions:002
eyak:202202278:adverse_reactions:003</x:v>
      </x:c>
      <x:c r="D1654" s="8" t="str">
        <x:v>근거와 함께 답변</x:v>
      </x:c>
      <x:c r="E1654" s="15" t="n">
        <x:v>1652</x:v>
      </x:c>
      <x:c r="F1654" s="8" t="str">
        <x:v>기존 검증 정답</x:v>
      </x:c>
      <x:c r="G1654" s="8" t="str">
        <x:v>https://apis.data.go.kr/1471000/DrbEasyDrugInfoService/getDrbEasyDrugList</x:v>
      </x:c>
      <x:c r="H1654" s="8" t="str">
        <x:v>{
  "item_seq": "202202278",
  "item_name": "파세몰시럽(아세트아미노펜)",
  "manufacturer": "신일제약(주)",
  "section_codes": [
    "adverse_reactions"
  ]
}</x:v>
      </x:c>
    </x:row>
    <x:row r="1655" ht="54" customHeight="1">
      <x:c r="A1655" s="8" t="str">
        <x:v>gold-medication-na-575f759cba6e74b0</x:v>
      </x:c>
      <x:c r="B1655" s="8" t="str"/>
      <x:c r="C1655" s="8" t="str"/>
      <x:c r="D1655" s="8" t="str">
        <x:v>답변 거부 또는 추가 확인 요청</x:v>
      </x:c>
      <x:c r="E1655" s="15" t="n">
        <x:v>1653</x:v>
      </x:c>
      <x:c r="F1655" s="8" t="str">
        <x:v>답변 거부 기준 문구</x:v>
      </x:c>
      <x:c r="G1655" s="8" t="str">
        <x:v>https://apis.data.go.kr/1471000/DrbEasyDrugInfoService/getDrbEasyDrugList</x:v>
      </x:c>
      <x:c r="H1655" s="8" t="str">
        <x:v>{
  "item_seq": "200711079",
  "item_name": "케노펜쿨링카타플라스마\n(케토프로펜)",
  "manufacturer": "일동제약(주)",
  "section_codes": [
    "precautions",
    "adverse_reactions"
  ]
}</x:v>
      </x:c>
    </x:row>
    <x:row r="1656" ht="54" customHeight="1">
      <x:c r="A1656" s="8" t="str">
        <x:v>gold-medication-73158e10a7536161</x:v>
      </x:c>
      <x:c r="B1656" s="8" t="str">
        <x:v>eyak:201307766:efficacy:001</x:v>
      </x:c>
      <x:c r="C1656" s="8" t="str">
        <x:v>eyak:201307766:efficacy:001</x:v>
      </x:c>
      <x:c r="D1656" s="8" t="str">
        <x:v>근거와 함께 답변</x:v>
      </x:c>
      <x:c r="E1656" s="15" t="n">
        <x:v>1654</x:v>
      </x:c>
      <x:c r="F1656" s="8" t="str">
        <x:v>기존 검증 정답</x:v>
      </x:c>
      <x:c r="G1656" s="8" t="str">
        <x:v>https://apis.data.go.kr/1471000/DrbEasyDrugInfoService/getDrbEasyDrugList</x:v>
      </x:c>
      <x:c r="H1656" s="8" t="str">
        <x:v>{
  "item_seq": "201307766",
  "item_name": "경남데일리디츄어블정",
  "manufacturer": "경남제약(주)",
  "section_codes": [
    "efficacy"
  ]
}</x:v>
      </x:c>
    </x:row>
    <x:row r="1657" ht="54" customHeight="1">
      <x:c r="A1657" s="8" t="str">
        <x:v>gold-medication-3757789eaa7c0bec</x:v>
      </x:c>
      <x:c r="B1657" s="8" t="str">
        <x:v>eyak:201906455:adverse_reactions:001</x:v>
      </x:c>
      <x:c r="C1657" s="8" t="str">
        <x:v>eyak:201906455:adverse_reactions:001</x:v>
      </x:c>
      <x:c r="D1657" s="8" t="str">
        <x:v>근거와 함께 답변</x:v>
      </x:c>
      <x:c r="E1657" s="15" t="n">
        <x:v>1655</x:v>
      </x:c>
      <x:c r="F1657" s="8" t="str">
        <x:v>기존 검증 정답</x:v>
      </x:c>
      <x:c r="G1657" s="8" t="str">
        <x:v>https://apis.data.go.kr/1471000/DrbEasyDrugInfoService/getDrbEasyDrugList</x:v>
      </x:c>
      <x:c r="H1657" s="8" t="str">
        <x:v>{
  "item_seq": "201906455",
  "item_name": "셀레뉴연질캡슐",
  "manufacturer": "(주)알피바이오",
  "section_codes": [
    "adverse_reactions"
  ]
}</x:v>
      </x:c>
    </x:row>
    <x:row r="1658" ht="54" customHeight="1">
      <x:c r="A1658" s="8" t="str">
        <x:v>gold-medication-na-5145990b4197e300</x:v>
      </x:c>
      <x:c r="B1658" s="8" t="str"/>
      <x:c r="C1658" s="8" t="str"/>
      <x:c r="D1658" s="8" t="str">
        <x:v>답변 거부 또는 추가 확인 요청</x:v>
      </x:c>
      <x:c r="E1658" s="15" t="n">
        <x:v>1656</x:v>
      </x:c>
      <x:c r="F1658" s="8" t="str">
        <x:v>답변 거부 기준 문구</x:v>
      </x:c>
      <x:c r="G1658" s="8" t="str">
        <x:v>https://apis.data.go.kr/1471000/DrbEasyDrugInfoService/getDrbEasyDrugList</x:v>
      </x:c>
      <x:c r="H1658" s="8" t="str">
        <x:v>{
  "item_seq": "202105351",
  "item_name": "팜뮤코정(암브록솔염산염)",
  "manufacturer": "(주)유앤생명과학",
  "section_codes": [
    "precautions"
  ]
}</x:v>
      </x:c>
    </x:row>
    <x:row r="1659" ht="54" customHeight="1">
      <x:c r="A1659" s="8" t="str">
        <x:v>gold-medication-faf79387c505280b</x:v>
      </x:c>
      <x:c r="B1659" s="8" t="str">
        <x:v>eyak:201701269:adverse_reactions:001</x:v>
      </x:c>
      <x:c r="C1659" s="8" t="str">
        <x:v>eyak:201701269:adverse_reactions:001</x:v>
      </x:c>
      <x:c r="D1659" s="8" t="str">
        <x:v>근거와 함께 답변</x:v>
      </x:c>
      <x:c r="E1659" s="15" t="n">
        <x:v>1657</x:v>
      </x:c>
      <x:c r="F1659" s="8" t="str">
        <x:v>기존 검증 정답</x:v>
      </x:c>
      <x:c r="G1659" s="8" t="str">
        <x:v>https://apis.data.go.kr/1471000/DrbEasyDrugInfoService/getDrbEasyDrugList</x:v>
      </x:c>
      <x:c r="H1659" s="8" t="str">
        <x:v>{
  "item_seq": "201701269",
  "item_name": "부로멜장용정(브로멜라인)",
  "manufacturer": "(주)바이넥스",
  "section_codes": [
    "adverse_reactions"
  ]
}</x:v>
      </x:c>
    </x:row>
    <x:row r="1660" ht="54" customHeight="1">
      <x:c r="A1660" s="8" t="str">
        <x:v>gold-medication-cd2fb027d94b3d40</x:v>
      </x:c>
      <x:c r="B1660" s="8" t="str">
        <x:v>eyak:201701161:dosage:001</x:v>
      </x:c>
      <x:c r="C1660" s="8" t="str">
        <x:v>eyak:201701161:dosage:001</x:v>
      </x:c>
      <x:c r="D1660" s="8" t="str">
        <x:v>근거와 함께 답변</x:v>
      </x:c>
      <x:c r="E1660" s="15" t="n">
        <x:v>1658</x:v>
      </x:c>
      <x:c r="F1660" s="8" t="str">
        <x:v>기존 검증 정답</x:v>
      </x:c>
      <x:c r="G1660" s="8" t="str">
        <x:v>https://apis.data.go.kr/1471000/DrbEasyDrugInfoService/getDrbEasyDrugList</x:v>
      </x:c>
      <x:c r="H1660" s="8" t="str">
        <x:v>{
  "item_seq": "201701161",
  "item_name": "엘비타정",
  "manufacturer": "(주)휴온스메디텍",
  "section_codes": [
    "dosage"
  ]
}</x:v>
      </x:c>
    </x:row>
    <x:row r="1661" ht="54" customHeight="1">
      <x:c r="A1661" s="8" t="str">
        <x:v>gold-medication-93347da581956390</x:v>
      </x:c>
      <x:c r="B1661" s="8" t="str">
        <x:v>eyak:199803472:dosage:001</x:v>
      </x:c>
      <x:c r="C1661" s="8" t="str">
        <x:v>eyak:199803472:dosage:001</x:v>
      </x:c>
      <x:c r="D1661" s="8" t="str">
        <x:v>근거와 함께 답변</x:v>
      </x:c>
      <x:c r="E1661" s="15" t="n">
        <x:v>1659</x:v>
      </x:c>
      <x:c r="F1661" s="8" t="str">
        <x:v>기존 검증 정답</x:v>
      </x:c>
      <x:c r="G1661" s="8" t="str">
        <x:v>https://apis.data.go.kr/1471000/DrbEasyDrugInfoService/getDrbEasyDrugList</x:v>
      </x:c>
      <x:c r="H1661" s="8" t="str">
        <x:v>{
  "item_seq": "199803472",
  "item_name": "한림포비돈점안액(수출명:한비돈점안액)",
  "manufacturer": "한림제약(주)",
  "section_codes": [
    "dosage"
  ]
}</x:v>
      </x:c>
    </x:row>
    <x:row r="1662" ht="54" customHeight="1">
      <x:c r="A1662" s="8" t="str">
        <x:v>gold-medication-62d11f78f724cce0</x:v>
      </x:c>
      <x:c r="B1662" s="8" t="str">
        <x:v>eyak:202400075:adverse_reactions:001</x:v>
      </x:c>
      <x:c r="C1662" s="8" t="str">
        <x:v>eyak:202400075:adverse_reactions:001</x:v>
      </x:c>
      <x:c r="D1662" s="8" t="str">
        <x:v>근거와 함께 답변</x:v>
      </x:c>
      <x:c r="E1662" s="15" t="n">
        <x:v>1660</x:v>
      </x:c>
      <x:c r="F1662" s="8" t="str">
        <x:v>기존 검증 정답</x:v>
      </x:c>
      <x:c r="G1662" s="8" t="str">
        <x:v>https://apis.data.go.kr/1471000/DrbEasyDrugInfoService/getDrbEasyDrugList</x:v>
      </x:c>
      <x:c r="H1662" s="8" t="str">
        <x:v>{
  "item_seq": "202400075",
  "item_name": "모네랄정",
  "manufacturer": "주식회사 노바엠헬스케어",
  "section_codes": [
    "adverse_reactions"
  ]
}</x:v>
      </x:c>
    </x:row>
    <x:row r="1663" ht="54" customHeight="1">
      <x:c r="A1663" s="8" t="str">
        <x:v>gold-medication-07ddf4466b3d7cff</x:v>
      </x:c>
      <x:c r="B1663" s="8" t="str">
        <x:v>eyak:200210726:dosage:001</x:v>
      </x:c>
      <x:c r="C1663" s="8" t="str">
        <x:v>eyak:200210726:dosage:001</x:v>
      </x:c>
      <x:c r="D1663" s="8" t="str">
        <x:v>근거와 함께 답변</x:v>
      </x:c>
      <x:c r="E1663" s="15" t="n">
        <x:v>1661</x:v>
      </x:c>
      <x:c r="F1663" s="8" t="str">
        <x:v>기존 검증 정답</x:v>
      </x:c>
      <x:c r="G1663" s="8" t="str">
        <x:v>https://apis.data.go.kr/1471000/DrbEasyDrugInfoService/getDrbEasyDrugList</x:v>
      </x:c>
      <x:c r="H1663" s="8" t="str">
        <x:v>{
  "item_seq": "200210726",
  "item_name": "베세틴액(포비돈요오드)",
  "manufacturer": "현대약품(주)",
  "section_codes": [
    "dosage"
  ]
}</x:v>
      </x:c>
    </x:row>
    <x:row r="1664" ht="54" customHeight="1">
      <x:c r="A1664" s="8" t="str">
        <x:v>gold-medication-98e38969e331d9d3</x:v>
      </x:c>
      <x:c r="B1664" s="8" t="str">
        <x:v>eyak:202400177:adverse_reactions:001</x:v>
      </x:c>
      <x:c r="C1664" s="8" t="str">
        <x:v>eyak:202400177:adverse_reactions:001
eyak:202400177:adverse_reactions:002</x:v>
      </x:c>
      <x:c r="D1664" s="8" t="str">
        <x:v>근거와 함께 답변</x:v>
      </x:c>
      <x:c r="E1664" s="15" t="n">
        <x:v>1662</x:v>
      </x:c>
      <x:c r="F1664" s="8" t="str">
        <x:v>기존 검증 정답</x:v>
      </x:c>
      <x:c r="G1664" s="8" t="str">
        <x:v>https://apis.data.go.kr/1471000/DrbEasyDrugInfoService/getDrbEasyDrugList</x:v>
      </x:c>
      <x:c r="H1664" s="8" t="str">
        <x:v>{
  "item_seq": "202400177",
  "item_name": "멀티속정",
  "manufacturer": "일양약품(주)",
  "section_codes": [
    "adverse_reactions"
  ]
}</x:v>
      </x:c>
    </x:row>
    <x:row r="1665" ht="54" customHeight="1">
      <x:c r="A1665" s="8" t="str">
        <x:v>gold-medication-6264c8701092a045</x:v>
      </x:c>
      <x:c r="B1665" s="8" t="str">
        <x:v>eyak:200806882:efficacy:001</x:v>
      </x:c>
      <x:c r="C1665" s="8" t="str">
        <x:v>eyak:200806882:efficacy:001</x:v>
      </x:c>
      <x:c r="D1665" s="8" t="str">
        <x:v>근거와 함께 답변</x:v>
      </x:c>
      <x:c r="E1665" s="15" t="n">
        <x:v>1663</x:v>
      </x:c>
      <x:c r="F1665" s="8" t="str">
        <x:v>기존 검증 정답</x:v>
      </x:c>
      <x:c r="G1665" s="8" t="str">
        <x:v>https://apis.data.go.kr/1471000/DrbEasyDrugInfoService/getDrbEasyDrugList</x:v>
      </x:c>
      <x:c r="H1665" s="8" t="str">
        <x:v>{
  "item_seq": "200806882",
  "item_name": "한방파프바로한방고카타플라스마",
  "manufacturer": "(주)티디에스팜",
  "section_codes": [
    "efficacy"
  ]
}</x:v>
      </x:c>
    </x:row>
    <x:row r="1666" ht="54" customHeight="1">
      <x:c r="A1666" s="8" t="str">
        <x:v>gold-medication-799e93b38d09d27e</x:v>
      </x:c>
      <x:c r="B1666" s="8" t="str">
        <x:v>eyak:201207054:interactions:001</x:v>
      </x:c>
      <x:c r="C1666" s="8" t="str">
        <x:v>eyak:201207054:interactions:001</x:v>
      </x:c>
      <x:c r="D1666" s="8" t="str">
        <x:v>근거와 함께 답변</x:v>
      </x:c>
      <x:c r="E1666" s="15" t="n">
        <x:v>1664</x:v>
      </x:c>
      <x:c r="F1666" s="8" t="str">
        <x:v>기존 검증 정답</x:v>
      </x:c>
      <x:c r="G1666" s="8" t="str">
        <x:v>https://apis.data.go.kr/1471000/DrbEasyDrugInfoService/getDrbEasyDrugList</x:v>
      </x:c>
      <x:c r="H1666" s="8" t="str">
        <x:v>{
  "item_seq": "201207054",
  "item_name": "와이디1000연질캡슐",
  "manufacturer": "(주)알피바이오",
  "section_codes": [
    "interactions"
  ]
}</x:v>
      </x:c>
    </x:row>
    <x:row r="1667" ht="54" customHeight="1">
      <x:c r="A1667" s="8" t="str">
        <x:v>gold-medication-54de7d3479fee4db</x:v>
      </x:c>
      <x:c r="B1667" s="8" t="str">
        <x:v>eyak:200806461:precautions:001</x:v>
      </x:c>
      <x:c r="C1667" s="8" t="str">
        <x:v>eyak:200806461:precautions:001
eyak:200806461:precautions:002</x:v>
      </x:c>
      <x:c r="D1667" s="8" t="str">
        <x:v>근거와 함께 답변</x:v>
      </x:c>
      <x:c r="E1667" s="15" t="n">
        <x:v>1665</x:v>
      </x:c>
      <x:c r="F1667" s="8" t="str">
        <x:v>기존 검증 정답</x:v>
      </x:c>
      <x:c r="G1667" s="8" t="str">
        <x:v>https://apis.data.go.kr/1471000/DrbEasyDrugInfoService/getDrbEasyDrugList</x:v>
      </x:c>
      <x:c r="H1667" s="8" t="str">
        <x:v>{
  "item_seq": "200806461",
  "item_name": "아이리스플러스점안액(1회용), 아이리스플러스점안액",
  "manufacturer": "삼천당제약(주)",
  "section_codes": [
    "precautions"
  ]
}</x:v>
      </x:c>
    </x:row>
    <x:row r="1668" ht="54" customHeight="1">
      <x:c r="A1668" s="8" t="str">
        <x:v>gold-medication-ce83ab04f58b1e1f</x:v>
      </x:c>
      <x:c r="B1668" s="8" t="str">
        <x:v>eyak:201501578:efficacy:001</x:v>
      </x:c>
      <x:c r="C1668" s="8" t="str">
        <x:v>eyak:201501578:efficacy:001</x:v>
      </x:c>
      <x:c r="D1668" s="8" t="str">
        <x:v>근거와 함께 답변</x:v>
      </x:c>
      <x:c r="E1668" s="15" t="n">
        <x:v>1666</x:v>
      </x:c>
      <x:c r="F1668" s="8" t="str">
        <x:v>기존 검증 정답</x:v>
      </x:c>
      <x:c r="G1668" s="8" t="str">
        <x:v>https://apis.data.go.kr/1471000/DrbEasyDrugInfoService/getDrbEasyDrugList</x:v>
      </x:c>
      <x:c r="H1668" s="8" t="str">
        <x:v>{
  "item_seq": "201501578",
  "item_name": "마리부틴정150mg(트리메부틴말레산염)",
  "manufacturer": "경방신약(주)",
  "section_codes": [
    "efficacy"
  ]
}</x:v>
      </x:c>
    </x:row>
    <x:row r="1669" ht="54" customHeight="1">
      <x:c r="A1669" s="8" t="str">
        <x:v>gold-medication-f23c71fb637b3d0e</x:v>
      </x:c>
      <x:c r="B1669" s="8" t="str">
        <x:v>eyak:202302853:interactions:001</x:v>
      </x:c>
      <x:c r="C1669" s="8" t="str">
        <x:v>eyak:202302853:interactions:001</x:v>
      </x:c>
      <x:c r="D1669" s="8" t="str">
        <x:v>근거와 함께 답변</x:v>
      </x:c>
      <x:c r="E1669" s="15" t="n">
        <x:v>1667</x:v>
      </x:c>
      <x:c r="F1669" s="8" t="str">
        <x:v>기존 검증 정답</x:v>
      </x:c>
      <x:c r="G1669" s="8" t="str">
        <x:v>https://apis.data.go.kr/1471000/DrbEasyDrugInfoService/getDrbEasyDrugList</x:v>
      </x:c>
      <x:c r="H1669" s="8" t="str">
        <x:v>{
  "item_seq": "202302853",
  "item_name": "보나링스피드액",
  "manufacturer": "일양약품(주)",
  "section_codes": [
    "interactions"
  ]
}</x:v>
      </x:c>
    </x:row>
    <x:row r="1670" ht="54" customHeight="1">
      <x:c r="A1670" s="8" t="str">
        <x:v>gold-medication-1822b2b490bfa9a7</x:v>
      </x:c>
      <x:c r="B1670" s="8" t="str">
        <x:v>eyak:198300389:efficacy:001</x:v>
      </x:c>
      <x:c r="C1670" s="8" t="str">
        <x:v>eyak:198300389:efficacy:001</x:v>
      </x:c>
      <x:c r="D1670" s="8" t="str">
        <x:v>근거와 함께 답변</x:v>
      </x:c>
      <x:c r="E1670" s="15" t="n">
        <x:v>1668</x:v>
      </x:c>
      <x:c r="F1670" s="8" t="str">
        <x:v>기존 검증 정답</x:v>
      </x:c>
      <x:c r="G1670" s="8" t="str">
        <x:v>https://apis.data.go.kr/1471000/DrbEasyDrugInfoService/getDrbEasyDrugList</x:v>
      </x:c>
      <x:c r="H1670" s="8" t="str">
        <x:v>{
  "item_seq": "198300389",
  "item_name": "삼아탄툼액(벤지다민염산염)",
  "manufacturer": "삼아제약(주)",
  "section_codes": [
    "efficacy"
  ]
}</x:v>
      </x:c>
    </x:row>
    <x:row r="1671" ht="54" customHeight="1">
      <x:c r="A1671" s="8" t="str">
        <x:v>gold-medication-70a18d457e3ccf98</x:v>
      </x:c>
      <x:c r="B1671" s="8" t="str">
        <x:v>eyak:202001725:adverse_reactions:001</x:v>
      </x:c>
      <x:c r="C1671" s="8" t="str">
        <x:v>eyak:202001725:adverse_reactions:001</x:v>
      </x:c>
      <x:c r="D1671" s="8" t="str">
        <x:v>근거와 함께 답변</x:v>
      </x:c>
      <x:c r="E1671" s="15" t="n">
        <x:v>1669</x:v>
      </x:c>
      <x:c r="F1671" s="8" t="str">
        <x:v>기존 검증 정답</x:v>
      </x:c>
      <x:c r="G1671" s="8" t="str">
        <x:v>https://apis.data.go.kr/1471000/DrbEasyDrugInfoService/getDrbEasyDrugList</x:v>
      </x:c>
      <x:c r="H1671" s="8" t="str">
        <x:v>{
  "item_seq": "202001725",
  "item_name": "코마키텐나잘스프레이",
  "manufacturer": "동화약품(주)",
  "section_codes": [
    "adverse_reactions"
  ]
}</x:v>
      </x:c>
    </x:row>
    <x:row r="1672" ht="54" customHeight="1">
      <x:c r="A1672" s="8" t="str">
        <x:v>gold-medication-54dd0e6812c265e6</x:v>
      </x:c>
      <x:c r="B1672" s="8" t="str">
        <x:v>eyak:202002110:adverse_reactions:001</x:v>
      </x:c>
      <x:c r="C1672" s="8" t="str">
        <x:v>eyak:202002110:adverse_reactions:001
eyak:202002110:adverse_reactions:002</x:v>
      </x:c>
      <x:c r="D1672" s="8" t="str">
        <x:v>근거와 함께 답변</x:v>
      </x:c>
      <x:c r="E1672" s="15" t="n">
        <x:v>1670</x:v>
      </x:c>
      <x:c r="F1672" s="8" t="str">
        <x:v>기존 검증 정답</x:v>
      </x:c>
      <x:c r="G1672" s="8" t="str">
        <x:v>https://apis.data.go.kr/1471000/DrbEasyDrugInfoService/getDrbEasyDrugList</x:v>
      </x:c>
      <x:c r="H1672" s="8" t="str">
        <x:v>{
  "item_seq": "202002110",
  "item_name": "디센플러스카타플라스마(디클로페낙나트륨)",
  "manufacturer": "(주)티디에스팜",
  "section_codes": [
    "adverse_reactions"
  ]
}</x:v>
      </x:c>
    </x:row>
    <x:row r="1673" ht="54" customHeight="1">
      <x:c r="A1673" s="8" t="str">
        <x:v>gold-medication-2145aa87c8aecf8a</x:v>
      </x:c>
      <x:c r="B1673" s="8" t="str">
        <x:v>eyak:200201703:precautions:001
eyak:200201703:adverse_reactions:001</x:v>
      </x:c>
      <x:c r="C1673" s="8" t="str">
        <x:v>eyak:200201703:precautions:001
eyak:200201703:precautions:002
eyak:200201703:adverse_reactions:001</x:v>
      </x:c>
      <x:c r="D1673" s="8" t="str">
        <x:v>근거와 함께 답변</x:v>
      </x:c>
      <x:c r="E1673" s="15" t="n">
        <x:v>1671</x:v>
      </x:c>
      <x:c r="F1673" s="8" t="str">
        <x:v>기존 검증 정답</x:v>
      </x:c>
      <x:c r="G1673" s="8" t="str">
        <x:v>https://apis.data.go.kr/1471000/DrbEasyDrugInfoService/getDrbEasyDrugList</x:v>
      </x:c>
      <x:c r="H1673" s="8" t="str">
        <x:v>{
  "item_seq": "200201703",
  "item_name": "덱사톱크림(덱사메타손프로피오네이트)",
  "manufacturer": "오스틴제약(주)",
  "section_codes": [
    "precautions",
    "adverse_reactions"
  ]
}</x:v>
      </x:c>
    </x:row>
    <x:row r="1674" ht="54" customHeight="1">
      <x:c r="A1674" s="8" t="str">
        <x:v>gold-medication-9b8eeb4b602a105a</x:v>
      </x:c>
      <x:c r="B1674" s="8" t="str">
        <x:v>eyak:200703212:warning:001
eyak:200703212:precautions:003
eyak:200703212:adverse_reactions:002</x:v>
      </x:c>
      <x:c r="C1674" s="8" t="str">
        <x:v>eyak:200703212:warning:001
eyak:200703212:warning:002
eyak:200703212:precautions:003
eyak:200703212:precautions:002
eyak:200703212:precautions:001
eyak:200703212:adverse_reactions:002
eyak:200703212:adverse_reactions:001</x:v>
      </x:c>
      <x:c r="D1674" s="8" t="str">
        <x:v>근거와 함께 답변</x:v>
      </x:c>
      <x:c r="E1674" s="15" t="n">
        <x:v>1672</x:v>
      </x:c>
      <x:c r="F1674" s="8" t="str">
        <x:v>기존 검증 정답</x:v>
      </x:c>
      <x:c r="G1674" s="8" t="str">
        <x:v>https://apis.data.go.kr/1471000/DrbEasyDrugInfoService/getDrbEasyDrugList</x:v>
      </x:c>
      <x:c r="H1674" s="8" t="str">
        <x:v>{
  "item_seq": "200703212",
  "item_name": "명랑에스산",
  "manufacturer": "삼남제약(주)",
  "section_codes": [
    "warning",
    "precautions",
    "adverse_reactions"
  ]
}</x:v>
      </x:c>
    </x:row>
    <x:row r="1675" ht="54" customHeight="1">
      <x:c r="A1675" s="8" t="str">
        <x:v>gold-medication-1c23797c414cbb44</x:v>
      </x:c>
      <x:c r="B1675" s="8" t="str">
        <x:v>eyak:201801085:precautions:001</x:v>
      </x:c>
      <x:c r="C1675" s="8" t="str">
        <x:v>eyak:201801085:precautions:001</x:v>
      </x:c>
      <x:c r="D1675" s="8" t="str">
        <x:v>근거와 함께 답변</x:v>
      </x:c>
      <x:c r="E1675" s="15" t="n">
        <x:v>1673</x:v>
      </x:c>
      <x:c r="F1675" s="8" t="str">
        <x:v>기존 검증 정답</x:v>
      </x:c>
      <x:c r="G1675" s="8" t="str">
        <x:v>https://apis.data.go.kr/1471000/DrbEasyDrugInfoService/getDrbEasyDrugList</x:v>
      </x:c>
      <x:c r="H1675" s="8" t="str">
        <x:v>{
  "item_seq": "201801085",
  "item_name": "엘부틴정(트리메부틴말레산염)",
  "manufacturer": "(주)인트로바이오파마",
  "section_codes": [
    "precautions"
  ]
}</x:v>
      </x:c>
    </x:row>
    <x:row r="1676" ht="54" customHeight="1">
      <x:c r="A1676" s="8" t="str">
        <x:v>gold-medication-d545634eb5450938</x:v>
      </x:c>
      <x:c r="B1676" s="8" t="str">
        <x:v>eyak:201211097:precautions:001</x:v>
      </x:c>
      <x:c r="C1676" s="8" t="str">
        <x:v>eyak:201211097:precautions:001
eyak:201211097:precautions:002
eyak:201211097:precautions:003</x:v>
      </x:c>
      <x:c r="D1676" s="8" t="str">
        <x:v>근거와 함께 답변</x:v>
      </x:c>
      <x:c r="E1676" s="15" t="n">
        <x:v>1674</x:v>
      </x:c>
      <x:c r="F1676" s="8" t="str">
        <x:v>기존 검증 정답</x:v>
      </x:c>
      <x:c r="G1676" s="8" t="str">
        <x:v>https://apis.data.go.kr/1471000/DrbEasyDrugInfoService/getDrbEasyDrugList</x:v>
      </x:c>
      <x:c r="H1676" s="8" t="str">
        <x:v>{
  "item_seq": "201211097",
  "item_name": "듀락칸이지시럽(락툴로오즈농축액)",
  "manufacturer": "제이더블유중외제약(주)",
  "section_codes": [
    "precautions"
  ]
}</x:v>
      </x:c>
    </x:row>
    <x:row r="1677" ht="54" customHeight="1">
      <x:c r="A1677" s="8" t="str">
        <x:v>gold-medication-dd02167e12c3cf87</x:v>
      </x:c>
      <x:c r="B1677" s="8" t="str">
        <x:v>eyak:200102101:efficacy:001</x:v>
      </x:c>
      <x:c r="C1677" s="8" t="str">
        <x:v>eyak:200102101:efficacy:001</x:v>
      </x:c>
      <x:c r="D1677" s="8" t="str">
        <x:v>근거와 함께 답변</x:v>
      </x:c>
      <x:c r="E1677" s="15" t="n">
        <x:v>1675</x:v>
      </x:c>
      <x:c r="F1677" s="8" t="str">
        <x:v>기존 검증 정답</x:v>
      </x:c>
      <x:c r="G1677" s="8" t="str">
        <x:v>https://apis.data.go.kr/1471000/DrbEasyDrugInfoService/getDrbEasyDrugList</x:v>
      </x:c>
      <x:c r="H1677" s="8" t="str">
        <x:v>{
  "item_seq": "200102101",
  "item_name": "혜민고카타플라스마",
  "manufacturer": "대화제약(주)",
  "section_codes": [
    "efficacy"
  ]
}</x:v>
      </x:c>
    </x:row>
    <x:row r="1678" ht="54" customHeight="1">
      <x:c r="A1678" s="8" t="str">
        <x:v>gold-medication-840acffd28dab8cd</x:v>
      </x:c>
      <x:c r="B1678" s="8" t="str">
        <x:v>eyak:202401301:efficacy:001</x:v>
      </x:c>
      <x:c r="C1678" s="8" t="str">
        <x:v>eyak:202401301:efficacy:001</x:v>
      </x:c>
      <x:c r="D1678" s="8" t="str">
        <x:v>근거와 함께 답변</x:v>
      </x:c>
      <x:c r="E1678" s="15" t="n">
        <x:v>1676</x:v>
      </x:c>
      <x:c r="F1678" s="8" t="str">
        <x:v>기존 검증 정답</x:v>
      </x:c>
      <x:c r="G1678" s="8" t="str">
        <x:v>https://apis.data.go.kr/1471000/DrbEasyDrugInfoService/getDrbEasyDrugList</x:v>
      </x:c>
      <x:c r="H1678" s="8" t="str">
        <x:v>{
  "item_seq": "202401301",
  "item_name": "써버쿨에스액",
  "manufacturer": "(주)녹십자",
  "section_codes": [
    "efficacy"
  ]
}</x:v>
      </x:c>
    </x:row>
    <x:row r="1679" ht="54" customHeight="1">
      <x:c r="A1679" s="8" t="str">
        <x:v>gold-medication-0df22dd2d9ea676a</x:v>
      </x:c>
      <x:c r="B1679" s="8" t="str">
        <x:v>eyak:201900312:dosage:001</x:v>
      </x:c>
      <x:c r="C1679" s="8" t="str">
        <x:v>eyak:201900312:dosage:001</x:v>
      </x:c>
      <x:c r="D1679" s="8" t="str">
        <x:v>근거와 함께 답변</x:v>
      </x:c>
      <x:c r="E1679" s="15" t="n">
        <x:v>1677</x:v>
      </x:c>
      <x:c r="F1679" s="8" t="str">
        <x:v>기존 검증 정답</x:v>
      </x:c>
      <x:c r="G1679" s="8" t="str">
        <x:v>https://apis.data.go.kr/1471000/DrbEasyDrugInfoService/getDrbEasyDrugList</x:v>
      </x:c>
      <x:c r="H1679" s="8" t="str">
        <x:v>{
  "item_seq": "201900312",
  "item_name": "해소코푸에스시럽",
  "manufacturer": "지엘파마(주)",
  "section_codes": [
    "dosage"
  ]
}</x:v>
      </x:c>
    </x:row>
    <x:row r="1680" ht="54" customHeight="1">
      <x:c r="A1680" s="8" t="str">
        <x:v>gold-medication-a8de390759d6a9f4</x:v>
      </x:c>
      <x:c r="B1680" s="8" t="str">
        <x:v>eyak:202400647:warning:001
eyak:202400647:precautions:001</x:v>
      </x:c>
      <x:c r="C1680" s="8" t="str">
        <x:v>eyak:202400647:warning:001
eyak:202400647:precautions:001
eyak:202400647:precautions:002
eyak:202400647:precautions:003</x:v>
      </x:c>
      <x:c r="D1680" s="8" t="str">
        <x:v>근거와 함께 답변</x:v>
      </x:c>
      <x:c r="E1680" s="15" t="n">
        <x:v>1678</x:v>
      </x:c>
      <x:c r="F1680" s="8" t="str">
        <x:v>기존 검증 정답</x:v>
      </x:c>
      <x:c r="G1680" s="8" t="str">
        <x:v>https://apis.data.go.kr/1471000/DrbEasyDrugInfoService/getDrbEasyDrugList</x:v>
      </x:c>
      <x:c r="H1680" s="8" t="str">
        <x:v>{
  "item_seq": "202400647",
  "item_name": "씨엠지뷰플러스연질캡슐",
  "manufacturer": "(주)씨엠지제약",
  "section_codes": [
    "warning",
    "precautions"
  ]
}</x:v>
      </x:c>
    </x:row>
    <x:row r="1681" ht="54" customHeight="1">
      <x:c r="A1681" s="8" t="str">
        <x:v>gold-medication-58e64db8c9bc3c7d</x:v>
      </x:c>
      <x:c r="B1681" s="8" t="str">
        <x:v>eyak:202500017:warning:001
eyak:202500017:precautions:001</x:v>
      </x:c>
      <x:c r="C1681" s="8" t="str">
        <x:v>eyak:202500017:warning:001
eyak:202500017:precautions:001
eyak:202500017:precautions:003
eyak:202500017:precautions:002</x:v>
      </x:c>
      <x:c r="D1681" s="8" t="str">
        <x:v>근거와 함께 답변</x:v>
      </x:c>
      <x:c r="E1681" s="15" t="n">
        <x:v>1679</x:v>
      </x:c>
      <x:c r="F1681" s="8" t="str">
        <x:v>기존 검증 정답</x:v>
      </x:c>
      <x:c r="G1681" s="8" t="str">
        <x:v>https://apis.data.go.kr/1471000/DrbEasyDrugInfoService/getDrbEasyDrugList</x:v>
      </x:c>
      <x:c r="H1681" s="8" t="str">
        <x:v>{
  "item_seq": "202500017",
  "item_name": "아이비즈헬스연질캡슐",
  "manufacturer": "신일제약(주)",
  "section_codes": [
    "warning",
    "precautions"
  ]
}</x:v>
      </x:c>
    </x:row>
    <x:row r="1682" ht="54" customHeight="1">
      <x:c r="A1682" s="8" t="str">
        <x:v>gold-medication-2c2348b1dc0704c6</x:v>
      </x:c>
      <x:c r="B1682" s="8" t="str">
        <x:v>eyak:201602544:precautions:001</x:v>
      </x:c>
      <x:c r="C1682" s="8" t="str">
        <x:v>eyak:201602544:precautions:001</x:v>
      </x:c>
      <x:c r="D1682" s="8" t="str">
        <x:v>근거와 함께 답변</x:v>
      </x:c>
      <x:c r="E1682" s="15" t="n">
        <x:v>1680</x:v>
      </x:c>
      <x:c r="F1682" s="8" t="str">
        <x:v>기존 검증 정답</x:v>
      </x:c>
      <x:c r="G1682" s="8" t="str">
        <x:v>https://apis.data.go.kr/1471000/DrbEasyDrugInfoService/getDrbEasyDrugList</x:v>
      </x:c>
      <x:c r="H1682" s="8" t="str">
        <x:v>{
  "item_seq": "201602544",
  "item_name": "비오메틱스캡슐(바실루스리케니포르미스균)",
  "manufacturer": "구주제약(주)",
  "section_codes": [
    "precautions"
  ]
}</x:v>
      </x:c>
    </x:row>
    <x:row r="1683" ht="54" customHeight="1">
      <x:c r="A1683" s="8" t="str">
        <x:v>gold-medication-706dd592699a3f18</x:v>
      </x:c>
      <x:c r="B1683" s="8" t="str">
        <x:v>eyak:200002813:precautions:002</x:v>
      </x:c>
      <x:c r="C1683" s="8" t="str">
        <x:v>eyak:200002813:precautions:002
eyak:200002813:precautions:001
eyak:200002813:precautions:004
eyak:200002813:precautions:003</x:v>
      </x:c>
      <x:c r="D1683" s="8" t="str">
        <x:v>근거와 함께 답변</x:v>
      </x:c>
      <x:c r="E1683" s="15" t="n">
        <x:v>1681</x:v>
      </x:c>
      <x:c r="F1683" s="8" t="str">
        <x:v>기존 검증 정답</x:v>
      </x:c>
      <x:c r="G1683" s="8" t="str">
        <x:v>https://apis.data.go.kr/1471000/DrbEasyDrugInfoService/getDrbEasyDrugList</x:v>
      </x:c>
      <x:c r="H1683" s="8" t="str">
        <x:v>{
  "item_seq": "200002813",
  "item_name": "엘스킨크림",
  "manufacturer": "에스케이케미칼(주)",
  "section_codes": [
    "precautions"
  ]
}</x:v>
      </x:c>
    </x:row>
    <x:row r="1684" ht="54" customHeight="1">
      <x:c r="A1684" s="8" t="str">
        <x:v>gold-medication-78d57c3405e4780f</x:v>
      </x:c>
      <x:c r="B1684" s="8" t="str">
        <x:v>eyak:201708381:storage:001</x:v>
      </x:c>
      <x:c r="C1684" s="8" t="str">
        <x:v>eyak:201708381:storage:001</x:v>
      </x:c>
      <x:c r="D1684" s="8" t="str">
        <x:v>근거와 함께 답변</x:v>
      </x:c>
      <x:c r="E1684" s="15" t="n">
        <x:v>1682</x:v>
      </x:c>
      <x:c r="F1684" s="8" t="str">
        <x:v>기존 검증 정답</x:v>
      </x:c>
      <x:c r="G1684" s="8" t="str">
        <x:v>https://apis.data.go.kr/1471000/DrbEasyDrugInfoService/getDrbEasyDrugList</x:v>
      </x:c>
      <x:c r="H1684" s="8" t="str">
        <x:v>{
  "item_seq": "201708381",
  "item_name": "큐앤큐헥시알콜스틱스왑액",
  "manufacturer": "큐앤큐팜(주)",
  "section_codes": [
    "storage"
  ]
}</x:v>
      </x:c>
    </x:row>
    <x:row r="1685" ht="54" customHeight="1">
      <x:c r="A1685" s="8" t="str">
        <x:v>gold-medication-d0afa7e5805a4b40</x:v>
      </x:c>
      <x:c r="B1685" s="8" t="str">
        <x:v>eyak:201800133:efficacy:001</x:v>
      </x:c>
      <x:c r="C1685" s="8" t="str">
        <x:v>eyak:201800133:efficacy:001</x:v>
      </x:c>
      <x:c r="D1685" s="8" t="str">
        <x:v>근거와 함께 답변</x:v>
      </x:c>
      <x:c r="E1685" s="15" t="n">
        <x:v>1683</x:v>
      </x:c>
      <x:c r="F1685" s="8" t="str">
        <x:v>기존 검증 정답</x:v>
      </x:c>
      <x:c r="G1685" s="8" t="str">
        <x:v>https://apis.data.go.kr/1471000/DrbEasyDrugInfoService/getDrbEasyDrugList</x:v>
      </x:c>
      <x:c r="H1685" s="8" t="str">
        <x:v>{
  "item_seq": "201800133",
  "item_name": "치스민캡슐(디오스민)",
  "manufacturer": "동성제약(주)",
  "section_codes": [
    "efficacy"
  ]
}</x:v>
      </x:c>
    </x:row>
    <x:row r="1686" ht="54" customHeight="1">
      <x:c r="A1686" s="8" t="str">
        <x:v>gold-medication-1081fd86e04fd3cd</x:v>
      </x:c>
      <x:c r="B1686" s="8" t="str">
        <x:v>eyak:201602140:adverse_reactions:001</x:v>
      </x:c>
      <x:c r="C1686" s="8" t="str">
        <x:v>eyak:201602140:adverse_reactions:001</x:v>
      </x:c>
      <x:c r="D1686" s="8" t="str">
        <x:v>근거와 함께 답변</x:v>
      </x:c>
      <x:c r="E1686" s="15" t="n">
        <x:v>1684</x:v>
      </x:c>
      <x:c r="F1686" s="8" t="str">
        <x:v>기존 검증 정답</x:v>
      </x:c>
      <x:c r="G1686" s="8" t="str">
        <x:v>https://apis.data.go.kr/1471000/DrbEasyDrugInfoService/getDrbEasyDrugList</x:v>
      </x:c>
      <x:c r="H1686" s="8" t="str">
        <x:v>{
  "item_seq": "201602140",
  "item_name": "토마벤연질캡슐",
  "manufacturer": "동방에프티엘(주)",
  "section_codes": [
    "adverse_reactions"
  ]
}</x:v>
      </x:c>
    </x:row>
    <x:row r="1687" ht="54" customHeight="1">
      <x:c r="A1687" s="8" t="str">
        <x:v>gold-medication-e78b3266574c1ff6</x:v>
      </x:c>
      <x:c r="B1687" s="8" t="str">
        <x:v>eyak:202301038:precautions:002</x:v>
      </x:c>
      <x:c r="C1687" s="8" t="str">
        <x:v>eyak:202301038:precautions:002
eyak:202301038:precautions:001</x:v>
      </x:c>
      <x:c r="D1687" s="8" t="str">
        <x:v>근거와 함께 답변</x:v>
      </x:c>
      <x:c r="E1687" s="15" t="n">
        <x:v>1685</x:v>
      </x:c>
      <x:c r="F1687" s="8" t="str">
        <x:v>기존 검증 정답</x:v>
      </x:c>
      <x:c r="G1687" s="8" t="str">
        <x:v>https://apis.data.go.kr/1471000/DrbEasyDrugInfoService/getDrbEasyDrugList</x:v>
      </x:c>
      <x:c r="H1687" s="8" t="str">
        <x:v>{
  "item_seq": "202301038",
  "item_name": "알파엠지정",
  "manufacturer": "메딕스제약(주)",
  "section_codes": [
    "precautions"
  ]
}</x:v>
      </x:c>
    </x:row>
    <x:row r="1688" ht="54" customHeight="1">
      <x:c r="A1688" s="8" t="str">
        <x:v>gold-medication-1b772465edd85e12</x:v>
      </x:c>
      <x:c r="B1688" s="8" t="str">
        <x:v>eyak:202401074:precautions:001</x:v>
      </x:c>
      <x:c r="C1688" s="8" t="str">
        <x:v>eyak:202401074:precautions:001
eyak:202401074:precautions:002</x:v>
      </x:c>
      <x:c r="D1688" s="8" t="str">
        <x:v>근거와 함께 답변</x:v>
      </x:c>
      <x:c r="E1688" s="15" t="n">
        <x:v>1686</x:v>
      </x:c>
      <x:c r="F1688" s="8" t="str">
        <x:v>기존 검증 정답</x:v>
      </x:c>
      <x:c r="G1688" s="8" t="str">
        <x:v>https://apis.data.go.kr/1471000/DrbEasyDrugInfoService/getDrbEasyDrugList</x:v>
      </x:c>
      <x:c r="H1688" s="8" t="str">
        <x:v>{
  "item_seq": "202401074",
  "item_name": "콘드로친정",
  "manufacturer": "(주)마더스제약",
  "section_codes": [
    "precautions"
  ]
}</x:v>
      </x:c>
    </x:row>
    <x:row r="1689" ht="54" customHeight="1">
      <x:c r="A1689" s="8" t="str">
        <x:v>gold-medication-1674cae3ee1efc7b</x:v>
      </x:c>
      <x:c r="B1689" s="8" t="str">
        <x:v>eyak:202500512:precautions:001</x:v>
      </x:c>
      <x:c r="C1689" s="8" t="str">
        <x:v>eyak:202500512:precautions:001
eyak:202500512:precautions:002</x:v>
      </x:c>
      <x:c r="D1689" s="8" t="str">
        <x:v>근거와 함께 답변</x:v>
      </x:c>
      <x:c r="E1689" s="15" t="n">
        <x:v>1687</x:v>
      </x:c>
      <x:c r="F1689" s="8" t="str">
        <x:v>기존 검증 정답</x:v>
      </x:c>
      <x:c r="G1689" s="8" t="str">
        <x:v>https://apis.data.go.kr/1471000/DrbEasyDrugInfoService/getDrbEasyDrugList</x:v>
      </x:c>
      <x:c r="H1689" s="8" t="str">
        <x:v>{
  "item_seq": "202500512",
  "item_name": "아렉티브액(L-아스파르트산-L-아르기닌수화물)",
  "manufacturer": "주식회사제뉴원사이언스",
  "section_codes": [
    "precautions"
  ]
}</x:v>
      </x:c>
    </x:row>
    <x:row r="1690" ht="54" customHeight="1">
      <x:c r="A1690" s="8" t="str">
        <x:v>gold-medication-na-e33115055e61c4df</x:v>
      </x:c>
      <x:c r="B1690" s="8" t="str"/>
      <x:c r="C1690" s="8" t="str"/>
      <x:c r="D1690" s="8" t="str">
        <x:v>답변 거부 또는 추가 확인 요청</x:v>
      </x:c>
      <x:c r="E1690" s="15" t="n">
        <x:v>1688</x:v>
      </x:c>
      <x:c r="F1690" s="8" t="str">
        <x:v>답변 거부 기준 문구</x:v>
      </x:c>
      <x:c r="G1690" s="8" t="str">
        <x:v>https://apis.data.go.kr/1471000/DrbEasyDrugInfoService/getDrbEasyDrugList</x:v>
      </x:c>
      <x:c r="H1690" s="8" t="str">
        <x:v>{
  "item_seq": "202204634",
  "item_name": "캐롤나이트연질캡슐",
  "manufacturer": "일동제약(주)",
  "section_codes": [
    "interactions"
  ]
}</x:v>
      </x:c>
    </x:row>
    <x:row r="1691" ht="54" customHeight="1">
      <x:c r="A1691" s="8" t="str">
        <x:v>gold-medication-b258813bd59145c5</x:v>
      </x:c>
      <x:c r="B1691" s="8" t="str">
        <x:v>eyak:202402372:efficacy:001</x:v>
      </x:c>
      <x:c r="C1691" s="8" t="str">
        <x:v>eyak:202402372:efficacy:001</x:v>
      </x:c>
      <x:c r="D1691" s="8" t="str">
        <x:v>근거와 함께 답변</x:v>
      </x:c>
      <x:c r="E1691" s="15" t="n">
        <x:v>1689</x:v>
      </x:c>
      <x:c r="F1691" s="8" t="str">
        <x:v>기존 검증 정답</x:v>
      </x:c>
      <x:c r="G1691" s="8" t="str">
        <x:v>https://apis.data.go.kr/1471000/DrbEasyDrugInfoService/getDrbEasyDrugList</x:v>
      </x:c>
      <x:c r="H1691" s="8" t="str">
        <x:v>{
  "item_seq": "202402372",
  "item_name": "파세몰키즈산(아세트아미노펜)",
  "manufacturer": "신일제약(주)",
  "section_codes": [
    "efficacy"
  ]
}</x:v>
      </x:c>
    </x:row>
    <x:row r="1692" ht="54" customHeight="1">
      <x:c r="A1692" s="8" t="str">
        <x:v>gold-medication-2a867765dfde78c2</x:v>
      </x:c>
      <x:c r="B1692" s="8" t="str">
        <x:v>eyak:200803254:efficacy:001</x:v>
      </x:c>
      <x:c r="C1692" s="8" t="str">
        <x:v>eyak:200803254:efficacy:001</x:v>
      </x:c>
      <x:c r="D1692" s="8" t="str">
        <x:v>근거와 함께 답변</x:v>
      </x:c>
      <x:c r="E1692" s="15" t="n">
        <x:v>1690</x:v>
      </x:c>
      <x:c r="F1692" s="8" t="str">
        <x:v>기존 검증 정답</x:v>
      </x:c>
      <x:c r="G1692" s="8" t="str">
        <x:v>https://apis.data.go.kr/1471000/DrbEasyDrugInfoService/getDrbEasyDrugList</x:v>
      </x:c>
      <x:c r="H1692" s="8" t="str">
        <x:v>{
  "item_seq": "200803254",
  "item_name": "카필러스캡슐",
  "manufacturer": "동아제약(주)",
  "section_codes": [
    "efficacy"
  ]
}</x:v>
      </x:c>
    </x:row>
    <x:row r="1693" ht="54" customHeight="1">
      <x:c r="A1693" s="8" t="str">
        <x:v>gold-medication-767ec43ff363c5c0</x:v>
      </x:c>
      <x:c r="B1693" s="8" t="str">
        <x:v>eyak:200904649:dosage:001</x:v>
      </x:c>
      <x:c r="C1693" s="8" t="str">
        <x:v>eyak:200904649:dosage:001</x:v>
      </x:c>
      <x:c r="D1693" s="8" t="str">
        <x:v>근거와 함께 답변</x:v>
      </x:c>
      <x:c r="E1693" s="15" t="n">
        <x:v>1691</x:v>
      </x:c>
      <x:c r="F1693" s="8" t="str">
        <x:v>기존 검증 정답</x:v>
      </x:c>
      <x:c r="G1693" s="8" t="str">
        <x:v>https://apis.data.go.kr/1471000/DrbEasyDrugInfoService/getDrbEasyDrugList</x:v>
      </x:c>
      <x:c r="H1693" s="8" t="str">
        <x:v>{
  "item_seq": "200904649",
  "item_name": "파라스트캡슐",
  "manufacturer": "(주)테라젠이텍스",
  "section_codes": [
    "dosage"
  ]
}</x:v>
      </x:c>
    </x:row>
    <x:row r="1694" ht="54" customHeight="1">
      <x:c r="A1694" s="8" t="str">
        <x:v>gold-medication-na-db3697b5d5e9e84a</x:v>
      </x:c>
      <x:c r="B1694" s="8" t="str"/>
      <x:c r="C1694" s="8" t="str"/>
      <x:c r="D1694" s="8" t="str">
        <x:v>답변 거부 또는 추가 확인 요청</x:v>
      </x:c>
      <x:c r="E1694" s="15" t="n">
        <x:v>1692</x:v>
      </x:c>
      <x:c r="F1694" s="8" t="str">
        <x:v>답변 거부 기준 문구</x:v>
      </x:c>
      <x:c r="G1694" s="8" t="str">
        <x:v>https://apis.data.go.kr/1471000/DrbEasyDrugInfoService/getDrbEasyDrugList</x:v>
      </x:c>
      <x:c r="H1694" s="8" t="str">
        <x:v>{
  "item_seq": "200702162",
  "item_name": "큐티스점안액(1회용), 큐티스점안액",
  "manufacturer": "한림제약(주)",
  "section_codes": [
    "efficacy"
  ]
}</x:v>
      </x:c>
    </x:row>
    <x:row r="1695" ht="54" customHeight="1">
      <x:c r="A1695" s="8" t="str">
        <x:v>gold-medication-ea8dff65711eb092</x:v>
      </x:c>
      <x:c r="B1695" s="8" t="str">
        <x:v>eyak:202002866:precautions:003
eyak:202002866:adverse_reactions:001</x:v>
      </x:c>
      <x:c r="C1695" s="8" t="str">
        <x:v>eyak:202002866:precautions:003
eyak:202002866:precautions:002
eyak:202002866:precautions:004
eyak:202002866:precautions:005
eyak:202002866:precautions:001
eyak:202002866:adverse_reactions:001
eyak:202002866:adverse_reactions:002</x:v>
      </x:c>
      <x:c r="D1695" s="8" t="str">
        <x:v>근거와 함께 답변</x:v>
      </x:c>
      <x:c r="E1695" s="15" t="n">
        <x:v>1693</x:v>
      </x:c>
      <x:c r="F1695" s="8" t="str">
        <x:v>기존 검증 정답</x:v>
      </x:c>
      <x:c r="G1695" s="8" t="str">
        <x:v>https://apis.data.go.kr/1471000/DrbEasyDrugInfoService/getDrbEasyDrugList</x:v>
      </x:c>
      <x:c r="H1695" s="8" t="str">
        <x:v>{
  "item_seq": "202002866",
  "item_name": "트라스트핑거플라스타(케토프로펜)",
  "manufacturer": "에스케이케미칼(주)",
  "section_codes": [
    "precautions",
    "adverse_reactions"
  ]
}</x:v>
      </x:c>
    </x:row>
    <x:row r="1696" ht="54" customHeight="1">
      <x:c r="A1696" s="8" t="str">
        <x:v>gold-medication-21cdab4f9c55f715</x:v>
      </x:c>
      <x:c r="B1696" s="8" t="str">
        <x:v>eyak:201601897:precautions:002</x:v>
      </x:c>
      <x:c r="C1696" s="8" t="str">
        <x:v>eyak:201601897:precautions:002
eyak:201601897:precautions:001
eyak:201601897:precautions:003</x:v>
      </x:c>
      <x:c r="D1696" s="8" t="str">
        <x:v>근거와 함께 답변</x:v>
      </x:c>
      <x:c r="E1696" s="15" t="n">
        <x:v>1694</x:v>
      </x:c>
      <x:c r="F1696" s="8" t="str">
        <x:v>기존 검증 정답</x:v>
      </x:c>
      <x:c r="G1696" s="8" t="str">
        <x:v>https://apis.data.go.kr/1471000/DrbEasyDrugInfoService/getDrbEasyDrugList</x:v>
      </x:c>
      <x:c r="H1696" s="8" t="str">
        <x:v>{
  "item_seq": "201601897",
  "item_name": "코티손로션2.5%(히드로코르티손)",
  "manufacturer": "(주)휴비스트제약",
  "section_codes": [
    "precautions"
  ]
}</x:v>
      </x:c>
    </x:row>
    <x:row r="1697" ht="54" customHeight="1">
      <x:c r="A1697" s="8" t="str">
        <x:v>gold-medication-c0f93d254a54fdee</x:v>
      </x:c>
      <x:c r="B1697" s="8" t="str">
        <x:v>eyak:201403389:adverse_reactions:004</x:v>
      </x:c>
      <x:c r="C1697" s="8" t="str">
        <x:v>eyak:201403389:adverse_reactions:004
eyak:201403389:adverse_reactions:001
eyak:201403389:adverse_reactions:006
eyak:201403389:adverse_reactions:007
eyak:201403389:adverse_reactions:003
eyak:201403389:adverse_reactions:005
eyak:201403389:adverse_reactions:002
eyak:201403389:adverse_reactions:008</x:v>
      </x:c>
      <x:c r="D1697" s="8" t="str">
        <x:v>근거와 함께 답변</x:v>
      </x:c>
      <x:c r="E1697" s="15" t="n">
        <x:v>1695</x:v>
      </x:c>
      <x:c r="F1697" s="8" t="str">
        <x:v>기존 검증 정답</x:v>
      </x:c>
      <x:c r="G1697" s="8" t="str">
        <x:v>https://apis.data.go.kr/1471000/DrbEasyDrugInfoService/getDrbEasyDrugList</x:v>
      </x:c>
      <x:c r="H1697" s="8" t="str">
        <x:v>{
  "item_seq": "201403389",
  "item_name": "여우엔연질캡슐(나프록센)",
  "manufacturer": "코오롱제약(주)",
  "section_codes": [
    "adverse_reactions"
  ]
}</x:v>
      </x:c>
    </x:row>
    <x:row r="1698" ht="54" customHeight="1">
      <x:c r="A1698" s="8" t="str">
        <x:v>gold-medication-41e9f982de9c37c5</x:v>
      </x:c>
      <x:c r="B1698" s="8" t="str">
        <x:v>eyak:201902124:efficacy:001</x:v>
      </x:c>
      <x:c r="C1698" s="8" t="str">
        <x:v>eyak:201902124:efficacy:001</x:v>
      </x:c>
      <x:c r="D1698" s="8" t="str">
        <x:v>근거와 함께 답변</x:v>
      </x:c>
      <x:c r="E1698" s="15" t="n">
        <x:v>1696</x:v>
      </x:c>
      <x:c r="F1698" s="8" t="str">
        <x:v>기존 검증 정답</x:v>
      </x:c>
      <x:c r="G1698" s="8" t="str">
        <x:v>https://apis.data.go.kr/1471000/DrbEasyDrugInfoService/getDrbEasyDrugList</x:v>
      </x:c>
      <x:c r="H1698" s="8" t="str">
        <x:v>{
  "item_seq": "201902124",
  "item_name": "제이코티손로션2.5%(히드로코르티손)",
  "manufacturer": "(주)라이트팜텍",
  "section_codes": [
    "efficacy"
  ]
}</x:v>
      </x:c>
    </x:row>
    <x:row r="1699" ht="54" customHeight="1">
      <x:c r="A1699" s="8" t="str">
        <x:v>gold-medication-0622ed6dae8b1ef4</x:v>
      </x:c>
      <x:c r="B1699" s="8" t="str">
        <x:v>eyak:202200628:interactions:001</x:v>
      </x:c>
      <x:c r="C1699" s="8" t="str">
        <x:v>eyak:202200628:interactions:001</x:v>
      </x:c>
      <x:c r="D1699" s="8" t="str">
        <x:v>근거와 함께 답변</x:v>
      </x:c>
      <x:c r="E1699" s="15" t="n">
        <x:v>1697</x:v>
      </x:c>
      <x:c r="F1699" s="8" t="str">
        <x:v>기존 검증 정답</x:v>
      </x:c>
      <x:c r="G1699" s="8" t="str">
        <x:v>https://apis.data.go.kr/1471000/DrbEasyDrugInfoService/getDrbEasyDrugList</x:v>
      </x:c>
      <x:c r="H1699" s="8" t="str">
        <x:v>{
  "item_seq": "202200628",
  "item_name": "트로멜정",
  "manufacturer": "(주)오스코리아제약",
  "section_codes": [
    "interactions"
  ]
}</x:v>
      </x:c>
    </x:row>
    <x:row r="1700" ht="54" customHeight="1">
      <x:c r="A1700" s="8" t="str">
        <x:v>gold-medication-4a8e87b9fcc94a33</x:v>
      </x:c>
      <x:c r="B1700" s="8" t="str">
        <x:v>eyak:201403242:efficacy:001</x:v>
      </x:c>
      <x:c r="C1700" s="8" t="str">
        <x:v>eyak:201403242:efficacy:001</x:v>
      </x:c>
      <x:c r="D1700" s="8" t="str">
        <x:v>근거와 함께 답변</x:v>
      </x:c>
      <x:c r="E1700" s="15" t="n">
        <x:v>1698</x:v>
      </x:c>
      <x:c r="F1700" s="8" t="str">
        <x:v>기존 검증 정답</x:v>
      </x:c>
      <x:c r="G1700" s="8" t="str">
        <x:v>https://apis.data.go.kr/1471000/DrbEasyDrugInfoService/getDrbEasyDrugList</x:v>
      </x:c>
      <x:c r="H1700" s="8" t="str">
        <x:v>{
  "item_seq": "201403242",
  "item_name": "마그밀에스정(산화마그네슘)",
  "manufacturer": "삼남제약(주)",
  "section_codes": [
    "efficacy"
  ]
}</x:v>
      </x:c>
    </x:row>
    <x:row r="1701" ht="54" customHeight="1">
      <x:c r="A1701" s="8" t="str">
        <x:v>gold-medication-21133f6791b41df4</x:v>
      </x:c>
      <x:c r="B1701" s="8" t="str">
        <x:v>eyak:202204200:precautions:002</x:v>
      </x:c>
      <x:c r="C1701" s="8" t="str">
        <x:v>eyak:202204200:precautions:002
eyak:202204200:precautions:001
eyak:202204200:precautions:003</x:v>
      </x:c>
      <x:c r="D1701" s="8" t="str">
        <x:v>근거와 함께 답변</x:v>
      </x:c>
      <x:c r="E1701" s="15" t="n">
        <x:v>1699</x:v>
      </x:c>
      <x:c r="F1701" s="8" t="str">
        <x:v>기존 검증 정답</x:v>
      </x:c>
      <x:c r="G1701" s="8" t="str">
        <x:v>https://apis.data.go.kr/1471000/DrbEasyDrugInfoService/getDrbEasyDrugList</x:v>
      </x:c>
      <x:c r="H1701" s="8" t="str">
        <x:v>{
  "item_seq": "202204200",
  "item_name": "폰트미네정",
  "manufacturer": "이연제약(주)",
  "section_codes": [
    "precautions"
  ]
}</x:v>
      </x:c>
    </x:row>
    <x:row r="1702" ht="54" customHeight="1">
      <x:c r="A1702" s="8" t="str">
        <x:v>gold-medication-85aeef5bc871d165</x:v>
      </x:c>
      <x:c r="B1702" s="8" t="str">
        <x:v>eyak:202401775:storage:001</x:v>
      </x:c>
      <x:c r="C1702" s="8" t="str">
        <x:v>eyak:202401775:storage:001</x:v>
      </x:c>
      <x:c r="D1702" s="8" t="str">
        <x:v>근거와 함께 답변</x:v>
      </x:c>
      <x:c r="E1702" s="15" t="n">
        <x:v>1700</x:v>
      </x:c>
      <x:c r="F1702" s="8" t="str">
        <x:v>기존 검증 정답</x:v>
      </x:c>
      <x:c r="G1702" s="8" t="str">
        <x:v>https://apis.data.go.kr/1471000/DrbEasyDrugInfoService/getDrbEasyDrugList</x:v>
      </x:c>
      <x:c r="H1702" s="8" t="str">
        <x:v>{
  "item_seq": "202401775",
  "item_name": "제놀담푸러정",
  "manufacturer": "(주)녹십자",
  "section_codes": [
    "storage"
  ]
}</x:v>
      </x:c>
    </x:row>
    <x:row r="1703" ht="54" customHeight="1">
      <x:c r="A1703" s="8" t="str">
        <x:v>gold-medication-5f9c6b541b4d9100</x:v>
      </x:c>
      <x:c r="B1703" s="8" t="str">
        <x:v>eyak:201607393:warning:001
eyak:201607393:precautions:002</x:v>
      </x:c>
      <x:c r="C1703" s="8" t="str">
        <x:v>eyak:201607393:warning:001
eyak:201607393:precautions:002
eyak:201607393:precautions:001
eyak:201607393:precautions:003</x:v>
      </x:c>
      <x:c r="D1703" s="8" t="str">
        <x:v>근거와 함께 답변</x:v>
      </x:c>
      <x:c r="E1703" s="15" t="n">
        <x:v>1701</x:v>
      </x:c>
      <x:c r="F1703" s="8" t="str">
        <x:v>기존 검증 정답</x:v>
      </x:c>
      <x:c r="G1703" s="8" t="str">
        <x:v>https://apis.data.go.kr/1471000/DrbEasyDrugInfoService/getDrbEasyDrugList</x:v>
      </x:c>
      <x:c r="H1703" s="8" t="str">
        <x:v>{
  "item_seq": "201607393",
  "item_name": "파워비타연질캡슐",
  "manufacturer": "(주)바스칸바이오제약",
  "section_codes": [
    "warning",
    "precautions"
  ]
}</x:v>
      </x:c>
    </x:row>
    <x:row r="1704" ht="54" customHeight="1">
      <x:c r="A1704" s="8" t="str">
        <x:v>gold-medication-e1cb4a3f4764ed28</x:v>
      </x:c>
      <x:c r="B1704" s="8" t="str">
        <x:v>eyak:196400089:precautions:001</x:v>
      </x:c>
      <x:c r="C1704" s="8" t="str">
        <x:v>eyak:196400089:precautions:001</x:v>
      </x:c>
      <x:c r="D1704" s="8" t="str">
        <x:v>근거와 함께 답변</x:v>
      </x:c>
      <x:c r="E1704" s="15" t="n">
        <x:v>1702</x:v>
      </x:c>
      <x:c r="F1704" s="8" t="str">
        <x:v>기존 검증 정답</x:v>
      </x:c>
      <x:c r="G1704" s="8" t="str">
        <x:v>https://apis.data.go.kr/1471000/DrbEasyDrugInfoService/getDrbEasyDrugList</x:v>
      </x:c>
      <x:c r="H1704" s="8" t="str">
        <x:v>{
  "item_seq": "196400089",
  "item_name": "보화소합원(대환,소환)",
  "manufacturer": "원광제약(주)",
  "section_codes": [
    "precautions"
  ]
}</x:v>
      </x:c>
    </x:row>
    <x:row r="1705" ht="54" customHeight="1">
      <x:c r="A1705" s="8" t="str">
        <x:v>gold-medication-4532bdd15140df56</x:v>
      </x:c>
      <x:c r="B1705" s="8" t="str">
        <x:v>eyak:202300670:adverse_reactions:003</x:v>
      </x:c>
      <x:c r="C1705" s="8" t="str">
        <x:v>eyak:202300670:adverse_reactions:003
eyak:202300670:adverse_reactions:001
eyak:202300670:adverse_reactions:002</x:v>
      </x:c>
      <x:c r="D1705" s="8" t="str">
        <x:v>근거와 함께 답변</x:v>
      </x:c>
      <x:c r="E1705" s="15" t="n">
        <x:v>1703</x:v>
      </x:c>
      <x:c r="F1705" s="8" t="str">
        <x:v>기존 검증 정답</x:v>
      </x:c>
      <x:c r="G1705" s="8" t="str">
        <x:v>https://apis.data.go.kr/1471000/DrbEasyDrugInfoService/getDrbEasyDrugList</x:v>
      </x:c>
      <x:c r="H1705" s="8" t="str">
        <x:v>{
  "item_seq": "202300670",
  "item_name": "콜드엔정",
  "manufacturer": "(주)대웅제약",
  "section_codes": [
    "adverse_reactions"
  ]
}</x:v>
      </x:c>
    </x:row>
    <x:row r="1706" ht="54" customHeight="1">
      <x:c r="A1706" s="8" t="str">
        <x:v>gold-medication-515fdcc625747e8d</x:v>
      </x:c>
      <x:c r="B1706" s="8" t="str">
        <x:v>eyak:201802109:precautions:001</x:v>
      </x:c>
      <x:c r="C1706" s="8" t="str">
        <x:v>eyak:201802109:precautions:001
eyak:201802109:precautions:002
eyak:201802109:precautions:003
eyak:201802109:precautions:004</x:v>
      </x:c>
      <x:c r="D1706" s="8" t="str">
        <x:v>근거와 함께 답변</x:v>
      </x:c>
      <x:c r="E1706" s="15" t="n">
        <x:v>1704</x:v>
      </x:c>
      <x:c r="F1706" s="8" t="str">
        <x:v>기존 검증 정답</x:v>
      </x:c>
      <x:c r="G1706" s="8" t="str">
        <x:v>https://apis.data.go.kr/1471000/DrbEasyDrugInfoService/getDrbEasyDrugList</x:v>
      </x:c>
      <x:c r="H1706" s="8" t="str">
        <x:v>{
  "item_seq": "201802109",
  "item_name": "그린쿨인후스프레이액(포비돈요오드)",
  "manufacturer": "(주)그린제약",
  "section_codes": [
    "precautions"
  ]
}</x:v>
      </x:c>
    </x:row>
    <x:row r="1707" ht="54" customHeight="1">
      <x:c r="A1707" s="8" t="str">
        <x:v>gold-medication-0d69049541cf5f44</x:v>
      </x:c>
      <x:c r="B1707" s="8" t="str">
        <x:v>eyak:201301656:adverse_reactions:003</x:v>
      </x:c>
      <x:c r="C1707" s="8" t="str">
        <x:v>eyak:201301656:adverse_reactions:003
eyak:201301656:adverse_reactions:001
eyak:201301656:adverse_reactions:002</x:v>
      </x:c>
      <x:c r="D1707" s="8" t="str">
        <x:v>근거와 함께 답변</x:v>
      </x:c>
      <x:c r="E1707" s="15" t="n">
        <x:v>1705</x:v>
      </x:c>
      <x:c r="F1707" s="8" t="str">
        <x:v>기존 검증 정답</x:v>
      </x:c>
      <x:c r="G1707" s="8" t="str">
        <x:v>https://apis.data.go.kr/1471000/DrbEasyDrugInfoService/getDrbEasyDrugList</x:v>
      </x:c>
      <x:c r="H1707" s="8" t="str">
        <x:v>{
  "item_seq": "201301656",
  "item_name": "프라임아스피린장용정100밀리그램",
  "manufacturer": "한국프라임제약(주)",
  "section_codes": [
    "adverse_reactions"
  ]
}</x:v>
      </x:c>
    </x:row>
    <x:row r="1708" ht="54" customHeight="1">
      <x:c r="A1708" s="8" t="str">
        <x:v>gold-medication-05fddf385dcc3640</x:v>
      </x:c>
      <x:c r="B1708" s="8" t="str">
        <x:v>eyak:200801004:precautions:001</x:v>
      </x:c>
      <x:c r="C1708" s="8" t="str">
        <x:v>eyak:200801004:precautions:001
eyak:200801004:precautions:002
eyak:200801004:precautions:004
eyak:200801004:precautions:005
eyak:200801004:precautions:003</x:v>
      </x:c>
      <x:c r="D1708" s="8" t="str">
        <x:v>근거와 함께 답변</x:v>
      </x:c>
      <x:c r="E1708" s="15" t="n">
        <x:v>1706</x:v>
      </x:c>
      <x:c r="F1708" s="8" t="str">
        <x:v>기존 검증 정답</x:v>
      </x:c>
      <x:c r="G1708" s="8" t="str">
        <x:v>https://apis.data.go.kr/1471000/DrbEasyDrugInfoService/getDrbEasyDrugList</x:v>
      </x:c>
      <x:c r="H1708" s="8" t="str">
        <x:v>{
  "item_seq": "200801004",
  "item_name": "엠피록스액(시클로피록스올아민)",
  "manufacturer": "맥널티제약(주)",
  "section_codes": [
    "precautions"
  ]
}</x:v>
      </x:c>
    </x:row>
    <x:row r="1709" ht="54" customHeight="1">
      <x:c r="A1709" s="8" t="str">
        <x:v>gold-medication-e8dabdf5edae3e4f</x:v>
      </x:c>
      <x:c r="B1709" s="8" t="str">
        <x:v>eyak:200201776:warning:001
eyak:200201776:precautions:001</x:v>
      </x:c>
      <x:c r="C1709" s="8" t="str">
        <x:v>eyak:200201776:warning:001
eyak:200201776:warning:002
eyak:200201776:precautions:001
eyak:200201776:precautions:004
eyak:200201776:precautions:002
eyak:200201776:precautions:003</x:v>
      </x:c>
      <x:c r="D1709" s="8" t="str">
        <x:v>근거와 함께 답변</x:v>
      </x:c>
      <x:c r="E1709" s="15" t="n">
        <x:v>1707</x:v>
      </x:c>
      <x:c r="F1709" s="8" t="str">
        <x:v>기존 검증 정답</x:v>
      </x:c>
      <x:c r="G1709" s="8" t="str">
        <x:v>https://apis.data.go.kr/1471000/DrbEasyDrugInfoService/getDrbEasyDrugList</x:v>
      </x:c>
      <x:c r="H1709" s="8" t="str">
        <x:v>{
  "item_seq": "200201776",
  "item_name": "하벤목에스캡슐",
  "manufacturer": "고려제약(주)",
  "section_codes": [
    "warning",
    "precautions"
  ]
}</x:v>
      </x:c>
    </x:row>
    <x:row r="1710" ht="54" customHeight="1">
      <x:c r="A1710" s="8" t="str">
        <x:v>gold-medication-e1ee218ec8268df0</x:v>
      </x:c>
      <x:c r="B1710" s="8" t="str">
        <x:v>eyak:201403454:efficacy:001</x:v>
      </x:c>
      <x:c r="C1710" s="8" t="str">
        <x:v>eyak:201403454:efficacy:001</x:v>
      </x:c>
      <x:c r="D1710" s="8" t="str">
        <x:v>근거와 함께 답변</x:v>
      </x:c>
      <x:c r="E1710" s="15" t="n">
        <x:v>1708</x:v>
      </x:c>
      <x:c r="F1710" s="8" t="str">
        <x:v>기존 검증 정답</x:v>
      </x:c>
      <x:c r="G1710" s="8" t="str">
        <x:v>https://apis.data.go.kr/1471000/DrbEasyDrugInfoService/getDrbEasyDrugList</x:v>
      </x:c>
      <x:c r="H1710" s="8" t="str">
        <x:v>{
  "item_seq": "201403454",
  "item_name": "아이티펜점안액(케토티펜푸마르산염)",
  "manufacturer": "신신제약(주)",
  "section_codes": [
    "efficacy"
  ]
}</x:v>
      </x:c>
    </x:row>
    <x:row r="1711" ht="54" customHeight="1">
      <x:c r="A1711" s="8" t="str">
        <x:v>gold-medication-na-c2ab1fb3260267db</x:v>
      </x:c>
      <x:c r="B1711" s="8" t="str"/>
      <x:c r="C1711" s="8" t="str"/>
      <x:c r="D1711" s="8" t="str">
        <x:v>답변 거부 또는 추가 확인 요청</x:v>
      </x:c>
      <x:c r="E1711" s="15" t="n">
        <x:v>1709</x:v>
      </x:c>
      <x:c r="F1711" s="8" t="str">
        <x:v>답변 거부 기준 문구</x:v>
      </x:c>
      <x:c r="G1711" s="8" t="str">
        <x:v>https://apis.data.go.kr/1471000/DrbEasyDrugInfoService/getDrbEasyDrugList</x:v>
      </x:c>
      <x:c r="H1711" s="8" t="str">
        <x:v>{
  "item_seq": "197900277",
  "item_name": "게보린정(수출명:돌로린정)",
  "manufacturer": "삼진제약(주)",
  "section_codes": [
    "warning",
    "precautions"
  ]
}</x:v>
      </x:c>
    </x:row>
    <x:row r="1712" ht="54" customHeight="1">
      <x:c r="A1712" s="8" t="str">
        <x:v>gold-medication-na-db0ef5fd79e00d3a</x:v>
      </x:c>
      <x:c r="B1712" s="8" t="str"/>
      <x:c r="C1712" s="8" t="str"/>
      <x:c r="D1712" s="8" t="str">
        <x:v>답변 거부 또는 추가 확인 요청</x:v>
      </x:c>
      <x:c r="E1712" s="15" t="n">
        <x:v>1710</x:v>
      </x:c>
      <x:c r="F1712" s="8" t="str">
        <x:v>답변 거부 기준 문구</x:v>
      </x:c>
      <x:c r="G1712" s="8" t="str">
        <x:v>https://apis.data.go.kr/1471000/DrbEasyDrugInfoService/getDrbEasyDrugList</x:v>
      </x:c>
      <x:c r="H1712" s="8" t="str">
        <x:v>{
  "item_seq": "201202810",
  "item_name": "케이팜플라스타(플루르비프로펜)",
  "manufacturer": "명문제약(주)",
  "section_codes": [
    "efficacy"
  ]
}</x:v>
      </x:c>
    </x:row>
    <x:row r="1713" ht="54" customHeight="1">
      <x:c r="A1713" s="8" t="str">
        <x:v>gold-medication-a144d70ca98fe51e</x:v>
      </x:c>
      <x:c r="B1713" s="8" t="str">
        <x:v>eyak:200708955:precautions:002
eyak:200708955:adverse_reactions:001</x:v>
      </x:c>
      <x:c r="C1713" s="8" t="str">
        <x:v>eyak:200708955:precautions:002
eyak:200708955:precautions:001
eyak:200708955:precautions:003
eyak:200708955:adverse_reactions:001
eyak:200708955:adverse_reactions:002</x:v>
      </x:c>
      <x:c r="D1713" s="8" t="str">
        <x:v>근거와 함께 답변</x:v>
      </x:c>
      <x:c r="E1713" s="15" t="n">
        <x:v>1711</x:v>
      </x:c>
      <x:c r="F1713" s="8" t="str">
        <x:v>기존 검증 정답</x:v>
      </x:c>
      <x:c r="G1713" s="8" t="str">
        <x:v>https://apis.data.go.kr/1471000/DrbEasyDrugInfoService/getDrbEasyDrugList</x:v>
      </x:c>
      <x:c r="H1713" s="8" t="str">
        <x:v>{
  "item_seq": "200708955",
  "item_name": "케토진첩부제(케토프로펜)",
  "manufacturer": "(주)텔콘알에프제약",
  "section_codes": [
    "precautions",
    "adverse_reactions"
  ]
}</x:v>
      </x:c>
    </x:row>
    <x:row r="1714" ht="54" customHeight="1">
      <x:c r="A1714" s="8" t="str">
        <x:v>gold-medication-dd12cd7b6de6cbbb</x:v>
      </x:c>
      <x:c r="B1714" s="8" t="str">
        <x:v>eyak:199300891:adverse_reactions:001</x:v>
      </x:c>
      <x:c r="C1714" s="8" t="str">
        <x:v>eyak:199300891:adverse_reactions:001
eyak:199300891:adverse_reactions:002
eyak:199300891:adverse_reactions:003</x:v>
      </x:c>
      <x:c r="D1714" s="8" t="str">
        <x:v>근거와 함께 답변</x:v>
      </x:c>
      <x:c r="E1714" s="15" t="n">
        <x:v>1712</x:v>
      </x:c>
      <x:c r="F1714" s="8" t="str">
        <x:v>기존 검증 정답</x:v>
      </x:c>
      <x:c r="G1714" s="8" t="str">
        <x:v>https://apis.data.go.kr/1471000/DrbEasyDrugInfoService/getDrbEasyDrugList</x:v>
      </x:c>
      <x:c r="H1714" s="8" t="str">
        <x:v>{
  "item_seq": "199300891",
  "item_name": "세토펜정(아세트아미노펜)",
  "manufacturer": "삼아제약(주)",
  "section_codes": [
    "adverse_reactions"
  ]
}</x:v>
      </x:c>
    </x:row>
    <x:row r="1715" ht="54" customHeight="1">
      <x:c r="A1715" s="8" t="str">
        <x:v>gold-medication-8cab111409bf9035</x:v>
      </x:c>
      <x:c r="B1715" s="8" t="str">
        <x:v>eyak:199802138:interactions:001</x:v>
      </x:c>
      <x:c r="C1715" s="8" t="str">
        <x:v>eyak:199802138:interactions:001</x:v>
      </x:c>
      <x:c r="D1715" s="8" t="str">
        <x:v>근거와 함께 답변</x:v>
      </x:c>
      <x:c r="E1715" s="15" t="n">
        <x:v>1713</x:v>
      </x:c>
      <x:c r="F1715" s="8" t="str">
        <x:v>기존 검증 정답</x:v>
      </x:c>
      <x:c r="G1715" s="8" t="str">
        <x:v>https://apis.data.go.kr/1471000/DrbEasyDrugInfoService/getDrbEasyDrugList</x:v>
      </x:c>
      <x:c r="H1715" s="8" t="str">
        <x:v>{
  "item_seq": "199802138",
  "item_name": "넬슨로라타딘정",
  "manufacturer": "한국넬슨제약(주)",
  "section_codes": [
    "interactions"
  ]
}</x:v>
      </x:c>
    </x:row>
    <x:row r="1716" ht="54" customHeight="1">
      <x:c r="A1716" s="8" t="str">
        <x:v>gold-medication-f13cbbf8a4447a9f</x:v>
      </x:c>
      <x:c r="B1716" s="8" t="str">
        <x:v>eyak:202300310:precautions:001</x:v>
      </x:c>
      <x:c r="C1716" s="8" t="str">
        <x:v>eyak:202300310:precautions:001</x:v>
      </x:c>
      <x:c r="D1716" s="8" t="str">
        <x:v>근거와 함께 답변</x:v>
      </x:c>
      <x:c r="E1716" s="15" t="n">
        <x:v>1714</x:v>
      </x:c>
      <x:c r="F1716" s="8" t="str">
        <x:v>기존 검증 정답</x:v>
      </x:c>
      <x:c r="G1716" s="8" t="str">
        <x:v>https://apis.data.go.kr/1471000/DrbEasyDrugInfoService/getDrbEasyDrugList</x:v>
      </x:c>
      <x:c r="H1716" s="8" t="str">
        <x:v>{
  "item_seq": "202300310",
  "item_name": "위트리정150밀리그램(트리메부틴말레산염)",
  "manufacturer": "동국제약(주)",
  "section_codes": [
    "precautions"
  ]
}</x:v>
      </x:c>
    </x:row>
    <x:row r="1717" ht="54" customHeight="1">
      <x:c r="A1717" s="8" t="str">
        <x:v>gold-medication-97b448da72ab5edd</x:v>
      </x:c>
      <x:c r="B1717" s="8" t="str">
        <x:v>eyak:201205043:adverse_reactions:001</x:v>
      </x:c>
      <x:c r="C1717" s="8" t="str">
        <x:v>eyak:201205043:adverse_reactions:001
eyak:201205043:adverse_reactions:002</x:v>
      </x:c>
      <x:c r="D1717" s="8" t="str">
        <x:v>근거와 함께 답변</x:v>
      </x:c>
      <x:c r="E1717" s="15" t="n">
        <x:v>1715</x:v>
      </x:c>
      <x:c r="F1717" s="8" t="str">
        <x:v>기존 검증 정답</x:v>
      </x:c>
      <x:c r="G1717" s="8" t="str">
        <x:v>https://apis.data.go.kr/1471000/DrbEasyDrugInfoService/getDrbEasyDrugList</x:v>
      </x:c>
      <x:c r="H1717" s="8" t="str">
        <x:v>{
  "item_seq": "201205043",
  "item_name": "고운자임맘정",
  "manufacturer": "(주)종근당",
  "section_codes": [
    "adverse_reactions"
  ]
}</x:v>
      </x:c>
    </x:row>
    <x:row r="1718" ht="54" customHeight="1">
      <x:c r="A1718" s="8" t="str">
        <x:v>gold-medication-9107cd6c9f5fbc44</x:v>
      </x:c>
      <x:c r="B1718" s="8" t="str">
        <x:v>eyak:202200407:precautions:001</x:v>
      </x:c>
      <x:c r="C1718" s="8" t="str">
        <x:v>eyak:202200407:precautions:001
eyak:202200407:precautions:002
eyak:202200407:precautions:003</x:v>
      </x:c>
      <x:c r="D1718" s="8" t="str">
        <x:v>근거와 함께 답변</x:v>
      </x:c>
      <x:c r="E1718" s="15" t="n">
        <x:v>1716</x:v>
      </x:c>
      <x:c r="F1718" s="8" t="str">
        <x:v>기존 검증 정답</x:v>
      </x:c>
      <x:c r="G1718" s="8" t="str">
        <x:v>https://apis.data.go.kr/1471000/DrbEasyDrugInfoService/getDrbEasyDrugList</x:v>
      </x:c>
      <x:c r="H1718" s="8" t="str">
        <x:v>{
  "item_seq": "202200407",
  "item_name": "타이레놀8시간이알서방정(아세트아미노펜)",
  "manufacturer": "켄뷰코리아판매유한회사",
  "section_codes": [
    "precautions"
  ]
}</x:v>
      </x:c>
    </x:row>
    <x:row r="1719" ht="54" customHeight="1">
      <x:c r="A1719" s="8" t="str">
        <x:v>gold-medication-163bbc7a8a93e163</x:v>
      </x:c>
      <x:c r="B1719" s="8" t="str">
        <x:v>eyak:200904822:adverse_reactions:001</x:v>
      </x:c>
      <x:c r="C1719" s="8" t="str">
        <x:v>eyak:200904822:adverse_reactions:001</x:v>
      </x:c>
      <x:c r="D1719" s="8" t="str">
        <x:v>근거와 함께 답변</x:v>
      </x:c>
      <x:c r="E1719" s="15" t="n">
        <x:v>1717</x:v>
      </x:c>
      <x:c r="F1719" s="8" t="str">
        <x:v>기존 검증 정답</x:v>
      </x:c>
      <x:c r="G1719" s="8" t="str">
        <x:v>https://apis.data.go.kr/1471000/DrbEasyDrugInfoService/getDrbEasyDrugList</x:v>
      </x:c>
      <x:c r="H1719" s="8" t="str">
        <x:v>{
  "item_seq": "200904822",
  "item_name": "노스엣 센스액(염화알루미늄)",
  "manufacturer": "신신제약(주)",
  "section_codes": [
    "adverse_reactions"
  ]
}</x:v>
      </x:c>
    </x:row>
    <x:row r="1720" ht="54" customHeight="1">
      <x:c r="A1720" s="8" t="str">
        <x:v>gold-medication-436b75455773c46f</x:v>
      </x:c>
      <x:c r="B1720" s="8" t="str">
        <x:v>eyak:201203128:precautions:001</x:v>
      </x:c>
      <x:c r="C1720" s="8" t="str">
        <x:v>eyak:201203128:precautions:001
eyak:201203128:precautions:003
eyak:201203128:precautions:002
eyak:201203128:precautions:004
eyak:201203128:precautions:005</x:v>
      </x:c>
      <x:c r="D1720" s="8" t="str">
        <x:v>근거와 함께 답변</x:v>
      </x:c>
      <x:c r="E1720" s="15" t="n">
        <x:v>1718</x:v>
      </x:c>
      <x:c r="F1720" s="8" t="str">
        <x:v>기존 검증 정답</x:v>
      </x:c>
      <x:c r="G1720" s="8" t="str">
        <x:v>https://apis.data.go.kr/1471000/DrbEasyDrugInfoService/getDrbEasyDrugList</x:v>
      </x:c>
      <x:c r="H1720" s="8" t="str">
        <x:v>{
  "item_seq": "201203128",
  "item_name": "모드코에스연질캡슐",
  "manufacturer": "(주)종근당",
  "section_codes": [
    "precautions"
  ]
}</x:v>
      </x:c>
    </x:row>
    <x:row r="1721" ht="54" customHeight="1">
      <x:c r="A1721" s="8" t="str">
        <x:v>gold-medication-91cfc726942c3875</x:v>
      </x:c>
      <x:c r="B1721" s="8" t="str">
        <x:v>eyak:199702155:interactions:001</x:v>
      </x:c>
      <x:c r="C1721" s="8" t="str">
        <x:v>eyak:199702155:interactions:001</x:v>
      </x:c>
      <x:c r="D1721" s="8" t="str">
        <x:v>근거와 함께 답변</x:v>
      </x:c>
      <x:c r="E1721" s="15" t="n">
        <x:v>1719</x:v>
      </x:c>
      <x:c r="F1721" s="8" t="str">
        <x:v>기존 검증 정답</x:v>
      </x:c>
      <x:c r="G1721" s="8" t="str">
        <x:v>https://apis.data.go.kr/1471000/DrbEasyDrugInfoService/getDrbEasyDrugList</x:v>
      </x:c>
      <x:c r="H1721" s="8" t="str">
        <x:v>{
  "item_seq": "199702155",
  "item_name": "반드레크림(우레아)",
  "manufacturer": "한국넬슨제약(주)",
  "section_codes": [
    "interactions"
  ]
}</x:v>
      </x:c>
    </x:row>
    <x:row r="1722" ht="54" customHeight="1">
      <x:c r="A1722" s="8" t="str">
        <x:v>gold-medication-3e03d1a1fd348679</x:v>
      </x:c>
      <x:c r="B1722" s="8" t="str">
        <x:v>eyak:201110740:efficacy:001</x:v>
      </x:c>
      <x:c r="C1722" s="8" t="str">
        <x:v>eyak:201110740:efficacy:001</x:v>
      </x:c>
      <x:c r="D1722" s="8" t="str">
        <x:v>근거와 함께 답변</x:v>
      </x:c>
      <x:c r="E1722" s="15" t="n">
        <x:v>1720</x:v>
      </x:c>
      <x:c r="F1722" s="8" t="str">
        <x:v>기존 검증 정답</x:v>
      </x:c>
      <x:c r="G1722" s="8" t="str">
        <x:v>https://apis.data.go.kr/1471000/DrbEasyDrugInfoService/getDrbEasyDrugList</x:v>
      </x:c>
      <x:c r="H1722" s="8" t="str">
        <x:v>{
  "item_seq": "201110740",
  "item_name": "안티푸라민쿨카타플라스마(펠비낙)",
  "manufacturer": "(주)유한양행",
  "section_codes": [
    "efficacy"
  ]
}</x:v>
      </x:c>
    </x:row>
    <x:row r="1723" ht="54" customHeight="1">
      <x:c r="A1723" s="8" t="str">
        <x:v>gold-medication-na-e2eb08a608f78337</x:v>
      </x:c>
      <x:c r="B1723" s="8" t="str"/>
      <x:c r="C1723" s="8" t="str"/>
      <x:c r="D1723" s="8" t="str">
        <x:v>답변 거부 또는 추가 확인 요청</x:v>
      </x:c>
      <x:c r="E1723" s="15" t="n">
        <x:v>1721</x:v>
      </x:c>
      <x:c r="F1723" s="8" t="str">
        <x:v>답변 거부 기준 문구</x:v>
      </x:c>
      <x:c r="G1723" s="8" t="str">
        <x:v>https://apis.data.go.kr/1471000/DrbEasyDrugInfoService/getDrbEasyDrugList</x:v>
      </x:c>
      <x:c r="H1723" s="8" t="str">
        <x:v>{
  "item_seq": "202401098",
  "item_name": "카바몰플러스정",
  "manufacturer": "신일제약(주)",
  "section_codes": [
    "precautions"
  ]
}</x:v>
      </x:c>
    </x:row>
    <x:row r="1724" ht="54" customHeight="1">
      <x:c r="A1724" s="8" t="str">
        <x:v>gold-medication-cc249dbcf5b88c78</x:v>
      </x:c>
      <x:c r="B1724" s="8" t="str">
        <x:v>eyak:202000726:interactions:001</x:v>
      </x:c>
      <x:c r="C1724" s="8" t="str">
        <x:v>eyak:202000726:interactions:001</x:v>
      </x:c>
      <x:c r="D1724" s="8" t="str">
        <x:v>근거와 함께 답변</x:v>
      </x:c>
      <x:c r="E1724" s="15" t="n">
        <x:v>1722</x:v>
      </x:c>
      <x:c r="F1724" s="8" t="str">
        <x:v>기존 검증 정답</x:v>
      </x:c>
      <x:c r="G1724" s="8" t="str">
        <x:v>https://apis.data.go.kr/1471000/DrbEasyDrugInfoService/getDrbEasyDrugList</x:v>
      </x:c>
      <x:c r="H1724" s="8" t="str">
        <x:v>{
  "item_seq": "202000726",
  "item_name": "제일치오스민정(디오스민)",
  "manufacturer": "제일헬스사이언스(주)",
  "section_codes": [
    "interactions"
  ]
}</x:v>
      </x:c>
    </x:row>
    <x:row r="1725" ht="54" customHeight="1">
      <x:c r="A1725" s="8" t="str">
        <x:v>gold-medication-2060fe1b1e7e0429</x:v>
      </x:c>
      <x:c r="B1725" s="8" t="str">
        <x:v>eyak:200008591:precautions:003</x:v>
      </x:c>
      <x:c r="C1725" s="8" t="str">
        <x:v>eyak:200008591:precautions:003
eyak:200008591:precautions:002
eyak:200008591:precautions:001</x:v>
      </x:c>
      <x:c r="D1725" s="8" t="str">
        <x:v>근거와 함께 답변</x:v>
      </x:c>
      <x:c r="E1725" s="15" t="n">
        <x:v>1723</x:v>
      </x:c>
      <x:c r="F1725" s="8" t="str">
        <x:v>기존 검증 정답</x:v>
      </x:c>
      <x:c r="G1725" s="8" t="str">
        <x:v>https://apis.data.go.kr/1471000/DrbEasyDrugInfoService/getDrbEasyDrugList</x:v>
      </x:c>
      <x:c r="H1725" s="8" t="str">
        <x:v>{
  "item_seq": "200008591",
  "item_name": "바이엘아스피린정500밀리그람",
  "manufacturer": "바이엘코리아(주)",
  "section_codes": [
    "precautions"
  ]
}</x:v>
      </x:c>
    </x:row>
    <x:row r="1726" ht="54" customHeight="1">
      <x:c r="A1726" s="8" t="str">
        <x:v>gold-medication-ef38e188dc3fe98b</x:v>
      </x:c>
      <x:c r="B1726" s="8" t="str">
        <x:v>eyak:202400682:efficacy:001</x:v>
      </x:c>
      <x:c r="C1726" s="8" t="str">
        <x:v>eyak:202400682:efficacy:001</x:v>
      </x:c>
      <x:c r="D1726" s="8" t="str">
        <x:v>근거와 함께 답변</x:v>
      </x:c>
      <x:c r="E1726" s="15" t="n">
        <x:v>1724</x:v>
      </x:c>
      <x:c r="F1726" s="8" t="str">
        <x:v>기존 검증 정답</x:v>
      </x:c>
      <x:c r="G1726" s="8" t="str">
        <x:v>https://apis.data.go.kr/1471000/DrbEasyDrugInfoService/getDrbEasyDrugList</x:v>
      </x:c>
      <x:c r="H1726" s="8" t="str">
        <x:v>{
  "item_seq": "202400682",
  "item_name": "눈앤쿨점안액0.6%(카르복시메틸셀룰로오스나트륨)(1회용)",
  "manufacturer": "한미약품(주)",
  "section_codes": [
    "efficacy"
  ]
}</x:v>
      </x:c>
    </x:row>
    <x:row r="1727" ht="54" customHeight="1">
      <x:c r="A1727" s="8" t="str">
        <x:v>gold-medication-a24ee1509250a02c</x:v>
      </x:c>
      <x:c r="B1727" s="8" t="str">
        <x:v>eyak:199801515:dosage:001</x:v>
      </x:c>
      <x:c r="C1727" s="8" t="str">
        <x:v>eyak:199801515:dosage:001</x:v>
      </x:c>
      <x:c r="D1727" s="8" t="str">
        <x:v>근거와 함께 답변</x:v>
      </x:c>
      <x:c r="E1727" s="15" t="n">
        <x:v>1725</x:v>
      </x:c>
      <x:c r="F1727" s="8" t="str">
        <x:v>기존 검증 정답</x:v>
      </x:c>
      <x:c r="G1727" s="8" t="str">
        <x:v>https://apis.data.go.kr/1471000/DrbEasyDrugInfoService/getDrbEasyDrugList</x:v>
      </x:c>
      <x:c r="H1727" s="8" t="str">
        <x:v>{
  "item_seq": "199801515",
  "item_name": "프리겔현탁액(알마게이트)",
  "manufacturer": "대원제약(주)",
  "section_codes": [
    "dosage"
  ]
}</x:v>
      </x:c>
    </x:row>
    <x:row r="1728" ht="54" customHeight="1">
      <x:c r="A1728" s="8" t="str">
        <x:v>gold-medication-na-fd05d58cc1c400ca</x:v>
      </x:c>
      <x:c r="B1728" s="8" t="str"/>
      <x:c r="C1728" s="8" t="str"/>
      <x:c r="D1728" s="8" t="str">
        <x:v>답변 거부 또는 추가 확인 요청</x:v>
      </x:c>
      <x:c r="E1728" s="15" t="n">
        <x:v>1726</x:v>
      </x:c>
      <x:c r="F1728" s="8" t="str">
        <x:v>답변 거부 기준 문구</x:v>
      </x:c>
      <x:c r="G1728" s="8" t="str">
        <x:v>https://apis.data.go.kr/1471000/DrbEasyDrugInfoService/getDrbEasyDrugList</x:v>
      </x:c>
      <x:c r="H1728" s="8" t="str">
        <x:v>{
  "item_seq": "202107326",
  "item_name": "센스온스피드액",
  "manufacturer": "동국제약(주)",
  "section_codes": [
    "precautions"
  ]
}</x:v>
      </x:c>
    </x:row>
    <x:row r="1729" ht="54" customHeight="1">
      <x:c r="A1729" s="8" t="str">
        <x:v>gold-medication-4b9b07e2115ceaee</x:v>
      </x:c>
      <x:c r="B1729" s="8" t="str">
        <x:v>eyak:201401095:precautions:002</x:v>
      </x:c>
      <x:c r="C1729" s="8" t="str">
        <x:v>eyak:201401095:precautions:002
eyak:201401095:precautions:001
eyak:201401095:precautions:003</x:v>
      </x:c>
      <x:c r="D1729" s="8" t="str">
        <x:v>근거와 함께 답변</x:v>
      </x:c>
      <x:c r="E1729" s="15" t="n">
        <x:v>1727</x:v>
      </x:c>
      <x:c r="F1729" s="8" t="str">
        <x:v>기존 검증 정답</x:v>
      </x:c>
      <x:c r="G1729" s="8" t="str">
        <x:v>https://apis.data.go.kr/1471000/DrbEasyDrugInfoService/getDrbEasyDrugList</x:v>
      </x:c>
      <x:c r="H1729" s="8" t="str">
        <x:v>{
  "item_seq": "201401095",
  "item_name": "나에겐연질캡슐(나프록센)",
  "manufacturer": "(주)마더스제약",
  "section_codes": [
    "precautions"
  ]
}</x:v>
      </x:c>
    </x:row>
    <x:row r="1730" ht="54" customHeight="1">
      <x:c r="A1730" s="8" t="str">
        <x:v>gold-medication-eea2bc858d6803f4</x:v>
      </x:c>
      <x:c r="B1730" s="8" t="str">
        <x:v>eyak:201803016:adverse_reactions:001</x:v>
      </x:c>
      <x:c r="C1730" s="8" t="str">
        <x:v>eyak:201803016:adverse_reactions:001</x:v>
      </x:c>
      <x:c r="D1730" s="8" t="str">
        <x:v>근거와 함께 답변</x:v>
      </x:c>
      <x:c r="E1730" s="15" t="n">
        <x:v>1728</x:v>
      </x:c>
      <x:c r="F1730" s="8" t="str">
        <x:v>기존 검증 정답</x:v>
      </x:c>
      <x:c r="G1730" s="8" t="str">
        <x:v>https://apis.data.go.kr/1471000/DrbEasyDrugInfoService/getDrbEasyDrugList</x:v>
      </x:c>
      <x:c r="H1730" s="8" t="str">
        <x:v>{
  "item_seq": "201803016",
  "item_name": "목앤탁인후스프레이",
  "manufacturer": "태극제약(주)",
  "section_codes": [
    "adverse_reactions"
  ]
}</x:v>
      </x:c>
    </x:row>
    <x:row r="1731" ht="54" customHeight="1">
      <x:c r="A1731" s="8" t="str">
        <x:v>gold-medication-c528e1c477e79562</x:v>
      </x:c>
      <x:c r="B1731" s="8" t="str">
        <x:v>eyak:200511037:precautions:004
eyak:200511037:adverse_reactions:002</x:v>
      </x:c>
      <x:c r="C1731" s="8" t="str">
        <x:v>eyak:200511037:precautions:004
eyak:200511037:precautions:002
eyak:200511037:precautions:003
eyak:200511037:precautions:001
eyak:200511037:adverse_reactions:002
eyak:200511037:adverse_reactions:001
eyak:200511037:adverse_reactions:003</x:v>
      </x:c>
      <x:c r="D1731" s="8" t="str">
        <x:v>근거와 함께 답변</x:v>
      </x:c>
      <x:c r="E1731" s="15" t="n">
        <x:v>1729</x:v>
      </x:c>
      <x:c r="F1731" s="8" t="str">
        <x:v>기존 검증 정답</x:v>
      </x:c>
      <x:c r="G1731" s="8" t="str">
        <x:v>https://apis.data.go.kr/1471000/DrbEasyDrugInfoService/getDrbEasyDrugList</x:v>
      </x:c>
      <x:c r="H1731" s="8" t="str">
        <x:v>{
  "item_seq": "200511037",
  "item_name": "니코틴엘로젠즈민트향트로키1밀리그램(니코틴타르타르산염수화물)",
  "manufacturer": "지피테라퓨틱스코리아주식회사",
  "section_codes": [
    "precautions",
    "adverse_reactions"
  ]
}</x:v>
      </x:c>
    </x:row>
    <x:row r="1732" ht="54" customHeight="1">
      <x:c r="A1732" s="8" t="str">
        <x:v>gold-medication-468c644621c84d06</x:v>
      </x:c>
      <x:c r="B1732" s="8" t="str">
        <x:v>eyak:201110424:interactions:001</x:v>
      </x:c>
      <x:c r="C1732" s="8" t="str">
        <x:v>eyak:201110424:interactions:001</x:v>
      </x:c>
      <x:c r="D1732" s="8" t="str">
        <x:v>근거와 함께 답변</x:v>
      </x:c>
      <x:c r="E1732" s="15" t="n">
        <x:v>1730</x:v>
      </x:c>
      <x:c r="F1732" s="8" t="str">
        <x:v>기존 검증 정답</x:v>
      </x:c>
      <x:c r="G1732" s="8" t="str">
        <x:v>https://apis.data.go.kr/1471000/DrbEasyDrugInfoService/getDrbEasyDrugList</x:v>
      </x:c>
      <x:c r="H1732" s="8" t="str">
        <x:v>{
  "item_seq": "201110424",
  "item_name": "본스칼츄어블정",
  "manufacturer": "조아제약(주)",
  "section_codes": [
    "interactions"
  ]
}</x:v>
      </x:c>
    </x:row>
    <x:row r="1733" ht="54" customHeight="1">
      <x:c r="A1733" s="8" t="str">
        <x:v>gold-medication-7682fcf62cbe6c9e</x:v>
      </x:c>
      <x:c r="B1733" s="8" t="str">
        <x:v>eyak:202501015:adverse_reactions:001</x:v>
      </x:c>
      <x:c r="C1733" s="8" t="str">
        <x:v>eyak:202501015:adverse_reactions:001</x:v>
      </x:c>
      <x:c r="D1733" s="8" t="str">
        <x:v>근거와 함께 답변</x:v>
      </x:c>
      <x:c r="E1733" s="15" t="n">
        <x:v>1731</x:v>
      </x:c>
      <x:c r="F1733" s="8" t="str">
        <x:v>기존 검증 정답</x:v>
      </x:c>
      <x:c r="G1733" s="8" t="str">
        <x:v>https://apis.data.go.kr/1471000/DrbEasyDrugInfoService/getDrbEasyDrugList</x:v>
      </x:c>
      <x:c r="H1733" s="8" t="str">
        <x:v>{
  "item_seq": "202501015",
  "item_name": "아르기샷액(L-아스파르트산-L-아르기닌수화물)",
  "manufacturer": "동국제약(주)",
  "section_codes": [
    "adverse_reactions"
  ]
}</x:v>
      </x:c>
    </x:row>
    <x:row r="1734" ht="54" customHeight="1">
      <x:c r="A1734" s="8" t="str">
        <x:v>gold-medication-59a6e7058dbeb00f</x:v>
      </x:c>
      <x:c r="B1734" s="8" t="str">
        <x:v>eyak:201601572:adverse_reactions:001</x:v>
      </x:c>
      <x:c r="C1734" s="8" t="str">
        <x:v>eyak:201601572:adverse_reactions:001</x:v>
      </x:c>
      <x:c r="D1734" s="8" t="str">
        <x:v>근거와 함께 답변</x:v>
      </x:c>
      <x:c r="E1734" s="15" t="n">
        <x:v>1732</x:v>
      </x:c>
      <x:c r="F1734" s="8" t="str">
        <x:v>기존 검증 정답</x:v>
      </x:c>
      <x:c r="G1734" s="8" t="str">
        <x:v>https://apis.data.go.kr/1471000/DrbEasyDrugInfoService/getDrbEasyDrugList</x:v>
      </x:c>
      <x:c r="H1734" s="8" t="str">
        <x:v>{
  "item_seq": "201601572",
  "item_name": "아모릴네일라카(아모롤핀염산염)",
  "manufacturer": "에이치엘비제약(주)",
  "section_codes": [
    "adverse_reactions"
  ]
}</x:v>
      </x:c>
    </x:row>
    <x:row r="1735" ht="54" customHeight="1">
      <x:c r="A1735" s="8" t="str">
        <x:v>gold-medication-d51e93f8b9549eb4</x:v>
      </x:c>
      <x:c r="B1735" s="8" t="str">
        <x:v>eyak:201707306:interactions:001</x:v>
      </x:c>
      <x:c r="C1735" s="8" t="str">
        <x:v>eyak:201707306:interactions:001</x:v>
      </x:c>
      <x:c r="D1735" s="8" t="str">
        <x:v>근거와 함께 답변</x:v>
      </x:c>
      <x:c r="E1735" s="15" t="n">
        <x:v>1733</x:v>
      </x:c>
      <x:c r="F1735" s="8" t="str">
        <x:v>기존 검증 정답</x:v>
      </x:c>
      <x:c r="G1735" s="8" t="str">
        <x:v>https://apis.data.go.kr/1471000/DrbEasyDrugInfoService/getDrbEasyDrugList</x:v>
      </x:c>
      <x:c r="H1735" s="8" t="str">
        <x:v>{
  "item_seq": "201707306",
  "item_name": "트리스펜8시간이알서방정(아세트아미노펜)",
  "manufacturer": "동화약품(주)",
  "section_codes": [
    "interactions"
  ]
}</x:v>
      </x:c>
    </x:row>
    <x:row r="1736" ht="54" customHeight="1">
      <x:c r="A1736" s="8" t="str">
        <x:v>gold-medication-5812c8d465c86503</x:v>
      </x:c>
      <x:c r="B1736" s="8" t="str">
        <x:v>eyak:201803065:warning:001
eyak:201803065:precautions:005
eyak:201803065:adverse_reactions:001</x:v>
      </x:c>
      <x:c r="C1736" s="8" t="str">
        <x:v>eyak:201803065:warning:001
eyak:201803065:warning:003
eyak:201803065:warning:002
eyak:201803065:precautions:005
eyak:201803065:precautions:004
eyak:201803065:precautions:001
eyak:201803065:precautions:002
eyak:201803065:precautions:003
eyak:201803065:adverse_reactions:001
eyak:201803065:adverse_reactions:002
eyak:201803065:adverse_reactions:003
eyak:201803065:adverse_reactions:004</x:v>
      </x:c>
      <x:c r="D1736" s="8" t="str">
        <x:v>근거와 함께 답변</x:v>
      </x:c>
      <x:c r="E1736" s="15" t="n">
        <x:v>1734</x:v>
      </x:c>
      <x:c r="F1736" s="8" t="str">
        <x:v>기존 검증 정답</x:v>
      </x:c>
      <x:c r="G1736" s="8" t="str">
        <x:v>https://apis.data.go.kr/1471000/DrbEasyDrugInfoService/getDrbEasyDrugList</x:v>
      </x:c>
      <x:c r="H1736" s="8" t="str">
        <x:v>{
  "item_seq": "201803065",
  "item_name": "신콜에프연질캡슐",
  "manufacturer": "구주제약(주)",
  "section_codes": [
    "warning",
    "precautions",
    "adverse_reactions"
  ]
}</x:v>
      </x:c>
    </x:row>
    <x:row r="1737" ht="54" customHeight="1">
      <x:c r="A1737" s="8" t="str">
        <x:v>gold-medication-b4cc9a126ed182f7</x:v>
      </x:c>
      <x:c r="B1737" s="8" t="str">
        <x:v>eyak:199202640:storage:001</x:v>
      </x:c>
      <x:c r="C1737" s="8" t="str">
        <x:v>eyak:199202640:storage:001</x:v>
      </x:c>
      <x:c r="D1737" s="8" t="str">
        <x:v>근거와 함께 답변</x:v>
      </x:c>
      <x:c r="E1737" s="15" t="n">
        <x:v>1735</x:v>
      </x:c>
      <x:c r="F1737" s="8" t="str">
        <x:v>기존 검증 정답</x:v>
      </x:c>
      <x:c r="G1737" s="8" t="str">
        <x:v>https://apis.data.go.kr/1471000/DrbEasyDrugInfoService/getDrbEasyDrugList</x:v>
      </x:c>
      <x:c r="H1737" s="8" t="str">
        <x:v>{
  "item_seq": "199202640",
  "item_name": "후시메드연고(퓨시드산나트륨)",
  "manufacturer": "(주)녹십자",
  "section_codes": [
    "storage"
  ]
}</x:v>
      </x:c>
    </x:row>
    <x:row r="1738" ht="54" customHeight="1">
      <x:c r="A1738" s="8" t="str">
        <x:v>gold-medication-na-3dea5b091b2707a4</x:v>
      </x:c>
      <x:c r="B1738" s="8" t="str"/>
      <x:c r="C1738" s="8" t="str"/>
      <x:c r="D1738" s="8" t="str">
        <x:v>답변 거부 또는 추가 확인 요청</x:v>
      </x:c>
      <x:c r="E1738" s="15" t="n">
        <x:v>1736</x:v>
      </x:c>
      <x:c r="F1738" s="8" t="str">
        <x:v>답변 거부 기준 문구</x:v>
      </x:c>
      <x:c r="G1738" s="8" t="str">
        <x:v>https://apis.data.go.kr/1471000/DrbEasyDrugInfoService/getDrbEasyDrugList</x:v>
      </x:c>
      <x:c r="H1738" s="8" t="str">
        <x:v>{
  "item_seq": "202301812",
  "item_name": "코비메타비정",
  "manufacturer": "메딕스제약(주)",
  "section_codes": [
    "precautions",
    "adverse_reactions"
  ]
}</x:v>
      </x:c>
    </x:row>
    <x:row r="1739" ht="54" customHeight="1">
      <x:c r="A1739" s="8" t="str">
        <x:v>gold-medication-397d8efa41e31fc3</x:v>
      </x:c>
      <x:c r="B1739" s="8" t="str">
        <x:v>eyak:201405263:efficacy:001</x:v>
      </x:c>
      <x:c r="C1739" s="8" t="str">
        <x:v>eyak:201405263:efficacy:001</x:v>
      </x:c>
      <x:c r="D1739" s="8" t="str">
        <x:v>근거와 함께 답변</x:v>
      </x:c>
      <x:c r="E1739" s="15" t="n">
        <x:v>1737</x:v>
      </x:c>
      <x:c r="F1739" s="8" t="str">
        <x:v>기존 검증 정답</x:v>
      </x:c>
      <x:c r="G1739" s="8" t="str">
        <x:v>https://apis.data.go.kr/1471000/DrbEasyDrugInfoService/getDrbEasyDrugList</x:v>
      </x:c>
      <x:c r="H1739" s="8" t="str">
        <x:v>{
  "item_seq": "201405263",
  "item_name": "모이스뷰점안액(트레할로스수화물)(1회용)",
  "manufacturer": "(주)휴온스",
  "section_codes": [
    "efficacy"
  ]
}</x:v>
      </x:c>
    </x:row>
    <x:row r="1740" ht="54" customHeight="1">
      <x:c r="A1740" s="8" t="str">
        <x:v>gold-medication-8ed92648cce7e001</x:v>
      </x:c>
      <x:c r="B1740" s="8" t="str">
        <x:v>eyak:200905098:precautions:001</x:v>
      </x:c>
      <x:c r="C1740" s="8" t="str">
        <x:v>eyak:200905098:precautions:001</x:v>
      </x:c>
      <x:c r="D1740" s="8" t="str">
        <x:v>근거와 함께 답변</x:v>
      </x:c>
      <x:c r="E1740" s="15" t="n">
        <x:v>1738</x:v>
      </x:c>
      <x:c r="F1740" s="8" t="str">
        <x:v>기존 검증 정답</x:v>
      </x:c>
      <x:c r="G1740" s="8" t="str">
        <x:v>https://apis.data.go.kr/1471000/DrbEasyDrugInfoService/getDrbEasyDrugList</x:v>
      </x:c>
      <x:c r="H1740" s="8" t="str">
        <x:v>{
  "item_seq": "200905098",
  "item_name": "이튼돌플러스캡슐",
  "manufacturer": "알파제약(주)",
  "section_codes": [
    "precautions"
  ]
}</x:v>
      </x:c>
    </x:row>
    <x:row r="1741" ht="54" customHeight="1">
      <x:c r="A1741" s="8" t="str">
        <x:v>gold-medication-960f33e3cc065a15</x:v>
      </x:c>
      <x:c r="B1741" s="8" t="str">
        <x:v>eyak:202301519:warning:001
eyak:202301519:precautions:001
eyak:202301519:adverse_reactions:006</x:v>
      </x:c>
      <x:c r="C1741" s="8" t="str">
        <x:v>eyak:202301519:warning:001
eyak:202301519:warning:003
eyak:202301519:warning:002
eyak:202301519:precautions:001
eyak:202301519:precautions:003
eyak:202301519:precautions:004
eyak:202301519:precautions:002
eyak:202301519:adverse_reactions:006
eyak:202301519:adverse_reactions:007
eyak:202301519:adverse_reactions:005
eyak:202301519:adverse_reactions:002
eyak:202301519:adverse_reactions:001
eyak:202301519:adverse_reactions:003
eyak:202301519:adverse_reactions:004
eyak:202301519:adverse_reactions:008
eyak:202301519:adverse_reactions:009</x:v>
      </x:c>
      <x:c r="D1741" s="8" t="str">
        <x:v>근거와 함께 답변</x:v>
      </x:c>
      <x:c r="E1741" s="15" t="n">
        <x:v>1739</x:v>
      </x:c>
      <x:c r="F1741" s="8" t="str">
        <x:v>기존 검증 정답</x:v>
      </x:c>
      <x:c r="G1741" s="8" t="str">
        <x:v>https://apis.data.go.kr/1471000/DrbEasyDrugInfoService/getDrbEasyDrugList</x:v>
      </x:c>
      <x:c r="H1741" s="8" t="str">
        <x:v>{
  "item_seq": "202301519",
  "item_name": "타세놀이부연질캡슐400밀리그램(이부프로펜)",
  "manufacturer": "부광약품(주)",
  "section_codes": [
    "warning",
    "precautions",
    "adverse_reactions"
  ]
}</x:v>
      </x:c>
    </x:row>
    <x:row r="1742" ht="54" customHeight="1">
      <x:c r="A1742" s="8" t="str">
        <x:v>gold-medication-46ed5ebcd9b28cd6</x:v>
      </x:c>
      <x:c r="B1742" s="8" t="str">
        <x:v>eyak:201109596:storage:001</x:v>
      </x:c>
      <x:c r="C1742" s="8" t="str">
        <x:v>eyak:201109596:storage:001</x:v>
      </x:c>
      <x:c r="D1742" s="8" t="str">
        <x:v>근거와 함께 답변</x:v>
      </x:c>
      <x:c r="E1742" s="15" t="n">
        <x:v>1740</x:v>
      </x:c>
      <x:c r="F1742" s="8" t="str">
        <x:v>기존 검증 정답</x:v>
      </x:c>
      <x:c r="G1742" s="8" t="str">
        <x:v>https://apis.data.go.kr/1471000/DrbEasyDrugInfoService/getDrbEasyDrugList</x:v>
      </x:c>
      <x:c r="H1742" s="8" t="str">
        <x:v>{
  "item_seq": "201109596",
  "item_name": "더블락캡슐",
  "manufacturer": "일양약품(주)",
  "section_codes": [
    "storage"
  ]
}</x:v>
      </x:c>
    </x:row>
    <x:row r="1743" ht="54" customHeight="1">
      <x:c r="A1743" s="8" t="str">
        <x:v>gold-medication-7d31f0f7346cac8d</x:v>
      </x:c>
      <x:c r="B1743" s="8" t="str">
        <x:v>eyak:199101004:precautions:003</x:v>
      </x:c>
      <x:c r="C1743" s="8" t="str">
        <x:v>eyak:199101004:precautions:003
eyak:199101004:precautions:002
eyak:199101004:precautions:001
eyak:199101004:precautions:004</x:v>
      </x:c>
      <x:c r="D1743" s="8" t="str">
        <x:v>근거와 함께 답변</x:v>
      </x:c>
      <x:c r="E1743" s="15" t="n">
        <x:v>1741</x:v>
      </x:c>
      <x:c r="F1743" s="8" t="str">
        <x:v>기존 검증 정답</x:v>
      </x:c>
      <x:c r="G1743" s="8" t="str">
        <x:v>https://apis.data.go.kr/1471000/DrbEasyDrugInfoService/getDrbEasyDrugList</x:v>
      </x:c>
      <x:c r="H1743" s="8" t="str">
        <x:v>{
  "item_seq": "199101004",
  "item_name": "하르델연고",
  "manufacturer": "태극제약(주)",
  "section_codes": [
    "precautions"
  ]
}</x:v>
      </x:c>
    </x:row>
    <x:row r="1744" ht="54" customHeight="1">
      <x:c r="A1744" s="8" t="str">
        <x:v>gold-medication-f280283c179067f4</x:v>
      </x:c>
      <x:c r="B1744" s="8" t="str">
        <x:v>eyak:201701191:efficacy:001</x:v>
      </x:c>
      <x:c r="C1744" s="8" t="str">
        <x:v>eyak:201701191:efficacy:001</x:v>
      </x:c>
      <x:c r="D1744" s="8" t="str">
        <x:v>근거와 함께 답변</x:v>
      </x:c>
      <x:c r="E1744" s="15" t="n">
        <x:v>1742</x:v>
      </x:c>
      <x:c r="F1744" s="8" t="str">
        <x:v>기존 검증 정답</x:v>
      </x:c>
      <x:c r="G1744" s="8" t="str">
        <x:v>https://apis.data.go.kr/1471000/DrbEasyDrugInfoService/getDrbEasyDrugList</x:v>
      </x:c>
      <x:c r="H1744" s="8" t="str">
        <x:v>{
  "item_seq": "201701191",
  "item_name": "이지굿정",
  "manufacturer": "동국제약(주)",
  "section_codes": [
    "efficacy"
  ]
}</x:v>
      </x:c>
    </x:row>
    <x:row r="1745" ht="54" customHeight="1">
      <x:c r="A1745" s="8" t="str">
        <x:v>gold-medication-4b357a8183d65040</x:v>
      </x:c>
      <x:c r="B1745" s="8" t="str">
        <x:v>eyak:201602500:precautions:001</x:v>
      </x:c>
      <x:c r="C1745" s="8" t="str">
        <x:v>eyak:201602500:precautions:001
eyak:201602500:precautions:002</x:v>
      </x:c>
      <x:c r="D1745" s="8" t="str">
        <x:v>근거와 함께 답변</x:v>
      </x:c>
      <x:c r="E1745" s="15" t="n">
        <x:v>1743</x:v>
      </x:c>
      <x:c r="F1745" s="8" t="str">
        <x:v>기존 검증 정답</x:v>
      </x:c>
      <x:c r="G1745" s="8" t="str">
        <x:v>https://apis.data.go.kr/1471000/DrbEasyDrugInfoService/getDrbEasyDrugList</x:v>
      </x:c>
      <x:c r="H1745" s="8" t="str">
        <x:v>{
  "item_seq": "201602500",
  "item_name": "에스린정",
  "manufacturer": "(주)휴비스트제약",
  "section_codes": [
    "precautions"
  ]
}</x:v>
      </x:c>
    </x:row>
    <x:row r="1746" ht="54" customHeight="1">
      <x:c r="A1746" s="8" t="str">
        <x:v>gold-medication-na-24a594da017ecda2</x:v>
      </x:c>
      <x:c r="B1746" s="8" t="str"/>
      <x:c r="C1746" s="8" t="str"/>
      <x:c r="D1746" s="8" t="str">
        <x:v>답변 거부 또는 추가 확인 요청</x:v>
      </x:c>
      <x:c r="E1746" s="15" t="n">
        <x:v>1744</x:v>
      </x:c>
      <x:c r="F1746" s="8" t="str">
        <x:v>답변 거부 기준 문구</x:v>
      </x:c>
      <x:c r="G1746" s="8" t="str">
        <x:v>https://apis.data.go.kr/1471000/DrbEasyDrugInfoService/getDrbEasyDrugList</x:v>
      </x:c>
      <x:c r="H1746" s="8" t="str">
        <x:v>{
  "item_seq": "202302903",
  "item_name": "코즈굿나잘스프레이",
  "manufacturer": "동국제약(주)",
  "section_codes": [
    "interactions"
  ]
}</x:v>
      </x:c>
    </x:row>
    <x:row r="1747" ht="54" customHeight="1">
      <x:c r="A1747" s="8" t="str">
        <x:v>gold-medication-na-ffbd7ca35af678fa</x:v>
      </x:c>
      <x:c r="B1747" s="8" t="str"/>
      <x:c r="C1747" s="8" t="str"/>
      <x:c r="D1747" s="8" t="str">
        <x:v>답변 거부 또는 추가 확인 요청</x:v>
      </x:c>
      <x:c r="E1747" s="15" t="n">
        <x:v>1745</x:v>
      </x:c>
      <x:c r="F1747" s="8" t="str">
        <x:v>답변 거부 기준 문구</x:v>
      </x:c>
      <x:c r="G1747" s="8" t="str">
        <x:v>https://apis.data.go.kr/1471000/DrbEasyDrugInfoService/getDrbEasyDrugList</x:v>
      </x:c>
      <x:c r="H1747" s="8" t="str">
        <x:v>{
  "item_seq": "202201218",
  "item_name": "광동에너릭정",
  "manufacturer": "광동제약(주)",
  "section_codes": [
    "interactions"
  ]
}</x:v>
      </x:c>
    </x:row>
    <x:row r="1748" ht="54" customHeight="1">
      <x:c r="A1748" s="8" t="str">
        <x:v>gold-medication-83a13bfc0072d25f</x:v>
      </x:c>
      <x:c r="B1748" s="8" t="str">
        <x:v>eyak:201702024:dosage:001</x:v>
      </x:c>
      <x:c r="C1748" s="8" t="str">
        <x:v>eyak:201702024:dosage:001</x:v>
      </x:c>
      <x:c r="D1748" s="8" t="str">
        <x:v>근거와 함께 답변</x:v>
      </x:c>
      <x:c r="E1748" s="15" t="n">
        <x:v>1746</x:v>
      </x:c>
      <x:c r="F1748" s="8" t="str">
        <x:v>기존 검증 정답</x:v>
      </x:c>
      <x:c r="G1748" s="8" t="str">
        <x:v>https://apis.data.go.kr/1471000/DrbEasyDrugInfoService/getDrbEasyDrugList</x:v>
      </x:c>
      <x:c r="H1748" s="8" t="str">
        <x:v>{
  "item_seq": "201702024",
  "item_name": "치클리덴탈페이스트",
  "manufacturer": "아이큐어(주)",
  "section_codes": [
    "dosage"
  ]
}</x:v>
      </x:c>
    </x:row>
    <x:row r="1749" ht="54" customHeight="1">
      <x:c r="A1749" s="8" t="str">
        <x:v>gold-medication-f69ed77cf9dab642</x:v>
      </x:c>
      <x:c r="B1749" s="8" t="str">
        <x:v>eyak:200907060:efficacy:001</x:v>
      </x:c>
      <x:c r="C1749" s="8" t="str">
        <x:v>eyak:200907060:efficacy:001</x:v>
      </x:c>
      <x:c r="D1749" s="8" t="str">
        <x:v>근거와 함께 답변</x:v>
      </x:c>
      <x:c r="E1749" s="15" t="n">
        <x:v>1747</x:v>
      </x:c>
      <x:c r="F1749" s="8" t="str">
        <x:v>기존 검증 정답</x:v>
      </x:c>
      <x:c r="G1749" s="8" t="str">
        <x:v>https://apis.data.go.kr/1471000/DrbEasyDrugInfoService/getDrbEasyDrugList</x:v>
      </x:c>
      <x:c r="H1749" s="8" t="str">
        <x:v>{
  "item_seq": "200907060",
  "item_name": "미니온플라스타",
  "manufacturer": "시믹씨엠오코리아(주)",
  "section_codes": [
    "efficacy"
  ]
}</x:v>
      </x:c>
    </x:row>
    <x:row r="1750" ht="54" customHeight="1">
      <x:c r="A1750" s="8" t="str">
        <x:v>gold-medication-d88e404f44d44213</x:v>
      </x:c>
      <x:c r="B1750" s="8" t="str">
        <x:v>eyak:202501948:adverse_reactions:002</x:v>
      </x:c>
      <x:c r="C1750" s="8" t="str">
        <x:v>eyak:202501948:adverse_reactions:002
eyak:202501948:adverse_reactions:005
eyak:202501948:adverse_reactions:001
eyak:202501948:adverse_reactions:004
eyak:202501948:adverse_reactions:006
eyak:202501948:adverse_reactions:003
eyak:202501948:adverse_reactions:007</x:v>
      </x:c>
      <x:c r="D1750" s="8" t="str">
        <x:v>근거와 함께 답변</x:v>
      </x:c>
      <x:c r="E1750" s="15" t="n">
        <x:v>1748</x:v>
      </x:c>
      <x:c r="F1750" s="8" t="str">
        <x:v>기존 검증 정답</x:v>
      </x:c>
      <x:c r="G1750" s="8" t="str">
        <x:v>https://apis.data.go.kr/1471000/DrbEasyDrugInfoService/getDrbEasyDrugList</x:v>
      </x:c>
      <x:c r="H1750" s="8" t="str">
        <x:v>{
  "item_seq": "202501948",
  "item_name": "알파키연질캡슐1마이크로그램(알파칼시돌)",
  "manufacturer": "(주)유유제약",
  "section_codes": [
    "adverse_reactions"
  ]
}</x:v>
      </x:c>
    </x:row>
    <x:row r="1751" ht="54" customHeight="1">
      <x:c r="A1751" s="8" t="str">
        <x:v>gold-medication-7ae6ef7ef1aa14a0</x:v>
      </x:c>
      <x:c r="B1751" s="8" t="str">
        <x:v>eyak:202107668:adverse_reactions:001</x:v>
      </x:c>
      <x:c r="C1751" s="8" t="str">
        <x:v>eyak:202107668:adverse_reactions:001
eyak:202107668:adverse_reactions:002</x:v>
      </x:c>
      <x:c r="D1751" s="8" t="str">
        <x:v>근거와 함께 답변</x:v>
      </x:c>
      <x:c r="E1751" s="15" t="n">
        <x:v>1749</x:v>
      </x:c>
      <x:c r="F1751" s="8" t="str">
        <x:v>기존 검증 정답</x:v>
      </x:c>
      <x:c r="G1751" s="8" t="str">
        <x:v>https://apis.data.go.kr/1471000/DrbEasyDrugInfoService/getDrbEasyDrugList</x:v>
      </x:c>
      <x:c r="H1751" s="8" t="str">
        <x:v>{
  "item_seq": "202107668",
  "item_name": "액티진맥스정",
  "manufacturer": "한국코러스(주)",
  "section_codes": [
    "adverse_reactions"
  ]
}</x:v>
      </x:c>
    </x:row>
    <x:row r="1752" ht="54" customHeight="1">
      <x:c r="A1752" s="8" t="str">
        <x:v>gold-medication-b90b4a994f871e42</x:v>
      </x:c>
      <x:c r="B1752" s="8" t="str">
        <x:v>eyak:200906254:precautions:002</x:v>
      </x:c>
      <x:c r="C1752" s="8" t="str">
        <x:v>eyak:200906254:precautions:002
eyak:200906254:precautions:001</x:v>
      </x:c>
      <x:c r="D1752" s="8" t="str">
        <x:v>근거와 함께 답변</x:v>
      </x:c>
      <x:c r="E1752" s="15" t="n">
        <x:v>1750</x:v>
      </x:c>
      <x:c r="F1752" s="8" t="str">
        <x:v>기존 검증 정답</x:v>
      </x:c>
      <x:c r="G1752" s="8" t="str">
        <x:v>https://apis.data.go.kr/1471000/DrbEasyDrugInfoService/getDrbEasyDrugList</x:v>
      </x:c>
      <x:c r="H1752" s="8" t="str">
        <x:v>{
  "item_seq": "200906254",
  "item_name": "알러샷연질캡슐(세티리진염산염)",
  "manufacturer": "(주)녹십자",
  "section_codes": [
    "precautions"
  ]
}</x:v>
      </x:c>
    </x:row>
    <x:row r="1753" ht="54" customHeight="1">
      <x:c r="A1753" s="8" t="str">
        <x:v>gold-medication-5f254674bd9f1f40</x:v>
      </x:c>
      <x:c r="B1753" s="8" t="str">
        <x:v>eyak:202009424:adverse_reactions:001</x:v>
      </x:c>
      <x:c r="C1753" s="8" t="str">
        <x:v>eyak:202009424:adverse_reactions:001</x:v>
      </x:c>
      <x:c r="D1753" s="8" t="str">
        <x:v>근거와 함께 답변</x:v>
      </x:c>
      <x:c r="E1753" s="15" t="n">
        <x:v>1751</x:v>
      </x:c>
      <x:c r="F1753" s="8" t="str">
        <x:v>기존 검증 정답</x:v>
      </x:c>
      <x:c r="G1753" s="8" t="str">
        <x:v>https://apis.data.go.kr/1471000/DrbEasyDrugInfoService/getDrbEasyDrugList</x:v>
      </x:c>
      <x:c r="H1753" s="8" t="str">
        <x:v>{
  "item_seq": "202009424",
  "item_name": "트리엘정100밀리그램(트리메부틴말레산염)",
  "manufacturer": "경방신약(주)",
  "section_codes": [
    "adverse_reactions"
  ]
}</x:v>
      </x:c>
    </x:row>
    <x:row r="1754" ht="54" customHeight="1">
      <x:c r="A1754" s="8" t="str">
        <x:v>gold-medication-2cf068795c043a24</x:v>
      </x:c>
      <x:c r="B1754" s="8" t="str">
        <x:v>eyak:201802592:precautions:004</x:v>
      </x:c>
      <x:c r="C1754" s="8" t="str">
        <x:v>eyak:201802592:precautions:004
eyak:201802592:precautions:001
eyak:201802592:precautions:003
eyak:201802592:precautions:002
eyak:201802592:precautions:005</x:v>
      </x:c>
      <x:c r="D1754" s="8" t="str">
        <x:v>근거와 함께 답변</x:v>
      </x:c>
      <x:c r="E1754" s="15" t="n">
        <x:v>1752</x:v>
      </x:c>
      <x:c r="F1754" s="8" t="str">
        <x:v>기존 검증 정답</x:v>
      </x:c>
      <x:c r="G1754" s="8" t="str">
        <x:v>https://apis.data.go.kr/1471000/DrbEasyDrugInfoService/getDrbEasyDrugList</x:v>
      </x:c>
      <x:c r="H1754" s="8" t="str">
        <x:v>{
  "item_seq": "201802592",
  "item_name": "바이펜연질캡슐300mg(덱시부프로펜)",
  "manufacturer": "구주제약(주)",
  "section_codes": [
    "precautions"
  ]
}</x:v>
      </x:c>
    </x:row>
    <x:row r="1755" ht="54" customHeight="1">
      <x:c r="A1755" s="8" t="str">
        <x:v>gold-medication-f357539e63474fb6</x:v>
      </x:c>
      <x:c r="B1755" s="8" t="str">
        <x:v>eyak:200404692:storage:001</x:v>
      </x:c>
      <x:c r="C1755" s="8" t="str">
        <x:v>eyak:200404692:storage:001</x:v>
      </x:c>
      <x:c r="D1755" s="8" t="str">
        <x:v>근거와 함께 답변</x:v>
      </x:c>
      <x:c r="E1755" s="15" t="n">
        <x:v>1753</x:v>
      </x:c>
      <x:c r="F1755" s="8" t="str">
        <x:v>기존 검증 정답</x:v>
      </x:c>
      <x:c r="G1755" s="8" t="str">
        <x:v>https://apis.data.go.kr/1471000/DrbEasyDrugInfoService/getDrbEasyDrugList</x:v>
      </x:c>
      <x:c r="H1755" s="8" t="str">
        <x:v>{
  "item_seq": "200404692",
  "item_name": "제뉴원트리메부틴말레산염정",
  "manufacturer": "주식회사제뉴원사이언스",
  "section_codes": [
    "storage"
  ]
}</x:v>
      </x:c>
    </x:row>
    <x:row r="1756" ht="54" customHeight="1">
      <x:c r="A1756" s="8" t="str">
        <x:v>gold-medication-e0b322682d3703ae</x:v>
      </x:c>
      <x:c r="B1756" s="8" t="str">
        <x:v>eyak:202106445:adverse_reactions:001</x:v>
      </x:c>
      <x:c r="C1756" s="8" t="str">
        <x:v>eyak:202106445:adverse_reactions:001
eyak:202106445:adverse_reactions:002</x:v>
      </x:c>
      <x:c r="D1756" s="8" t="str">
        <x:v>근거와 함께 답변</x:v>
      </x:c>
      <x:c r="E1756" s="15" t="n">
        <x:v>1754</x:v>
      </x:c>
      <x:c r="F1756" s="8" t="str">
        <x:v>기존 검증 정답</x:v>
      </x:c>
      <x:c r="G1756" s="8" t="str">
        <x:v>https://apis.data.go.kr/1471000/DrbEasyDrugInfoService/getDrbEasyDrugList</x:v>
      </x:c>
      <x:c r="H1756" s="8" t="str">
        <x:v>{
  "item_seq": "202106445",
  "item_name": "더블비정",
  "manufacturer": "경방신약(주)",
  "section_codes": [
    "adverse_reactions"
  ]
}</x:v>
      </x:c>
    </x:row>
    <x:row r="1757" ht="54" customHeight="1">
      <x:c r="A1757" s="8" t="str">
        <x:v>gold-medication-d8ae41a7d9e21cb3</x:v>
      </x:c>
      <x:c r="B1757" s="8" t="str">
        <x:v>eyak:201901492:precautions:003
eyak:201901492:adverse_reactions:001</x:v>
      </x:c>
      <x:c r="C1757" s="8" t="str">
        <x:v>eyak:201901492:precautions:003
eyak:201901492:precautions:002
eyak:201901492:precautions:001
eyak:201901492:adverse_reactions:001
eyak:201901492:adverse_reactions:002</x:v>
      </x:c>
      <x:c r="D1757" s="8" t="str">
        <x:v>근거와 함께 답변</x:v>
      </x:c>
      <x:c r="E1757" s="15" t="n">
        <x:v>1755</x:v>
      </x:c>
      <x:c r="F1757" s="8" t="str">
        <x:v>기존 검증 정답</x:v>
      </x:c>
      <x:c r="G1757" s="8" t="str">
        <x:v>https://apis.data.go.kr/1471000/DrbEasyDrugInfoService/getDrbEasyDrugList</x:v>
      </x:c>
      <x:c r="H1757" s="8" t="str">
        <x:v>{
  "item_seq": "201901492",
  "item_name": "비라밸정",
  "manufacturer": "동화약품(주)",
  "section_codes": [
    "precautions",
    "adverse_reactions"
  ]
}</x:v>
      </x:c>
    </x:row>
    <x:row r="1758" ht="54" customHeight="1">
      <x:c r="A1758" s="8" t="str">
        <x:v>gold-medication-6703cbb9f0d1781e</x:v>
      </x:c>
      <x:c r="B1758" s="8" t="str">
        <x:v>eyak:201707395:interactions:001</x:v>
      </x:c>
      <x:c r="C1758" s="8" t="str">
        <x:v>eyak:201707395:interactions:001</x:v>
      </x:c>
      <x:c r="D1758" s="8" t="str">
        <x:v>근거와 함께 답변</x:v>
      </x:c>
      <x:c r="E1758" s="15" t="n">
        <x:v>1756</x:v>
      </x:c>
      <x:c r="F1758" s="8" t="str">
        <x:v>기존 검증 정답</x:v>
      </x:c>
      <x:c r="G1758" s="8" t="str">
        <x:v>https://apis.data.go.kr/1471000/DrbEasyDrugInfoService/getDrbEasyDrugList</x:v>
      </x:c>
      <x:c r="H1758" s="8" t="str">
        <x:v>{
  "item_seq": "201707395",
  "item_name": "에너프레쉬액(L-아스파르트산-L-아르기닌수화물)",
  "manufacturer": "명문제약(주)",
  "section_codes": [
    "interactions"
  ]
}</x:v>
      </x:c>
    </x:row>
    <x:row r="1759" ht="54" customHeight="1">
      <x:c r="A1759" s="8" t="str">
        <x:v>gold-medication-302c289d02d57c7a</x:v>
      </x:c>
      <x:c r="B1759" s="8" t="str">
        <x:v>eyak:201206882:warning:001
eyak:201206882:precautions:003
eyak:201206882:adverse_reactions:001</x:v>
      </x:c>
      <x:c r="C1759" s="8" t="str">
        <x:v>eyak:201206882:warning:001
eyak:201206882:warning:002
eyak:201206882:precautions:003
eyak:201206882:precautions:002
eyak:201206882:precautions:004
eyak:201206882:precautions:001
eyak:201206882:adverse_reactions:001
eyak:201206882:adverse_reactions:002
eyak:201206882:adverse_reactions:003</x:v>
      </x:c>
      <x:c r="D1759" s="8" t="str">
        <x:v>근거와 함께 답변</x:v>
      </x:c>
      <x:c r="E1759" s="15" t="n">
        <x:v>1757</x:v>
      </x:c>
      <x:c r="F1759" s="8" t="str">
        <x:v>기존 검증 정답</x:v>
      </x:c>
      <x:c r="G1759" s="8" t="str">
        <x:v>https://apis.data.go.kr/1471000/DrbEasyDrugInfoService/getDrbEasyDrugList</x:v>
      </x:c>
      <x:c r="H1759" s="8" t="str">
        <x:v>{
  "item_seq": "201206882",
  "item_name": "파비안에스정",
  "manufacturer": "(주)서울제약",
  "section_codes": [
    "warning",
    "precautions",
    "adverse_reactions"
  ]
}</x:v>
      </x:c>
    </x:row>
    <x:row r="1760" ht="54" customHeight="1">
      <x:c r="A1760" s="8" t="str">
        <x:v>gold-medication-356687531389ce11</x:v>
      </x:c>
      <x:c r="B1760" s="8" t="str">
        <x:v>eyak:202502554:precautions:001</x:v>
      </x:c>
      <x:c r="C1760" s="8" t="str">
        <x:v>eyak:202502554:precautions:001</x:v>
      </x:c>
      <x:c r="D1760" s="8" t="str">
        <x:v>근거와 함께 답변</x:v>
      </x:c>
      <x:c r="E1760" s="15" t="n">
        <x:v>1758</x:v>
      </x:c>
      <x:c r="F1760" s="8" t="str">
        <x:v>기존 검증 정답</x:v>
      </x:c>
      <x:c r="G1760" s="8" t="str">
        <x:v>https://apis.data.go.kr/1471000/DrbEasyDrugInfoService/getDrbEasyDrugList</x:v>
      </x:c>
      <x:c r="H1760" s="8" t="str">
        <x:v>{
  "item_seq": "202502554",
  "item_name": "더마그램피디알엔크림(폴리데옥시리보뉴클레오티드나트륨)",
  "manufacturer": "(주)종근당",
  "section_codes": [
    "precautions"
  ]
}</x:v>
      </x:c>
    </x:row>
    <x:row r="1761" ht="54" customHeight="1">
      <x:c r="A1761" s="8" t="str">
        <x:v>gold-medication-7c0bbe36d1fd304c</x:v>
      </x:c>
      <x:c r="B1761" s="8" t="str">
        <x:v>eyak:201405694:dosage:001</x:v>
      </x:c>
      <x:c r="C1761" s="8" t="str">
        <x:v>eyak:201405694:dosage:001</x:v>
      </x:c>
      <x:c r="D1761" s="8" t="str">
        <x:v>근거와 함께 답변</x:v>
      </x:c>
      <x:c r="E1761" s="15" t="n">
        <x:v>1759</x:v>
      </x:c>
      <x:c r="F1761" s="8" t="str">
        <x:v>기존 검증 정답</x:v>
      </x:c>
      <x:c r="G1761" s="8" t="str">
        <x:v>https://apis.data.go.kr/1471000/DrbEasyDrugInfoService/getDrbEasyDrugList</x:v>
      </x:c>
      <x:c r="H1761" s="8" t="str">
        <x:v>{
  "item_seq": "201405694",
  "item_name": "시원타조아나잘스프레이(옥시메타졸린염산염)",
  "manufacturer": "조아제약(주)",
  "section_codes": [
    "dosage"
  ]
}</x:v>
      </x:c>
    </x:row>
    <x:row r="1762" ht="54" customHeight="1">
      <x:c r="A1762" s="8" t="str">
        <x:v>gold-medication-7b901d8544ceff6a</x:v>
      </x:c>
      <x:c r="B1762" s="8" t="str">
        <x:v>eyak:202200584:precautions:001</x:v>
      </x:c>
      <x:c r="C1762" s="8" t="str">
        <x:v>eyak:202200584:precautions:001
eyak:202200584:precautions:002
eyak:202200584:precautions:003</x:v>
      </x:c>
      <x:c r="D1762" s="8" t="str">
        <x:v>근거와 함께 답변</x:v>
      </x:c>
      <x:c r="E1762" s="15" t="n">
        <x:v>1760</x:v>
      </x:c>
      <x:c r="F1762" s="8" t="str">
        <x:v>기존 검증 정답</x:v>
      </x:c>
      <x:c r="G1762" s="8" t="str">
        <x:v>https://apis.data.go.kr/1471000/DrbEasyDrugInfoService/getDrbEasyDrugList</x:v>
      </x:c>
      <x:c r="H1762" s="8" t="str">
        <x:v>{
  "item_seq": "202200584",
  "item_name": "물린디쿨액",
  "manufacturer": "신신제약(주)",
  "section_codes": [
    "precautions"
  ]
}</x:v>
      </x:c>
    </x:row>
    <x:row r="1763" ht="54" customHeight="1">
      <x:c r="A1763" s="8" t="str">
        <x:v>gold-medication-98fcf94dc08d1df9</x:v>
      </x:c>
      <x:c r="B1763" s="8" t="str">
        <x:v>eyak:199600201:adverse_reactions:002</x:v>
      </x:c>
      <x:c r="C1763" s="8" t="str">
        <x:v>eyak:199600201:adverse_reactions:002
eyak:199600201:adverse_reactions:001</x:v>
      </x:c>
      <x:c r="D1763" s="8" t="str">
        <x:v>근거와 함께 답변</x:v>
      </x:c>
      <x:c r="E1763" s="15" t="n">
        <x:v>1761</x:v>
      </x:c>
      <x:c r="F1763" s="8" t="str">
        <x:v>기존 검증 정답</x:v>
      </x:c>
      <x:c r="G1763" s="8" t="str">
        <x:v>https://apis.data.go.kr/1471000/DrbEasyDrugInfoService/getDrbEasyDrugList</x:v>
      </x:c>
      <x:c r="H1763" s="8" t="str">
        <x:v>{
  "item_seq": "199600201",
  "item_name": "카네마졸질정100mg(클로트리마졸)",
  "manufacturer": "동광제약(주)",
  "section_codes": [
    "adverse_reactions"
  ]
}</x:v>
      </x:c>
    </x:row>
    <x:row r="1764" ht="54" customHeight="1">
      <x:c r="A1764" s="8" t="str">
        <x:v>gold-medication-54bad625dedf11d3</x:v>
      </x:c>
      <x:c r="B1764" s="8" t="str">
        <x:v>eyak:202003411:adverse_reactions:004</x:v>
      </x:c>
      <x:c r="C1764" s="8" t="str">
        <x:v>eyak:202003411:adverse_reactions:004
eyak:202003411:adverse_reactions:003
eyak:202003411:adverse_reactions:002
eyak:202003411:adverse_reactions:001</x:v>
      </x:c>
      <x:c r="D1764" s="8" t="str">
        <x:v>근거와 함께 답변</x:v>
      </x:c>
      <x:c r="E1764" s="15" t="n">
        <x:v>1762</x:v>
      </x:c>
      <x:c r="F1764" s="8" t="str">
        <x:v>기존 검증 정답</x:v>
      </x:c>
      <x:c r="G1764" s="8" t="str">
        <x:v>https://apis.data.go.kr/1471000/DrbEasyDrugInfoService/getDrbEasyDrugList</x:v>
      </x:c>
      <x:c r="H1764" s="8" t="str">
        <x:v>{
  "item_seq": "202003411",
  "item_name": "파모윈정(파모티딘)",
  "manufacturer": "한국신텍스제약(주)",
  "section_codes": [
    "adverse_reactions"
  ]
}</x:v>
      </x:c>
    </x:row>
    <x:row r="1765" ht="54" customHeight="1">
      <x:c r="A1765" s="8" t="str">
        <x:v>gold-medication-539baea68fa7f8d3</x:v>
      </x:c>
      <x:c r="B1765" s="8" t="str">
        <x:v>eyak:201907572:adverse_reactions:001</x:v>
      </x:c>
      <x:c r="C1765" s="8" t="str">
        <x:v>eyak:201907572:adverse_reactions:001</x:v>
      </x:c>
      <x:c r="D1765" s="8" t="str">
        <x:v>근거와 함께 답변</x:v>
      </x:c>
      <x:c r="E1765" s="15" t="n">
        <x:v>1763</x:v>
      </x:c>
      <x:c r="F1765" s="8" t="str">
        <x:v>기존 검증 정답</x:v>
      </x:c>
      <x:c r="G1765" s="8" t="str">
        <x:v>https://apis.data.go.kr/1471000/DrbEasyDrugInfoService/getDrbEasyDrugList</x:v>
      </x:c>
      <x:c r="H1765" s="8" t="str">
        <x:v>{
  "item_seq": "201907572",
  "item_name": "유한비타민씨디정",
  "manufacturer": "(주)유한양행",
  "section_codes": [
    "adverse_reactions"
  ]
}</x:v>
      </x:c>
    </x:row>
    <x:row r="1766" ht="54" customHeight="1">
      <x:c r="A1766" s="8" t="str">
        <x:v>gold-medication-736870ad2046ae5d</x:v>
      </x:c>
      <x:c r="B1766" s="8" t="str">
        <x:v>eyak:202303276:efficacy:001</x:v>
      </x:c>
      <x:c r="C1766" s="8" t="str">
        <x:v>eyak:202303276:efficacy:001</x:v>
      </x:c>
      <x:c r="D1766" s="8" t="str">
        <x:v>근거와 함께 답변</x:v>
      </x:c>
      <x:c r="E1766" s="15" t="n">
        <x:v>1764</x:v>
      </x:c>
      <x:c r="F1766" s="8" t="str">
        <x:v>기존 검증 정답</x:v>
      </x:c>
      <x:c r="G1766" s="8" t="str">
        <x:v>https://apis.data.go.kr/1471000/DrbEasyDrugInfoService/getDrbEasyDrugList</x:v>
      </x:c>
      <x:c r="H1766" s="8" t="str">
        <x:v>{
  "item_seq": "202303276",
  "item_name": "다펜나이트연질캡슐",
  "manufacturer": "조아제약(주)",
  "section_codes": [
    "efficacy"
  ]
}</x:v>
      </x:c>
    </x:row>
    <x:row r="1767" ht="54" customHeight="1">
      <x:c r="A1767" s="8" t="str">
        <x:v>gold-medication-010ef500193df4ba</x:v>
      </x:c>
      <x:c r="B1767" s="8" t="str">
        <x:v>eyak:200004060:interactions:001</x:v>
      </x:c>
      <x:c r="C1767" s="8" t="str">
        <x:v>eyak:200004060:interactions:001</x:v>
      </x:c>
      <x:c r="D1767" s="8" t="str">
        <x:v>근거와 함께 답변</x:v>
      </x:c>
      <x:c r="E1767" s="15" t="n">
        <x:v>1765</x:v>
      </x:c>
      <x:c r="F1767" s="8" t="str">
        <x:v>기존 검증 정답</x:v>
      </x:c>
      <x:c r="G1767" s="8" t="str">
        <x:v>https://apis.data.go.kr/1471000/DrbEasyDrugInfoService/getDrbEasyDrugList</x:v>
      </x:c>
      <x:c r="H1767" s="8" t="str">
        <x:v>{
  "item_seq": "200004060",
  "item_name": "녹십자아시클로버크림",
  "manufacturer": "(주)녹십자",
  "section_codes": [
    "interactions"
  ]
}</x:v>
      </x:c>
    </x:row>
    <x:row r="1768" ht="54" customHeight="1">
      <x:c r="A1768" s="8" t="str">
        <x:v>gold-medication-6b256339e50c4968</x:v>
      </x:c>
      <x:c r="B1768" s="8" t="str">
        <x:v>eyak:202500644:efficacy:001</x:v>
      </x:c>
      <x:c r="C1768" s="8" t="str">
        <x:v>eyak:202500644:efficacy:001</x:v>
      </x:c>
      <x:c r="D1768" s="8" t="str">
        <x:v>근거와 함께 답변</x:v>
      </x:c>
      <x:c r="E1768" s="15" t="n">
        <x:v>1766</x:v>
      </x:c>
      <x:c r="F1768" s="8" t="str">
        <x:v>기존 검증 정답</x:v>
      </x:c>
      <x:c r="G1768" s="8" t="str">
        <x:v>https://apis.data.go.kr/1471000/DrbEasyDrugInfoService/getDrbEasyDrugList</x:v>
      </x:c>
      <x:c r="H1768" s="8" t="str">
        <x:v>{
  "item_seq": "202500644",
  "item_name": "자모다정(독시라민숙신산염)",
  "manufacturer": "(주)와이에스생명과학",
  "section_codes": [
    "efficacy"
  ]
}</x:v>
      </x:c>
    </x:row>
    <x:row r="1769" ht="54" customHeight="1">
      <x:c r="A1769" s="8" t="str">
        <x:v>gold-medication-e0a349583462cba4</x:v>
      </x:c>
      <x:c r="B1769" s="8" t="str">
        <x:v>eyak:202203782:interactions:001</x:v>
      </x:c>
      <x:c r="C1769" s="8" t="str">
        <x:v>eyak:202203782:interactions:001
eyak:202203782:interactions:002</x:v>
      </x:c>
      <x:c r="D1769" s="8" t="str">
        <x:v>근거와 함께 답변</x:v>
      </x:c>
      <x:c r="E1769" s="15" t="n">
        <x:v>1767</x:v>
      </x:c>
      <x:c r="F1769" s="8" t="str">
        <x:v>기존 검증 정답</x:v>
      </x:c>
      <x:c r="G1769" s="8" t="str">
        <x:v>https://apis.data.go.kr/1471000/DrbEasyDrugInfoService/getDrbEasyDrugList</x:v>
      </x:c>
      <x:c r="H1769" s="8" t="str">
        <x:v>{
  "item_seq": "202203782",
  "item_name": "이노콜파워정",
  "manufacturer": "한국신텍스제약(주)",
  "section_codes": [
    "interactions"
  ]
}</x:v>
      </x:c>
    </x:row>
    <x:row r="1770" ht="54" customHeight="1">
      <x:c r="A1770" s="8" t="str">
        <x:v>gold-medication-f307840d87919749</x:v>
      </x:c>
      <x:c r="B1770" s="8" t="str">
        <x:v>eyak:200713763:efficacy:001</x:v>
      </x:c>
      <x:c r="C1770" s="8" t="str">
        <x:v>eyak:200713763:efficacy:001</x:v>
      </x:c>
      <x:c r="D1770" s="8" t="str">
        <x:v>근거와 함께 답변</x:v>
      </x:c>
      <x:c r="E1770" s="15" t="n">
        <x:v>1768</x:v>
      </x:c>
      <x:c r="F1770" s="8" t="str">
        <x:v>기존 검증 정답</x:v>
      </x:c>
      <x:c r="G1770" s="8" t="str">
        <x:v>https://apis.data.go.kr/1471000/DrbEasyDrugInfoService/getDrbEasyDrugList</x:v>
      </x:c>
      <x:c r="H1770" s="8" t="str">
        <x:v>{
  "item_seq": "200713763",
  "item_name": "포비돈브러쉬액(포비돈요오드)",
  "manufacturer": "구미제약(주)",
  "section_codes": [
    "efficacy"
  ]
}</x:v>
      </x:c>
    </x:row>
    <x:row r="1771" ht="54" customHeight="1">
      <x:c r="A1771" s="8" t="str">
        <x:v>gold-medication-a2794427f3e494c9</x:v>
      </x:c>
      <x:c r="B1771" s="8" t="str">
        <x:v>eyak:200302415:precautions:002</x:v>
      </x:c>
      <x:c r="C1771" s="8" t="str">
        <x:v>eyak:200302415:precautions:002
eyak:200302415:precautions:001
eyak:200302415:precautions:003</x:v>
      </x:c>
      <x:c r="D1771" s="8" t="str">
        <x:v>근거와 함께 답변</x:v>
      </x:c>
      <x:c r="E1771" s="15" t="n">
        <x:v>1769</x:v>
      </x:c>
      <x:c r="F1771" s="8" t="str">
        <x:v>기존 검증 정답</x:v>
      </x:c>
      <x:c r="G1771" s="8" t="str">
        <x:v>https://apis.data.go.kr/1471000/DrbEasyDrugInfoService/getDrbEasyDrugList</x:v>
      </x:c>
      <x:c r="H1771" s="8" t="str">
        <x:v>{
  "item_seq": "200302415",
  "item_name": "플라톱플라스타(케토프로펜)",
  "manufacturer": "(주)경보제약",
  "section_codes": [
    "precautions"
  ]
}</x:v>
      </x:c>
    </x:row>
    <x:row r="1772" ht="54" customHeight="1">
      <x:c r="A1772" s="8" t="str">
        <x:v>gold-medication-8ec367b5170371b6</x:v>
      </x:c>
      <x:c r="B1772" s="8" t="str">
        <x:v>eyak:200612693:efficacy:001</x:v>
      </x:c>
      <x:c r="C1772" s="8" t="str">
        <x:v>eyak:200612693:efficacy:001</x:v>
      </x:c>
      <x:c r="D1772" s="8" t="str">
        <x:v>근거와 함께 답변</x:v>
      </x:c>
      <x:c r="E1772" s="15" t="n">
        <x:v>1770</x:v>
      </x:c>
      <x:c r="F1772" s="8" t="str">
        <x:v>기존 검증 정답</x:v>
      </x:c>
      <x:c r="G1772" s="8" t="str">
        <x:v>https://apis.data.go.kr/1471000/DrbEasyDrugInfoService/getDrbEasyDrugList</x:v>
      </x:c>
      <x:c r="H1772" s="8" t="str">
        <x:v>{
  "item_seq": "200612693",
  "item_name": "헥시클렌브러쉬액(클로르헥시딘글루콘산염 액)",
  "manufacturer": "(주)퍼슨",
  "section_codes": [
    "efficacy"
  ]
}</x:v>
      </x:c>
    </x:row>
    <x:row r="1773" ht="54" customHeight="1">
      <x:c r="A1773" s="8" t="str">
        <x:v>gold-medication-na-bca9726d57c2682a</x:v>
      </x:c>
      <x:c r="B1773" s="8" t="str"/>
      <x:c r="C1773" s="8" t="str"/>
      <x:c r="D1773" s="8" t="str">
        <x:v>답변 거부 또는 추가 확인 요청</x:v>
      </x:c>
      <x:c r="E1773" s="15" t="n">
        <x:v>1771</x:v>
      </x:c>
      <x:c r="F1773" s="8" t="str">
        <x:v>답변 거부 기준 문구</x:v>
      </x:c>
      <x:c r="G1773" s="8" t="str">
        <x:v>https://apis.data.go.kr/1471000/DrbEasyDrugInfoService/getDrbEasyDrugList</x:v>
      </x:c>
      <x:c r="H1773" s="8" t="str">
        <x:v>{
  "item_seq": "200607838",
  "item_name": "코큐민연질캡슐",
  "manufacturer": "(주)비보존제약",
  "section_codes": [
    "interactions"
  ]
}</x:v>
      </x:c>
    </x:row>
    <x:row r="1774" ht="54" customHeight="1">
      <x:c r="A1774" s="8" t="str">
        <x:v>gold-medication-ff17ec694a08c88d</x:v>
      </x:c>
      <x:c r="B1774" s="8" t="str">
        <x:v>eyak:201902007:adverse_reactions:001</x:v>
      </x:c>
      <x:c r="C1774" s="8" t="str">
        <x:v>eyak:201902007:adverse_reactions:001</x:v>
      </x:c>
      <x:c r="D1774" s="8" t="str">
        <x:v>근거와 함께 답변</x:v>
      </x:c>
      <x:c r="E1774" s="15" t="n">
        <x:v>1772</x:v>
      </x:c>
      <x:c r="F1774" s="8" t="str">
        <x:v>기존 검증 정답</x:v>
      </x:c>
      <x:c r="G1774" s="8" t="str">
        <x:v>https://apis.data.go.kr/1471000/DrbEasyDrugInfoService/getDrbEasyDrugList</x:v>
      </x:c>
      <x:c r="H1774" s="8" t="str">
        <x:v>{
  "item_seq": "201902007",
  "item_name": "글루타틴정100mg(글루타티온(환원형))",
  "manufacturer": "(주)텔콘알에프제약",
  "section_codes": [
    "adverse_reactions"
  ]
}</x:v>
      </x:c>
    </x:row>
    <x:row r="1775" ht="54" customHeight="1">
      <x:c r="A1775" s="8" t="str">
        <x:v>gold-medication-6c68d83377f4a2a3</x:v>
      </x:c>
      <x:c r="B1775" s="8" t="str">
        <x:v>eyak:202200864:interactions:001</x:v>
      </x:c>
      <x:c r="C1775" s="8" t="str">
        <x:v>eyak:202200864:interactions:001
eyak:202200864:interactions:002</x:v>
      </x:c>
      <x:c r="D1775" s="8" t="str">
        <x:v>근거와 함께 답변</x:v>
      </x:c>
      <x:c r="E1775" s="15" t="n">
        <x:v>1773</x:v>
      </x:c>
      <x:c r="F1775" s="8" t="str">
        <x:v>기존 검증 정답</x:v>
      </x:c>
      <x:c r="G1775" s="8" t="str">
        <x:v>https://apis.data.go.kr/1471000/DrbEasyDrugInfoService/getDrbEasyDrugList</x:v>
      </x:c>
      <x:c r="H1775" s="8" t="str">
        <x:v>{
  "item_seq": "202200864",
  "item_name": "마그랑비연질캡슐",
  "manufacturer": "동아제약(주)",
  "section_codes": [
    "interactions"
  ]
}</x:v>
      </x:c>
    </x:row>
    <x:row r="1776" ht="54" customHeight="1">
      <x:c r="A1776" s="8" t="str">
        <x:v>gold-medication-84e9c359fbc4c661</x:v>
      </x:c>
      <x:c r="B1776" s="8" t="str">
        <x:v>eyak:201900026:efficacy:001</x:v>
      </x:c>
      <x:c r="C1776" s="8" t="str">
        <x:v>eyak:201900026:efficacy:001</x:v>
      </x:c>
      <x:c r="D1776" s="8" t="str">
        <x:v>근거와 함께 답변</x:v>
      </x:c>
      <x:c r="E1776" s="15" t="n">
        <x:v>1774</x:v>
      </x:c>
      <x:c r="F1776" s="8" t="str">
        <x:v>기존 검증 정답</x:v>
      </x:c>
      <x:c r="G1776" s="8" t="str">
        <x:v>https://apis.data.go.kr/1471000/DrbEasyDrugInfoService/getDrbEasyDrugList</x:v>
      </x:c>
      <x:c r="H1776" s="8" t="str">
        <x:v>{
  "item_seq": "201900026",
  "item_name": "피캄스겔(피록시캄)",
  "manufacturer": "시믹씨엠오코리아주식회사",
  "section_codes": [
    "efficacy"
  ]
}</x:v>
      </x:c>
    </x:row>
    <x:row r="1777" ht="54" customHeight="1">
      <x:c r="A1777" s="8" t="str">
        <x:v>gold-medication-829c0d8963452e22</x:v>
      </x:c>
      <x:c r="B1777" s="8" t="str">
        <x:v>eyak:202303390:precautions:001</x:v>
      </x:c>
      <x:c r="C1777" s="8" t="str">
        <x:v>eyak:202303390:precautions:001</x:v>
      </x:c>
      <x:c r="D1777" s="8" t="str">
        <x:v>근거와 함께 답변</x:v>
      </x:c>
      <x:c r="E1777" s="15" t="n">
        <x:v>1775</x:v>
      </x:c>
      <x:c r="F1777" s="8" t="str">
        <x:v>기존 검증 정답</x:v>
      </x:c>
      <x:c r="G1777" s="8" t="str">
        <x:v>https://apis.data.go.kr/1471000/DrbEasyDrugInfoService/getDrbEasyDrugList</x:v>
      </x:c>
      <x:c r="H1777" s="8" t="str">
        <x:v>{
  "item_seq": "202303390",
  "item_name": "니오틴정(비오틴)",
  "manufacturer": "(주)휴온스",
  "section_codes": [
    "precautions"
  ]
}</x:v>
      </x:c>
    </x:row>
    <x:row r="1778" ht="54" customHeight="1">
      <x:c r="A1778" s="8" t="str">
        <x:v>gold-medication-e8200dfde23226fe</x:v>
      </x:c>
      <x:c r="B1778" s="8" t="str">
        <x:v>eyak:197900171:precautions:001</x:v>
      </x:c>
      <x:c r="C1778" s="8" t="str">
        <x:v>eyak:197900171:precautions:001
eyak:197900171:precautions:002</x:v>
      </x:c>
      <x:c r="D1778" s="8" t="str">
        <x:v>근거와 함께 답변</x:v>
      </x:c>
      <x:c r="E1778" s="15" t="n">
        <x:v>1776</x:v>
      </x:c>
      <x:c r="F1778" s="8" t="str">
        <x:v>기존 검증 정답</x:v>
      </x:c>
      <x:c r="G1778" s="8" t="str">
        <x:v>https://apis.data.go.kr/1471000/DrbEasyDrugInfoService/getDrbEasyDrugList</x:v>
      </x:c>
      <x:c r="H1778" s="8" t="str">
        <x:v>{
  "item_seq": "197900171",
  "item_name": "후시딘연고(퓨시드산나트륨)",
  "manufacturer": "동화약품(주)",
  "section_codes": [
    "precautions"
  ]
}</x:v>
      </x:c>
    </x:row>
    <x:row r="1779" ht="54" customHeight="1">
      <x:c r="A1779" s="8" t="str">
        <x:v>gold-medication-85a981a517f70782</x:v>
      </x:c>
      <x:c r="B1779" s="8" t="str">
        <x:v>eyak:201404024:dosage:001</x:v>
      </x:c>
      <x:c r="C1779" s="8" t="str">
        <x:v>eyak:201404024:dosage:001</x:v>
      </x:c>
      <x:c r="D1779" s="8" t="str">
        <x:v>근거와 함께 답변</x:v>
      </x:c>
      <x:c r="E1779" s="15" t="n">
        <x:v>1777</x:v>
      </x:c>
      <x:c r="F1779" s="8" t="str">
        <x:v>기존 검증 정답</x:v>
      </x:c>
      <x:c r="G1779" s="8" t="str">
        <x:v>https://apis.data.go.kr/1471000/DrbEasyDrugInfoService/getDrbEasyDrugList</x:v>
      </x:c>
      <x:c r="H1779" s="8" t="str">
        <x:v>{
  "item_seq": "201404024",
  "item_name": "에시플엔산(바실루스리케니포르미스균)",
  "manufacturer": "제이더블유신약(주)",
  "section_codes": [
    "dosage"
  ]
}</x:v>
      </x:c>
    </x:row>
    <x:row r="1780" ht="54" customHeight="1">
      <x:c r="A1780" s="8" t="str">
        <x:v>gold-medication-0d8b0fbbf843b89e</x:v>
      </x:c>
      <x:c r="B1780" s="8" t="str">
        <x:v>eyak:201601506:efficacy:001</x:v>
      </x:c>
      <x:c r="C1780" s="8" t="str">
        <x:v>eyak:201601506:efficacy:001</x:v>
      </x:c>
      <x:c r="D1780" s="8" t="str">
        <x:v>근거와 함께 답변</x:v>
      </x:c>
      <x:c r="E1780" s="15" t="n">
        <x:v>1778</x:v>
      </x:c>
      <x:c r="F1780" s="8" t="str">
        <x:v>기존 검증 정답</x:v>
      </x:c>
      <x:c r="G1780" s="8" t="str">
        <x:v>https://apis.data.go.kr/1471000/DrbEasyDrugInfoService/getDrbEasyDrugList</x:v>
      </x:c>
      <x:c r="H1780" s="8" t="str">
        <x:v>{
  "item_seq": "201601506",
  "item_name": "엘스타캡슐(에르도스테인)",
  "manufacturer": "아이큐어(주)",
  "section_codes": [
    "efficacy"
  ]
}</x:v>
      </x:c>
    </x:row>
    <x:row r="1781" ht="54" customHeight="1">
      <x:c r="A1781" s="8" t="str">
        <x:v>gold-medication-ead64ba28a848223</x:v>
      </x:c>
      <x:c r="B1781" s="8" t="str">
        <x:v>eyak:202401410:dosage:001</x:v>
      </x:c>
      <x:c r="C1781" s="8" t="str">
        <x:v>eyak:202401410:dosage:001</x:v>
      </x:c>
      <x:c r="D1781" s="8" t="str">
        <x:v>근거와 함께 답변</x:v>
      </x:c>
      <x:c r="E1781" s="15" t="n">
        <x:v>1779</x:v>
      </x:c>
      <x:c r="F1781" s="8" t="str">
        <x:v>기존 검증 정답</x:v>
      </x:c>
      <x:c r="G1781" s="8" t="str">
        <x:v>https://apis.data.go.kr/1471000/DrbEasyDrugInfoService/getDrbEasyDrugList</x:v>
      </x:c>
      <x:c r="H1781" s="8" t="str">
        <x:v>{
  "item_seq": "202401410",
  "item_name": "알러피드정",
  "manufacturer": "(주)넥스팜코리아",
  "section_codes": [
    "dosage"
  ]
}</x:v>
      </x:c>
    </x:row>
    <x:row r="1782" ht="54" customHeight="1">
      <x:c r="A1782" s="8" t="str">
        <x:v>gold-medication-dd15081e24cf1a73</x:v>
      </x:c>
      <x:c r="B1782" s="8" t="str">
        <x:v>eyak:201405529:adverse_reactions:001</x:v>
      </x:c>
      <x:c r="C1782" s="8" t="str">
        <x:v>eyak:201405529:adverse_reactions:001</x:v>
      </x:c>
      <x:c r="D1782" s="8" t="str">
        <x:v>근거와 함께 답변</x:v>
      </x:c>
      <x:c r="E1782" s="15" t="n">
        <x:v>1780</x:v>
      </x:c>
      <x:c r="F1782" s="8" t="str">
        <x:v>기존 검증 정답</x:v>
      </x:c>
      <x:c r="G1782" s="8" t="str">
        <x:v>https://apis.data.go.kr/1471000/DrbEasyDrugInfoService/getDrbEasyDrugList</x:v>
      </x:c>
      <x:c r="H1782" s="8" t="str">
        <x:v>{
  "item_seq": "201405529",
  "item_name": "엔도콜액(시메티콘)",
  "manufacturer": "(주)한국팜비오",
  "section_codes": [
    "adverse_reactions"
  ]
}</x:v>
      </x:c>
    </x:row>
    <x:row r="1783" ht="54" customHeight="1">
      <x:c r="A1783" s="8" t="str">
        <x:v>gold-medication-2c0540f2a4fea571</x:v>
      </x:c>
      <x:c r="B1783" s="8" t="str">
        <x:v>eyak:201802210:precautions:001</x:v>
      </x:c>
      <x:c r="C1783" s="8" t="str">
        <x:v>eyak:201802210:precautions:001</x:v>
      </x:c>
      <x:c r="D1783" s="8" t="str">
        <x:v>근거와 함께 답변</x:v>
      </x:c>
      <x:c r="E1783" s="15" t="n">
        <x:v>1781</x:v>
      </x:c>
      <x:c r="F1783" s="8" t="str">
        <x:v>기존 검증 정답</x:v>
      </x:c>
      <x:c r="G1783" s="8" t="str">
        <x:v>https://apis.data.go.kr/1471000/DrbEasyDrugInfoService/getDrbEasyDrugList</x:v>
      </x:c>
      <x:c r="H1783" s="8" t="str">
        <x:v>{
  "item_seq": "201802210",
  "item_name": "콜대원키즈노즈에스시럽",
  "manufacturer": "대원제약(주)",
  "section_codes": [
    "precautions"
  ]
}</x:v>
      </x:c>
    </x:row>
    <x:row r="1784" ht="54" customHeight="1">
      <x:c r="A1784" s="8" t="str">
        <x:v>gold-medication-a775f3c60bb3b287</x:v>
      </x:c>
      <x:c r="B1784" s="8" t="str">
        <x:v>eyak:202501707:efficacy:001</x:v>
      </x:c>
      <x:c r="C1784" s="8" t="str">
        <x:v>eyak:202501707:efficacy:001</x:v>
      </x:c>
      <x:c r="D1784" s="8" t="str">
        <x:v>근거와 함께 답변</x:v>
      </x:c>
      <x:c r="E1784" s="15" t="n">
        <x:v>1782</x:v>
      </x:c>
      <x:c r="F1784" s="8" t="str">
        <x:v>기존 검증 정답</x:v>
      </x:c>
      <x:c r="G1784" s="8" t="str">
        <x:v>https://apis.data.go.kr/1471000/DrbEasyDrugInfoService/getDrbEasyDrugList</x:v>
      </x:c>
      <x:c r="H1784" s="8" t="str">
        <x:v>{
  "item_seq": "202501707",
  "item_name": "더마그램연질캡슐(L-시스틴)",
  "manufacturer": "(주)종근당",
  "section_codes": [
    "efficacy"
  ]
}</x:v>
      </x:c>
    </x:row>
    <x:row r="1785" ht="54" customHeight="1">
      <x:c r="A1785" s="8" t="str">
        <x:v>gold-medication-02e548adc2dc595a</x:v>
      </x:c>
      <x:c r="B1785" s="8" t="str">
        <x:v>eyak:199806775:adverse_reactions:001</x:v>
      </x:c>
      <x:c r="C1785" s="8" t="str">
        <x:v>eyak:199806775:adverse_reactions:001</x:v>
      </x:c>
      <x:c r="D1785" s="8" t="str">
        <x:v>근거와 함께 답변</x:v>
      </x:c>
      <x:c r="E1785" s="15" t="n">
        <x:v>1783</x:v>
      </x:c>
      <x:c r="F1785" s="8" t="str">
        <x:v>기존 검증 정답</x:v>
      </x:c>
      <x:c r="G1785" s="8" t="str">
        <x:v>https://apis.data.go.kr/1471000/DrbEasyDrugInfoService/getDrbEasyDrugList</x:v>
      </x:c>
      <x:c r="H1785" s="8" t="str">
        <x:v>{
  "item_seq": "199806775",
  "item_name": "멘소래담로션(Mentholatumlotion)",
  "manufacturer": "맨소래덤아시아퍼시픽 주식회사",
  "section_codes": [
    "adverse_reactions"
  ]
}</x:v>
      </x:c>
    </x:row>
    <x:row r="1786" ht="54" customHeight="1">
      <x:c r="A1786" s="8" t="str">
        <x:v>gold-medication-4a311f7dec7f646d</x:v>
      </x:c>
      <x:c r="B1786" s="8" t="str">
        <x:v>eyak:201402033:warning:001
eyak:201402033:precautions:002
eyak:201402033:adverse_reactions:001</x:v>
      </x:c>
      <x:c r="C1786" s="8" t="str">
        <x:v>eyak:201402033:warning:001
eyak:201402033:warning:002
eyak:201402033:precautions:002
eyak:201402033:precautions:001
eyak:201402033:precautions:003
eyak:201402033:adverse_reactions:001
eyak:201402033:adverse_reactions:002
eyak:201402033:adverse_reactions:003</x:v>
      </x:c>
      <x:c r="D1786" s="8" t="str">
        <x:v>근거와 함께 답변</x:v>
      </x:c>
      <x:c r="E1786" s="15" t="n">
        <x:v>1784</x:v>
      </x:c>
      <x:c r="F1786" s="8" t="str">
        <x:v>기존 검증 정답</x:v>
      </x:c>
      <x:c r="G1786" s="8" t="str">
        <x:v>https://apis.data.go.kr/1471000/DrbEasyDrugInfoService/getDrbEasyDrugList</x:v>
      </x:c>
      <x:c r="H1786" s="8" t="str">
        <x:v>{
  "item_seq": "201402033",
  "item_name": "신감수액",
  "manufacturer": "경진제약(주)",
  "section_codes": [
    "warning",
    "precautions",
    "adverse_reactions"
  ]
}</x:v>
      </x:c>
    </x:row>
    <x:row r="1787" ht="54" customHeight="1">
      <x:c r="A1787" s="8" t="str">
        <x:v>gold-medication-f4c1e640458da702</x:v>
      </x:c>
      <x:c r="B1787" s="8" t="str">
        <x:v>eyak:200809810:warning:001
eyak:200809810:precautions:003
eyak:200809810:adverse_reactions:001</x:v>
      </x:c>
      <x:c r="C1787" s="8" t="str">
        <x:v>eyak:200809810:warning:001
eyak:200809810:precautions:003
eyak:200809810:precautions:002
eyak:200809810:precautions:004
eyak:200809810:precautions:001
eyak:200809810:precautions:005
eyak:200809810:adverse_reactions:001
eyak:200809810:adverse_reactions:003
eyak:200809810:adverse_reactions:002</x:v>
      </x:c>
      <x:c r="D1787" s="8" t="str">
        <x:v>근거와 함께 답변</x:v>
      </x:c>
      <x:c r="E1787" s="15" t="n">
        <x:v>1785</x:v>
      </x:c>
      <x:c r="F1787" s="8" t="str">
        <x:v>기존 검증 정답</x:v>
      </x:c>
      <x:c r="G1787" s="8" t="str">
        <x:v>https://apis.data.go.kr/1471000/DrbEasyDrugInfoService/getDrbEasyDrugList</x:v>
      </x:c>
      <x:c r="H1787" s="8" t="str">
        <x:v>{
  "item_seq": "200809810",
  "item_name": "헬씨큐플러스연질캡슐",
  "manufacturer": "신일제약(주)",
  "section_codes": [
    "warning",
    "precautions",
    "adverse_reactions"
  ]
}</x:v>
      </x:c>
    </x:row>
    <x:row r="1788" ht="54" customHeight="1">
      <x:c r="A1788" s="8" t="str">
        <x:v>gold-medication-f31e05993a72e05d</x:v>
      </x:c>
      <x:c r="B1788" s="8" t="str">
        <x:v>eyak:201405501:precautions:001</x:v>
      </x:c>
      <x:c r="C1788" s="8" t="str">
        <x:v>eyak:201405501:precautions:001</x:v>
      </x:c>
      <x:c r="D1788" s="8" t="str">
        <x:v>근거와 함께 답변</x:v>
      </x:c>
      <x:c r="E1788" s="15" t="n">
        <x:v>1786</x:v>
      </x:c>
      <x:c r="F1788" s="8" t="str">
        <x:v>기존 검증 정답</x:v>
      </x:c>
      <x:c r="G1788" s="8" t="str">
        <x:v>https://apis.data.go.kr/1471000/DrbEasyDrugInfoService/getDrbEasyDrugList</x:v>
      </x:c>
      <x:c r="H1788" s="8" t="str">
        <x:v>{
  "item_seq": "201405501",
  "item_name": "아세란캡슐200밀리그램(아세틸시스테인)",
  "manufacturer": "(주)화이트생명과학",
  "section_codes": [
    "precautions"
  ]
}</x:v>
      </x:c>
    </x:row>
    <x:row r="1789" ht="54" customHeight="1">
      <x:c r="A1789" s="8" t="str">
        <x:v>gold-medication-45c82bedd407c5cf</x:v>
      </x:c>
      <x:c r="B1789" s="8" t="str">
        <x:v>eyak:200904958:precautions:001</x:v>
      </x:c>
      <x:c r="C1789" s="8" t="str">
        <x:v>eyak:200904958:precautions:001</x:v>
      </x:c>
      <x:c r="D1789" s="8" t="str">
        <x:v>근거와 함께 답변</x:v>
      </x:c>
      <x:c r="E1789" s="15" t="n">
        <x:v>1787</x:v>
      </x:c>
      <x:c r="F1789" s="8" t="str">
        <x:v>기존 검증 정답</x:v>
      </x:c>
      <x:c r="G1789" s="8" t="str">
        <x:v>https://apis.data.go.kr/1471000/DrbEasyDrugInfoService/getDrbEasyDrugList</x:v>
      </x:c>
      <x:c r="H1789" s="8" t="str">
        <x:v>{
  "item_seq": "200904958",
  "item_name": "티로케어겔(티로트리신)",
  "manufacturer": "고려제약(주)",
  "section_codes": [
    "precautions"
  ]
}</x:v>
      </x:c>
    </x:row>
    <x:row r="1790" ht="54" customHeight="1">
      <x:c r="A1790" s="8" t="str">
        <x:v>gold-medication-47daad467bc77a05</x:v>
      </x:c>
      <x:c r="B1790" s="8" t="str">
        <x:v>eyak:199801121:efficacy:001</x:v>
      </x:c>
      <x:c r="C1790" s="8" t="str">
        <x:v>eyak:199801121:efficacy:001</x:v>
      </x:c>
      <x:c r="D1790" s="8" t="str">
        <x:v>근거와 함께 답변</x:v>
      </x:c>
      <x:c r="E1790" s="15" t="n">
        <x:v>1788</x:v>
      </x:c>
      <x:c r="F1790" s="8" t="str">
        <x:v>기존 검증 정답</x:v>
      </x:c>
      <x:c r="G1790" s="8" t="str">
        <x:v>https://apis.data.go.kr/1471000/DrbEasyDrugInfoService/getDrbEasyDrugList</x:v>
      </x:c>
      <x:c r="H1790" s="8" t="str">
        <x:v>{
  "item_seq": "199801121",
  "item_name": "네오시덤연고(퓨시드산나트륨)",
  "manufacturer": "태극제약(주)",
  "section_codes": [
    "efficacy"
  ]
}</x:v>
      </x:c>
    </x:row>
    <x:row r="1791" ht="54" customHeight="1">
      <x:c r="A1791" s="8" t="str">
        <x:v>gold-medication-na-340b1b340f9077e3</x:v>
      </x:c>
      <x:c r="B1791" s="8" t="str"/>
      <x:c r="C1791" s="8" t="str"/>
      <x:c r="D1791" s="8" t="str">
        <x:v>답변 거부 또는 추가 확인 요청</x:v>
      </x:c>
      <x:c r="E1791" s="15" t="n">
        <x:v>1789</x:v>
      </x:c>
      <x:c r="F1791" s="8" t="str">
        <x:v>답변 거부 기준 문구</x:v>
      </x:c>
      <x:c r="G1791" s="8" t="str">
        <x:v>https://apis.data.go.kr/1471000/DrbEasyDrugInfoService/getDrbEasyDrugList</x:v>
      </x:c>
      <x:c r="H1791" s="8" t="str">
        <x:v>{
  "item_seq": "201001201",
  "item_name": "카엘정",
  "manufacturer": "조아제약(주)",
  "section_codes": [
    "warning",
    "precautions"
  ]
}</x:v>
      </x:c>
    </x:row>
    <x:row r="1792" ht="54" customHeight="1">
      <x:c r="A1792" s="8" t="str">
        <x:v>gold-medication-na-3d71e4f881853917</x:v>
      </x:c>
      <x:c r="B1792" s="8" t="str"/>
      <x:c r="C1792" s="8" t="str"/>
      <x:c r="D1792" s="8" t="str">
        <x:v>답변 거부 또는 추가 확인 요청</x:v>
      </x:c>
      <x:c r="E1792" s="15" t="n">
        <x:v>1790</x:v>
      </x:c>
      <x:c r="F1792" s="8" t="str">
        <x:v>답변 거부 기준 문구</x:v>
      </x:c>
      <x:c r="G1792" s="8" t="str">
        <x:v>https://apis.data.go.kr/1471000/DrbEasyDrugInfoService/getDrbEasyDrugList</x:v>
      </x:c>
      <x:c r="H1792" s="8" t="str">
        <x:v>{
  "item_seq": "200805092",
  "item_name": "바이스탑캡슐",
  "manufacturer": "신일제약(주)",
  "section_codes": [
    "dosage"
  ]
}</x:v>
      </x:c>
    </x:row>
    <x:row r="1793" ht="54" customHeight="1">
      <x:c r="A1793" s="8" t="str">
        <x:v>gold-medication-na-cf00a7bdc072fa24</x:v>
      </x:c>
      <x:c r="B1793" s="8" t="str"/>
      <x:c r="C1793" s="8" t="str"/>
      <x:c r="D1793" s="8" t="str">
        <x:v>답변 거부 또는 추가 확인 요청</x:v>
      </x:c>
      <x:c r="E1793" s="15" t="n">
        <x:v>1791</x:v>
      </x:c>
      <x:c r="F1793" s="8" t="str">
        <x:v>답변 거부 기준 문구</x:v>
      </x:c>
      <x:c r="G1793" s="8" t="str">
        <x:v>https://apis.data.go.kr/1471000/DrbEasyDrugInfoService/getDrbEasyDrugList</x:v>
      </x:c>
      <x:c r="H1793" s="8" t="str">
        <x:v>{
  "item_seq": "200708955",
  "item_name": "케토진첩부제(케토프로펜)",
  "manufacturer": "(주)텔콘알에프제약",
  "section_codes": [
    "precautions",
    "adverse_reactions"
  ]
}</x:v>
      </x:c>
    </x:row>
    <x:row r="1794" ht="54" customHeight="1">
      <x:c r="A1794" s="8" t="str">
        <x:v>gold-medication-ede3d0c34bcf43e6</x:v>
      </x:c>
      <x:c r="B1794" s="8" t="str">
        <x:v>eyak:200709642:efficacy:001</x:v>
      </x:c>
      <x:c r="C1794" s="8" t="str">
        <x:v>eyak:200709642:efficacy:001</x:v>
      </x:c>
      <x:c r="D1794" s="8" t="str">
        <x:v>근거와 함께 답변</x:v>
      </x:c>
      <x:c r="E1794" s="15" t="n">
        <x:v>1792</x:v>
      </x:c>
      <x:c r="F1794" s="8" t="str">
        <x:v>기존 검증 정답</x:v>
      </x:c>
      <x:c r="G1794" s="8" t="str">
        <x:v>https://apis.data.go.kr/1471000/DrbEasyDrugInfoService/getDrbEasyDrugList</x:v>
      </x:c>
      <x:c r="H1794" s="8" t="str">
        <x:v>{
  "item_seq": "200709642",
  "item_name": "한방파프탑카타플라스마",
  "manufacturer": "(주)티디에스팜",
  "section_codes": [
    "efficacy"
  ]
}</x:v>
      </x:c>
    </x:row>
    <x:row r="1795" ht="54" customHeight="1">
      <x:c r="A1795" s="8" t="str">
        <x:v>gold-medication-7e47b573f1d704d0</x:v>
      </x:c>
      <x:c r="B1795" s="8" t="str">
        <x:v>eyak:200403167:interactions:001</x:v>
      </x:c>
      <x:c r="C1795" s="8" t="str">
        <x:v>eyak:200403167:interactions:001
eyak:200403167:interactions:002</x:v>
      </x:c>
      <x:c r="D1795" s="8" t="str">
        <x:v>근거와 함께 답변</x:v>
      </x:c>
      <x:c r="E1795" s="15" t="n">
        <x:v>1793</x:v>
      </x:c>
      <x:c r="F1795" s="8" t="str">
        <x:v>기존 검증 정답</x:v>
      </x:c>
      <x:c r="G1795" s="8" t="str">
        <x:v>https://apis.data.go.kr/1471000/DrbEasyDrugInfoService/getDrbEasyDrugList</x:v>
      </x:c>
      <x:c r="H1795" s="8" t="str">
        <x:v>{
  "item_seq": "200403167",
  "item_name": "아페린정",
  "manufacturer": "(주)휴온스",
  "section_codes": [
    "interactions"
  ]
}</x:v>
      </x:c>
    </x:row>
    <x:row r="1796" ht="54" customHeight="1">
      <x:c r="A1796" s="8" t="str">
        <x:v>gold-medication-f47923da7f15d600</x:v>
      </x:c>
      <x:c r="B1796" s="8" t="str">
        <x:v>eyak:201801484:adverse_reactions:001</x:v>
      </x:c>
      <x:c r="C1796" s="8" t="str">
        <x:v>eyak:201801484:adverse_reactions:001</x:v>
      </x:c>
      <x:c r="D1796" s="8" t="str">
        <x:v>근거와 함께 답변</x:v>
      </x:c>
      <x:c r="E1796" s="15" t="n">
        <x:v>1794</x:v>
      </x:c>
      <x:c r="F1796" s="8" t="str">
        <x:v>기존 검증 정답</x:v>
      </x:c>
      <x:c r="G1796" s="8" t="str">
        <x:v>https://apis.data.go.kr/1471000/DrbEasyDrugInfoService/getDrbEasyDrugList</x:v>
      </x:c>
      <x:c r="H1796" s="8" t="str">
        <x:v>{
  "item_seq": "201801484",
  "item_name": "바레톡크림(나프티핀염산염)",
  "manufacturer": "일양바이오팜(주)",
  "section_codes": [
    "adverse_reactions"
  ]
}</x:v>
      </x:c>
    </x:row>
    <x:row r="1797" ht="54" customHeight="1">
      <x:c r="A1797" s="8" t="str">
        <x:v>gold-medication-f6b4159fdfebb98c</x:v>
      </x:c>
      <x:c r="B1797" s="8" t="str">
        <x:v>eyak:201403328:adverse_reactions:001</x:v>
      </x:c>
      <x:c r="C1797" s="8" t="str">
        <x:v>eyak:201403328:adverse_reactions:001</x:v>
      </x:c>
      <x:c r="D1797" s="8" t="str">
        <x:v>근거와 함께 답변</x:v>
      </x:c>
      <x:c r="E1797" s="15" t="n">
        <x:v>1795</x:v>
      </x:c>
      <x:c r="F1797" s="8" t="str">
        <x:v>기존 검증 정답</x:v>
      </x:c>
      <x:c r="G1797" s="8" t="str">
        <x:v>https://apis.data.go.kr/1471000/DrbEasyDrugInfoService/getDrbEasyDrugList</x:v>
      </x:c>
      <x:c r="H1797" s="8" t="str">
        <x:v>{
  "item_seq": "201403328",
  "item_name": "쾌락스정",
  "manufacturer": "(주)휴온스메디텍",
  "section_codes": [
    "adverse_reactions"
  ]
}</x:v>
      </x:c>
    </x:row>
    <x:row r="1798" ht="54" customHeight="1">
      <x:c r="A1798" s="8" t="str">
        <x:v>gold-medication-8288431f537597c1</x:v>
      </x:c>
      <x:c r="B1798" s="8" t="str">
        <x:v>eyak:199700635:precautions:002</x:v>
      </x:c>
      <x:c r="C1798" s="8" t="str">
        <x:v>eyak:199700635:precautions:002
eyak:199700635:precautions:001
eyak:199700635:precautions:003</x:v>
      </x:c>
      <x:c r="D1798" s="8" t="str">
        <x:v>근거와 함께 답변</x:v>
      </x:c>
      <x:c r="E1798" s="15" t="n">
        <x:v>1796</x:v>
      </x:c>
      <x:c r="F1798" s="8" t="str">
        <x:v>기존 검증 정답</x:v>
      </x:c>
      <x:c r="G1798" s="8" t="str">
        <x:v>https://apis.data.go.kr/1471000/DrbEasyDrugInfoService/getDrbEasyDrugList</x:v>
      </x:c>
      <x:c r="H1798" s="8" t="str">
        <x:v>{
  "item_seq": "199700635",
  "item_name": "포비크린세정용",
  "manufacturer": "(주)퍼슨",
  "section_codes": [
    "precautions"
  ]
}</x:v>
      </x:c>
    </x:row>
    <x:row r="1799" ht="54" customHeight="1">
      <x:c r="A1799" s="8" t="str">
        <x:v>gold-medication-2ab79520d2c013e5</x:v>
      </x:c>
      <x:c r="B1799" s="8" t="str">
        <x:v>eyak:202302483:precautions:001</x:v>
      </x:c>
      <x:c r="C1799" s="8" t="str">
        <x:v>eyak:202302483:precautions:001
eyak:202302483:precautions:002</x:v>
      </x:c>
      <x:c r="D1799" s="8" t="str">
        <x:v>근거와 함께 답변</x:v>
      </x:c>
      <x:c r="E1799" s="15" t="n">
        <x:v>1797</x:v>
      </x:c>
      <x:c r="F1799" s="8" t="str">
        <x:v>기존 검증 정답</x:v>
      </x:c>
      <x:c r="G1799" s="8" t="str">
        <x:v>https://apis.data.go.kr/1471000/DrbEasyDrugInfoService/getDrbEasyDrugList</x:v>
      </x:c>
      <x:c r="H1799" s="8" t="str">
        <x:v>{
  "item_seq": "202302483",
  "item_name": "알지퀵연질캡슐(펙소페나딘염산염)",
  "manufacturer": "제이더블유중외제약(주)",
  "section_codes": [
    "precautions"
  ]
}</x:v>
      </x:c>
    </x:row>
    <x:row r="1800" ht="54" customHeight="1">
      <x:c r="A1800" s="8" t="str">
        <x:v>gold-medication-570f98f8e3f18c24</x:v>
      </x:c>
      <x:c r="B1800" s="8" t="str">
        <x:v>eyak:201400930:efficacy:001</x:v>
      </x:c>
      <x:c r="C1800" s="8" t="str">
        <x:v>eyak:201400930:efficacy:001</x:v>
      </x:c>
      <x:c r="D1800" s="8" t="str">
        <x:v>근거와 함께 답변</x:v>
      </x:c>
      <x:c r="E1800" s="15" t="n">
        <x:v>1798</x:v>
      </x:c>
      <x:c r="F1800" s="8" t="str">
        <x:v>기존 검증 정답</x:v>
      </x:c>
      <x:c r="G1800" s="8" t="str">
        <x:v>https://apis.data.go.kr/1471000/DrbEasyDrugInfoService/getDrbEasyDrugList</x:v>
      </x:c>
      <x:c r="H1800" s="8" t="str">
        <x:v>{
  "item_seq": "201400930",
  "item_name": "알카파워정",
  "manufacturer": "익수제약(주)",
  "section_codes": [
    "efficacy"
  ]
}</x:v>
      </x:c>
    </x:row>
    <x:row r="1801" ht="54" customHeight="1">
      <x:c r="A1801" s="8" t="str">
        <x:v>gold-medication-052af0739d45e0b5</x:v>
      </x:c>
      <x:c r="B1801" s="8" t="str">
        <x:v>eyak:199602374:efficacy:001</x:v>
      </x:c>
      <x:c r="C1801" s="8" t="str">
        <x:v>eyak:199602374:efficacy:001</x:v>
      </x:c>
      <x:c r="D1801" s="8" t="str">
        <x:v>근거와 함께 답변</x:v>
      </x:c>
      <x:c r="E1801" s="15" t="n">
        <x:v>1799</x:v>
      </x:c>
      <x:c r="F1801" s="8" t="str">
        <x:v>기존 검증 정답</x:v>
      </x:c>
      <x:c r="G1801" s="8" t="str">
        <x:v>https://apis.data.go.kr/1471000/DrbEasyDrugInfoService/getDrbEasyDrugList</x:v>
      </x:c>
      <x:c r="H1801" s="8" t="str">
        <x:v>{
  "item_seq": "199602374",
  "item_name": "아세테인캡슐200밀리그램(아세틸시스테인)",
  "manufacturer": "광동제약(주)",
  "section_codes": [
    "efficacy"
  ]
}</x:v>
      </x:c>
    </x:row>
    <x:row r="1802" ht="54" customHeight="1">
      <x:c r="A1802" s="8" t="str">
        <x:v>gold-medication-91909f6787acc9e1</x:v>
      </x:c>
      <x:c r="B1802" s="8" t="str">
        <x:v>eyak:202401399:precautions:002
eyak:202401399:adverse_reactions:001</x:v>
      </x:c>
      <x:c r="C1802" s="8" t="str">
        <x:v>eyak:202401399:precautions:002
eyak:202401399:precautions:001
eyak:202401399:adverse_reactions:001
eyak:202401399:adverse_reactions:003
eyak:202401399:adverse_reactions:002
eyak:202401399:adverse_reactions:004</x:v>
      </x:c>
      <x:c r="D1802" s="8" t="str">
        <x:v>근거와 함께 답변</x:v>
      </x:c>
      <x:c r="E1802" s="15" t="n">
        <x:v>1800</x:v>
      </x:c>
      <x:c r="F1802" s="8" t="str">
        <x:v>기존 검증 정답</x:v>
      </x:c>
      <x:c r="G1802" s="8" t="str">
        <x:v>https://apis.data.go.kr/1471000/DrbEasyDrugInfoService/getDrbEasyDrugList</x:v>
      </x:c>
      <x:c r="H1802" s="8" t="str">
        <x:v>{
  "item_seq": "202401399",
  "item_name": "펙소딘정60밀리그램(펙소페나딘염산염)",
  "manufacturer": "(주)일화",
  "section_codes": [
    "precautions",
    "adverse_reactions"
  ]
}</x:v>
      </x:c>
    </x:row>
    <x:row r="1803" ht="54" customHeight="1">
      <x:c r="A1803" s="8" t="str">
        <x:v>gold-medication-ae4b70db8a1284b9</x:v>
      </x:c>
      <x:c r="B1803" s="8" t="str">
        <x:v>eyak:201803896:precautions:001</x:v>
      </x:c>
      <x:c r="C1803" s="8" t="str">
        <x:v>eyak:201803896:precautions:001
eyak:201803896:precautions:002</x:v>
      </x:c>
      <x:c r="D1803" s="8" t="str">
        <x:v>근거와 함께 답변</x:v>
      </x:c>
      <x:c r="E1803" s="15" t="n">
        <x:v>1801</x:v>
      </x:c>
      <x:c r="F1803" s="8" t="str">
        <x:v>기존 검증 정답</x:v>
      </x:c>
      <x:c r="G1803" s="8" t="str">
        <x:v>https://apis.data.go.kr/1471000/DrbEasyDrugInfoService/getDrbEasyDrugList</x:v>
      </x:c>
      <x:c r="H1803" s="8" t="str">
        <x:v>{
  "item_seq": "201803896",
  "item_name": "리치정",
  "manufacturer": "미래바이오제약(주)",
  "section_codes": [
    "precautions"
  ]
}</x:v>
      </x:c>
    </x:row>
    <x:row r="1804" ht="54" customHeight="1">
      <x:c r="A1804" s="8" t="str">
        <x:v>gold-medication-957cf75861a03a42</x:v>
      </x:c>
      <x:c r="B1804" s="8" t="str">
        <x:v>eyak:201705493:dosage:001</x:v>
      </x:c>
      <x:c r="C1804" s="8" t="str">
        <x:v>eyak:201705493:dosage:001</x:v>
      </x:c>
      <x:c r="D1804" s="8" t="str">
        <x:v>근거와 함께 답변</x:v>
      </x:c>
      <x:c r="E1804" s="15" t="n">
        <x:v>1802</x:v>
      </x:c>
      <x:c r="F1804" s="8" t="str">
        <x:v>기존 검증 정답</x:v>
      </x:c>
      <x:c r="G1804" s="8" t="str">
        <x:v>https://apis.data.go.kr/1471000/DrbEasyDrugInfoService/getDrbEasyDrugList</x:v>
      </x:c>
      <x:c r="H1804" s="8" t="str">
        <x:v>{
  "item_seq": "201705493",
  "item_name": "티스탑에프캡슐",
  "manufacturer": "(주)시어스제약",
  "section_codes": [
    "dosage"
  ]
}</x:v>
      </x:c>
    </x:row>
    <x:row r="1805" ht="54" customHeight="1">
      <x:c r="A1805" s="8" t="str">
        <x:v>gold-medication-477d71b5e9602500</x:v>
      </x:c>
      <x:c r="B1805" s="8" t="str">
        <x:v>eyak:200802921:precautions:003
eyak:200802921:adverse_reactions:001</x:v>
      </x:c>
      <x:c r="C1805" s="8" t="str">
        <x:v>eyak:200802921:precautions:003
eyak:200802921:precautions:002
eyak:200802921:precautions:001
eyak:200802921:adverse_reactions:001
eyak:200802921:adverse_reactions:002</x:v>
      </x:c>
      <x:c r="D1805" s="8" t="str">
        <x:v>근거와 함께 답변</x:v>
      </x:c>
      <x:c r="E1805" s="15" t="n">
        <x:v>1803</x:v>
      </x:c>
      <x:c r="F1805" s="8" t="str">
        <x:v>기존 검증 정답</x:v>
      </x:c>
      <x:c r="G1805" s="8" t="str">
        <x:v>https://apis.data.go.kr/1471000/DrbEasyDrugInfoService/getDrbEasyDrugList</x:v>
      </x:c>
      <x:c r="H1805" s="8" t="str">
        <x:v>{
  "item_seq": "200802921",
  "item_name": "훼리폴캡슐",
  "manufacturer": "아이큐어(주)",
  "section_codes": [
    "precautions",
    "adverse_reactions"
  ]
}</x:v>
      </x:c>
    </x:row>
    <x:row r="1806" ht="54" customHeight="1">
      <x:c r="A1806" s="8" t="str">
        <x:v>gold-medication-fb74ddd51e0485b1</x:v>
      </x:c>
      <x:c r="B1806" s="8" t="str">
        <x:v>eyak:201903798:adverse_reactions:001</x:v>
      </x:c>
      <x:c r="C1806" s="8" t="str">
        <x:v>eyak:201903798:adverse_reactions:001
eyak:201903798:adverse_reactions:002
eyak:201903798:adverse_reactions:003</x:v>
      </x:c>
      <x:c r="D1806" s="8" t="str">
        <x:v>근거와 함께 답변</x:v>
      </x:c>
      <x:c r="E1806" s="15" t="n">
        <x:v>1804</x:v>
      </x:c>
      <x:c r="F1806" s="8" t="str">
        <x:v>기존 검증 정답</x:v>
      </x:c>
      <x:c r="G1806" s="8" t="str">
        <x:v>https://apis.data.go.kr/1471000/DrbEasyDrugInfoService/getDrbEasyDrugList</x:v>
      </x:c>
      <x:c r="H1806" s="8" t="str">
        <x:v>{
  "item_seq": "201903798",
  "item_name": "팜플루코프연질캡슐",
  "manufacturer": "코스맥스파마(주)",
  "section_codes": [
    "adverse_reactions"
  ]
}</x:v>
      </x:c>
    </x:row>
    <x:row r="1807" ht="54" customHeight="1">
      <x:c r="A1807" s="8" t="str">
        <x:v>gold-medication-03297c1050a788d6</x:v>
      </x:c>
      <x:c r="B1807" s="8" t="str">
        <x:v>eyak:201708393:precautions:001</x:v>
      </x:c>
      <x:c r="C1807" s="8" t="str">
        <x:v>eyak:201708393:precautions:001
eyak:201708393:precautions:002
eyak:201708393:precautions:003</x:v>
      </x:c>
      <x:c r="D1807" s="8" t="str">
        <x:v>근거와 함께 답변</x:v>
      </x:c>
      <x:c r="E1807" s="15" t="n">
        <x:v>1805</x:v>
      </x:c>
      <x:c r="F1807" s="8" t="str">
        <x:v>기존 검증 정답</x:v>
      </x:c>
      <x:c r="G1807" s="8" t="str">
        <x:v>https://apis.data.go.kr/1471000/DrbEasyDrugInfoService/getDrbEasyDrugList</x:v>
      </x:c>
      <x:c r="H1807" s="8" t="str">
        <x:v>{
  "item_seq": "201708393",
  "item_name": "에르페시버크림(아시클로버)",
  "manufacturer": "(주)다산제약",
  "section_codes": [
    "precautions"
  ]
}</x:v>
      </x:c>
    </x:row>
    <x:row r="1808" ht="54" customHeight="1">
      <x:c r="A1808" s="8" t="str">
        <x:v>gold-medication-7e1781a8857837df</x:v>
      </x:c>
      <x:c r="B1808" s="8" t="str">
        <x:v>eyak:200100795:adverse_reactions:001</x:v>
      </x:c>
      <x:c r="C1808" s="8" t="str">
        <x:v>eyak:200100795:adverse_reactions:001
eyak:200100795:adverse_reactions:002</x:v>
      </x:c>
      <x:c r="D1808" s="8" t="str">
        <x:v>근거와 함께 답변</x:v>
      </x:c>
      <x:c r="E1808" s="15" t="n">
        <x:v>1806</x:v>
      </x:c>
      <x:c r="F1808" s="8" t="str">
        <x:v>기존 검증 정답</x:v>
      </x:c>
      <x:c r="G1808" s="8" t="str">
        <x:v>https://apis.data.go.kr/1471000/DrbEasyDrugInfoService/getDrbEasyDrugList</x:v>
      </x:c>
      <x:c r="H1808" s="8" t="str">
        <x:v>{
  "item_seq": "200100795",
  "item_name": "코비안에스정",
  "manufacturer": "삼아제약(주)",
  "section_codes": [
    "adverse_reactions"
  ]
}</x:v>
      </x:c>
    </x:row>
    <x:row r="1809" ht="54" customHeight="1">
      <x:c r="A1809" s="8" t="str">
        <x:v>gold-medication-4aee062e291c253d</x:v>
      </x:c>
      <x:c r="B1809" s="8" t="str">
        <x:v>eyak:202203657:warning:001
eyak:202203657:precautions:001</x:v>
      </x:c>
      <x:c r="C1809" s="8" t="str">
        <x:v>eyak:202203657:warning:001
eyak:202203657:warning:002
eyak:202203657:precautions:001
eyak:202203657:precautions:003
eyak:202203657:precautions:002</x:v>
      </x:c>
      <x:c r="D1809" s="8" t="str">
        <x:v>근거와 함께 답변</x:v>
      </x:c>
      <x:c r="E1809" s="15" t="n">
        <x:v>1807</x:v>
      </x:c>
      <x:c r="F1809" s="8" t="str">
        <x:v>기존 검증 정답</x:v>
      </x:c>
      <x:c r="G1809" s="8" t="str">
        <x:v>https://apis.data.go.kr/1471000/DrbEasyDrugInfoService/getDrbEasyDrugList</x:v>
      </x:c>
      <x:c r="H1809" s="8" t="str">
        <x:v>{
  "item_seq": "202203657",
  "item_name": "노펜에스정",
  "manufacturer": "한국신텍스제약(주)",
  "section_codes": [
    "warning",
    "precautions"
  ]
}</x:v>
      </x:c>
    </x:row>
    <x:row r="1810" ht="54" customHeight="1">
      <x:c r="A1810" s="8" t="str">
        <x:v>gold-medication-33d2fe7423258e7b</x:v>
      </x:c>
      <x:c r="B1810" s="8" t="str">
        <x:v>eyak:200402713:precautions:001
eyak:200402713:adverse_reactions:001</x:v>
      </x:c>
      <x:c r="C1810" s="8" t="str">
        <x:v>eyak:200402713:precautions:001
eyak:200402713:precautions:002
eyak:200402713:adverse_reactions:001</x:v>
      </x:c>
      <x:c r="D1810" s="8" t="str">
        <x:v>근거와 함께 답변</x:v>
      </x:c>
      <x:c r="E1810" s="15" t="n">
        <x:v>1808</x:v>
      </x:c>
      <x:c r="F1810" s="8" t="str">
        <x:v>기존 검증 정답</x:v>
      </x:c>
      <x:c r="G1810" s="8" t="str">
        <x:v>https://apis.data.go.kr/1471000/DrbEasyDrugInfoService/getDrbEasyDrugList</x:v>
      </x:c>
      <x:c r="H1810" s="8" t="str">
        <x:v>{
  "item_seq": "200402713",
  "item_name": "안티센크림",
  "manufacturer": "(주)한국파비스제약",
  "section_codes": [
    "precautions",
    "adverse_reactions"
  ]
}</x:v>
      </x:c>
    </x:row>
    <x:row r="1811" ht="54" customHeight="1">
      <x:c r="A1811" s="8" t="str">
        <x:v>gold-medication-050f516eedfe34f7</x:v>
      </x:c>
      <x:c r="B1811" s="8" t="str">
        <x:v>eyak:201109442:adverse_reactions:001</x:v>
      </x:c>
      <x:c r="C1811" s="8" t="str">
        <x:v>eyak:201109442:adverse_reactions:001
eyak:201109442:adverse_reactions:002</x:v>
      </x:c>
      <x:c r="D1811" s="8" t="str">
        <x:v>근거와 함께 답변</x:v>
      </x:c>
      <x:c r="E1811" s="15" t="n">
        <x:v>1809</x:v>
      </x:c>
      <x:c r="F1811" s="8" t="str">
        <x:v>기존 검증 정답</x:v>
      </x:c>
      <x:c r="G1811" s="8" t="str">
        <x:v>https://apis.data.go.kr/1471000/DrbEasyDrugInfoService/getDrbEasyDrugList</x:v>
      </x:c>
      <x:c r="H1811" s="8" t="str">
        <x:v>{
  "item_seq": "201109442",
  "item_name": "화콜클래식원연질캡슐",
  "manufacturer": "제이더블유중외제약(주)",
  "section_codes": [
    "adverse_reactions"
  ]
}</x:v>
      </x:c>
    </x:row>
    <x:row r="1812" ht="54" customHeight="1">
      <x:c r="A1812" s="8" t="str">
        <x:v>gold-medication-a5841c79bc75dccd</x:v>
      </x:c>
      <x:c r="B1812" s="8" t="str">
        <x:v>eyak:201904226:precautions:002</x:v>
      </x:c>
      <x:c r="C1812" s="8" t="str">
        <x:v>eyak:201904226:precautions:002
eyak:201904226:precautions:001
eyak:201904226:precautions:003</x:v>
      </x:c>
      <x:c r="D1812" s="8" t="str">
        <x:v>근거와 함께 답변</x:v>
      </x:c>
      <x:c r="E1812" s="15" t="n">
        <x:v>1810</x:v>
      </x:c>
      <x:c r="F1812" s="8" t="str">
        <x:v>기존 검증 정답</x:v>
      </x:c>
      <x:c r="G1812" s="8" t="str">
        <x:v>https://apis.data.go.kr/1471000/DrbEasyDrugInfoService/getDrbEasyDrugList</x:v>
      </x:c>
      <x:c r="H1812" s="8" t="str">
        <x:v>{
  "item_seq": "201904226",
  "item_name": "아로나민케어에이치티정",
  "manufacturer": "일동제약(주)",
  "section_codes": [
    "precautions"
  ]
}</x:v>
      </x:c>
    </x:row>
    <x:row r="1813" ht="54" customHeight="1">
      <x:c r="A1813" s="8" t="str">
        <x:v>gold-medication-a59b6b98425252d1</x:v>
      </x:c>
      <x:c r="B1813" s="8" t="str">
        <x:v>eyak:201804386:efficacy:001</x:v>
      </x:c>
      <x:c r="C1813" s="8" t="str">
        <x:v>eyak:201804386:efficacy:001</x:v>
      </x:c>
      <x:c r="D1813" s="8" t="str">
        <x:v>근거와 함께 답변</x:v>
      </x:c>
      <x:c r="E1813" s="15" t="n">
        <x:v>1811</x:v>
      </x:c>
      <x:c r="F1813" s="8" t="str">
        <x:v>기존 검증 정답</x:v>
      </x:c>
      <x:c r="G1813" s="8" t="str">
        <x:v>https://apis.data.go.kr/1471000/DrbEasyDrugInfoService/getDrbEasyDrugList</x:v>
      </x:c>
      <x:c r="H1813" s="8" t="str">
        <x:v>{
  "item_seq": "201804386",
  "item_name": "크로씬탑연질캡슐(클로닉신리시네이트)",
  "manufacturer": "이연제약(주)",
  "section_codes": [
    "efficacy"
  ]
}</x:v>
      </x:c>
    </x:row>
    <x:row r="1814" ht="54" customHeight="1">
      <x:c r="A1814" s="8" t="str">
        <x:v>gold-medication-a7e925d6616e536a</x:v>
      </x:c>
      <x:c r="B1814" s="8" t="str">
        <x:v>eyak:202300796:interactions:001</x:v>
      </x:c>
      <x:c r="C1814" s="8" t="str">
        <x:v>eyak:202300796:interactions:001</x:v>
      </x:c>
      <x:c r="D1814" s="8" t="str">
        <x:v>근거와 함께 답변</x:v>
      </x:c>
      <x:c r="E1814" s="15" t="n">
        <x:v>1812</x:v>
      </x:c>
      <x:c r="F1814" s="8" t="str">
        <x:v>기존 검증 정답</x:v>
      </x:c>
      <x:c r="G1814" s="8" t="str">
        <x:v>https://apis.data.go.kr/1471000/DrbEasyDrugInfoService/getDrbEasyDrugList</x:v>
      </x:c>
      <x:c r="H1814" s="8" t="str">
        <x:v>{
  "item_seq": "202300796",
  "item_name": "브이코에이치캡슐",
  "manufacturer": "메딕스제약(주)",
  "section_codes": [
    "interactions"
  ]
}</x:v>
      </x:c>
    </x:row>
    <x:row r="1815" ht="54" customHeight="1">
      <x:c r="A1815" s="8" t="str">
        <x:v>gold-medication-7b8646fc7fec07aa</x:v>
      </x:c>
      <x:c r="B1815" s="8" t="str">
        <x:v>eyak:200901181:interactions:001</x:v>
      </x:c>
      <x:c r="C1815" s="8" t="str">
        <x:v>eyak:200901181:interactions:001
eyak:200901181:interactions:002</x:v>
      </x:c>
      <x:c r="D1815" s="8" t="str">
        <x:v>근거와 함께 답변</x:v>
      </x:c>
      <x:c r="E1815" s="15" t="n">
        <x:v>1813</x:v>
      </x:c>
      <x:c r="F1815" s="8" t="str">
        <x:v>기존 검증 정답</x:v>
      </x:c>
      <x:c r="G1815" s="8" t="str">
        <x:v>https://apis.data.go.kr/1471000/DrbEasyDrugInfoService/getDrbEasyDrugList</x:v>
      </x:c>
      <x:c r="H1815" s="8" t="str">
        <x:v>{
  "item_seq": "200901181",
  "item_name": "부스코판당의정(부틸스코폴라민브롬화물)",
  "manufacturer": "오펠라헬스케어코리아(주)",
  "section_codes": [
    "interactions"
  ]
}</x:v>
      </x:c>
    </x:row>
    <x:row r="1816" ht="54" customHeight="1">
      <x:c r="A1816" s="8" t="str">
        <x:v>gold-medication-59b0343064663d6f</x:v>
      </x:c>
      <x:c r="B1816" s="8" t="str">
        <x:v>eyak:201701612:interactions:001</x:v>
      </x:c>
      <x:c r="C1816" s="8" t="str">
        <x:v>eyak:201701612:interactions:001</x:v>
      </x:c>
      <x:c r="D1816" s="8" t="str">
        <x:v>근거와 함께 답변</x:v>
      </x:c>
      <x:c r="E1816" s="15" t="n">
        <x:v>1814</x:v>
      </x:c>
      <x:c r="F1816" s="8" t="str">
        <x:v>기존 검증 정답</x:v>
      </x:c>
      <x:c r="G1816" s="8" t="str">
        <x:v>https://apis.data.go.kr/1471000/DrbEasyDrugInfoService/getDrbEasyDrugList</x:v>
      </x:c>
      <x:c r="H1816" s="8" t="str">
        <x:v>{
  "item_seq": "201701612",
  "item_name": "노이제로정",
  "manufacturer": "태극제약(주)",
  "section_codes": [
    "interactions"
  ]
}</x:v>
      </x:c>
    </x:row>
    <x:row r="1817" ht="54" customHeight="1">
      <x:c r="A1817" s="8" t="str">
        <x:v>gold-medication-8b0c2a7ea017b9e4</x:v>
      </x:c>
      <x:c r="B1817" s="8" t="str">
        <x:v>eyak:200003491:precautions:002</x:v>
      </x:c>
      <x:c r="C1817" s="8" t="str">
        <x:v>eyak:200003491:precautions:002
eyak:200003491:precautions:001
eyak:200003491:precautions:003</x:v>
      </x:c>
      <x:c r="D1817" s="8" t="str">
        <x:v>근거와 함께 답변</x:v>
      </x:c>
      <x:c r="E1817" s="15" t="n">
        <x:v>1815</x:v>
      </x:c>
      <x:c r="F1817" s="8" t="str">
        <x:v>기존 검증 정답</x:v>
      </x:c>
      <x:c r="G1817" s="8" t="str">
        <x:v>https://apis.data.go.kr/1471000/DrbEasyDrugInfoService/getDrbEasyDrugList</x:v>
      </x:c>
      <x:c r="H1817" s="8" t="str">
        <x:v>{
  "item_seq": "200003491",
  "item_name": "크린지크림",
  "manufacturer": "조아제약(주)",
  "section_codes": [
    "precautions"
  ]
}</x:v>
      </x:c>
    </x:row>
    <x:row r="1818" ht="54" customHeight="1">
      <x:c r="A1818" s="8" t="str">
        <x:v>gold-medication-bd029c52e7d75ec8</x:v>
      </x:c>
      <x:c r="B1818" s="8" t="str">
        <x:v>eyak:200202126:precautions:002</x:v>
      </x:c>
      <x:c r="C1818" s="8" t="str">
        <x:v>eyak:200202126:precautions:002
eyak:200202126:precautions:001
eyak:200202126:precautions:003</x:v>
      </x:c>
      <x:c r="D1818" s="8" t="str">
        <x:v>근거와 함께 답변</x:v>
      </x:c>
      <x:c r="E1818" s="15" t="n">
        <x:v>1816</x:v>
      </x:c>
      <x:c r="F1818" s="8" t="str">
        <x:v>기존 검증 정답</x:v>
      </x:c>
      <x:c r="G1818" s="8" t="str">
        <x:v>https://apis.data.go.kr/1471000/DrbEasyDrugInfoService/getDrbEasyDrugList</x:v>
      </x:c>
      <x:c r="H1818" s="8" t="str">
        <x:v>{
  "item_seq": "200202126",
  "item_name": "하루펜플라스타(케토프로펜)",
  "manufacturer": "신일제약(주)",
  "section_codes": [
    "precautions"
  ]
}</x:v>
      </x:c>
    </x:row>
    <x:row r="1819" ht="54" customHeight="1">
      <x:c r="A1819" s="8" t="str">
        <x:v>gold-medication-bbdf5b7a3d6a6c5d</x:v>
      </x:c>
      <x:c r="B1819" s="8" t="str">
        <x:v>eyak:200904689:dosage:001</x:v>
      </x:c>
      <x:c r="C1819" s="8" t="str">
        <x:v>eyak:200904689:dosage:001</x:v>
      </x:c>
      <x:c r="D1819" s="8" t="str">
        <x:v>근거와 함께 답변</x:v>
      </x:c>
      <x:c r="E1819" s="15" t="n">
        <x:v>1817</x:v>
      </x:c>
      <x:c r="F1819" s="8" t="str">
        <x:v>기존 검증 정답</x:v>
      </x:c>
      <x:c r="G1819" s="8" t="str">
        <x:v>https://apis.data.go.kr/1471000/DrbEasyDrugInfoService/getDrbEasyDrugList</x:v>
      </x:c>
      <x:c r="H1819" s="8" t="str">
        <x:v>{
  "item_seq": "200904689",
  "item_name": "다이제틴정",
  "manufacturer": "알리코제약(주)",
  "section_codes": [
    "dosage"
  ]
}</x:v>
      </x:c>
    </x:row>
    <x:row r="1820" ht="54" customHeight="1">
      <x:c r="A1820" s="8" t="str">
        <x:v>gold-medication-20db5a3edbce025e</x:v>
      </x:c>
      <x:c r="B1820" s="8" t="str">
        <x:v>eyak:201604350:precautions:001</x:v>
      </x:c>
      <x:c r="C1820" s="8" t="str">
        <x:v>eyak:201604350:precautions:001</x:v>
      </x:c>
      <x:c r="D1820" s="8" t="str">
        <x:v>근거와 함께 답변</x:v>
      </x:c>
      <x:c r="E1820" s="15" t="n">
        <x:v>1818</x:v>
      </x:c>
      <x:c r="F1820" s="8" t="str">
        <x:v>기존 검증 정답</x:v>
      </x:c>
      <x:c r="G1820" s="8" t="str">
        <x:v>https://apis.data.go.kr/1471000/DrbEasyDrugInfoService/getDrbEasyDrugList</x:v>
      </x:c>
      <x:c r="H1820" s="8" t="str">
        <x:v>{
  "item_seq": "201604350",
  "item_name": "렉센엔캡슐(디오스민)",
  "manufacturer": "한림제약(주)",
  "section_codes": [
    "precautions"
  ]
}</x:v>
      </x:c>
    </x:row>
    <x:row r="1821" ht="54" customHeight="1">
      <x:c r="A1821" s="8" t="str">
        <x:v>gold-medication-9aef840d10ec67ae</x:v>
      </x:c>
      <x:c r="B1821" s="8" t="str">
        <x:v>eyak:200102657:warning:001
eyak:200102657:precautions:002</x:v>
      </x:c>
      <x:c r="C1821" s="8" t="str">
        <x:v>eyak:200102657:warning:001
eyak:200102657:precautions:002
eyak:200102657:precautions:001
eyak:200102657:precautions:003
eyak:200102657:precautions:004</x:v>
      </x:c>
      <x:c r="D1821" s="8" t="str">
        <x:v>근거와 함께 답변</x:v>
      </x:c>
      <x:c r="E1821" s="15" t="n">
        <x:v>1819</x:v>
      </x:c>
      <x:c r="F1821" s="8" t="str">
        <x:v>기존 검증 정답</x:v>
      </x:c>
      <x:c r="G1821" s="8" t="str">
        <x:v>https://apis.data.go.kr/1471000/DrbEasyDrugInfoService/getDrbEasyDrugList</x:v>
      </x:c>
      <x:c r="H1821" s="8" t="str">
        <x:v>{
  "item_seq": "200102657",
  "item_name": "스노핀정275밀리그램(나프록센나트륨)",
  "manufacturer": "(주)한국파비스제약",
  "section_codes": [
    "warning",
    "precautions"
  ]
}</x:v>
      </x:c>
    </x:row>
    <x:row r="1822" ht="54" customHeight="1">
      <x:c r="A1822" s="8" t="str">
        <x:v>gold-medication-af60f96caf8bacd2</x:v>
      </x:c>
      <x:c r="B1822" s="8" t="str">
        <x:v>eyak:201708579:interactions:001</x:v>
      </x:c>
      <x:c r="C1822" s="8" t="str">
        <x:v>eyak:201708579:interactions:001</x:v>
      </x:c>
      <x:c r="D1822" s="8" t="str">
        <x:v>근거와 함께 답변</x:v>
      </x:c>
      <x:c r="E1822" s="15" t="n">
        <x:v>1820</x:v>
      </x:c>
      <x:c r="F1822" s="8" t="str">
        <x:v>기존 검증 정답</x:v>
      </x:c>
      <x:c r="G1822" s="8" t="str">
        <x:v>https://apis.data.go.kr/1471000/DrbEasyDrugInfoService/getDrbEasyDrugList</x:v>
      </x:c>
      <x:c r="H1822" s="8" t="str">
        <x:v>{
  "item_seq": "201708579",
  "item_name": "토마쎈플러스연질캡슐",
  "manufacturer": "동방에프티엘(주)",
  "section_codes": [
    "interactions"
  ]
}</x:v>
      </x:c>
    </x:row>
    <x:row r="1823" ht="54" customHeight="1">
      <x:c r="A1823" s="8" t="str">
        <x:v>gold-medication-7843410c44053042</x:v>
      </x:c>
      <x:c r="B1823" s="8" t="str">
        <x:v>eyak:200903579:efficacy:001</x:v>
      </x:c>
      <x:c r="C1823" s="8" t="str">
        <x:v>eyak:200903579:efficacy:001</x:v>
      </x:c>
      <x:c r="D1823" s="8" t="str">
        <x:v>근거와 함께 답변</x:v>
      </x:c>
      <x:c r="E1823" s="15" t="n">
        <x:v>1821</x:v>
      </x:c>
      <x:c r="F1823" s="8" t="str">
        <x:v>기존 검증 정답</x:v>
      </x:c>
      <x:c r="G1823" s="8" t="str">
        <x:v>https://apis.data.go.kr/1471000/DrbEasyDrugInfoService/getDrbEasyDrugList</x:v>
      </x:c>
      <x:c r="H1823" s="8" t="str">
        <x:v>{
  "item_seq": "200903579",
  "item_name": "카이로정",
  "manufacturer": "한솔신약(주)",
  "section_codes": [
    "efficacy"
  ]
}</x:v>
      </x:c>
    </x:row>
    <x:row r="1824" ht="54" customHeight="1">
      <x:c r="A1824" s="8" t="str">
        <x:v>gold-medication-559a868e87a29b4a</x:v>
      </x:c>
      <x:c r="B1824" s="8" t="str">
        <x:v>eyak:200511290:precautions:001
eyak:200511290:adverse_reactions:001</x:v>
      </x:c>
      <x:c r="C1824" s="8" t="str">
        <x:v>eyak:200511290:precautions:001
eyak:200511290:precautions:002
eyak:200511290:precautions:004
eyak:200511290:precautions:003
eyak:200511290:adverse_reactions:001</x:v>
      </x:c>
      <x:c r="D1824" s="8" t="str">
        <x:v>근거와 함께 답변</x:v>
      </x:c>
      <x:c r="E1824" s="15" t="n">
        <x:v>1822</x:v>
      </x:c>
      <x:c r="F1824" s="8" t="str">
        <x:v>기존 검증 정답</x:v>
      </x:c>
      <x:c r="G1824" s="8" t="str">
        <x:v>https://apis.data.go.kr/1471000/DrbEasyDrugInfoService/getDrbEasyDrugList</x:v>
      </x:c>
      <x:c r="H1824" s="8" t="str">
        <x:v>{
  "item_seq": "200511290",
  "item_name": "리포직점안겔(카보머)",
  "manufacturer": "(주)바슈헬스코리아",
  "section_codes": [
    "precautions",
    "adverse_reactions"
  ]
}</x:v>
      </x:c>
    </x:row>
    <x:row r="1825" ht="54" customHeight="1">
      <x:c r="A1825" s="8" t="str">
        <x:v>gold-medication-ec29a207b14bb0b1</x:v>
      </x:c>
      <x:c r="B1825" s="8" t="str">
        <x:v>eyak:199902612:adverse_reactions:001</x:v>
      </x:c>
      <x:c r="C1825" s="8" t="str">
        <x:v>eyak:199902612:adverse_reactions:001</x:v>
      </x:c>
      <x:c r="D1825" s="8" t="str">
        <x:v>근거와 함께 답변</x:v>
      </x:c>
      <x:c r="E1825" s="15" t="n">
        <x:v>1823</x:v>
      </x:c>
      <x:c r="F1825" s="8" t="str">
        <x:v>기존 검증 정답</x:v>
      </x:c>
      <x:c r="G1825" s="8" t="str">
        <x:v>https://apis.data.go.kr/1471000/DrbEasyDrugInfoService/getDrbEasyDrugList</x:v>
      </x:c>
      <x:c r="H1825" s="8" t="str">
        <x:v>{
  "item_seq": "199902612",
  "item_name": "골사민캡슐(결정글루코사민황산염)(수출명 : NEOCOMIN)",
  "manufacturer": "신일제약(주)",
  "section_codes": [
    "adverse_reactions"
  ]
}</x:v>
      </x:c>
    </x:row>
    <x:row r="1826" ht="54" customHeight="1">
      <x:c r="A1826" s="8" t="str">
        <x:v>gold-medication-a689edc8aad65169</x:v>
      </x:c>
      <x:c r="B1826" s="8" t="str">
        <x:v>eyak:201101004:precautions:001</x:v>
      </x:c>
      <x:c r="C1826" s="8" t="str">
        <x:v>eyak:201101004:precautions:001
eyak:201101004:precautions:002</x:v>
      </x:c>
      <x:c r="D1826" s="8" t="str">
        <x:v>근거와 함께 답변</x:v>
      </x:c>
      <x:c r="E1826" s="15" t="n">
        <x:v>1824</x:v>
      </x:c>
      <x:c r="F1826" s="8" t="str">
        <x:v>기존 검증 정답</x:v>
      </x:c>
      <x:c r="G1826" s="8" t="str">
        <x:v>https://apis.data.go.kr/1471000/DrbEasyDrugInfoService/getDrbEasyDrugList</x:v>
      </x:c>
      <x:c r="H1826" s="8" t="str">
        <x:v>{
  "item_seq": "201101004",
  "item_name": "칼트레이트디400",
  "manufacturer": "헤일리온코리아주식회사",
  "section_codes": [
    "precautions"
  ]
}</x:v>
      </x:c>
    </x:row>
    <x:row r="1827" ht="54" customHeight="1">
      <x:c r="A1827" s="8" t="str">
        <x:v>gold-medication-na-4f998d41a6a6632e</x:v>
      </x:c>
      <x:c r="B1827" s="8" t="str"/>
      <x:c r="C1827" s="8" t="str"/>
      <x:c r="D1827" s="8" t="str">
        <x:v>답변 거부 또는 추가 확인 요청</x:v>
      </x:c>
      <x:c r="E1827" s="15" t="n">
        <x:v>1825</x:v>
      </x:c>
      <x:c r="F1827" s="8" t="str">
        <x:v>답변 거부 기준 문구</x:v>
      </x:c>
      <x:c r="G1827" s="8" t="str">
        <x:v>https://apis.data.go.kr/1471000/DrbEasyDrugInfoService/getDrbEasyDrugList</x:v>
      </x:c>
      <x:c r="H1827" s="8" t="str">
        <x:v>{
  "item_seq": "201901436",
  "item_name": "마그감마맥스연질캡슐",
  "manufacturer": "구주제약(주)",
  "section_codes": [
    "storage"
  ]
}</x:v>
      </x:c>
    </x:row>
    <x:row r="1828" ht="54" customHeight="1">
      <x:c r="A1828" s="8" t="str">
        <x:v>gold-medication-89ae9c7a24f71c4c</x:v>
      </x:c>
      <x:c r="B1828" s="8" t="str">
        <x:v>eyak:199601520:efficacy:001</x:v>
      </x:c>
      <x:c r="C1828" s="8" t="str">
        <x:v>eyak:199601520:efficacy:001</x:v>
      </x:c>
      <x:c r="D1828" s="8" t="str">
        <x:v>근거와 함께 답변</x:v>
      </x:c>
      <x:c r="E1828" s="15" t="n">
        <x:v>1826</x:v>
      </x:c>
      <x:c r="F1828" s="8" t="str">
        <x:v>기존 검증 정답</x:v>
      </x:c>
      <x:c r="G1828" s="8" t="str">
        <x:v>https://apis.data.go.kr/1471000/DrbEasyDrugInfoService/getDrbEasyDrugList</x:v>
      </x:c>
      <x:c r="H1828" s="8" t="str">
        <x:v>{
  "item_seq": "199601520",
  "item_name": "복합파자임이중정",
  "manufacturer": "부광약품(주)",
  "section_codes": [
    "efficacy"
  ]
}</x:v>
      </x:c>
    </x:row>
    <x:row r="1829" ht="54" customHeight="1">
      <x:c r="A1829" s="8" t="str">
        <x:v>gold-medication-8b33503387467626</x:v>
      </x:c>
      <x:c r="B1829" s="8" t="str">
        <x:v>eyak:202003464:precautions:001</x:v>
      </x:c>
      <x:c r="C1829" s="8" t="str">
        <x:v>eyak:202003464:precautions:001</x:v>
      </x:c>
      <x:c r="D1829" s="8" t="str">
        <x:v>근거와 함께 답변</x:v>
      </x:c>
      <x:c r="E1829" s="15" t="n">
        <x:v>1827</x:v>
      </x:c>
      <x:c r="F1829" s="8" t="str">
        <x:v>기존 검증 정답</x:v>
      </x:c>
      <x:c r="G1829" s="8" t="str">
        <x:v>https://apis.data.go.kr/1471000/DrbEasyDrugInfoService/getDrbEasyDrugList</x:v>
      </x:c>
      <x:c r="H1829" s="8" t="str">
        <x:v>{
  "item_seq": "202003464",
  "item_name": "뮤카란캡슐200밀리그램(아세틸시스테인)",
  "manufacturer": "대웅바이오(주)",
  "section_codes": [
    "precautions"
  ]
}</x:v>
      </x:c>
    </x:row>
    <x:row r="1830" ht="54" customHeight="1">
      <x:c r="A1830" s="8" t="str">
        <x:v>gold-medication-4bf0901bded9c9c4</x:v>
      </x:c>
      <x:c r="B1830" s="8" t="str">
        <x:v>eyak:201902312:precautions:001
eyak:201902312:adverse_reactions:002</x:v>
      </x:c>
      <x:c r="C1830" s="8" t="str">
        <x:v>eyak:201902312:precautions:001
eyak:201902312:adverse_reactions:002
eyak:201902312:adverse_reactions:001</x:v>
      </x:c>
      <x:c r="D1830" s="8" t="str">
        <x:v>근거와 함께 답변</x:v>
      </x:c>
      <x:c r="E1830" s="15" t="n">
        <x:v>1828</x:v>
      </x:c>
      <x:c r="F1830" s="8" t="str">
        <x:v>기존 검증 정답</x:v>
      </x:c>
      <x:c r="G1830" s="8" t="str">
        <x:v>https://apis.data.go.kr/1471000/DrbEasyDrugInfoService/getDrbEasyDrugList</x:v>
      </x:c>
      <x:c r="H1830" s="8" t="str">
        <x:v>{
  "item_seq": "201902312",
  "item_name": "정우형개연교탕연조엑스(단미엑스혼합제)",
  "manufacturer": "정우신약(주)",
  "section_codes": [
    "precautions",
    "adverse_reactions"
  ]
}</x:v>
      </x:c>
    </x:row>
    <x:row r="1831" ht="54" customHeight="1">
      <x:c r="A1831" s="8" t="str">
        <x:v>gold-medication-3ef482b3b331d941</x:v>
      </x:c>
      <x:c r="B1831" s="8" t="str">
        <x:v>eyak:199702177:interactions:001</x:v>
      </x:c>
      <x:c r="C1831" s="8" t="str">
        <x:v>eyak:199702177:interactions:001</x:v>
      </x:c>
      <x:c r="D1831" s="8" t="str">
        <x:v>근거와 함께 답변</x:v>
      </x:c>
      <x:c r="E1831" s="15" t="n">
        <x:v>1829</x:v>
      </x:c>
      <x:c r="F1831" s="8" t="str">
        <x:v>기존 검증 정답</x:v>
      </x:c>
      <x:c r="G1831" s="8" t="str">
        <x:v>https://apis.data.go.kr/1471000/DrbEasyDrugInfoService/getDrbEasyDrugList</x:v>
      </x:c>
      <x:c r="H1831" s="8" t="str">
        <x:v>{
  "item_seq": "199702177",
  "item_name": "로리딘정(로라타딘)",
  "manufacturer": "(주)테라젠이텍스",
  "section_codes": [
    "interactions"
  ]
}</x:v>
      </x:c>
    </x:row>
    <x:row r="1832" ht="54" customHeight="1">
      <x:c r="A1832" s="8" t="str">
        <x:v>gold-medication-fa9f3d900229406c</x:v>
      </x:c>
      <x:c r="B1832" s="8" t="str">
        <x:v>eyak:201507405:precautions:002</x:v>
      </x:c>
      <x:c r="C1832" s="8" t="str">
        <x:v>eyak:201507405:precautions:002
eyak:201507405:precautions:003
eyak:201507405:precautions:001
eyak:201507405:precautions:004</x:v>
      </x:c>
      <x:c r="D1832" s="8" t="str">
        <x:v>근거와 함께 답변</x:v>
      </x:c>
      <x:c r="E1832" s="15" t="n">
        <x:v>1830</x:v>
      </x:c>
      <x:c r="F1832" s="8" t="str">
        <x:v>기존 검증 정답</x:v>
      </x:c>
      <x:c r="G1832" s="8" t="str">
        <x:v>https://apis.data.go.kr/1471000/DrbEasyDrugInfoService/getDrbEasyDrugList</x:v>
      </x:c>
      <x:c r="H1832" s="8" t="str">
        <x:v>{
  "item_seq": "201507405",
  "item_name": "젯트콤연질캡슐",
  "manufacturer": "(주)테라젠이텍스",
  "section_codes": [
    "precautions"
  ]
}</x:v>
      </x:c>
    </x:row>
    <x:row r="1833" ht="54" customHeight="1">
      <x:c r="A1833" s="8" t="str">
        <x:v>gold-medication-59c3b7e62cf42f33</x:v>
      </x:c>
      <x:c r="B1833" s="8" t="str">
        <x:v>eyak:200003008:precautions:002
eyak:200003008:adverse_reactions:002</x:v>
      </x:c>
      <x:c r="C1833" s="8" t="str">
        <x:v>eyak:200003008:precautions:002
eyak:200003008:precautions:001
eyak:200003008:precautions:003
eyak:200003008:adverse_reactions:002
eyak:200003008:adverse_reactions:001</x:v>
      </x:c>
      <x:c r="D1833" s="8" t="str">
        <x:v>근거와 함께 답변</x:v>
      </x:c>
      <x:c r="E1833" s="15" t="n">
        <x:v>1831</x:v>
      </x:c>
      <x:c r="F1833" s="8" t="str">
        <x:v>기존 검증 정답</x:v>
      </x:c>
      <x:c r="G1833" s="8" t="str">
        <x:v>https://apis.data.go.kr/1471000/DrbEasyDrugInfoService/getDrbEasyDrugList</x:v>
      </x:c>
      <x:c r="H1833" s="8" t="str">
        <x:v>{
  "item_seq": "200003008",
  "item_name": "케어스킨로션1%(히드로코르티손)",
  "manufacturer": "신일제약(주)",
  "section_codes": [
    "precautions",
    "adverse_reactions"
  ]
}</x:v>
      </x:c>
    </x:row>
    <x:row r="1834" ht="54" customHeight="1">
      <x:c r="A1834" s="8" t="str">
        <x:v>gold-medication-53831dc0b3ccc9e3</x:v>
      </x:c>
      <x:c r="B1834" s="8" t="str">
        <x:v>eyak:202302653:adverse_reactions:001</x:v>
      </x:c>
      <x:c r="C1834" s="8" t="str">
        <x:v>eyak:202302653:adverse_reactions:001</x:v>
      </x:c>
      <x:c r="D1834" s="8" t="str">
        <x:v>근거와 함께 답변</x:v>
      </x:c>
      <x:c r="E1834" s="15" t="n">
        <x:v>1832</x:v>
      </x:c>
      <x:c r="F1834" s="8" t="str">
        <x:v>기존 검증 정답</x:v>
      </x:c>
      <x:c r="G1834" s="8" t="str">
        <x:v>https://apis.data.go.kr/1471000/DrbEasyDrugInfoService/getDrbEasyDrugList</x:v>
      </x:c>
      <x:c r="H1834" s="8" t="str">
        <x:v>{
  "item_seq": "202302653",
  "item_name": "마그메코정",
  "manufacturer": "(주)이든파마",
  "section_codes": [
    "adverse_reactions"
  ]
}</x:v>
      </x:c>
    </x:row>
    <x:row r="1835" ht="54" customHeight="1">
      <x:c r="A1835" s="8" t="str">
        <x:v>gold-medication-0a0fa6b344b94c66</x:v>
      </x:c>
      <x:c r="B1835" s="8" t="str">
        <x:v>eyak:201702015:efficacy:001</x:v>
      </x:c>
      <x:c r="C1835" s="8" t="str">
        <x:v>eyak:201702015:efficacy:001</x:v>
      </x:c>
      <x:c r="D1835" s="8" t="str">
        <x:v>근거와 함께 답변</x:v>
      </x:c>
      <x:c r="E1835" s="15" t="n">
        <x:v>1833</x:v>
      </x:c>
      <x:c r="F1835" s="8" t="str">
        <x:v>기존 검증 정답</x:v>
      </x:c>
      <x:c r="G1835" s="8" t="str">
        <x:v>https://apis.data.go.kr/1471000/DrbEasyDrugInfoService/getDrbEasyDrugList</x:v>
      </x:c>
      <x:c r="H1835" s="8" t="str">
        <x:v>{
  "item_seq": "201702015",
  "item_name": "광동아스피린장용정100mg",
  "manufacturer": "광동제약(주)",
  "section_codes": [
    "efficacy"
  ]
}</x:v>
      </x:c>
    </x:row>
    <x:row r="1836" ht="54" customHeight="1">
      <x:c r="A1836" s="8" t="str">
        <x:v>gold-medication-1f2673213dc413b0</x:v>
      </x:c>
      <x:c r="B1836" s="8" t="str">
        <x:v>eyak:202400673:precautions:001</x:v>
      </x:c>
      <x:c r="C1836" s="8" t="str">
        <x:v>eyak:202400673:precautions:001
eyak:202400673:precautions:003
eyak:202400673:precautions:002
eyak:202400673:precautions:004</x:v>
      </x:c>
      <x:c r="D1836" s="8" t="str">
        <x:v>근거와 함께 답변</x:v>
      </x:c>
      <x:c r="E1836" s="15" t="n">
        <x:v>1834</x:v>
      </x:c>
      <x:c r="F1836" s="8" t="str">
        <x:v>기존 검증 정답</x:v>
      </x:c>
      <x:c r="G1836" s="8" t="str">
        <x:v>https://apis.data.go.kr/1471000/DrbEasyDrugInfoService/getDrbEasyDrugList</x:v>
      </x:c>
      <x:c r="H1836" s="8" t="str">
        <x:v>{
  "item_seq": "202400673",
  "item_name": "콜즈록나잘스프레이",
  "manufacturer": "(주)녹십자",
  "section_codes": [
    "precautions"
  ]
}</x:v>
      </x:c>
    </x:row>
    <x:row r="1837" ht="54" customHeight="1">
      <x:c r="A1837" s="8" t="str">
        <x:v>gold-medication-35934de784031464</x:v>
      </x:c>
      <x:c r="B1837" s="8" t="str">
        <x:v>eyak:201905948:precautions:001</x:v>
      </x:c>
      <x:c r="C1837" s="8" t="str">
        <x:v>eyak:201905948:precautions:001</x:v>
      </x:c>
      <x:c r="D1837" s="8" t="str">
        <x:v>근거와 함께 답변</x:v>
      </x:c>
      <x:c r="E1837" s="15" t="n">
        <x:v>1835</x:v>
      </x:c>
      <x:c r="F1837" s="8" t="str">
        <x:v>기존 검증 정답</x:v>
      </x:c>
      <x:c r="G1837" s="8" t="str">
        <x:v>https://apis.data.go.kr/1471000/DrbEasyDrugInfoService/getDrbEasyDrugList</x:v>
      </x:c>
      <x:c r="H1837" s="8" t="str">
        <x:v>{
  "item_seq": "201905948",
  "item_name": "셀렌오액(아셀렌산나트륨오수화물)",
  "manufacturer": "대한약품공업(주)",
  "section_codes": [
    "precautions"
  ]
}</x:v>
      </x:c>
    </x:row>
    <x:row r="1838" ht="54" customHeight="1">
      <x:c r="A1838" s="8" t="str">
        <x:v>gold-medication-a8a9055c3cd7c4bc</x:v>
      </x:c>
      <x:c r="B1838" s="8" t="str">
        <x:v>eyak:202201300:warning:001
eyak:202201300:precautions:002
eyak:202201300:adverse_reactions:002</x:v>
      </x:c>
      <x:c r="C1838" s="8" t="str">
        <x:v>eyak:202201300:warning:001
eyak:202201300:warning:002
eyak:202201300:precautions:002
eyak:202201300:precautions:001
eyak:202201300:precautions:003
eyak:202201300:adverse_reactions:002
eyak:202201300:adverse_reactions:001
eyak:202201300:adverse_reactions:003</x:v>
      </x:c>
      <x:c r="D1838" s="8" t="str">
        <x:v>근거와 함께 답변</x:v>
      </x:c>
      <x:c r="E1838" s="15" t="n">
        <x:v>1836</x:v>
      </x:c>
      <x:c r="F1838" s="8" t="str">
        <x:v>기존 검증 정답</x:v>
      </x:c>
      <x:c r="G1838" s="8" t="str">
        <x:v>https://apis.data.go.kr/1471000/DrbEasyDrugInfoService/getDrbEasyDrugList</x:v>
      </x:c>
      <x:c r="H1838" s="8" t="str">
        <x:v>{
  "item_seq": "202201300",
  "item_name": "타이레놀산500밀리그램(아세트아미노펜)",
  "manufacturer": "켄뷰코리아판매유한회사",
  "section_codes": [
    "warning",
    "precautions",
    "adverse_reactions"
  ]
}</x:v>
      </x:c>
    </x:row>
    <x:row r="1839" ht="54" customHeight="1">
      <x:c r="A1839" s="8" t="str">
        <x:v>gold-medication-e9e98bd80f5f2a3c</x:v>
      </x:c>
      <x:c r="B1839" s="8" t="str">
        <x:v>eyak:200102113:dosage:001</x:v>
      </x:c>
      <x:c r="C1839" s="8" t="str">
        <x:v>eyak:200102113:dosage:001
eyak:200102113:dosage:002</x:v>
      </x:c>
      <x:c r="D1839" s="8" t="str">
        <x:v>근거와 함께 답변</x:v>
      </x:c>
      <x:c r="E1839" s="15" t="n">
        <x:v>1837</x:v>
      </x:c>
      <x:c r="F1839" s="8" t="str">
        <x:v>기존 검증 정답</x:v>
      </x:c>
      <x:c r="G1839" s="8" t="str">
        <x:v>https://apis.data.go.kr/1471000/DrbEasyDrugInfoService/getDrbEasyDrugList</x:v>
      </x:c>
      <x:c r="H1839" s="8" t="str">
        <x:v>{
  "item_seq": "200102113",
  "item_name": "하벤-키즈시럽",
  "manufacturer": "주식회사제뉴원사이언스",
  "section_codes": [
    "dosage"
  ]
}</x:v>
      </x:c>
    </x:row>
    <x:row r="1840" ht="54" customHeight="1">
      <x:c r="A1840" s="8" t="str">
        <x:v>gold-medication-8e468288bea75d34</x:v>
      </x:c>
      <x:c r="B1840" s="8" t="str">
        <x:v>eyak:201601614:precautions:001</x:v>
      </x:c>
      <x:c r="C1840" s="8" t="str">
        <x:v>eyak:201601614:precautions:001</x:v>
      </x:c>
      <x:c r="D1840" s="8" t="str">
        <x:v>근거와 함께 답변</x:v>
      </x:c>
      <x:c r="E1840" s="15" t="n">
        <x:v>1838</x:v>
      </x:c>
      <x:c r="F1840" s="8" t="str">
        <x:v>기존 검증 정답</x:v>
      </x:c>
      <x:c r="G1840" s="8" t="str">
        <x:v>https://apis.data.go.kr/1471000/DrbEasyDrugInfoService/getDrbEasyDrugList</x:v>
      </x:c>
      <x:c r="H1840" s="8" t="str">
        <x:v>{
  "item_seq": "201601614",
  "item_name": "에스텐캡슐300mg(에르도스테인)",
  "manufacturer": "대한뉴팜(주)",
  "section_codes": [
    "precautions"
  ]
}</x:v>
      </x:c>
    </x:row>
    <x:row r="1841" ht="54" customHeight="1">
      <x:c r="A1841" s="8" t="str">
        <x:v>gold-medication-e4b491f5ebeac787</x:v>
      </x:c>
      <x:c r="B1841" s="8" t="str">
        <x:v>eyak:201900317:interactions:001</x:v>
      </x:c>
      <x:c r="C1841" s="8" t="str">
        <x:v>eyak:201900317:interactions:001</x:v>
      </x:c>
      <x:c r="D1841" s="8" t="str">
        <x:v>근거와 함께 답변</x:v>
      </x:c>
      <x:c r="E1841" s="15" t="n">
        <x:v>1839</x:v>
      </x:c>
      <x:c r="F1841" s="8" t="str">
        <x:v>기존 검증 정답</x:v>
      </x:c>
      <x:c r="G1841" s="8" t="str">
        <x:v>https://apis.data.go.kr/1471000/DrbEasyDrugInfoService/getDrbEasyDrugList</x:v>
      </x:c>
      <x:c r="H1841" s="8" t="str">
        <x:v>{
  "item_seq": "201900317",
  "item_name": "카르닐정(엘카르니틴)",
  "manufacturer": "(주)인트로바이오파마",
  "section_codes": [
    "interactions"
  ]
}</x:v>
      </x:c>
    </x:row>
    <x:row r="1842" ht="54" customHeight="1">
      <x:c r="A1842" s="8" t="str">
        <x:v>gold-medication-na-b4f9e026d70af117</x:v>
      </x:c>
      <x:c r="B1842" s="8" t="str"/>
      <x:c r="C1842" s="8" t="str"/>
      <x:c r="D1842" s="8" t="str">
        <x:v>답변 거부 또는 추가 확인 요청</x:v>
      </x:c>
      <x:c r="E1842" s="15" t="n">
        <x:v>1840</x:v>
      </x:c>
      <x:c r="F1842" s="8" t="str">
        <x:v>답변 거부 기준 문구</x:v>
      </x:c>
      <x:c r="G1842" s="8" t="str">
        <x:v>https://apis.data.go.kr/1471000/DrbEasyDrugInfoService/getDrbEasyDrugList</x:v>
      </x:c>
      <x:c r="H1842" s="8" t="str">
        <x:v>{
  "item_seq": "200202755",
  "item_name": "에스프로펜정(덱시부프로펜)",
  "manufacturer": "(주)유영제약",
  "section_codes": [
    "warning",
    "precautions"
  ]
}</x:v>
      </x:c>
    </x:row>
    <x:row r="1843" ht="54" customHeight="1">
      <x:c r="A1843" s="8" t="str">
        <x:v>gold-medication-0ddc2de100d0e7ca</x:v>
      </x:c>
      <x:c r="B1843" s="8" t="str">
        <x:v>eyak:200904736:adverse_reactions:001</x:v>
      </x:c>
      <x:c r="C1843" s="8" t="str">
        <x:v>eyak:200904736:adverse_reactions:001</x:v>
      </x:c>
      <x:c r="D1843" s="8" t="str">
        <x:v>근거와 함께 답변</x:v>
      </x:c>
      <x:c r="E1843" s="15" t="n">
        <x:v>1841</x:v>
      </x:c>
      <x:c r="F1843" s="8" t="str">
        <x:v>기존 검증 정답</x:v>
      </x:c>
      <x:c r="G1843" s="8" t="str">
        <x:v>https://apis.data.go.kr/1471000/DrbEasyDrugInfoService/getDrbEasyDrugList</x:v>
      </x:c>
      <x:c r="H1843" s="8" t="str">
        <x:v>{
  "item_seq": "200904736",
  "item_name": "엔비100정",
  "manufacturer": "알리코제약(주)",
  "section_codes": [
    "adverse_reactions"
  ]
}</x:v>
      </x:c>
    </x:row>
    <x:row r="1844" ht="54" customHeight="1">
      <x:c r="A1844" s="8" t="str">
        <x:v>gold-medication-c81e74f16fd83fd5</x:v>
      </x:c>
      <x:c r="B1844" s="8" t="str">
        <x:v>eyak:201800675:precautions:001</x:v>
      </x:c>
      <x:c r="C1844" s="8" t="str">
        <x:v>eyak:201800675:precautions:001</x:v>
      </x:c>
      <x:c r="D1844" s="8" t="str">
        <x:v>근거와 함께 답변</x:v>
      </x:c>
      <x:c r="E1844" s="15" t="n">
        <x:v>1842</x:v>
      </x:c>
      <x:c r="F1844" s="8" t="str">
        <x:v>기존 검증 정답</x:v>
      </x:c>
      <x:c r="G1844" s="8" t="str">
        <x:v>https://apis.data.go.kr/1471000/DrbEasyDrugInfoService/getDrbEasyDrugList</x:v>
      </x:c>
      <x:c r="H1844" s="8" t="str">
        <x:v>{
  "item_seq": "201800675",
  "item_name": "락스타캡슐(락토바실루스카제이변종람노수스의동결건조배양물)",
  "manufacturer": "코오롱제약(주)",
  "section_codes": [
    "precautions"
  ]
}</x:v>
      </x:c>
    </x:row>
    <x:row r="1845" ht="54" customHeight="1">
      <x:c r="A1845" s="8" t="str">
        <x:v>gold-medication-abc31d55f66174ea</x:v>
      </x:c>
      <x:c r="B1845" s="8" t="str">
        <x:v>eyak:200901146:precautions:001</x:v>
      </x:c>
      <x:c r="C1845" s="8" t="str">
        <x:v>eyak:200901146:precautions:001
eyak:200901146:precautions:002
eyak:200901146:precautions:003</x:v>
      </x:c>
      <x:c r="D1845" s="8" t="str">
        <x:v>근거와 함께 답변</x:v>
      </x:c>
      <x:c r="E1845" s="15" t="n">
        <x:v>1843</x:v>
      </x:c>
      <x:c r="F1845" s="8" t="str">
        <x:v>기존 검증 정답</x:v>
      </x:c>
      <x:c r="G1845" s="8" t="str">
        <x:v>https://apis.data.go.kr/1471000/DrbEasyDrugInfoService/getDrbEasyDrugList</x:v>
      </x:c>
      <x:c r="H1845" s="8" t="str">
        <x:v>{
  "item_seq": "200901146",
  "item_name": "뉴클로정(클로닉신리시네이트)",
  "manufacturer": "한솔신약(주)",
  "section_codes": [
    "precautions"
  ]
}</x:v>
      </x:c>
    </x:row>
    <x:row r="1846" ht="54" customHeight="1">
      <x:c r="A1846" s="8" t="str">
        <x:v>gold-medication-4b21b04c50202c87</x:v>
      </x:c>
      <x:c r="B1846" s="8" t="str">
        <x:v>eyak:201907915:warning:001
eyak:201907915:precautions:002</x:v>
      </x:c>
      <x:c r="C1846" s="8" t="str">
        <x:v>eyak:201907915:warning:001
eyak:201907915:precautions:002
eyak:201907915:precautions:001
eyak:201907915:precautions:003</x:v>
      </x:c>
      <x:c r="D1846" s="8" t="str">
        <x:v>근거와 함께 답변</x:v>
      </x:c>
      <x:c r="E1846" s="15" t="n">
        <x:v>1844</x:v>
      </x:c>
      <x:c r="F1846" s="8" t="str">
        <x:v>기존 검증 정답</x:v>
      </x:c>
      <x:c r="G1846" s="8" t="str">
        <x:v>https://apis.data.go.kr/1471000/DrbEasyDrugInfoService/getDrbEasyDrugList</x:v>
      </x:c>
      <x:c r="H1846" s="8" t="str">
        <x:v>{
  "item_seq": "201907915",
  "item_name": "맥시부키즈시럽(덱시부프로펜)",
  "manufacturer": "(주)퍼슨",
  "section_codes": [
    "warning",
    "precautions"
  ]
}</x:v>
      </x:c>
    </x:row>
    <x:row r="1847" ht="54" customHeight="1">
      <x:c r="A1847" s="8" t="str">
        <x:v>gold-medication-46228e4b4c2302df</x:v>
      </x:c>
      <x:c r="B1847" s="8" t="str">
        <x:v>eyak:199804362:adverse_reactions:001</x:v>
      </x:c>
      <x:c r="C1847" s="8" t="str">
        <x:v>eyak:199804362:adverse_reactions:001</x:v>
      </x:c>
      <x:c r="D1847" s="8" t="str">
        <x:v>근거와 함께 답변</x:v>
      </x:c>
      <x:c r="E1847" s="15" t="n">
        <x:v>1845</x:v>
      </x:c>
      <x:c r="F1847" s="8" t="str">
        <x:v>기존 검증 정답</x:v>
      </x:c>
      <x:c r="G1847" s="8" t="str">
        <x:v>https://apis.data.go.kr/1471000/DrbEasyDrugInfoService/getDrbEasyDrugList</x:v>
      </x:c>
      <x:c r="H1847" s="8" t="str">
        <x:v>{
  "item_seq": "199804362",
  "item_name": "넥스팜탄산칼슘정(침강탄산칼슘)",
  "manufacturer": "(주)넥스팜코리아",
  "section_codes": [
    "adverse_reactions"
  ]
}</x:v>
      </x:c>
    </x:row>
    <x:row r="1848" ht="54" customHeight="1">
      <x:c r="A1848" s="8" t="str">
        <x:v>gold-medication-76b29ea36831bdcc</x:v>
      </x:c>
      <x:c r="B1848" s="8" t="str">
        <x:v>eyak:201907485:dosage:002</x:v>
      </x:c>
      <x:c r="C1848" s="8" t="str">
        <x:v>eyak:201907485:dosage:002
eyak:201907485:dosage:001
eyak:201907485:dosage:003</x:v>
      </x:c>
      <x:c r="D1848" s="8" t="str">
        <x:v>근거와 함께 답변</x:v>
      </x:c>
      <x:c r="E1848" s="15" t="n">
        <x:v>1846</x:v>
      </x:c>
      <x:c r="F1848" s="8" t="str">
        <x:v>기존 검증 정답</x:v>
      </x:c>
      <x:c r="G1848" s="8" t="str">
        <x:v>https://apis.data.go.kr/1471000/DrbEasyDrugInfoService/getDrbEasyDrugList</x:v>
      </x:c>
      <x:c r="H1848" s="8" t="str">
        <x:v>{
  "item_seq": "201907485",
  "item_name": "큐센400이부프로펜연질캡슐",
  "manufacturer": "삼성제약(주)",
  "section_codes": [
    "dosage"
  ]
}</x:v>
      </x:c>
    </x:row>
    <x:row r="1849" ht="54" customHeight="1">
      <x:c r="A1849" s="8" t="str">
        <x:v>gold-medication-na-61dd9e425e1198ec</x:v>
      </x:c>
      <x:c r="B1849" s="8" t="str"/>
      <x:c r="C1849" s="8" t="str"/>
      <x:c r="D1849" s="8" t="str">
        <x:v>답변 거부 또는 추가 확인 요청</x:v>
      </x:c>
      <x:c r="E1849" s="15" t="n">
        <x:v>1847</x:v>
      </x:c>
      <x:c r="F1849" s="8" t="str">
        <x:v>답변 거부 기준 문구</x:v>
      </x:c>
      <x:c r="G1849" s="8" t="str">
        <x:v>https://apis.data.go.kr/1471000/DrbEasyDrugInfoService/getDrbEasyDrugList</x:v>
      </x:c>
      <x:c r="H1849" s="8" t="str">
        <x:v>{
  "item_seq": "199700635",
  "item_name": "포비크린세정용",
  "manufacturer": "(주)퍼슨",
  "section_codes": [
    "precautions"
  ]
}</x:v>
      </x:c>
    </x:row>
    <x:row r="1850" ht="54" customHeight="1">
      <x:c r="A1850" s="8" t="str">
        <x:v>gold-medication-22cd25d30dfcda1c</x:v>
      </x:c>
      <x:c r="B1850" s="8" t="str">
        <x:v>eyak:202005641:adverse_reactions:001</x:v>
      </x:c>
      <x:c r="C1850" s="8" t="str">
        <x:v>eyak:202005641:adverse_reactions:001</x:v>
      </x:c>
      <x:c r="D1850" s="8" t="str">
        <x:v>근거와 함께 답변</x:v>
      </x:c>
      <x:c r="E1850" s="15" t="n">
        <x:v>1848</x:v>
      </x:c>
      <x:c r="F1850" s="8" t="str">
        <x:v>기존 검증 정답</x:v>
      </x:c>
      <x:c r="G1850" s="8" t="str">
        <x:v>https://apis.data.go.kr/1471000/DrbEasyDrugInfoService/getDrbEasyDrugList</x:v>
      </x:c>
      <x:c r="H1850" s="8" t="str">
        <x:v>{
  "item_seq": "202005641",
  "item_name": "가네치온정100밀리그램(글루타티온(환원형))",
  "manufacturer": "주식회사더유제약",
  "section_codes": [
    "adverse_reactions"
  ]
}</x:v>
      </x:c>
    </x:row>
    <x:row r="1851" ht="54" customHeight="1">
      <x:c r="A1851" s="8" t="str">
        <x:v>gold-medication-28a24f79fe2053fe</x:v>
      </x:c>
      <x:c r="B1851" s="8" t="str">
        <x:v>eyak:201201278:precautions:001</x:v>
      </x:c>
      <x:c r="C1851" s="8" t="str">
        <x:v>eyak:201201278:precautions:001</x:v>
      </x:c>
      <x:c r="D1851" s="8" t="str">
        <x:v>근거와 함께 답변</x:v>
      </x:c>
      <x:c r="E1851" s="15" t="n">
        <x:v>1849</x:v>
      </x:c>
      <x:c r="F1851" s="8" t="str">
        <x:v>기존 검증 정답</x:v>
      </x:c>
      <x:c r="G1851" s="8" t="str">
        <x:v>https://apis.data.go.kr/1471000/DrbEasyDrugInfoService/getDrbEasyDrugList</x:v>
      </x:c>
      <x:c r="H1851" s="8" t="str">
        <x:v>{
  "item_seq": "201201278",
  "item_name": "비사진나잘스프레이(덱스판테놀)",
  "manufacturer": "동아제약(주)",
  "section_codes": [
    "precautions"
  ]
}</x:v>
      </x:c>
    </x:row>
    <x:row r="1852" ht="54" customHeight="1">
      <x:c r="A1852" s="8" t="str">
        <x:v>gold-medication-cb232af338a13cdd</x:v>
      </x:c>
      <x:c r="B1852" s="8" t="str">
        <x:v>eyak:201803487:precautions:001</x:v>
      </x:c>
      <x:c r="C1852" s="8" t="str">
        <x:v>eyak:201803487:precautions:001</x:v>
      </x:c>
      <x:c r="D1852" s="8" t="str">
        <x:v>근거와 함께 답변</x:v>
      </x:c>
      <x:c r="E1852" s="15" t="n">
        <x:v>1850</x:v>
      </x:c>
      <x:c r="F1852" s="8" t="str">
        <x:v>기존 검증 정답</x:v>
      </x:c>
      <x:c r="G1852" s="8" t="str">
        <x:v>https://apis.data.go.kr/1471000/DrbEasyDrugInfoService/getDrbEasyDrugList</x:v>
      </x:c>
      <x:c r="H1852" s="8" t="str">
        <x:v>{
  "item_seq": "201803487",
  "item_name": "엘도스테인캡슐(에르도스테인)",
  "manufacturer": "화일약품(주)",
  "section_codes": [
    "precautions"
  ]
}</x:v>
      </x:c>
    </x:row>
    <x:row r="1853" ht="54" customHeight="1">
      <x:c r="A1853" s="8" t="str">
        <x:v>gold-medication-2fda744c6f66226f</x:v>
      </x:c>
      <x:c r="B1853" s="8" t="str">
        <x:v>eyak:200500569:warning:001
eyak:200500569:precautions:003
eyak:200500569:adverse_reactions:001</x:v>
      </x:c>
      <x:c r="C1853" s="8" t="str">
        <x:v>eyak:200500569:warning:001
eyak:200500569:precautions:003
eyak:200500569:precautions:002
eyak:200500569:precautions:001
eyak:200500569:adverse_reactions:001
eyak:200500569:adverse_reactions:002</x:v>
      </x:c>
      <x:c r="D1853" s="8" t="str">
        <x:v>근거와 함께 답변</x:v>
      </x:c>
      <x:c r="E1853" s="15" t="n">
        <x:v>1851</x:v>
      </x:c>
      <x:c r="F1853" s="8" t="str">
        <x:v>기존 검증 정답</x:v>
      </x:c>
      <x:c r="G1853" s="8" t="str">
        <x:v>https://apis.data.go.kr/1471000/DrbEasyDrugInfoService/getDrbEasyDrugList</x:v>
      </x:c>
      <x:c r="H1853" s="8" t="str">
        <x:v>{
  "item_seq": "200500569",
  "item_name": "웰리드연질캡슐",
  "manufacturer": "(주)유한양행",
  "section_codes": [
    "warning",
    "precautions",
    "adverse_reactions"
  ]
}</x:v>
      </x:c>
    </x:row>
    <x:row r="1854" ht="54" customHeight="1">
      <x:c r="A1854" s="8" t="str">
        <x:v>gold-medication-eab82166177b26ab</x:v>
      </x:c>
      <x:c r="B1854" s="8" t="str">
        <x:v>eyak:200705581:precautions:002</x:v>
      </x:c>
      <x:c r="C1854" s="8" t="str">
        <x:v>eyak:200705581:precautions:002
eyak:200705581:precautions:001
eyak:200705581:precautions:003</x:v>
      </x:c>
      <x:c r="D1854" s="8" t="str">
        <x:v>근거와 함께 답변</x:v>
      </x:c>
      <x:c r="E1854" s="15" t="n">
        <x:v>1852</x:v>
      </x:c>
      <x:c r="F1854" s="8" t="str">
        <x:v>기존 검증 정답</x:v>
      </x:c>
      <x:c r="G1854" s="8" t="str">
        <x:v>https://apis.data.go.kr/1471000/DrbEasyDrugInfoService/getDrbEasyDrugList</x:v>
      </x:c>
      <x:c r="H1854" s="8" t="str">
        <x:v>{
  "item_seq": "200705581",
  "item_name": "케프로텍플라스타(케토프로펜)",
  "manufacturer": "현대약품(주)",
  "section_codes": [
    "precautions"
  ]
}</x:v>
      </x:c>
    </x:row>
    <x:row r="1855" ht="54" customHeight="1">
      <x:c r="A1855" s="8" t="str">
        <x:v>gold-medication-392c7194c3e37c4d</x:v>
      </x:c>
      <x:c r="B1855" s="8" t="str">
        <x:v>eyak:202001085:precautions:001</x:v>
      </x:c>
      <x:c r="C1855" s="8" t="str">
        <x:v>eyak:202001085:precautions:001</x:v>
      </x:c>
      <x:c r="D1855" s="8" t="str">
        <x:v>근거와 함께 답변</x:v>
      </x:c>
      <x:c r="E1855" s="15" t="n">
        <x:v>1853</x:v>
      </x:c>
      <x:c r="F1855" s="8" t="str">
        <x:v>기존 검증 정답</x:v>
      </x:c>
      <x:c r="G1855" s="8" t="str">
        <x:v>https://apis.data.go.kr/1471000/DrbEasyDrugInfoService/getDrbEasyDrugList</x:v>
      </x:c>
      <x:c r="H1855" s="8" t="str">
        <x:v>{
  "item_seq": "202001085",
  "item_name": "페리톡겔",
  "manufacturer": "(주)퍼슨",
  "section_codes": [
    "precautions"
  ]
}</x:v>
      </x:c>
    </x:row>
    <x:row r="1856" ht="54" customHeight="1">
      <x:c r="A1856" s="8" t="str">
        <x:v>gold-medication-2e18f650597b777b</x:v>
      </x:c>
      <x:c r="B1856" s="8" t="str">
        <x:v>eyak:201601341:efficacy:001</x:v>
      </x:c>
      <x:c r="C1856" s="8" t="str">
        <x:v>eyak:201601341:efficacy:001
eyak:201601341:efficacy:002</x:v>
      </x:c>
      <x:c r="D1856" s="8" t="str">
        <x:v>근거와 함께 답변</x:v>
      </x:c>
      <x:c r="E1856" s="15" t="n">
        <x:v>1854</x:v>
      </x:c>
      <x:c r="F1856" s="8" t="str">
        <x:v>기존 검증 정답</x:v>
      </x:c>
      <x:c r="G1856" s="8" t="str">
        <x:v>https://apis.data.go.kr/1471000/DrbEasyDrugInfoService/getDrbEasyDrugList</x:v>
      </x:c>
      <x:c r="H1856" s="8" t="str">
        <x:v>{
  "item_seq": "201601341",
  "item_name": "보령아이락비타연질캡슐",
  "manufacturer": "(주)보령",
  "section_codes": [
    "efficacy"
  ]
}</x:v>
      </x:c>
    </x:row>
    <x:row r="1857" ht="54" customHeight="1">
      <x:c r="A1857" s="8" t="str">
        <x:v>gold-medication-6e7694d53eca93f0</x:v>
      </x:c>
      <x:c r="B1857" s="8" t="str">
        <x:v>eyak:200400500:efficacy:001</x:v>
      </x:c>
      <x:c r="C1857" s="8" t="str">
        <x:v>eyak:200400500:efficacy:001
eyak:200400500:efficacy:002</x:v>
      </x:c>
      <x:c r="D1857" s="8" t="str">
        <x:v>근거와 함께 답변</x:v>
      </x:c>
      <x:c r="E1857" s="15" t="n">
        <x:v>1855</x:v>
      </x:c>
      <x:c r="F1857" s="8" t="str">
        <x:v>기존 검증 정답</x:v>
      </x:c>
      <x:c r="G1857" s="8" t="str">
        <x:v>https://apis.data.go.kr/1471000/DrbEasyDrugInfoService/getDrbEasyDrugList</x:v>
      </x:c>
      <x:c r="H1857" s="8" t="str">
        <x:v>{
  "item_seq": "200400500",
  "item_name": "삐콤씨에이스정\n(수출명:유한삐콤씨에이스정)",
  "manufacturer": "(주)유한양행",
  "section_codes": [
    "efficacy"
  ]
}</x:v>
      </x:c>
    </x:row>
    <x:row r="1858" ht="54" customHeight="1">
      <x:c r="A1858" s="8" t="str">
        <x:v>gold-medication-97a018e97b0c482b</x:v>
      </x:c>
      <x:c r="B1858" s="8" t="str">
        <x:v>eyak:202000147:precautions:001</x:v>
      </x:c>
      <x:c r="C1858" s="8" t="str">
        <x:v>eyak:202000147:precautions:001
eyak:202000147:precautions:002</x:v>
      </x:c>
      <x:c r="D1858" s="8" t="str">
        <x:v>근거와 함께 답변</x:v>
      </x:c>
      <x:c r="E1858" s="15" t="n">
        <x:v>1856</x:v>
      </x:c>
      <x:c r="F1858" s="8" t="str">
        <x:v>기존 검증 정답</x:v>
      </x:c>
      <x:c r="G1858" s="8" t="str">
        <x:v>https://apis.data.go.kr/1471000/DrbEasyDrugInfoService/getDrbEasyDrugList</x:v>
      </x:c>
      <x:c r="H1858" s="8" t="str">
        <x:v>{
  "item_seq": "202000147",
  "item_name": "마그네정",
  "manufacturer": "(주)인트로바이오파마",
  "section_codes": [
    "precautions"
  ]
}</x:v>
      </x:c>
    </x:row>
    <x:row r="1859" ht="54" customHeight="1">
      <x:c r="A1859" s="8" t="str">
        <x:v>gold-medication-66ecd07005de9bac</x:v>
      </x:c>
      <x:c r="B1859" s="8" t="str">
        <x:v>eyak:200400009:precautions:001</x:v>
      </x:c>
      <x:c r="C1859" s="8" t="str">
        <x:v>eyak:200400009:precautions:001</x:v>
      </x:c>
      <x:c r="D1859" s="8" t="str">
        <x:v>근거와 함께 답변</x:v>
      </x:c>
      <x:c r="E1859" s="15" t="n">
        <x:v>1857</x:v>
      </x:c>
      <x:c r="F1859" s="8" t="str">
        <x:v>기존 검증 정답</x:v>
      </x:c>
      <x:c r="G1859" s="8" t="str">
        <x:v>https://apis.data.go.kr/1471000/DrbEasyDrugInfoService/getDrbEasyDrugList</x:v>
      </x:c>
      <x:c r="H1859" s="8" t="str">
        <x:v>{
  "item_seq": "200400009",
  "item_name": "에도날캡슐(에르도스테인)",
  "manufacturer": "신풍제약(주)",
  "section_codes": [
    "precautions"
  ]
}</x:v>
      </x:c>
    </x:row>
    <x:row r="1860" ht="54" customHeight="1">
      <x:c r="A1860" s="8" t="str">
        <x:v>gold-medication-7fbe197f277328ca</x:v>
      </x:c>
      <x:c r="B1860" s="8" t="str">
        <x:v>eyak:201504815:precautions:001</x:v>
      </x:c>
      <x:c r="C1860" s="8" t="str">
        <x:v>eyak:201504815:precautions:001
eyak:201504815:precautions:002
eyak:201504815:precautions:003</x:v>
      </x:c>
      <x:c r="D1860" s="8" t="str">
        <x:v>근거와 함께 답변</x:v>
      </x:c>
      <x:c r="E1860" s="15" t="n">
        <x:v>1858</x:v>
      </x:c>
      <x:c r="F1860" s="8" t="str">
        <x:v>기존 검증 정답</x:v>
      </x:c>
      <x:c r="G1860" s="8" t="str">
        <x:v>https://apis.data.go.kr/1471000/DrbEasyDrugInfoService/getDrbEasyDrugList</x:v>
      </x:c>
      <x:c r="H1860" s="8" t="str">
        <x:v>{
  "item_seq": "201504815",
  "item_name": "비타허브정",
  "manufacturer": "(주)한풍제약",
  "section_codes": [
    "precautions"
  ]
}</x:v>
      </x:c>
    </x:row>
    <x:row r="1861" ht="54" customHeight="1">
      <x:c r="A1861" s="8" t="str">
        <x:v>gold-medication-4f5295e7adb0292d</x:v>
      </x:c>
      <x:c r="B1861" s="8" t="str">
        <x:v>eyak:202102875:precautions:003</x:v>
      </x:c>
      <x:c r="C1861" s="8" t="str">
        <x:v>eyak:202102875:precautions:003
eyak:202102875:precautions:002
eyak:202102875:precautions:001
eyak:202102875:precautions:004</x:v>
      </x:c>
      <x:c r="D1861" s="8" t="str">
        <x:v>근거와 함께 답변</x:v>
      </x:c>
      <x:c r="E1861" s="15" t="n">
        <x:v>1859</x:v>
      </x:c>
      <x:c r="F1861" s="8" t="str">
        <x:v>기존 검증 정답</x:v>
      </x:c>
      <x:c r="G1861" s="8" t="str">
        <x:v>https://apis.data.go.kr/1471000/DrbEasyDrugInfoService/getDrbEasyDrugList</x:v>
      </x:c>
      <x:c r="H1861" s="8" t="str">
        <x:v>{
  "item_seq": "202102875",
  "item_name": "페이지연질캡슐",
  "manufacturer": "(주)알피바이오",
  "section_codes": [
    "precautions"
  ]
}</x:v>
      </x:c>
    </x:row>
    <x:row r="1862" ht="54" customHeight="1">
      <x:c r="A1862" s="8" t="str">
        <x:v>gold-medication-35d06e3833e59877</x:v>
      </x:c>
      <x:c r="B1862" s="8" t="str">
        <x:v>eyak:201501446:adverse_reactions:001</x:v>
      </x:c>
      <x:c r="C1862" s="8" t="str">
        <x:v>eyak:201501446:adverse_reactions:001
eyak:201501446:adverse_reactions:002</x:v>
      </x:c>
      <x:c r="D1862" s="8" t="str">
        <x:v>근거와 함께 답변</x:v>
      </x:c>
      <x:c r="E1862" s="15" t="n">
        <x:v>1860</x:v>
      </x:c>
      <x:c r="F1862" s="8" t="str">
        <x:v>기존 검증 정답</x:v>
      </x:c>
      <x:c r="G1862" s="8" t="str">
        <x:v>https://apis.data.go.kr/1471000/DrbEasyDrugInfoService/getDrbEasyDrugList</x:v>
      </x:c>
      <x:c r="H1862" s="8" t="str">
        <x:v>{
  "item_seq": "201501446",
  "item_name": "오프콜드연질캡슐(수출용)",
  "manufacturer": "한국프라임제약(주)",
  "section_codes": [
    "adverse_reactions"
  ]
}</x:v>
      </x:c>
    </x:row>
    <x:row r="1863" ht="54" customHeight="1">
      <x:c r="A1863" s="8" t="str">
        <x:v>gold-medication-2316bb0b70dc7e81</x:v>
      </x:c>
      <x:c r="B1863" s="8" t="str">
        <x:v>eyak:201506543:adverse_reactions:001</x:v>
      </x:c>
      <x:c r="C1863" s="8" t="str">
        <x:v>eyak:201506543:adverse_reactions:001</x:v>
      </x:c>
      <x:c r="D1863" s="8" t="str">
        <x:v>근거와 함께 답변</x:v>
      </x:c>
      <x:c r="E1863" s="15" t="n">
        <x:v>1861</x:v>
      </x:c>
      <x:c r="F1863" s="8" t="str">
        <x:v>기존 검증 정답</x:v>
      </x:c>
      <x:c r="G1863" s="8" t="str">
        <x:v>https://apis.data.go.kr/1471000/DrbEasyDrugInfoService/getDrbEasyDrugList</x:v>
      </x:c>
      <x:c r="H1863" s="8" t="str">
        <x:v>{
  "item_seq": "201506543",
  "item_name": "휴스크럽",
  "manufacturer": "(주)휴온스메디텍",
  "section_codes": [
    "adverse_reactions"
  ]
}</x:v>
      </x:c>
    </x:row>
    <x:row r="1864" ht="54" customHeight="1">
      <x:c r="A1864" s="8" t="str">
        <x:v>gold-medication-dc20944f78a3ff3e</x:v>
      </x:c>
      <x:c r="B1864" s="8" t="str">
        <x:v>eyak:202204085:dosage:001</x:v>
      </x:c>
      <x:c r="C1864" s="8" t="str">
        <x:v>eyak:202204085:dosage:001</x:v>
      </x:c>
      <x:c r="D1864" s="8" t="str">
        <x:v>근거와 함께 답변</x:v>
      </x:c>
      <x:c r="E1864" s="15" t="n">
        <x:v>1862</x:v>
      </x:c>
      <x:c r="F1864" s="8" t="str">
        <x:v>기존 검증 정답</x:v>
      </x:c>
      <x:c r="G1864" s="8" t="str">
        <x:v>https://apis.data.go.kr/1471000/DrbEasyDrugInfoService/getDrbEasyDrugList</x:v>
      </x:c>
      <x:c r="H1864" s="8" t="str">
        <x:v>{
  "item_seq": "202204085",
  "item_name": "비바골드액(L-아스파르트산-L-아르기닌수화물)",
  "manufacturer": "(주)넥스팜코리아",
  "section_codes": [
    "dosage"
  ]
}</x:v>
      </x:c>
    </x:row>
    <x:row r="1865" ht="54" customHeight="1">
      <x:c r="A1865" s="8" t="str">
        <x:v>gold-medication-na-3b4f98101afa8ffb</x:v>
      </x:c>
      <x:c r="B1865" s="8" t="str"/>
      <x:c r="C1865" s="8" t="str"/>
      <x:c r="D1865" s="8" t="str">
        <x:v>답변 거부 또는 추가 확인 요청</x:v>
      </x:c>
      <x:c r="E1865" s="15" t="n">
        <x:v>1863</x:v>
      </x:c>
      <x:c r="F1865" s="8" t="str">
        <x:v>답변 거부 기준 문구</x:v>
      </x:c>
      <x:c r="G1865" s="8" t="str">
        <x:v>https://apis.data.go.kr/1471000/DrbEasyDrugInfoService/getDrbEasyDrugList</x:v>
      </x:c>
      <x:c r="H1865" s="8" t="str">
        <x:v>{
  "item_seq": "198901706",
  "item_name": "엑스펙토시럽2%(카르보시스테인)",
  "manufacturer": "(주)팜젠사이언스",
  "section_codes": [
    "precautions"
  ]
}</x:v>
      </x:c>
    </x:row>
    <x:row r="1866" ht="54" customHeight="1">
      <x:c r="A1866" s="8" t="str">
        <x:v>gold-medication-22954ec1701a374d</x:v>
      </x:c>
      <x:c r="B1866" s="8" t="str">
        <x:v>eyak:200606546:adverse_reactions:001</x:v>
      </x:c>
      <x:c r="C1866" s="8" t="str">
        <x:v>eyak:200606546:adverse_reactions:001</x:v>
      </x:c>
      <x:c r="D1866" s="8" t="str">
        <x:v>근거와 함께 답변</x:v>
      </x:c>
      <x:c r="E1866" s="15" t="n">
        <x:v>1864</x:v>
      </x:c>
      <x:c r="F1866" s="8" t="str">
        <x:v>기존 검증 정답</x:v>
      </x:c>
      <x:c r="G1866" s="8" t="str">
        <x:v>https://apis.data.go.kr/1471000/DrbEasyDrugInfoService/getDrbEasyDrugList</x:v>
      </x:c>
      <x:c r="H1866" s="8" t="str">
        <x:v>{
  "item_seq": "200606546",
  "item_name": "에이프로젠무피로신연고",
  "manufacturer": "(주)에이프로젠바이오로직스",
  "section_codes": [
    "adverse_reactions"
  ]
}</x:v>
      </x:c>
    </x:row>
    <x:row r="1867" ht="54" customHeight="1">
      <x:c r="A1867" s="8" t="str">
        <x:v>gold-medication-9cc352980de0dd8f</x:v>
      </x:c>
      <x:c r="B1867" s="8" t="str">
        <x:v>eyak:200501029:efficacy:001</x:v>
      </x:c>
      <x:c r="C1867" s="8" t="str">
        <x:v>eyak:200501029:efficacy:001</x:v>
      </x:c>
      <x:c r="D1867" s="8" t="str">
        <x:v>근거와 함께 답변</x:v>
      </x:c>
      <x:c r="E1867" s="15" t="n">
        <x:v>1865</x:v>
      </x:c>
      <x:c r="F1867" s="8" t="str">
        <x:v>기존 검증 정답</x:v>
      </x:c>
      <x:c r="G1867" s="8" t="str">
        <x:v>https://apis.data.go.kr/1471000/DrbEasyDrugInfoService/getDrbEasyDrugList</x:v>
      </x:c>
      <x:c r="H1867" s="8" t="str">
        <x:v>{
  "item_seq": "200501029",
  "item_name": "안국아시클로버크림",
  "manufacturer": "안국약품(주)",
  "section_codes": [
    "efficacy"
  ]
}</x:v>
      </x:c>
    </x:row>
    <x:row r="1868" ht="54" customHeight="1">
      <x:c r="A1868" s="8" t="str">
        <x:v>gold-medication-5b98a0a7b942cf7f</x:v>
      </x:c>
      <x:c r="B1868" s="8" t="str">
        <x:v>eyak:199901332:precautions:001</x:v>
      </x:c>
      <x:c r="C1868" s="8" t="str">
        <x:v>eyak:199901332:precautions:001
eyak:199901332:precautions:002</x:v>
      </x:c>
      <x:c r="D1868" s="8" t="str">
        <x:v>근거와 함께 답변</x:v>
      </x:c>
      <x:c r="E1868" s="15" t="n">
        <x:v>1866</x:v>
      </x:c>
      <x:c r="F1868" s="8" t="str">
        <x:v>기존 검증 정답</x:v>
      </x:c>
      <x:c r="G1868" s="8" t="str">
        <x:v>https://apis.data.go.kr/1471000/DrbEasyDrugInfoService/getDrbEasyDrugList</x:v>
      </x:c>
      <x:c r="H1868" s="8" t="str">
        <x:v>{
  "item_seq": "199901332",
  "item_name": "유니자임정",
  "manufacturer": "(주)동구바이오제약",
  "section_codes": [
    "precautions"
  ]
}</x:v>
      </x:c>
    </x:row>
    <x:row r="1869" ht="54" customHeight="1">
      <x:c r="A1869" s="8" t="str">
        <x:v>gold-medication-aba8cb501f29a18c</x:v>
      </x:c>
      <x:c r="B1869" s="8" t="str">
        <x:v>eyak:201802916:warning:001
eyak:201802916:precautions:001</x:v>
      </x:c>
      <x:c r="C1869" s="8" t="str">
        <x:v>eyak:201802916:warning:001
eyak:201802916:precautions:001
eyak:201802916:precautions:002</x:v>
      </x:c>
      <x:c r="D1869" s="8" t="str">
        <x:v>근거와 함께 답변</x:v>
      </x:c>
      <x:c r="E1869" s="15" t="n">
        <x:v>1867</x:v>
      </x:c>
      <x:c r="F1869" s="8" t="str">
        <x:v>기존 검증 정답</x:v>
      </x:c>
      <x:c r="G1869" s="8" t="str">
        <x:v>https://apis.data.go.kr/1471000/DrbEasyDrugInfoService/getDrbEasyDrugList</x:v>
      </x:c>
      <x:c r="H1869" s="8" t="str">
        <x:v>{
  "item_seq": "201802916",
  "item_name": "헤모맘플러스캡슐",
  "manufacturer": "(주)셀릭스",
  "section_codes": [
    "warning",
    "precautions"
  ]
}</x:v>
      </x:c>
    </x:row>
    <x:row r="1870" ht="54" customHeight="1">
      <x:c r="A1870" s="8" t="str">
        <x:v>gold-medication-edce5f3ed32ec036</x:v>
      </x:c>
      <x:c r="B1870" s="8" t="str">
        <x:v>eyak:199701904:precautions:001</x:v>
      </x:c>
      <x:c r="C1870" s="8" t="str">
        <x:v>eyak:199701904:precautions:001</x:v>
      </x:c>
      <x:c r="D1870" s="8" t="str">
        <x:v>근거와 함께 답변</x:v>
      </x:c>
      <x:c r="E1870" s="15" t="n">
        <x:v>1868</x:v>
      </x:c>
      <x:c r="F1870" s="8" t="str">
        <x:v>기존 검증 정답</x:v>
      </x:c>
      <x:c r="G1870" s="8" t="str">
        <x:v>https://apis.data.go.kr/1471000/DrbEasyDrugInfoService/getDrbEasyDrugList</x:v>
      </x:c>
      <x:c r="H1870" s="8" t="str">
        <x:v>{
  "item_seq": "199701904",
  "item_name": "글루콤액",
  "manufacturer": "고려제약(주)",
  "section_codes": [
    "precautions"
  ]
}</x:v>
      </x:c>
    </x:row>
    <x:row r="1871" ht="54" customHeight="1">
      <x:c r="A1871" s="8" t="str">
        <x:v>gold-medication-87e773f62ceaaeee</x:v>
      </x:c>
      <x:c r="B1871" s="8" t="str">
        <x:v>eyak:200607838:interactions:001</x:v>
      </x:c>
      <x:c r="C1871" s="8" t="str">
        <x:v>eyak:200607838:interactions:001</x:v>
      </x:c>
      <x:c r="D1871" s="8" t="str">
        <x:v>근거와 함께 답변</x:v>
      </x:c>
      <x:c r="E1871" s="15" t="n">
        <x:v>1869</x:v>
      </x:c>
      <x:c r="F1871" s="8" t="str">
        <x:v>기존 검증 정답</x:v>
      </x:c>
      <x:c r="G1871" s="8" t="str">
        <x:v>https://apis.data.go.kr/1471000/DrbEasyDrugInfoService/getDrbEasyDrugList</x:v>
      </x:c>
      <x:c r="H1871" s="8" t="str">
        <x:v>{
  "item_seq": "200607838",
  "item_name": "코큐민연질캡슐",
  "manufacturer": "(주)비보존제약",
  "section_codes": [
    "interactions"
  ]
}</x:v>
      </x:c>
    </x:row>
    <x:row r="1872" ht="54" customHeight="1">
      <x:c r="A1872" s="8" t="str">
        <x:v>gold-medication-cf6f5e7108496de2</x:v>
      </x:c>
      <x:c r="B1872" s="8" t="str">
        <x:v>eyak:202301966:warning:001
eyak:202301966:precautions:002
eyak:202301966:adverse_reactions:001</x:v>
      </x:c>
      <x:c r="C1872" s="8" t="str">
        <x:v>eyak:202301966:warning:001
eyak:202301966:precautions:002
eyak:202301966:precautions:001
eyak:202301966:precautions:003
eyak:202301966:adverse_reactions:001
eyak:202301966:adverse_reactions:002</x:v>
      </x:c>
      <x:c r="D1872" s="8" t="str">
        <x:v>근거와 함께 답변</x:v>
      </x:c>
      <x:c r="E1872" s="15" t="n">
        <x:v>1870</x:v>
      </x:c>
      <x:c r="F1872" s="8" t="str">
        <x:v>기존 검증 정답</x:v>
      </x:c>
      <x:c r="G1872" s="8" t="str">
        <x:v>https://apis.data.go.kr/1471000/DrbEasyDrugInfoService/getDrbEasyDrugList</x:v>
      </x:c>
      <x:c r="H1872" s="8" t="str">
        <x:v>{
  "item_seq": "202301966",
  "item_name": "코드비타연질캡슐",
  "manufacturer": "동방에프티엘(주)",
  "section_codes": [
    "warning",
    "precautions",
    "adverse_reactions"
  ]
}</x:v>
      </x:c>
    </x:row>
    <x:row r="1873" ht="54" customHeight="1">
      <x:c r="A1873" s="8" t="str">
        <x:v>gold-medication-f0104112b4cfbc34</x:v>
      </x:c>
      <x:c r="B1873" s="8" t="str">
        <x:v>eyak:201502752:warning:001
eyak:201502752:precautions:001</x:v>
      </x:c>
      <x:c r="C1873" s="8" t="str">
        <x:v>eyak:201502752:warning:001
eyak:201502752:warning:002
eyak:201502752:warning:003
eyak:201502752:precautions:001
eyak:201502752:precautions:003
eyak:201502752:precautions:002</x:v>
      </x:c>
      <x:c r="D1873" s="8" t="str">
        <x:v>근거와 함께 답변</x:v>
      </x:c>
      <x:c r="E1873" s="15" t="n">
        <x:v>1871</x:v>
      </x:c>
      <x:c r="F1873" s="8" t="str">
        <x:v>기존 검증 정답</x:v>
      </x:c>
      <x:c r="G1873" s="8" t="str">
        <x:v>https://apis.data.go.kr/1471000/DrbEasyDrugInfoService/getDrbEasyDrugList</x:v>
      </x:c>
      <x:c r="H1873" s="8" t="str">
        <x:v>{
  "item_seq": "201502752",
  "item_name": "이부프렌드연질캡슐",
  "manufacturer": "부광약품(주)",
  "section_codes": [
    "warning",
    "precautions"
  ]
}</x:v>
      </x:c>
    </x:row>
    <x:row r="1874" ht="54" customHeight="1">
      <x:c r="A1874" s="8" t="str">
        <x:v>gold-medication-0943577de8392f35</x:v>
      </x:c>
      <x:c r="B1874" s="8" t="str">
        <x:v>eyak:200400644:warning:001
eyak:200400644:precautions:001</x:v>
      </x:c>
      <x:c r="C1874" s="8" t="str">
        <x:v>eyak:200400644:warning:001
eyak:200400644:precautions:001
eyak:200400644:precautions:002
eyak:200400644:precautions:003
eyak:200400644:precautions:004</x:v>
      </x:c>
      <x:c r="D1874" s="8" t="str">
        <x:v>근거와 함께 답변</x:v>
      </x:c>
      <x:c r="E1874" s="15" t="n">
        <x:v>1872</x:v>
      </x:c>
      <x:c r="F1874" s="8" t="str">
        <x:v>기존 검증 정답</x:v>
      </x:c>
      <x:c r="G1874" s="8" t="str">
        <x:v>https://apis.data.go.kr/1471000/DrbEasyDrugInfoService/getDrbEasyDrugList</x:v>
      </x:c>
      <x:c r="H1874" s="8" t="str">
        <x:v>{
  "item_seq": "200400644",
  "item_name": "아나탁심정(나프록센나트륨)",
  "manufacturer": "(주)마더스제약",
  "section_codes": [
    "warning",
    "precautions"
  ]
}</x:v>
      </x:c>
    </x:row>
    <x:row r="1875" ht="54" customHeight="1">
      <x:c r="A1875" s="8" t="str">
        <x:v>gold-medication-e750bf6ae3635373</x:v>
      </x:c>
      <x:c r="B1875" s="8" t="str">
        <x:v>eyak:202302086:adverse_reactions:001</x:v>
      </x:c>
      <x:c r="C1875" s="8" t="str">
        <x:v>eyak:202302086:adverse_reactions:001
eyak:202302086:adverse_reactions:002</x:v>
      </x:c>
      <x:c r="D1875" s="8" t="str">
        <x:v>근거와 함께 답변</x:v>
      </x:c>
      <x:c r="E1875" s="15" t="n">
        <x:v>1873</x:v>
      </x:c>
      <x:c r="F1875" s="8" t="str">
        <x:v>기존 검증 정답</x:v>
      </x:c>
      <x:c r="G1875" s="8" t="str">
        <x:v>https://apis.data.go.kr/1471000/DrbEasyDrugInfoService/getDrbEasyDrugList</x:v>
      </x:c>
      <x:c r="H1875" s="8" t="str">
        <x:v>{
  "item_seq": "202302086",
  "item_name": "종근당조인트콘드로정",
  "manufacturer": "(주)종근당",
  "section_codes": [
    "adverse_reactions"
  ]
}</x:v>
      </x:c>
    </x:row>
    <x:row r="1876" ht="54" customHeight="1">
      <x:c r="A1876" s="8" t="str">
        <x:v>gold-medication-557b420e135d054f</x:v>
      </x:c>
      <x:c r="B1876" s="8" t="str">
        <x:v>eyak:200400830:efficacy:001</x:v>
      </x:c>
      <x:c r="C1876" s="8" t="str">
        <x:v>eyak:200400830:efficacy:001</x:v>
      </x:c>
      <x:c r="D1876" s="8" t="str">
        <x:v>근거와 함께 답변</x:v>
      </x:c>
      <x:c r="E1876" s="15" t="n">
        <x:v>1874</x:v>
      </x:c>
      <x:c r="F1876" s="8" t="str">
        <x:v>기존 검증 정답</x:v>
      </x:c>
      <x:c r="G1876" s="8" t="str">
        <x:v>https://apis.data.go.kr/1471000/DrbEasyDrugInfoService/getDrbEasyDrugList</x:v>
      </x:c>
      <x:c r="H1876" s="8" t="str">
        <x:v>{
  "item_seq": "200400830",
  "item_name": "엘도신캡슐(에르도스테인)",
  "manufacturer": "알리코제약(주)",
  "section_codes": [
    "efficacy"
  ]
}</x:v>
      </x:c>
    </x:row>
    <x:row r="1877" ht="54" customHeight="1">
      <x:c r="A1877" s="8" t="str">
        <x:v>gold-medication-da595ee2ae275228</x:v>
      </x:c>
      <x:c r="B1877" s="8" t="str">
        <x:v>eyak:202101211:precautions:003
eyak:202101211:adverse_reactions:001</x:v>
      </x:c>
      <x:c r="C1877" s="8" t="str">
        <x:v>eyak:202101211:precautions:003
eyak:202101211:precautions:002
eyak:202101211:precautions:001
eyak:202101211:adverse_reactions:001</x:v>
      </x:c>
      <x:c r="D1877" s="8" t="str">
        <x:v>근거와 함께 답변</x:v>
      </x:c>
      <x:c r="E1877" s="15" t="n">
        <x:v>1875</x:v>
      </x:c>
      <x:c r="F1877" s="8" t="str">
        <x:v>기존 검증 정답</x:v>
      </x:c>
      <x:c r="G1877" s="8" t="str">
        <x:v>https://apis.data.go.kr/1471000/DrbEasyDrugInfoService/getDrbEasyDrugList</x:v>
      </x:c>
      <x:c r="H1877" s="8" t="str">
        <x:v>{
  "item_seq": "202101211",
  "item_name": "물린쿨에스겔",
  "manufacturer": "(주)시어스제약",
  "section_codes": [
    "precautions",
    "adverse_reactions"
  ]
}</x:v>
      </x:c>
    </x:row>
    <x:row r="1878" ht="54" customHeight="1">
      <x:c r="A1878" s="8" t="str">
        <x:v>gold-medication-fd7cd1a5f867cd50</x:v>
      </x:c>
      <x:c r="B1878" s="8" t="str">
        <x:v>eyak:201400030:warning:001
eyak:201400030:precautions:001</x:v>
      </x:c>
      <x:c r="C1878" s="8" t="str">
        <x:v>eyak:201400030:warning:001
eyak:201400030:warning:002
eyak:201400030:warning:003
eyak:201400030:precautions:001
eyak:201400030:precautions:003
eyak:201400030:precautions:004
eyak:201400030:precautions:002</x:v>
      </x:c>
      <x:c r="D1878" s="8" t="str">
        <x:v>근거와 함께 답변</x:v>
      </x:c>
      <x:c r="E1878" s="15" t="n">
        <x:v>1876</x:v>
      </x:c>
      <x:c r="F1878" s="8" t="str">
        <x:v>기존 검증 정답</x:v>
      </x:c>
      <x:c r="G1878" s="8" t="str">
        <x:v>https://apis.data.go.kr/1471000/DrbEasyDrugInfoService/getDrbEasyDrugList</x:v>
      </x:c>
      <x:c r="H1878" s="8" t="str">
        <x:v>{
  "item_seq": "201400030",
  "item_name": "펜다나정",
  "manufacturer": "신일제약(주)",
  "section_codes": [
    "warning",
    "precautions"
  ]
}</x:v>
      </x:c>
    </x:row>
    <x:row r="1879" ht="54" customHeight="1">
      <x:c r="A1879" s="8" t="str">
        <x:v>gold-medication-c23c1b69ac32b6e8</x:v>
      </x:c>
      <x:c r="B1879" s="8" t="str">
        <x:v>eyak:199600669:warning:002
eyak:199600669:precautions:002
eyak:199600669:adverse_reactions:002</x:v>
      </x:c>
      <x:c r="C1879" s="8" t="str">
        <x:v>eyak:199600669:warning:002
eyak:199600669:warning:001
eyak:199600669:warning:003
eyak:199600669:precautions:002
eyak:199600669:precautions:001
eyak:199600669:adverse_reactions:002
eyak:199600669:adverse_reactions:001</x:v>
      </x:c>
      <x:c r="D1879" s="8" t="str">
        <x:v>근거와 함께 답변</x:v>
      </x:c>
      <x:c r="E1879" s="15" t="n">
        <x:v>1877</x:v>
      </x:c>
      <x:c r="F1879" s="8" t="str">
        <x:v>기존 검증 정답</x:v>
      </x:c>
      <x:c r="G1879" s="8" t="str">
        <x:v>https://apis.data.go.kr/1471000/DrbEasyDrugInfoService/getDrbEasyDrugList</x:v>
      </x:c>
      <x:c r="H1879" s="8" t="str">
        <x:v>{
  "item_seq": "199600669",
  "item_name": "타스멘정(아세트아미노펜)",
  "manufacturer": "대우제약(주)",
  "section_codes": [
    "warning",
    "precautions",
    "adverse_reactions"
  ]
}</x:v>
      </x:c>
    </x:row>
    <x:row r="1880" ht="54" customHeight="1">
      <x:c r="A1880" s="8" t="str">
        <x:v>gold-medication-8c7d35dc316f1ed0</x:v>
      </x:c>
      <x:c r="B1880" s="8" t="str">
        <x:v>eyak:199901295:adverse_reactions:001</x:v>
      </x:c>
      <x:c r="C1880" s="8" t="str">
        <x:v>eyak:199901295:adverse_reactions:001</x:v>
      </x:c>
      <x:c r="D1880" s="8" t="str">
        <x:v>근거와 함께 답변</x:v>
      </x:c>
      <x:c r="E1880" s="15" t="n">
        <x:v>1878</x:v>
      </x:c>
      <x:c r="F1880" s="8" t="str">
        <x:v>기존 검증 정답</x:v>
      </x:c>
      <x:c r="G1880" s="8" t="str">
        <x:v>https://apis.data.go.kr/1471000/DrbEasyDrugInfoService/getDrbEasyDrugList</x:v>
      </x:c>
      <x:c r="H1880" s="8" t="str">
        <x:v>{
  "item_seq": "199901295",
  "item_name": "신신티눈밴드(수출명:PARCHEparaCALLOSGHLInternacionalS.A)",
  "manufacturer": "신신제약(주)",
  "section_codes": [
    "adverse_reactions"
  ]
}</x:v>
      </x:c>
    </x:row>
    <x:row r="1881" ht="54" customHeight="1">
      <x:c r="A1881" s="8" t="str">
        <x:v>gold-medication-7036cbfe581ca4ef</x:v>
      </x:c>
      <x:c r="B1881" s="8" t="str">
        <x:v>eyak:201804672:adverse_reactions:001</x:v>
      </x:c>
      <x:c r="C1881" s="8" t="str">
        <x:v>eyak:201804672:adverse_reactions:001</x:v>
      </x:c>
      <x:c r="D1881" s="8" t="str">
        <x:v>근거와 함께 답변</x:v>
      </x:c>
      <x:c r="E1881" s="15" t="n">
        <x:v>1879</x:v>
      </x:c>
      <x:c r="F1881" s="8" t="str">
        <x:v>기존 검증 정답</x:v>
      </x:c>
      <x:c r="G1881" s="8" t="str">
        <x:v>https://apis.data.go.kr/1471000/DrbEasyDrugInfoService/getDrbEasyDrugList</x:v>
      </x:c>
      <x:c r="H1881" s="8" t="str">
        <x:v>{
  "item_seq": "201804672",
  "item_name": "그린헥시딘0.5%액(클로르헥시딘글루콘산염액)",
  "manufacturer": "(주)그린제약",
  "section_codes": [
    "adverse_reactions"
  ]
}</x:v>
      </x:c>
    </x:row>
    <x:row r="1882" ht="54" customHeight="1">
      <x:c r="A1882" s="8" t="str">
        <x:v>gold-medication-d794fc85bd8e1812</x:v>
      </x:c>
      <x:c r="B1882" s="8" t="str">
        <x:v>eyak:202004515:precautions:001</x:v>
      </x:c>
      <x:c r="C1882" s="8" t="str">
        <x:v>eyak:202004515:precautions:001</x:v>
      </x:c>
      <x:c r="D1882" s="8" t="str">
        <x:v>근거와 함께 답변</x:v>
      </x:c>
      <x:c r="E1882" s="15" t="n">
        <x:v>1880</x:v>
      </x:c>
      <x:c r="F1882" s="8" t="str">
        <x:v>기존 검증 정답</x:v>
      </x:c>
      <x:c r="G1882" s="8" t="str">
        <x:v>https://apis.data.go.kr/1471000/DrbEasyDrugInfoService/getDrbEasyDrugList</x:v>
      </x:c>
      <x:c r="H1882" s="8" t="str">
        <x:v>{
  "item_seq": "202004515",
  "item_name": "이바나파연고(덱사메타손)",
  "manufacturer": "태극제약(주)",
  "section_codes": [
    "precautions"
  ]
}</x:v>
      </x:c>
    </x:row>
    <x:row r="1883" ht="54" customHeight="1">
      <x:c r="A1883" s="8" t="str">
        <x:v>gold-medication-45d96d340cde9e9d</x:v>
      </x:c>
      <x:c r="B1883" s="8" t="str">
        <x:v>eyak:201308550:adverse_reactions:001</x:v>
      </x:c>
      <x:c r="C1883" s="8" t="str">
        <x:v>eyak:201308550:adverse_reactions:001</x:v>
      </x:c>
      <x:c r="D1883" s="8" t="str">
        <x:v>근거와 함께 답변</x:v>
      </x:c>
      <x:c r="E1883" s="15" t="n">
        <x:v>1881</x:v>
      </x:c>
      <x:c r="F1883" s="8" t="str">
        <x:v>기존 검증 정답</x:v>
      </x:c>
      <x:c r="G1883" s="8" t="str">
        <x:v>https://apis.data.go.kr/1471000/DrbEasyDrugInfoService/getDrbEasyDrugList</x:v>
      </x:c>
      <x:c r="H1883" s="8" t="str">
        <x:v>{
  "item_seq": "201308550",
  "item_name": "슬림비플러스정",
  "manufacturer": "알보젠코리아(주)",
  "section_codes": [
    "adverse_reactions"
  ]
}</x:v>
      </x:c>
    </x:row>
    <x:row r="1884" ht="54" customHeight="1">
      <x:c r="A1884" s="8" t="str">
        <x:v>gold-medication-f3a5ac3e34f11a57</x:v>
      </x:c>
      <x:c r="B1884" s="8" t="str">
        <x:v>eyak:202501467:precautions:002</x:v>
      </x:c>
      <x:c r="C1884" s="8" t="str">
        <x:v>eyak:202501467:precautions:002
eyak:202501467:precautions:001
eyak:202501467:precautions:003</x:v>
      </x:c>
      <x:c r="D1884" s="8" t="str">
        <x:v>근거와 함께 답변</x:v>
      </x:c>
      <x:c r="E1884" s="15" t="n">
        <x:v>1882</x:v>
      </x:c>
      <x:c r="F1884" s="8" t="str">
        <x:v>기존 검증 정답</x:v>
      </x:c>
      <x:c r="G1884" s="8" t="str">
        <x:v>https://apis.data.go.kr/1471000/DrbEasyDrugInfoService/getDrbEasyDrugList</x:v>
      </x:c>
      <x:c r="H1884" s="8" t="str">
        <x:v>{
  "item_seq": "202501467",
  "item_name": "다비슬림정",
  "manufacturer": "(주)씨엠지제약",
  "section_codes": [
    "precautions"
  ]
}</x:v>
      </x:c>
    </x:row>
    <x:row r="1885" ht="54" customHeight="1">
      <x:c r="A1885" s="8" t="str">
        <x:v>gold-medication-3b915ed4bff4b5fb</x:v>
      </x:c>
      <x:c r="B1885" s="8" t="str">
        <x:v>eyak:201707302:warning:001
eyak:201707302:precautions:003
eyak:201707302:adverse_reactions:001</x:v>
      </x:c>
      <x:c r="C1885" s="8" t="str">
        <x:v>eyak:201707302:warning:001
eyak:201707302:precautions:003
eyak:201707302:precautions:001
eyak:201707302:precautions:002
eyak:201707302:adverse_reactions:001
eyak:201707302:adverse_reactions:003
eyak:201707302:adverse_reactions:002
eyak:201707302:adverse_reactions:004
eyak:201707302:adverse_reactions:007
eyak:201707302:adverse_reactions:008
eyak:201707302:adverse_reactions:005
eyak:201707302:adverse_reactions:006</x:v>
      </x:c>
      <x:c r="D1885" s="8" t="str">
        <x:v>근거와 함께 답변</x:v>
      </x:c>
      <x:c r="E1885" s="15" t="n">
        <x:v>1883</x:v>
      </x:c>
      <x:c r="F1885" s="8" t="str">
        <x:v>기존 검증 정답</x:v>
      </x:c>
      <x:c r="G1885" s="8" t="str">
        <x:v>https://apis.data.go.kr/1471000/DrbEasyDrugInfoService/getDrbEasyDrugList</x:v>
      </x:c>
      <x:c r="H1885" s="8" t="str">
        <x:v>{
  "item_seq": "201707302",
  "item_name": "프리엔에프연질캡슐(나프록센)",
  "manufacturer": "동국제약(주)",
  "section_codes": [
    "warning",
    "precautions",
    "adverse_reactions"
  ]
}</x:v>
      </x:c>
    </x:row>
    <x:row r="1886" ht="54" customHeight="1">
      <x:c r="A1886" s="8" t="str">
        <x:v>gold-medication-7374763f53e0fc95</x:v>
      </x:c>
      <x:c r="B1886" s="8" t="str">
        <x:v>eyak:201705165:precautions:001</x:v>
      </x:c>
      <x:c r="C1886" s="8" t="str">
        <x:v>eyak:201705165:precautions:001
eyak:201705165:precautions:002</x:v>
      </x:c>
      <x:c r="D1886" s="8" t="str">
        <x:v>근거와 함께 답변</x:v>
      </x:c>
      <x:c r="E1886" s="15" t="n">
        <x:v>1884</x:v>
      </x:c>
      <x:c r="F1886" s="8" t="str">
        <x:v>기존 검증 정답</x:v>
      </x:c>
      <x:c r="G1886" s="8" t="str">
        <x:v>https://apis.data.go.kr/1471000/DrbEasyDrugInfoService/getDrbEasyDrugList</x:v>
      </x:c>
      <x:c r="H1886" s="8" t="str">
        <x:v>{
  "item_seq": "201705165",
  "item_name": "예나젠질용액0.1%(벤지다민염산염)",
  "manufacturer": "(주)베키오바이오젠",
  "section_codes": [
    "precautions"
  ]
}</x:v>
      </x:c>
    </x:row>
    <x:row r="1887" ht="54" customHeight="1">
      <x:c r="A1887" s="8" t="str">
        <x:v>gold-medication-9c31ecc4ce883664</x:v>
      </x:c>
      <x:c r="B1887" s="8" t="str">
        <x:v>eyak:201208472:efficacy:001</x:v>
      </x:c>
      <x:c r="C1887" s="8" t="str">
        <x:v>eyak:201208472:efficacy:001</x:v>
      </x:c>
      <x:c r="D1887" s="8" t="str">
        <x:v>근거와 함께 답변</x:v>
      </x:c>
      <x:c r="E1887" s="15" t="n">
        <x:v>1885</x:v>
      </x:c>
      <x:c r="F1887" s="8" t="str">
        <x:v>기존 검증 정답</x:v>
      </x:c>
      <x:c r="G1887" s="8" t="str">
        <x:v>https://apis.data.go.kr/1471000/DrbEasyDrugInfoService/getDrbEasyDrugList</x:v>
      </x:c>
      <x:c r="H1887" s="8" t="str">
        <x:v>{
  "item_seq": "201208472",
  "item_name": "리포직이디오점안겔(카보머)",
  "manufacturer": "(주)바슈헬스코리아",
  "section_codes": [
    "efficacy"
  ]
}</x:v>
      </x:c>
    </x:row>
    <x:row r="1888" ht="54" customHeight="1">
      <x:c r="A1888" s="8" t="str">
        <x:v>gold-medication-9acbcccb5307899f</x:v>
      </x:c>
      <x:c r="B1888" s="8" t="str">
        <x:v>eyak:202007707:efficacy:001</x:v>
      </x:c>
      <x:c r="C1888" s="8" t="str">
        <x:v>eyak:202007707:efficacy:001</x:v>
      </x:c>
      <x:c r="D1888" s="8" t="str">
        <x:v>근거와 함께 답변</x:v>
      </x:c>
      <x:c r="E1888" s="15" t="n">
        <x:v>1886</x:v>
      </x:c>
      <x:c r="F1888" s="8" t="str">
        <x:v>기존 검증 정답</x:v>
      </x:c>
      <x:c r="G1888" s="8" t="str">
        <x:v>https://apis.data.go.kr/1471000/DrbEasyDrugInfoService/getDrbEasyDrugList</x:v>
      </x:c>
      <x:c r="H1888" s="8" t="str">
        <x:v>{
  "item_seq": "202007707",
  "item_name": "아크스팟크림",
  "manufacturer": "시믹씨엠오코리아주식회사",
  "section_codes": [
    "efficacy"
  ]
}</x:v>
      </x:c>
    </x:row>
    <x:row r="1889" ht="54" customHeight="1">
      <x:c r="A1889" s="8" t="str">
        <x:v>gold-medication-na-1d86a47ed1c4c27d</x:v>
      </x:c>
      <x:c r="B1889" s="8" t="str"/>
      <x:c r="C1889" s="8" t="str"/>
      <x:c r="D1889" s="8" t="str">
        <x:v>답변 거부 또는 추가 확인 요청</x:v>
      </x:c>
      <x:c r="E1889" s="15" t="n">
        <x:v>1887</x:v>
      </x:c>
      <x:c r="F1889" s="8" t="str">
        <x:v>답변 거부 기준 문구</x:v>
      </x:c>
      <x:c r="G1889" s="8" t="str">
        <x:v>https://apis.data.go.kr/1471000/DrbEasyDrugInfoService/getDrbEasyDrugList</x:v>
      </x:c>
      <x:c r="H1889" s="8" t="str">
        <x:v>{
  "item_seq": "202400673",
  "item_name": "콜즈록나잘스프레이",
  "manufacturer": "(주)녹십자",
  "section_codes": [
    "precautions"
  ]
}</x:v>
      </x:c>
    </x:row>
    <x:row r="1890" ht="54" customHeight="1">
      <x:c r="A1890" s="8" t="str">
        <x:v>gold-medication-4f34e556bdcdeeb6</x:v>
      </x:c>
      <x:c r="B1890" s="8" t="str">
        <x:v>eyak:202300044:efficacy:001</x:v>
      </x:c>
      <x:c r="C1890" s="8" t="str">
        <x:v>eyak:202300044:efficacy:001</x:v>
      </x:c>
      <x:c r="D1890" s="8" t="str">
        <x:v>근거와 함께 답변</x:v>
      </x:c>
      <x:c r="E1890" s="15" t="n">
        <x:v>1888</x:v>
      </x:c>
      <x:c r="F1890" s="8" t="str">
        <x:v>기존 검증 정답</x:v>
      </x:c>
      <x:c r="G1890" s="8" t="str">
        <x:v>https://apis.data.go.kr/1471000/DrbEasyDrugInfoService/getDrbEasyDrugList</x:v>
      </x:c>
      <x:c r="H1890" s="8" t="str">
        <x:v>{
  "item_seq": "202300044",
  "item_name": "크리롤액(폴리에틸렌글리콜4000)",
  "manufacturer": "(주)한국파마",
  "section_codes": [
    "efficacy"
  ]
}</x:v>
      </x:c>
    </x:row>
    <x:row r="1891" ht="54" customHeight="1">
      <x:c r="A1891" s="8" t="str">
        <x:v>gold-medication-d84aa065449b549e</x:v>
      </x:c>
      <x:c r="B1891" s="8" t="str">
        <x:v>eyak:201402959:interactions:001</x:v>
      </x:c>
      <x:c r="C1891" s="8" t="str">
        <x:v>eyak:201402959:interactions:001
eyak:201402959:interactions:003
eyak:201402959:interactions:004
eyak:201402959:interactions:002</x:v>
      </x:c>
      <x:c r="D1891" s="8" t="str">
        <x:v>근거와 함께 답변</x:v>
      </x:c>
      <x:c r="E1891" s="15" t="n">
        <x:v>1889</x:v>
      </x:c>
      <x:c r="F1891" s="8" t="str">
        <x:v>기존 검증 정답</x:v>
      </x:c>
      <x:c r="G1891" s="8" t="str">
        <x:v>https://apis.data.go.kr/1471000/DrbEasyDrugInfoService/getDrbEasyDrugList</x:v>
      </x:c>
      <x:c r="H1891" s="8" t="str">
        <x:v>{
  "item_seq": "201402959",
  "item_name": "글로아스피린장용정100mg(아스피린)",
  "manufacturer": "(주)킵스바이오파마",
  "section_codes": [
    "interactions"
  ]
}</x:v>
      </x:c>
    </x:row>
    <x:row r="1892" ht="54" customHeight="1">
      <x:c r="A1892" s="8" t="str">
        <x:v>gold-medication-f000201b35f0714b</x:v>
      </x:c>
      <x:c r="B1892" s="8" t="str">
        <x:v>eyak:200905055:warning:001
eyak:200905055:precautions:002</x:v>
      </x:c>
      <x:c r="C1892" s="8" t="str">
        <x:v>eyak:200905055:warning:001
eyak:200905055:precautions:002
eyak:200905055:precautions:001
eyak:200905055:precautions:004
eyak:200905055:precautions:003
eyak:200905055:precautions:005
eyak:200905055:precautions:006</x:v>
      </x:c>
      <x:c r="D1892" s="8" t="str">
        <x:v>근거와 함께 답변</x:v>
      </x:c>
      <x:c r="E1892" s="15" t="n">
        <x:v>1890</x:v>
      </x:c>
      <x:c r="F1892" s="8" t="str">
        <x:v>기존 검증 정답</x:v>
      </x:c>
      <x:c r="G1892" s="8" t="str">
        <x:v>https://apis.data.go.kr/1471000/DrbEasyDrugInfoService/getDrbEasyDrugList</x:v>
      </x:c>
      <x:c r="H1892" s="8" t="str">
        <x:v>{
  "item_seq": "200905055",
  "item_name": "디퓨텐연질캡슐(덱시부프로펜)",
  "manufacturer": "동성제약(주)",
  "section_codes": [
    "warning",
    "precautions"
  ]
}</x:v>
      </x:c>
    </x:row>
    <x:row r="1893" ht="54" customHeight="1">
      <x:c r="A1893" s="8" t="str">
        <x:v>gold-medication-cbe2e7e65e483827</x:v>
      </x:c>
      <x:c r="B1893" s="8" t="str">
        <x:v>eyak:202303134:efficacy:001</x:v>
      </x:c>
      <x:c r="C1893" s="8" t="str">
        <x:v>eyak:202303134:efficacy:001</x:v>
      </x:c>
      <x:c r="D1893" s="8" t="str">
        <x:v>근거와 함께 답변</x:v>
      </x:c>
      <x:c r="E1893" s="15" t="n">
        <x:v>1891</x:v>
      </x:c>
      <x:c r="F1893" s="8" t="str">
        <x:v>기존 검증 정답</x:v>
      </x:c>
      <x:c r="G1893" s="8" t="str">
        <x:v>https://apis.data.go.kr/1471000/DrbEasyDrugInfoService/getDrbEasyDrugList</x:v>
      </x:c>
      <x:c r="H1893" s="8" t="str">
        <x:v>{
  "item_seq": "202303134",
  "item_name": "위앤프레쉬정",
  "manufacturer": "태극제약(주)",
  "section_codes": [
    "efficacy"
  ]
}</x:v>
      </x:c>
    </x:row>
    <x:row r="1894" ht="54" customHeight="1">
      <x:c r="A1894" s="8" t="str">
        <x:v>gold-medication-b13f7f002a9a7af3</x:v>
      </x:c>
      <x:c r="B1894" s="8" t="str">
        <x:v>eyak:201206987:adverse_reactions:001</x:v>
      </x:c>
      <x:c r="C1894" s="8" t="str">
        <x:v>eyak:201206987:adverse_reactions:001</x:v>
      </x:c>
      <x:c r="D1894" s="8" t="str">
        <x:v>근거와 함께 답변</x:v>
      </x:c>
      <x:c r="E1894" s="15" t="n">
        <x:v>1892</x:v>
      </x:c>
      <x:c r="F1894" s="8" t="str">
        <x:v>기존 검증 정답</x:v>
      </x:c>
      <x:c r="G1894" s="8" t="str">
        <x:v>https://apis.data.go.kr/1471000/DrbEasyDrugInfoService/getDrbEasyDrugList</x:v>
      </x:c>
      <x:c r="H1894" s="8" t="str">
        <x:v>{
  "item_seq": "201206987",
  "item_name": "신도톱쿨점안액",
  "manufacturer": "국제약품(주)",
  "section_codes": [
    "adverse_reactions"
  ]
}</x:v>
      </x:c>
    </x:row>
    <x:row r="1895" ht="54" customHeight="1">
      <x:c r="A1895" s="8" t="str">
        <x:v>gold-medication-e9be716bae2e29b4</x:v>
      </x:c>
      <x:c r="B1895" s="8" t="str">
        <x:v>eyak:200502054:adverse_reactions:001</x:v>
      </x:c>
      <x:c r="C1895" s="8" t="str">
        <x:v>eyak:200502054:adverse_reactions:001</x:v>
      </x:c>
      <x:c r="D1895" s="8" t="str">
        <x:v>근거와 함께 답변</x:v>
      </x:c>
      <x:c r="E1895" s="15" t="n">
        <x:v>1893</x:v>
      </x:c>
      <x:c r="F1895" s="8" t="str">
        <x:v>기존 검증 정답</x:v>
      </x:c>
      <x:c r="G1895" s="8" t="str">
        <x:v>https://apis.data.go.kr/1471000/DrbEasyDrugInfoService/getDrbEasyDrugList</x:v>
      </x:c>
      <x:c r="H1895" s="8" t="str">
        <x:v>{
  "item_seq": "200502054",
  "item_name": "쿨리브정",
  "manufacturer": "(주)팜젠사이언스",
  "section_codes": [
    "adverse_reactions"
  ]
}</x:v>
      </x:c>
    </x:row>
    <x:row r="1896" ht="54" customHeight="1">
      <x:c r="A1896" s="8" t="str">
        <x:v>gold-medication-f1dbf1597ac3ca84</x:v>
      </x:c>
      <x:c r="B1896" s="8" t="str">
        <x:v>eyak:201802172:efficacy:001</x:v>
      </x:c>
      <x:c r="C1896" s="8" t="str">
        <x:v>eyak:201802172:efficacy:001</x:v>
      </x:c>
      <x:c r="D1896" s="8" t="str">
        <x:v>근거와 함께 답변</x:v>
      </x:c>
      <x:c r="E1896" s="15" t="n">
        <x:v>1894</x:v>
      </x:c>
      <x:c r="F1896" s="8" t="str">
        <x:v>기존 검증 정답</x:v>
      </x:c>
      <x:c r="G1896" s="8" t="str">
        <x:v>https://apis.data.go.kr/1471000/DrbEasyDrugInfoService/getDrbEasyDrugList</x:v>
      </x:c>
      <x:c r="H1896" s="8" t="str">
        <x:v>{
  "item_seq": "201802172",
  "item_name": "맨포스5000액(L-아스파르트산-L-아르기닌)",
  "manufacturer": "조아제약(주)",
  "section_codes": [
    "efficacy"
  ]
}</x:v>
      </x:c>
    </x:row>
    <x:row r="1897" ht="54" customHeight="1">
      <x:c r="A1897" s="8" t="str">
        <x:v>gold-medication-dd2c9533bc0c5e9d</x:v>
      </x:c>
      <x:c r="B1897" s="8" t="str">
        <x:v>eyak:202302576:interactions:001</x:v>
      </x:c>
      <x:c r="C1897" s="8" t="str">
        <x:v>eyak:202302576:interactions:001
eyak:202302576:interactions:002</x:v>
      </x:c>
      <x:c r="D1897" s="8" t="str">
        <x:v>근거와 함께 답변</x:v>
      </x:c>
      <x:c r="E1897" s="15" t="n">
        <x:v>1895</x:v>
      </x:c>
      <x:c r="F1897" s="8" t="str">
        <x:v>기존 검증 정답</x:v>
      </x:c>
      <x:c r="G1897" s="8" t="str">
        <x:v>https://apis.data.go.kr/1471000/DrbEasyDrugInfoService/getDrbEasyDrugList</x:v>
      </x:c>
      <x:c r="H1897" s="8" t="str">
        <x:v>{
  "item_seq": "202302576",
  "item_name": "코큐텐비타알부엑스정",
  "manufacturer": "일양약품(주)",
  "section_codes": [
    "interactions"
  ]
}</x:v>
      </x:c>
    </x:row>
    <x:row r="1898" ht="54" customHeight="1">
      <x:c r="A1898" s="8" t="str">
        <x:v>gold-medication-24f702700467bf8c</x:v>
      </x:c>
      <x:c r="B1898" s="8" t="str">
        <x:v>eyak:202500982:precautions:001</x:v>
      </x:c>
      <x:c r="C1898" s="8" t="str">
        <x:v>eyak:202500982:precautions:001
eyak:202500982:precautions:002</x:v>
      </x:c>
      <x:c r="D1898" s="8" t="str">
        <x:v>근거와 함께 답변</x:v>
      </x:c>
      <x:c r="E1898" s="15" t="n">
        <x:v>1896</x:v>
      </x:c>
      <x:c r="F1898" s="8" t="str">
        <x:v>기존 검증 정답</x:v>
      </x:c>
      <x:c r="G1898" s="8" t="str">
        <x:v>https://apis.data.go.kr/1471000/DrbEasyDrugInfoService/getDrbEasyDrugList</x:v>
      </x:c>
      <x:c r="H1898" s="8" t="str">
        <x:v>{
  "item_seq": "202500982",
  "item_name": "보니카디정",
  "manufacturer": "(주)대웅제약",
  "section_codes": [
    "precautions"
  ]
}</x:v>
      </x:c>
    </x:row>
    <x:row r="1899" ht="54" customHeight="1">
      <x:c r="A1899" s="8" t="str">
        <x:v>gold-medication-667e7f7970e07a77</x:v>
      </x:c>
      <x:c r="B1899" s="8" t="str">
        <x:v>eyak:202203931:interactions:001</x:v>
      </x:c>
      <x:c r="C1899" s="8" t="str">
        <x:v>eyak:202203931:interactions:001
eyak:202203931:interactions:002</x:v>
      </x:c>
      <x:c r="D1899" s="8" t="str">
        <x:v>근거와 함께 답변</x:v>
      </x:c>
      <x:c r="E1899" s="15" t="n">
        <x:v>1897</x:v>
      </x:c>
      <x:c r="F1899" s="8" t="str">
        <x:v>기존 검증 정답</x:v>
      </x:c>
      <x:c r="G1899" s="8" t="str">
        <x:v>https://apis.data.go.kr/1471000/DrbEasyDrugInfoService/getDrbEasyDrugList</x:v>
      </x:c>
      <x:c r="H1899" s="8" t="str">
        <x:v>{
  "item_seq": "202203931",
  "item_name": "킥노즈에스연질캡슐",
  "manufacturer": "코스맥스파마(주)",
  "section_codes": [
    "interactions"
  ]
}</x:v>
      </x:c>
    </x:row>
    <x:row r="1900" ht="54" customHeight="1">
      <x:c r="A1900" s="8" t="str">
        <x:v>gold-medication-a2f05dfb5726bd2f</x:v>
      </x:c>
      <x:c r="B1900" s="8" t="str">
        <x:v>eyak:198300374:efficacy:001</x:v>
      </x:c>
      <x:c r="C1900" s="8" t="str">
        <x:v>eyak:198300374:efficacy:001</x:v>
      </x:c>
      <x:c r="D1900" s="8" t="str">
        <x:v>근거와 함께 답변</x:v>
      </x:c>
      <x:c r="E1900" s="15" t="n">
        <x:v>1898</x:v>
      </x:c>
      <x:c r="F1900" s="8" t="str">
        <x:v>기존 검증 정답</x:v>
      </x:c>
      <x:c r="G1900" s="8" t="str">
        <x:v>https://apis.data.go.kr/1471000/DrbEasyDrugInfoService/getDrbEasyDrugList</x:v>
      </x:c>
      <x:c r="H1900" s="8" t="str">
        <x:v>{
  "item_seq": "198300374",
  "item_name": "엠코발캡슐(메코발라민)",
  "manufacturer": "동화약품(주)",
  "section_codes": [
    "efficacy"
  ]
}</x:v>
      </x:c>
    </x:row>
    <x:row r="1901" ht="54" customHeight="1">
      <x:c r="A1901" s="8" t="str">
        <x:v>gold-medication-939d72c20f8eb24b</x:v>
      </x:c>
      <x:c r="B1901" s="8" t="str">
        <x:v>eyak:201302260:precautions:002</x:v>
      </x:c>
      <x:c r="C1901" s="8" t="str">
        <x:v>eyak:201302260:precautions:002
eyak:201302260:precautions:003
eyak:201302260:precautions:001
eyak:201302260:precautions:004</x:v>
      </x:c>
      <x:c r="D1901" s="8" t="str">
        <x:v>근거와 함께 답변</x:v>
      </x:c>
      <x:c r="E1901" s="15" t="n">
        <x:v>1899</x:v>
      </x:c>
      <x:c r="F1901" s="8" t="str">
        <x:v>기존 검증 정답</x:v>
      </x:c>
      <x:c r="G1901" s="8" t="str">
        <x:v>https://apis.data.go.kr/1471000/DrbEasyDrugInfoService/getDrbEasyDrugList</x:v>
      </x:c>
      <x:c r="H1901" s="8" t="str">
        <x:v>{
  "item_seq": "201302260",
  "item_name": "아카펜에스정",
  "manufacturer": "(주)셀릭스",
  "section_codes": [
    "precautions"
  ]
}</x:v>
      </x:c>
    </x:row>
    <x:row r="1902" ht="54" customHeight="1">
      <x:c r="A1902" s="8" t="str">
        <x:v>gold-medication-1ccc38b8d9189ca9</x:v>
      </x:c>
      <x:c r="B1902" s="8" t="str">
        <x:v>eyak:201904604:adverse_reactions:001</x:v>
      </x:c>
      <x:c r="C1902" s="8" t="str">
        <x:v>eyak:201904604:adverse_reactions:001</x:v>
      </x:c>
      <x:c r="D1902" s="8" t="str">
        <x:v>근거와 함께 답변</x:v>
      </x:c>
      <x:c r="E1902" s="15" t="n">
        <x:v>1900</x:v>
      </x:c>
      <x:c r="F1902" s="8" t="str">
        <x:v>기존 검증 정답</x:v>
      </x:c>
      <x:c r="G1902" s="8" t="str">
        <x:v>https://apis.data.go.kr/1471000/DrbEasyDrugInfoService/getDrbEasyDrugList</x:v>
      </x:c>
      <x:c r="H1902" s="8" t="str">
        <x:v>{
  "item_seq": "201904604",
  "item_name": "비타마스정",
  "manufacturer": "미래바이오제약(주)",
  "section_codes": [
    "adverse_reactions"
  ]
}</x:v>
      </x:c>
    </x:row>
    <x:row r="1903" ht="54" customHeight="1">
      <x:c r="A1903" s="8" t="str">
        <x:v>gold-medication-49c649e0ec3556b6</x:v>
      </x:c>
      <x:c r="B1903" s="8" t="str">
        <x:v>eyak:202400402:precautions:002</x:v>
      </x:c>
      <x:c r="C1903" s="8" t="str">
        <x:v>eyak:202400402:precautions:002
eyak:202400402:precautions:003
eyak:202400402:precautions:001</x:v>
      </x:c>
      <x:c r="D1903" s="8" t="str">
        <x:v>근거와 함께 답변</x:v>
      </x:c>
      <x:c r="E1903" s="15" t="n">
        <x:v>1901</x:v>
      </x:c>
      <x:c r="F1903" s="8" t="str">
        <x:v>기존 검증 정답</x:v>
      </x:c>
      <x:c r="G1903" s="8" t="str">
        <x:v>https://apis.data.go.kr/1471000/DrbEasyDrugInfoService/getDrbEasyDrugList</x:v>
      </x:c>
      <x:c r="H1903" s="8" t="str">
        <x:v>{
  "item_seq": "202400402",
  "item_name": "엠지엠피스정",
  "manufacturer": "(주)에이프로젠바이오로직스",
  "section_codes": [
    "precautions"
  ]
}</x:v>
      </x:c>
    </x:row>
    <x:row r="1904" ht="54" customHeight="1">
      <x:c r="A1904" s="8" t="str">
        <x:v>gold-medication-4b1fcea582e99183</x:v>
      </x:c>
      <x:c r="B1904" s="8" t="str">
        <x:v>eyak:201900024:precautions:001</x:v>
      </x:c>
      <x:c r="C1904" s="8" t="str">
        <x:v>eyak:201900024:precautions:001
eyak:201900024:precautions:002</x:v>
      </x:c>
      <x:c r="D1904" s="8" t="str">
        <x:v>근거와 함께 답변</x:v>
      </x:c>
      <x:c r="E1904" s="15" t="n">
        <x:v>1902</x:v>
      </x:c>
      <x:c r="F1904" s="8" t="str">
        <x:v>기존 검증 정답</x:v>
      </x:c>
      <x:c r="G1904" s="8" t="str">
        <x:v>https://apis.data.go.kr/1471000/DrbEasyDrugInfoService/getDrbEasyDrugList</x:v>
      </x:c>
      <x:c r="H1904" s="8" t="str">
        <x:v>{
  "item_seq": "201900024",
  "item_name": "제놀파워풀플라스타(플루르비프로펜)",
  "manufacturer": "아이큐어(주)",
  "section_codes": [
    "precautions"
  ]
}</x:v>
      </x:c>
    </x:row>
    <x:row r="1905" ht="54" customHeight="1">
      <x:c r="A1905" s="8" t="str">
        <x:v>gold-medication-3fbc2e403f4973e1</x:v>
      </x:c>
      <x:c r="B1905" s="8" t="str">
        <x:v>eyak:200908953:adverse_reactions:001</x:v>
      </x:c>
      <x:c r="C1905" s="8" t="str">
        <x:v>eyak:200908953:adverse_reactions:001</x:v>
      </x:c>
      <x:c r="D1905" s="8" t="str">
        <x:v>근거와 함께 답변</x:v>
      </x:c>
      <x:c r="E1905" s="15" t="n">
        <x:v>1903</x:v>
      </x:c>
      <x:c r="F1905" s="8" t="str">
        <x:v>기존 검증 정답</x:v>
      </x:c>
      <x:c r="G1905" s="8" t="str">
        <x:v>https://apis.data.go.kr/1471000/DrbEasyDrugInfoService/getDrbEasyDrugList</x:v>
      </x:c>
      <x:c r="H1905" s="8" t="str">
        <x:v>{
  "item_seq": "200908953",
  "item_name": "셀레트론플러스연질캡슐",
  "manufacturer": "(주)테라젠이텍스",
  "section_codes": [
    "adverse_reactions"
  ]
}</x:v>
      </x:c>
    </x:row>
    <x:row r="1906" ht="54" customHeight="1">
      <x:c r="A1906" s="8" t="str">
        <x:v>gold-medication-bced0118127627c4</x:v>
      </x:c>
      <x:c r="B1906" s="8" t="str">
        <x:v>eyak:198700641:efficacy:001</x:v>
      </x:c>
      <x:c r="C1906" s="8" t="str">
        <x:v>eyak:198700641:efficacy:001</x:v>
      </x:c>
      <x:c r="D1906" s="8" t="str">
        <x:v>근거와 함께 답변</x:v>
      </x:c>
      <x:c r="E1906" s="15" t="n">
        <x:v>1904</x:v>
      </x:c>
      <x:c r="F1906" s="8" t="str">
        <x:v>기존 검증 정답</x:v>
      </x:c>
      <x:c r="G1906" s="8" t="str">
        <x:v>https://apis.data.go.kr/1471000/DrbEasyDrugInfoService/getDrbEasyDrugList</x:v>
      </x:c>
      <x:c r="H1906" s="8" t="str">
        <x:v>{
  "item_seq": "198700641",
  "item_name": "삼천당산화마그네슘정250밀리그람",
  "manufacturer": "삼천당제약(주)",
  "section_codes": [
    "efficacy"
  ]
}</x:v>
      </x:c>
    </x:row>
    <x:row r="1907" ht="54" customHeight="1">
      <x:c r="A1907" s="8" t="str">
        <x:v>gold-medication-aad6427e18e711b1</x:v>
      </x:c>
      <x:c r="B1907" s="8" t="str">
        <x:v>eyak:201703066:dosage:001</x:v>
      </x:c>
      <x:c r="C1907" s="8" t="str">
        <x:v>eyak:201703066:dosage:001</x:v>
      </x:c>
      <x:c r="D1907" s="8" t="str">
        <x:v>근거와 함께 답변</x:v>
      </x:c>
      <x:c r="E1907" s="15" t="n">
        <x:v>1905</x:v>
      </x:c>
      <x:c r="F1907" s="8" t="str">
        <x:v>기존 검증 정답</x:v>
      </x:c>
      <x:c r="G1907" s="8" t="str">
        <x:v>https://apis.data.go.kr/1471000/DrbEasyDrugInfoService/getDrbEasyDrugList</x:v>
      </x:c>
      <x:c r="H1907" s="8" t="str">
        <x:v>{
  "item_seq": "201703066",
  "item_name": "디카본500정",
  "manufacturer": "코스맥스파마(주)",
  "section_codes": [
    "dosage"
  ]
}</x:v>
      </x:c>
    </x:row>
    <x:row r="1908" ht="54" customHeight="1">
      <x:c r="A1908" s="8" t="str">
        <x:v>gold-medication-f91111bb73879835</x:v>
      </x:c>
      <x:c r="B1908" s="8" t="str">
        <x:v>eyak:201700225:efficacy:001</x:v>
      </x:c>
      <x:c r="C1908" s="8" t="str">
        <x:v>eyak:201700225:efficacy:001</x:v>
      </x:c>
      <x:c r="D1908" s="8" t="str">
        <x:v>근거와 함께 답변</x:v>
      </x:c>
      <x:c r="E1908" s="15" t="n">
        <x:v>1906</x:v>
      </x:c>
      <x:c r="F1908" s="8" t="str">
        <x:v>기존 검증 정답</x:v>
      </x:c>
      <x:c r="G1908" s="8" t="str">
        <x:v>https://apis.data.go.kr/1471000/DrbEasyDrugInfoService/getDrbEasyDrugList</x:v>
      </x:c>
      <x:c r="H1908" s="8" t="str">
        <x:v>{
  "item_seq": "201700225",
  "item_name": "베노쿨에스액",
  "manufacturer": "(주)유유제약",
  "section_codes": [
    "efficacy"
  ]
}</x:v>
      </x:c>
    </x:row>
    <x:row r="1909" ht="54" customHeight="1">
      <x:c r="A1909" s="8" t="str">
        <x:v>gold-medication-80c8d5208e8897ac</x:v>
      </x:c>
      <x:c r="B1909" s="8" t="str">
        <x:v>eyak:199400028:interactions:001</x:v>
      </x:c>
      <x:c r="C1909" s="8" t="str">
        <x:v>eyak:199400028:interactions:001</x:v>
      </x:c>
      <x:c r="D1909" s="8" t="str">
        <x:v>근거와 함께 답변</x:v>
      </x:c>
      <x:c r="E1909" s="15" t="n">
        <x:v>1907</x:v>
      </x:c>
      <x:c r="F1909" s="8" t="str">
        <x:v>기존 검증 정답</x:v>
      </x:c>
      <x:c r="G1909" s="8" t="str">
        <x:v>https://apis.data.go.kr/1471000/DrbEasyDrugInfoService/getDrbEasyDrugList</x:v>
      </x:c>
      <x:c r="H1909" s="8" t="str">
        <x:v>{
  "item_seq": "199400028",
  "item_name": "로이솔정(암브록솔염산염)",
  "manufacturer": "신풍제약(주)",
  "section_codes": [
    "interactions"
  ]
}</x:v>
      </x:c>
    </x:row>
    <x:row r="1910" ht="54" customHeight="1">
      <x:c r="A1910" s="8" t="str">
        <x:v>gold-medication-72a056fa72b86fbc</x:v>
      </x:c>
      <x:c r="B1910" s="8" t="str">
        <x:v>eyak:201802334:storage:001</x:v>
      </x:c>
      <x:c r="C1910" s="8" t="str">
        <x:v>eyak:201802334:storage:001</x:v>
      </x:c>
      <x:c r="D1910" s="8" t="str">
        <x:v>근거와 함께 답변</x:v>
      </x:c>
      <x:c r="E1910" s="15" t="n">
        <x:v>1908</x:v>
      </x:c>
      <x:c r="F1910" s="8" t="str">
        <x:v>기존 검증 정답</x:v>
      </x:c>
      <x:c r="G1910" s="8" t="str">
        <x:v>https://apis.data.go.kr/1471000/DrbEasyDrugInfoService/getDrbEasyDrugList</x:v>
      </x:c>
      <x:c r="H1910" s="8" t="str">
        <x:v>{
  "item_seq": "201802334",
  "item_name": "마그포스액티브연질캡슐",
  "manufacturer": "코오롱제약(주)",
  "section_codes": [
    "storage"
  ]
}</x:v>
      </x:c>
    </x:row>
    <x:row r="1911" ht="54" customHeight="1">
      <x:c r="A1911" s="8" t="str">
        <x:v>gold-medication-4fcac9574f5de032</x:v>
      </x:c>
      <x:c r="B1911" s="8" t="str">
        <x:v>eyak:201208419:storage:001</x:v>
      </x:c>
      <x:c r="C1911" s="8" t="str">
        <x:v>eyak:201208419:storage:001</x:v>
      </x:c>
      <x:c r="D1911" s="8" t="str">
        <x:v>근거와 함께 답변</x:v>
      </x:c>
      <x:c r="E1911" s="15" t="n">
        <x:v>1909</x:v>
      </x:c>
      <x:c r="F1911" s="8" t="str">
        <x:v>기존 검증 정답</x:v>
      </x:c>
      <x:c r="G1911" s="8" t="str">
        <x:v>https://apis.data.go.kr/1471000/DrbEasyDrugInfoService/getDrbEasyDrugList</x:v>
      </x:c>
      <x:c r="H1911" s="8" t="str">
        <x:v>{
  "item_seq": "201208419",
  "item_name": "도담도담츄어블정",
  "manufacturer": "일양약품(주)",
  "section_codes": [
    "storage"
  ]
}</x:v>
      </x:c>
    </x:row>
    <x:row r="1912" ht="54" customHeight="1">
      <x:c r="A1912" s="8" t="str">
        <x:v>gold-medication-642883c6d9cb4e5d</x:v>
      </x:c>
      <x:c r="B1912" s="8" t="str">
        <x:v>eyak:201902006:adverse_reactions:001</x:v>
      </x:c>
      <x:c r="C1912" s="8" t="str">
        <x:v>eyak:201902006:adverse_reactions:001
eyak:201902006:adverse_reactions:002
eyak:201902006:adverse_reactions:003</x:v>
      </x:c>
      <x:c r="D1912" s="8" t="str">
        <x:v>근거와 함께 답변</x:v>
      </x:c>
      <x:c r="E1912" s="15" t="n">
        <x:v>1910</x:v>
      </x:c>
      <x:c r="F1912" s="8" t="str">
        <x:v>기존 검증 정답</x:v>
      </x:c>
      <x:c r="G1912" s="8" t="str">
        <x:v>https://apis.data.go.kr/1471000/DrbEasyDrugInfoService/getDrbEasyDrugList</x:v>
      </x:c>
      <x:c r="H1912" s="8" t="str">
        <x:v>{
  "item_seq": "201902006",
  "item_name": "옵티노즈연질캡슐",
  "manufacturer": "코스맥스파마(주)",
  "section_codes": [
    "adverse_reactions"
  ]
}</x:v>
      </x:c>
    </x:row>
    <x:row r="1913" ht="54" customHeight="1">
      <x:c r="A1913" s="8" t="str">
        <x:v>gold-medication-c98095873f926add</x:v>
      </x:c>
      <x:c r="B1913" s="8" t="str">
        <x:v>eyak:200809924:precautions:001</x:v>
      </x:c>
      <x:c r="C1913" s="8" t="str">
        <x:v>eyak:200809924:precautions:001</x:v>
      </x:c>
      <x:c r="D1913" s="8" t="str">
        <x:v>근거와 함께 답변</x:v>
      </x:c>
      <x:c r="E1913" s="15" t="n">
        <x:v>1911</x:v>
      </x:c>
      <x:c r="F1913" s="8" t="str">
        <x:v>기존 검증 정답</x:v>
      </x:c>
      <x:c r="G1913" s="8" t="str">
        <x:v>https://apis.data.go.kr/1471000/DrbEasyDrugInfoService/getDrbEasyDrugList</x:v>
      </x:c>
      <x:c r="H1913" s="8" t="str">
        <x:v>{
  "item_seq": "200809924",
  "item_name": "베아비오캡슐(바실루스리케니포르미스균)",
  "manufacturer": "대웅바이오(주)",
  "section_codes": [
    "precautions"
  ]
}</x:v>
      </x:c>
    </x:row>
    <x:row r="1914" ht="54" customHeight="1">
      <x:c r="A1914" s="8" t="str">
        <x:v>gold-medication-fb7acfbc48eb5774</x:v>
      </x:c>
      <x:c r="B1914" s="8" t="str">
        <x:v>eyak:200704813:interactions:001</x:v>
      </x:c>
      <x:c r="C1914" s="8" t="str">
        <x:v>eyak:200704813:interactions:001</x:v>
      </x:c>
      <x:c r="D1914" s="8" t="str">
        <x:v>근거와 함께 답변</x:v>
      </x:c>
      <x:c r="E1914" s="15" t="n">
        <x:v>1912</x:v>
      </x:c>
      <x:c r="F1914" s="8" t="str">
        <x:v>기존 검증 정답</x:v>
      </x:c>
      <x:c r="G1914" s="8" t="str">
        <x:v>https://apis.data.go.kr/1471000/DrbEasyDrugInfoService/getDrbEasyDrugList</x:v>
      </x:c>
      <x:c r="H1914" s="8" t="str">
        <x:v>{
  "item_seq": "200704813",
  "item_name": "헤모큐플러스캡슐",
  "manufacturer": "(주)대웅제약",
  "section_codes": [
    "interactions"
  ]
}</x:v>
      </x:c>
    </x:row>
    <x:row r="1915" ht="54" customHeight="1">
      <x:c r="A1915" s="8" t="str">
        <x:v>gold-medication-3c62eb786f323464</x:v>
      </x:c>
      <x:c r="B1915" s="8" t="str">
        <x:v>eyak:202300978:adverse_reactions:001</x:v>
      </x:c>
      <x:c r="C1915" s="8" t="str">
        <x:v>eyak:202300978:adverse_reactions:001
eyak:202300978:adverse_reactions:002
eyak:202300978:adverse_reactions:003</x:v>
      </x:c>
      <x:c r="D1915" s="8" t="str">
        <x:v>근거와 함께 답변</x:v>
      </x:c>
      <x:c r="E1915" s="15" t="n">
        <x:v>1913</x:v>
      </x:c>
      <x:c r="F1915" s="8" t="str">
        <x:v>기존 검증 정답</x:v>
      </x:c>
      <x:c r="G1915" s="8" t="str">
        <x:v>https://apis.data.go.kr/1471000/DrbEasyDrugInfoService/getDrbEasyDrugList</x:v>
      </x:c>
      <x:c r="H1915" s="8" t="str">
        <x:v>{
  "item_seq": "202300978",
  "item_name": "속콜시럽",
  "manufacturer": "일양약품(주)",
  "section_codes": [
    "adverse_reactions"
  ]
}</x:v>
      </x:c>
    </x:row>
    <x:row r="1916" ht="54" customHeight="1">
      <x:c r="A1916" s="8" t="str">
        <x:v>gold-medication-e0c096ad2c7b19ba</x:v>
      </x:c>
      <x:c r="B1916" s="8" t="str">
        <x:v>eyak:202204511:precautions:001</x:v>
      </x:c>
      <x:c r="C1916" s="8" t="str">
        <x:v>eyak:202204511:precautions:001
eyak:202204511:precautions:002</x:v>
      </x:c>
      <x:c r="D1916" s="8" t="str">
        <x:v>근거와 함께 답변</x:v>
      </x:c>
      <x:c r="E1916" s="15" t="n">
        <x:v>1914</x:v>
      </x:c>
      <x:c r="F1916" s="8" t="str">
        <x:v>기존 검증 정답</x:v>
      </x:c>
      <x:c r="G1916" s="8" t="str">
        <x:v>https://apis.data.go.kr/1471000/DrbEasyDrugInfoService/getDrbEasyDrugList</x:v>
      </x:c>
      <x:c r="H1916" s="8" t="str">
        <x:v>{
  "item_seq": "202204511",
  "item_name": "바이오탑하이스트산",
  "manufacturer": "한올바이오파마(주)",
  "section_codes": [
    "precautions"
  ]
}</x:v>
      </x:c>
    </x:row>
    <x:row r="1917" ht="54" customHeight="1">
      <x:c r="A1917" s="8" t="str">
        <x:v>gold-medication-2b379bb8c071255c</x:v>
      </x:c>
      <x:c r="B1917" s="8" t="str">
        <x:v>eyak:200709806:warning:001
eyak:200709806:precautions:001</x:v>
      </x:c>
      <x:c r="C1917" s="8" t="str">
        <x:v>eyak:200709806:warning:001
eyak:200709806:precautions:001
eyak:200709806:precautions:002</x:v>
      </x:c>
      <x:c r="D1917" s="8" t="str">
        <x:v>근거와 함께 답변</x:v>
      </x:c>
      <x:c r="E1917" s="15" t="n">
        <x:v>1915</x:v>
      </x:c>
      <x:c r="F1917" s="8" t="str">
        <x:v>기존 검증 정답</x:v>
      </x:c>
      <x:c r="G1917" s="8" t="str">
        <x:v>https://apis.data.go.kr/1471000/DrbEasyDrugInfoService/getDrbEasyDrugList</x:v>
      </x:c>
      <x:c r="H1917" s="8" t="str">
        <x:v>{
  "item_seq": "200709806",
  "item_name": "아이플러스연질캡슐",
  "manufacturer": "명문제약(주)",
  "section_codes": [
    "warning",
    "precautions"
  ]
}</x:v>
      </x:c>
    </x:row>
    <x:row r="1918" ht="54" customHeight="1">
      <x:c r="A1918" s="8" t="str">
        <x:v>gold-medication-3b8b367c876a5ee5</x:v>
      </x:c>
      <x:c r="B1918" s="8" t="str">
        <x:v>eyak:200404781:adverse_reactions:001</x:v>
      </x:c>
      <x:c r="C1918" s="8" t="str">
        <x:v>eyak:200404781:adverse_reactions:001</x:v>
      </x:c>
      <x:c r="D1918" s="8" t="str">
        <x:v>근거와 함께 답변</x:v>
      </x:c>
      <x:c r="E1918" s="15" t="n">
        <x:v>1916</x:v>
      </x:c>
      <x:c r="F1918" s="8" t="str">
        <x:v>기존 검증 정답</x:v>
      </x:c>
      <x:c r="G1918" s="8" t="str">
        <x:v>https://apis.data.go.kr/1471000/DrbEasyDrugInfoService/getDrbEasyDrugList</x:v>
      </x:c>
      <x:c r="H1918" s="8" t="str">
        <x:v>{
  "item_seq": "200404781",
  "item_name": "헤파비트에프연질캡슐",
  "manufacturer": "(주)바스칸바이오제약",
  "section_codes": [
    "adverse_reactions"
  ]
}</x:v>
      </x:c>
    </x:row>
    <x:row r="1919" ht="54" customHeight="1">
      <x:c r="A1919" s="8" t="str">
        <x:v>gold-medication-b4aaac5159898a96</x:v>
      </x:c>
      <x:c r="B1919" s="8" t="str">
        <x:v>eyak:200710117:precautions:001
eyak:200710117:adverse_reactions:001</x:v>
      </x:c>
      <x:c r="C1919" s="8" t="str">
        <x:v>eyak:200710117:precautions:001
eyak:200710117:precautions:003
eyak:200710117:precautions:004
eyak:200710117:precautions:002
eyak:200710117:precautions:005
eyak:200710117:adverse_reactions:001
eyak:200710117:adverse_reactions:002
eyak:200710117:adverse_reactions:003
eyak:200710117:adverse_reactions:004</x:v>
      </x:c>
      <x:c r="D1919" s="8" t="str">
        <x:v>근거와 함께 답변</x:v>
      </x:c>
      <x:c r="E1919" s="15" t="n">
        <x:v>1917</x:v>
      </x:c>
      <x:c r="F1919" s="8" t="str">
        <x:v>기존 검증 정답</x:v>
      </x:c>
      <x:c r="G1919" s="8" t="str">
        <x:v>https://apis.data.go.kr/1471000/DrbEasyDrugInfoService/getDrbEasyDrugList</x:v>
      </x:c>
      <x:c r="H1919" s="8" t="str">
        <x:v>{
  "item_seq": "200710117",
  "item_name": "메디녹실액5%(미녹시딜)",
  "manufacturer": "(주)동구바이오제약",
  "section_codes": [
    "precautions",
    "adverse_reactions"
  ]
}</x:v>
      </x:c>
    </x:row>
    <x:row r="1920" ht="54" customHeight="1">
      <x:c r="A1920" s="8" t="str">
        <x:v>gold-medication-9e3cf185c9e6ad14</x:v>
      </x:c>
      <x:c r="B1920" s="8" t="str">
        <x:v>eyak:202501737:warning:001
eyak:202501737:precautions:003</x:v>
      </x:c>
      <x:c r="C1920" s="8" t="str">
        <x:v>eyak:202501737:warning:001
eyak:202501737:warning:002
eyak:202501737:warning:003
eyak:202501737:precautions:003
eyak:202501737:precautions:002
eyak:202501737:precautions:001
eyak:202501737:precautions:004
eyak:202501737:precautions:005</x:v>
      </x:c>
      <x:c r="D1920" s="8" t="str">
        <x:v>근거와 함께 답변</x:v>
      </x:c>
      <x:c r="E1920" s="15" t="n">
        <x:v>1918</x:v>
      </x:c>
      <x:c r="F1920" s="8" t="str">
        <x:v>기존 검증 정답</x:v>
      </x:c>
      <x:c r="G1920" s="8" t="str">
        <x:v>https://apis.data.go.kr/1471000/DrbEasyDrugInfoService/getDrbEasyDrugList</x:v>
      </x:c>
      <x:c r="H1920" s="8" t="str">
        <x:v>{
  "item_seq": "202501737",
  "item_name": "씨콜드프리미엄정",
  "manufacturer": "(주)대웅제약",
  "section_codes": [
    "warning",
    "precautions"
  ]
}</x:v>
      </x:c>
    </x:row>
    <x:row r="1921" ht="54" customHeight="1">
      <x:c r="A1921" s="8" t="str">
        <x:v>gold-medication-d2663096e47a1ed4</x:v>
      </x:c>
      <x:c r="B1921" s="8" t="str">
        <x:v>eyak:200608044:adverse_reactions:001</x:v>
      </x:c>
      <x:c r="C1921" s="8" t="str">
        <x:v>eyak:200608044:adverse_reactions:001</x:v>
      </x:c>
      <x:c r="D1921" s="8" t="str">
        <x:v>근거와 함께 답변</x:v>
      </x:c>
      <x:c r="E1921" s="15" t="n">
        <x:v>1919</x:v>
      </x:c>
      <x:c r="F1921" s="8" t="str">
        <x:v>기존 검증 정답</x:v>
      </x:c>
      <x:c r="G1921" s="8" t="str">
        <x:v>https://apis.data.go.kr/1471000/DrbEasyDrugInfoService/getDrbEasyDrugList</x:v>
      </x:c>
      <x:c r="H1921" s="8" t="str">
        <x:v>{
  "item_seq": "200608044",
  "item_name": "트라보겐크림(이소코나졸질산염)",
  "manufacturer": "레오파마(유)",
  "section_codes": [
    "adverse_reactions"
  ]
}</x:v>
      </x:c>
    </x:row>
    <x:row r="1922" ht="54" customHeight="1">
      <x:c r="A1922" s="8" t="str">
        <x:v>gold-medication-0cc3589050063002</x:v>
      </x:c>
      <x:c r="B1922" s="8" t="str">
        <x:v>eyak:202500070:interactions:001</x:v>
      </x:c>
      <x:c r="C1922" s="8" t="str">
        <x:v>eyak:202500070:interactions:001</x:v>
      </x:c>
      <x:c r="D1922" s="8" t="str">
        <x:v>근거와 함께 답변</x:v>
      </x:c>
      <x:c r="E1922" s="15" t="n">
        <x:v>1920</x:v>
      </x:c>
      <x:c r="F1922" s="8" t="str">
        <x:v>기존 검증 정답</x:v>
      </x:c>
      <x:c r="G1922" s="8" t="str">
        <x:v>https://apis.data.go.kr/1471000/DrbEasyDrugInfoService/getDrbEasyDrugList</x:v>
      </x:c>
      <x:c r="H1922" s="8" t="str">
        <x:v>{
  "item_seq": "202500070",
  "item_name": "다이어스탑캡슐(로페라미드염산염)",
  "manufacturer": "(주)씨엠지제약",
  "section_codes": [
    "interactions"
  ]
}</x:v>
      </x:c>
    </x:row>
    <x:row r="1923" ht="54" customHeight="1">
      <x:c r="A1923" s="8" t="str">
        <x:v>gold-medication-na-457b023f9ebc3365</x:v>
      </x:c>
      <x:c r="B1923" s="8" t="str"/>
      <x:c r="C1923" s="8" t="str"/>
      <x:c r="D1923" s="8" t="str">
        <x:v>답변 거부 또는 추가 확인 요청</x:v>
      </x:c>
      <x:c r="E1923" s="15" t="n">
        <x:v>1921</x:v>
      </x:c>
      <x:c r="F1923" s="8" t="str">
        <x:v>답변 거부 기준 문구</x:v>
      </x:c>
      <x:c r="G1923" s="8" t="str">
        <x:v>https://apis.data.go.kr/1471000/DrbEasyDrugInfoService/getDrbEasyDrugList</x:v>
      </x:c>
      <x:c r="H1923" s="8" t="str">
        <x:v>{
  "item_seq": "200705800",
  "item_name": "노펜24첩부제(디클로페낙디에틸암모늄)",
  "manufacturer": "제이더블유중외제약(주)",
  "section_codes": [
    "precautions",
    "adverse_reactions"
  ]
}</x:v>
      </x:c>
    </x:row>
    <x:row r="1924" ht="54" customHeight="1">
      <x:c r="A1924" s="8" t="str">
        <x:v>gold-medication-286cefe0c55ddd45</x:v>
      </x:c>
      <x:c r="B1924" s="8" t="str">
        <x:v>eyak:201600966:precautions:002</x:v>
      </x:c>
      <x:c r="C1924" s="8" t="str">
        <x:v>eyak:201600966:precautions:002
eyak:201600966:precautions:001
eyak:201600966:precautions:003</x:v>
      </x:c>
      <x:c r="D1924" s="8" t="str">
        <x:v>근거와 함께 답변</x:v>
      </x:c>
      <x:c r="E1924" s="15" t="n">
        <x:v>1922</x:v>
      </x:c>
      <x:c r="F1924" s="8" t="str">
        <x:v>기존 검증 정답</x:v>
      </x:c>
      <x:c r="G1924" s="8" t="str">
        <x:v>https://apis.data.go.kr/1471000/DrbEasyDrugInfoService/getDrbEasyDrugList</x:v>
      </x:c>
      <x:c r="H1924" s="8" t="str">
        <x:v>{
  "item_seq": "201600966",
  "item_name": "티나롤네일라카(아모롤핀염산염)",
  "manufacturer": "동광제약(주)",
  "section_codes": [
    "precautions"
  ]
}</x:v>
      </x:c>
    </x:row>
    <x:row r="1925" ht="54" customHeight="1">
      <x:c r="A1925" s="8" t="str">
        <x:v>gold-medication-c99696ede65f7e8b</x:v>
      </x:c>
      <x:c r="B1925" s="8" t="str">
        <x:v>eyak:200003108:dosage:001</x:v>
      </x:c>
      <x:c r="C1925" s="8" t="str">
        <x:v>eyak:200003108:dosage:001</x:v>
      </x:c>
      <x:c r="D1925" s="8" t="str">
        <x:v>근거와 함께 답변</x:v>
      </x:c>
      <x:c r="E1925" s="15" t="n">
        <x:v>1923</x:v>
      </x:c>
      <x:c r="F1925" s="8" t="str">
        <x:v>기존 검증 정답</x:v>
      </x:c>
      <x:c r="G1925" s="8" t="str">
        <x:v>https://apis.data.go.kr/1471000/DrbEasyDrugInfoService/getDrbEasyDrugList</x:v>
      </x:c>
      <x:c r="H1925" s="8" t="str">
        <x:v>{
  "item_seq": "200003108",
  "item_name": "파워겔(리도카인)",
  "manufacturer": "한미약품(주)",
  "section_codes": [
    "dosage"
  ]
}</x:v>
      </x:c>
    </x:row>
    <x:row r="1926" ht="54" customHeight="1">
      <x:c r="A1926" s="8" t="str">
        <x:v>gold-medication-ccf7c9171e831ee9</x:v>
      </x:c>
      <x:c r="B1926" s="8" t="str">
        <x:v>eyak:201400284:precautions:002</x:v>
      </x:c>
      <x:c r="C1926" s="8" t="str">
        <x:v>eyak:201400284:precautions:002
eyak:201400284:precautions:001
eyak:201400284:precautions:003
eyak:201400284:precautions:004</x:v>
      </x:c>
      <x:c r="D1926" s="8" t="str">
        <x:v>근거와 함께 답변</x:v>
      </x:c>
      <x:c r="E1926" s="15" t="n">
        <x:v>1924</x:v>
      </x:c>
      <x:c r="F1926" s="8" t="str">
        <x:v>기존 검증 정답</x:v>
      </x:c>
      <x:c r="G1926" s="8" t="str">
        <x:v>https://apis.data.go.kr/1471000/DrbEasyDrugInfoService/getDrbEasyDrugList</x:v>
      </x:c>
      <x:c r="H1926" s="8" t="str">
        <x:v>{
  "item_seq": "201400284",
  "item_name": "맥스케어베타정",
  "manufacturer": "신일제약(주)",
  "section_codes": [
    "precautions"
  ]
}</x:v>
      </x:c>
    </x:row>
    <x:row r="1927" ht="54" customHeight="1">
      <x:c r="A1927" s="8" t="str">
        <x:v>gold-medication-13bca1ea19967c27</x:v>
      </x:c>
      <x:c r="B1927" s="8" t="str">
        <x:v>eyak:201405635:interactions:001</x:v>
      </x:c>
      <x:c r="C1927" s="8" t="str">
        <x:v>eyak:201405635:interactions:001
eyak:201405635:interactions:002
eyak:201405635:interactions:003</x:v>
      </x:c>
      <x:c r="D1927" s="8" t="str">
        <x:v>근거와 함께 답변</x:v>
      </x:c>
      <x:c r="E1927" s="15" t="n">
        <x:v>1925</x:v>
      </x:c>
      <x:c r="F1927" s="8" t="str">
        <x:v>기존 검증 정답</x:v>
      </x:c>
      <x:c r="G1927" s="8" t="str">
        <x:v>https://apis.data.go.kr/1471000/DrbEasyDrugInfoService/getDrbEasyDrugList</x:v>
      </x:c>
      <x:c r="H1927" s="8" t="str">
        <x:v>{
  "item_seq": "201405635",
  "item_name": "엑스콜콜드에프캡슐",
  "manufacturer": "(주)한풍제약",
  "section_codes": [
    "interactions"
  ]
}</x:v>
      </x:c>
    </x:row>
    <x:row r="1928" ht="54" customHeight="1">
      <x:c r="A1928" s="8" t="str">
        <x:v>gold-medication-55cb838f51ad6f01</x:v>
      </x:c>
      <x:c r="B1928" s="8" t="str">
        <x:v>eyak:200100922:adverse_reactions:005</x:v>
      </x:c>
      <x:c r="C1928" s="8" t="str">
        <x:v>eyak:200100922:adverse_reactions:005
eyak:200100922:adverse_reactions:006
eyak:200100922:adverse_reactions:002
eyak:200100922:adverse_reactions:007
eyak:200100922:adverse_reactions:003
eyak:200100922:adverse_reactions:004
eyak:200100922:adverse_reactions:001
eyak:200100922:adverse_reactions:008</x:v>
      </x:c>
      <x:c r="D1928" s="8" t="str">
        <x:v>근거와 함께 답변</x:v>
      </x:c>
      <x:c r="E1928" s="15" t="n">
        <x:v>1926</x:v>
      </x:c>
      <x:c r="F1928" s="8" t="str">
        <x:v>기존 검증 정답</x:v>
      </x:c>
      <x:c r="G1928" s="8" t="str">
        <x:v>https://apis.data.go.kr/1471000/DrbEasyDrugInfoService/getDrbEasyDrugList</x:v>
      </x:c>
      <x:c r="H1928" s="8" t="str">
        <x:v>{
  "item_seq": "200100922",
  "item_name": "로노펜정(덱시부프로펜)",
  "manufacturer": "태극제약(주)",
  "section_codes": [
    "adverse_reactions"
  ]
}</x:v>
      </x:c>
    </x:row>
    <x:row r="1929" ht="54" customHeight="1">
      <x:c r="A1929" s="8" t="str">
        <x:v>gold-medication-ff8428c55b7de597</x:v>
      </x:c>
      <x:c r="B1929" s="8" t="str">
        <x:v>eyak:197900277:warning:001
eyak:197900277:precautions:001</x:v>
      </x:c>
      <x:c r="C1929" s="8" t="str">
        <x:v>eyak:197900277:warning:001
eyak:197900277:precautions:001
eyak:197900277:precautions:002
eyak:197900277:precautions:003</x:v>
      </x:c>
      <x:c r="D1929" s="8" t="str">
        <x:v>근거와 함께 답변</x:v>
      </x:c>
      <x:c r="E1929" s="15" t="n">
        <x:v>1927</x:v>
      </x:c>
      <x:c r="F1929" s="8" t="str">
        <x:v>기존 검증 정답</x:v>
      </x:c>
      <x:c r="G1929" s="8" t="str">
        <x:v>https://apis.data.go.kr/1471000/DrbEasyDrugInfoService/getDrbEasyDrugList</x:v>
      </x:c>
      <x:c r="H1929" s="8" t="str">
        <x:v>{
  "item_seq": "197900277",
  "item_name": "게보린정(수출명:돌로린정)",
  "manufacturer": "삼진제약(주)",
  "section_codes": [
    "warning",
    "precautions"
  ]
}</x:v>
      </x:c>
    </x:row>
    <x:row r="1930" ht="54" customHeight="1">
      <x:c r="A1930" s="8" t="str">
        <x:v>gold-medication-e758703f4d9f6af1</x:v>
      </x:c>
      <x:c r="B1930" s="8" t="str">
        <x:v>eyak:202105351:precautions:001</x:v>
      </x:c>
      <x:c r="C1930" s="8" t="str">
        <x:v>eyak:202105351:precautions:001</x:v>
      </x:c>
      <x:c r="D1930" s="8" t="str">
        <x:v>근거와 함께 답변</x:v>
      </x:c>
      <x:c r="E1930" s="15" t="n">
        <x:v>1928</x:v>
      </x:c>
      <x:c r="F1930" s="8" t="str">
        <x:v>기존 검증 정답</x:v>
      </x:c>
      <x:c r="G1930" s="8" t="str">
        <x:v>https://apis.data.go.kr/1471000/DrbEasyDrugInfoService/getDrbEasyDrugList</x:v>
      </x:c>
      <x:c r="H1930" s="8" t="str">
        <x:v>{
  "item_seq": "202105351",
  "item_name": "팜뮤코정(암브록솔염산염)",
  "manufacturer": "(주)유앤생명과학",
  "section_codes": [
    "precautions"
  ]
}</x:v>
      </x:c>
    </x:row>
    <x:row r="1931" ht="54" customHeight="1">
      <x:c r="A1931" s="8" t="str">
        <x:v>gold-medication-92e7758729382030</x:v>
      </x:c>
      <x:c r="B1931" s="8" t="str">
        <x:v>eyak:201006807:adverse_reactions:001</x:v>
      </x:c>
      <x:c r="C1931" s="8" t="str">
        <x:v>eyak:201006807:adverse_reactions:001</x:v>
      </x:c>
      <x:c r="D1931" s="8" t="str">
        <x:v>근거와 함께 답변</x:v>
      </x:c>
      <x:c r="E1931" s="15" t="n">
        <x:v>1929</x:v>
      </x:c>
      <x:c r="F1931" s="8" t="str">
        <x:v>기존 검증 정답</x:v>
      </x:c>
      <x:c r="G1931" s="8" t="str">
        <x:v>https://apis.data.go.kr/1471000/DrbEasyDrugInfoService/getDrbEasyDrugList</x:v>
      </x:c>
      <x:c r="H1931" s="8" t="str">
        <x:v>{
  "item_seq": "201006807",
  "item_name": "마이어스콕골드정",
  "manufacturer": "광동제약(주)",
  "section_codes": [
    "adverse_reactions"
  ]
}</x:v>
      </x:c>
    </x:row>
    <x:row r="1932" ht="54" customHeight="1">
      <x:c r="A1932" s="8" t="str">
        <x:v>gold-medication-9a9998c8043bc06d</x:v>
      </x:c>
      <x:c r="B1932" s="8" t="str">
        <x:v>eyak:201403018:precautions:001</x:v>
      </x:c>
      <x:c r="C1932" s="8" t="str">
        <x:v>eyak:201403018:precautions:001
eyak:201403018:precautions:002</x:v>
      </x:c>
      <x:c r="D1932" s="8" t="str">
        <x:v>근거와 함께 답변</x:v>
      </x:c>
      <x:c r="E1932" s="15" t="n">
        <x:v>1930</x:v>
      </x:c>
      <x:c r="F1932" s="8" t="str">
        <x:v>기존 검증 정답</x:v>
      </x:c>
      <x:c r="G1932" s="8" t="str">
        <x:v>https://apis.data.go.kr/1471000/DrbEasyDrugInfoService/getDrbEasyDrugList</x:v>
      </x:c>
      <x:c r="H1932" s="8" t="str">
        <x:v>{
  "item_seq": "201403018",
  "item_name": "위엔젤더블액션현탁액",
  "manufacturer": "제이더블유중외제약(주)",
  "section_codes": [
    "precautions"
  ]
}</x:v>
      </x:c>
    </x:row>
    <x:row r="1933" ht="54" customHeight="1">
      <x:c r="A1933" s="8" t="str">
        <x:v>gold-medication-bb26fd67e3256b62</x:v>
      </x:c>
      <x:c r="B1933" s="8" t="str">
        <x:v>eyak:202008175:dosage:001</x:v>
      </x:c>
      <x:c r="C1933" s="8" t="str">
        <x:v>eyak:202008175:dosage:001</x:v>
      </x:c>
      <x:c r="D1933" s="8" t="str">
        <x:v>근거와 함께 답변</x:v>
      </x:c>
      <x:c r="E1933" s="15" t="n">
        <x:v>1931</x:v>
      </x:c>
      <x:c r="F1933" s="8" t="str">
        <x:v>기존 검증 정답</x:v>
      </x:c>
      <x:c r="G1933" s="8" t="str">
        <x:v>https://apis.data.go.kr/1471000/DrbEasyDrugInfoService/getDrbEasyDrugList</x:v>
      </x:c>
      <x:c r="H1933" s="8" t="str">
        <x:v>{
  "item_seq": "202008175",
  "item_name": "바르지오모두크림",
  "manufacturer": "동화약품(주)",
  "section_codes": [
    "dosage"
  ]
}</x:v>
      </x:c>
    </x:row>
    <x:row r="1934" ht="54" customHeight="1">
      <x:c r="A1934" s="8" t="str">
        <x:v>gold-medication-cab18400a8db7429</x:v>
      </x:c>
      <x:c r="B1934" s="8" t="str">
        <x:v>eyak:200201706:precautions:002</x:v>
      </x:c>
      <x:c r="C1934" s="8" t="str">
        <x:v>eyak:200201706:precautions:002
eyak:200201706:precautions:003
eyak:200201706:precautions:001</x:v>
      </x:c>
      <x:c r="D1934" s="8" t="str">
        <x:v>근거와 함께 답변</x:v>
      </x:c>
      <x:c r="E1934" s="15" t="n">
        <x:v>1932</x:v>
      </x:c>
      <x:c r="F1934" s="8" t="str">
        <x:v>기존 검증 정답</x:v>
      </x:c>
      <x:c r="G1934" s="8" t="str">
        <x:v>https://apis.data.go.kr/1471000/DrbEasyDrugInfoService/getDrbEasyDrugList</x:v>
      </x:c>
      <x:c r="H1934" s="8" t="str">
        <x:v>{
  "item_seq": "200201706",
  "item_name": "쿨그린겔(케토프로펜)(수출용)",
  "manufacturer": "오스틴제약(주)",
  "section_codes": [
    "precautions"
  ]
}</x:v>
      </x:c>
    </x:row>
    <x:row r="1935" ht="54" customHeight="1">
      <x:c r="A1935" s="8" t="str">
        <x:v>gold-medication-aa8dc8a0211ecdac</x:v>
      </x:c>
      <x:c r="B1935" s="8" t="str">
        <x:v>eyak:201705258:interactions:001</x:v>
      </x:c>
      <x:c r="C1935" s="8" t="str">
        <x:v>eyak:201705258:interactions:001
eyak:201705258:interactions:002</x:v>
      </x:c>
      <x:c r="D1935" s="8" t="str">
        <x:v>근거와 함께 답변</x:v>
      </x:c>
      <x:c r="E1935" s="15" t="n">
        <x:v>1933</x:v>
      </x:c>
      <x:c r="F1935" s="8" t="str">
        <x:v>기존 검증 정답</x:v>
      </x:c>
      <x:c r="G1935" s="8" t="str">
        <x:v>https://apis.data.go.kr/1471000/DrbEasyDrugInfoService/getDrbEasyDrugList</x:v>
      </x:c>
      <x:c r="H1935" s="8" t="str">
        <x:v>{
  "item_seq": "201705258",
  "item_name": "솔루샷쿨연질캡슐",
  "manufacturer": "현대약품(주)",
  "section_codes": [
    "interactions"
  ]
}</x:v>
      </x:c>
    </x:row>
    <x:row r="1936" ht="54" customHeight="1">
      <x:c r="A1936" s="8" t="str">
        <x:v>gold-medication-10c4a5a8c1e67786</x:v>
      </x:c>
      <x:c r="B1936" s="8" t="str">
        <x:v>eyak:202204238:interactions:001</x:v>
      </x:c>
      <x:c r="C1936" s="8" t="str">
        <x:v>eyak:202204238:interactions:001</x:v>
      </x:c>
      <x:c r="D1936" s="8" t="str">
        <x:v>근거와 함께 답변</x:v>
      </x:c>
      <x:c r="E1936" s="15" t="n">
        <x:v>1934</x:v>
      </x:c>
      <x:c r="F1936" s="8" t="str">
        <x:v>기존 검증 정답</x:v>
      </x:c>
      <x:c r="G1936" s="8" t="str">
        <x:v>https://apis.data.go.kr/1471000/DrbEasyDrugInfoService/getDrbEasyDrugList</x:v>
      </x:c>
      <x:c r="H1936" s="8" t="str">
        <x:v>{
  "item_seq": "202204238",
  "item_name": "셀디아정",
  "manufacturer": "(주)마더스제약",
  "section_codes": [
    "interactions"
  ]
}</x:v>
      </x:c>
    </x:row>
    <x:row r="1937" ht="54" customHeight="1">
      <x:c r="A1937" s="8" t="str">
        <x:v>gold-medication-108730bc76b05e13</x:v>
      </x:c>
      <x:c r="B1937" s="8" t="str">
        <x:v>eyak:202106656:warning:001
eyak:202106656:precautions:002</x:v>
      </x:c>
      <x:c r="C1937" s="8" t="str">
        <x:v>eyak:202106656:warning:001
eyak:202106656:precautions:002
eyak:202106656:precautions:001
eyak:202106656:precautions:003
eyak:202106656:precautions:004
eyak:202106656:precautions:005
eyak:202106656:precautions:006</x:v>
      </x:c>
      <x:c r="D1937" s="8" t="str">
        <x:v>근거와 함께 답변</x:v>
      </x:c>
      <x:c r="E1937" s="15" t="n">
        <x:v>1935</x:v>
      </x:c>
      <x:c r="F1937" s="8" t="str">
        <x:v>기존 검증 정답</x:v>
      </x:c>
      <x:c r="G1937" s="8" t="str">
        <x:v>https://apis.data.go.kr/1471000/DrbEasyDrugInfoService/getDrbEasyDrugList</x:v>
      </x:c>
      <x:c r="H1937" s="8" t="str">
        <x:v>{
  "item_seq": "202106656",
  "item_name": "굿포미정",
  "manufacturer": "조아제약(주)",
  "section_codes": [
    "warning",
    "precautions"
  ]
}</x:v>
      </x:c>
    </x:row>
    <x:row r="1938" ht="54" customHeight="1">
      <x:c r="A1938" s="8" t="str">
        <x:v>gold-medication-8a0277c095587222</x:v>
      </x:c>
      <x:c r="B1938" s="8" t="str">
        <x:v>eyak:201802601:precautions:001</x:v>
      </x:c>
      <x:c r="C1938" s="8" t="str">
        <x:v>eyak:201802601:precautions:001
eyak:201802601:precautions:002</x:v>
      </x:c>
      <x:c r="D1938" s="8" t="str">
        <x:v>근거와 함께 답변</x:v>
      </x:c>
      <x:c r="E1938" s="15" t="n">
        <x:v>1936</x:v>
      </x:c>
      <x:c r="F1938" s="8" t="str">
        <x:v>기존 검증 정답</x:v>
      </x:c>
      <x:c r="G1938" s="8" t="str">
        <x:v>https://apis.data.go.kr/1471000/DrbEasyDrugInfoService/getDrbEasyDrugList</x:v>
      </x:c>
      <x:c r="H1938" s="8" t="str">
        <x:v>{
  "item_seq": "201802601",
  "item_name": "아르쿨연질캡슐(세티리진염산염)",
  "manufacturer": "(주)마더스제약",
  "section_codes": [
    "precautions"
  ]
}</x:v>
      </x:c>
    </x:row>
    <x:row r="1939" ht="54" customHeight="1">
      <x:c r="A1939" s="8" t="str">
        <x:v>gold-medication-26b8012cda2e0f55</x:v>
      </x:c>
      <x:c r="B1939" s="8" t="str">
        <x:v>eyak:200001087:efficacy:001</x:v>
      </x:c>
      <x:c r="C1939" s="8" t="str">
        <x:v>eyak:200001087:efficacy:001</x:v>
      </x:c>
      <x:c r="D1939" s="8" t="str">
        <x:v>근거와 함께 답변</x:v>
      </x:c>
      <x:c r="E1939" s="15" t="n">
        <x:v>1937</x:v>
      </x:c>
      <x:c r="F1939" s="8" t="str">
        <x:v>기존 검증 정답</x:v>
      </x:c>
      <x:c r="G1939" s="8" t="str">
        <x:v>https://apis.data.go.kr/1471000/DrbEasyDrugInfoService/getDrbEasyDrugList</x:v>
      </x:c>
      <x:c r="H1939" s="8" t="str">
        <x:v>{
  "item_seq": "200001087",
  "item_name": "후시딘겔(퓨시드산수화물)",
  "manufacturer": "동화약품(주)",
  "section_codes": [
    "efficacy"
  ]
}</x:v>
      </x:c>
    </x:row>
    <x:row r="1940" ht="54" customHeight="1">
      <x:c r="A1940" s="8" t="str">
        <x:v>gold-medication-83931d65427201ab</x:v>
      </x:c>
      <x:c r="B1940" s="8" t="str">
        <x:v>eyak:201801073:efficacy:001</x:v>
      </x:c>
      <x:c r="C1940" s="8" t="str">
        <x:v>eyak:201801073:efficacy:001</x:v>
      </x:c>
      <x:c r="D1940" s="8" t="str">
        <x:v>근거와 함께 답변</x:v>
      </x:c>
      <x:c r="E1940" s="15" t="n">
        <x:v>1938</x:v>
      </x:c>
      <x:c r="F1940" s="8" t="str">
        <x:v>기존 검증 정답</x:v>
      </x:c>
      <x:c r="G1940" s="8" t="str">
        <x:v>https://apis.data.go.kr/1471000/DrbEasyDrugInfoService/getDrbEasyDrugList</x:v>
      </x:c>
      <x:c r="H1940" s="8" t="str">
        <x:v>{
  "item_seq": "201801073",
  "item_name": "훼리큐캡슐",
  "manufacturer": "(주)에이프로젠바이오로직스",
  "section_codes": [
    "efficacy"
  ]
}</x:v>
      </x:c>
    </x:row>
    <x:row r="1941" ht="54" customHeight="1">
      <x:c r="A1941" s="8" t="str">
        <x:v>gold-medication-na-1a4f3872b25700f5</x:v>
      </x:c>
      <x:c r="B1941" s="8" t="str"/>
      <x:c r="C1941" s="8" t="str"/>
      <x:c r="D1941" s="8" t="str">
        <x:v>답변 거부 또는 추가 확인 요청</x:v>
      </x:c>
      <x:c r="E1941" s="15" t="n">
        <x:v>1939</x:v>
      </x:c>
      <x:c r="F1941" s="8" t="str">
        <x:v>답변 거부 기준 문구</x:v>
      </x:c>
      <x:c r="G1941" s="8" t="str">
        <x:v>https://apis.data.go.kr/1471000/DrbEasyDrugInfoService/getDrbEasyDrugList</x:v>
      </x:c>
      <x:c r="H1941" s="8" t="str">
        <x:v>{
  "item_seq": "202400498",
  "item_name": "제일톡톡퓨어점안액(카르복시메틸셀룰로오스나트륨)(1회용)",
  "manufacturer": "제일헬스사이언스(주)",
  "section_codes": [
    "dosage"
  ]
}</x:v>
      </x:c>
    </x:row>
    <x:row r="1942" ht="54" customHeight="1">
      <x:c r="A1942" s="8" t="str">
        <x:v>gold-medication-6395961b3fe791e3</x:v>
      </x:c>
      <x:c r="B1942" s="8" t="str">
        <x:v>eyak:200301473:efficacy:001</x:v>
      </x:c>
      <x:c r="C1942" s="8" t="str">
        <x:v>eyak:200301473:efficacy:001</x:v>
      </x:c>
      <x:c r="D1942" s="8" t="str">
        <x:v>근거와 함께 답변</x:v>
      </x:c>
      <x:c r="E1942" s="15" t="n">
        <x:v>1940</x:v>
      </x:c>
      <x:c r="F1942" s="8" t="str">
        <x:v>기존 검증 정답</x:v>
      </x:c>
      <x:c r="G1942" s="8" t="str">
        <x:v>https://apis.data.go.kr/1471000/DrbEasyDrugInfoService/getDrbEasyDrugList</x:v>
      </x:c>
      <x:c r="H1942" s="8" t="str">
        <x:v>{
  "item_seq": "200301473",
  "item_name": "트리플에이연고",
  "manufacturer": "오스틴제약(주)",
  "section_codes": [
    "efficacy"
  ]
}</x:v>
      </x:c>
    </x:row>
    <x:row r="1943" ht="54" customHeight="1">
      <x:c r="A1943" s="8" t="str">
        <x:v>gold-medication-7970ef20a4498191</x:v>
      </x:c>
      <x:c r="B1943" s="8" t="str">
        <x:v>eyak:202007951:interactions:001</x:v>
      </x:c>
      <x:c r="C1943" s="8" t="str">
        <x:v>eyak:202007951:interactions:001</x:v>
      </x:c>
      <x:c r="D1943" s="8" t="str">
        <x:v>근거와 함께 답변</x:v>
      </x:c>
      <x:c r="E1943" s="15" t="n">
        <x:v>1941</x:v>
      </x:c>
      <x:c r="F1943" s="8" t="str">
        <x:v>기존 검증 정답</x:v>
      </x:c>
      <x:c r="G1943" s="8" t="str">
        <x:v>https://apis.data.go.kr/1471000/DrbEasyDrugInfoService/getDrbEasyDrugList</x:v>
      </x:c>
      <x:c r="H1943" s="8" t="str">
        <x:v>{
  "item_seq": "202007951",
  "item_name": "벤포타임정",
  "manufacturer": "(주)라이트팜텍",
  "section_codes": [
    "interactions"
  ]
}</x:v>
      </x:c>
    </x:row>
    <x:row r="1944" ht="54" customHeight="1">
      <x:c r="A1944" s="8" t="str">
        <x:v>gold-medication-80b2c80f80849013</x:v>
      </x:c>
      <x:c r="B1944" s="8" t="str">
        <x:v>eyak:201606382:precautions:002</x:v>
      </x:c>
      <x:c r="C1944" s="8" t="str">
        <x:v>eyak:201606382:precautions:002
eyak:201606382:precautions:001</x:v>
      </x:c>
      <x:c r="D1944" s="8" t="str">
        <x:v>근거와 함께 답변</x:v>
      </x:c>
      <x:c r="E1944" s="15" t="n">
        <x:v>1942</x:v>
      </x:c>
      <x:c r="F1944" s="8" t="str">
        <x:v>기존 검증 정답</x:v>
      </x:c>
      <x:c r="G1944" s="8" t="str">
        <x:v>https://apis.data.go.kr/1471000/DrbEasyDrugInfoService/getDrbEasyDrugList</x:v>
      </x:c>
      <x:c r="H1944" s="8" t="str">
        <x:v>{
  "item_seq": "201606382",
  "item_name": "페리터치액(폴리크레줄렌액50%)",
  "manufacturer": "(주)녹십자",
  "section_codes": [
    "precautions"
  ]
}</x:v>
      </x:c>
    </x:row>
    <x:row r="1945" ht="54" customHeight="1">
      <x:c r="A1945" s="8" t="str">
        <x:v>gold-medication-bb1734aeb87e1d8d</x:v>
      </x:c>
      <x:c r="B1945" s="8" t="str">
        <x:v>eyak:201903305:dosage:001</x:v>
      </x:c>
      <x:c r="C1945" s="8" t="str">
        <x:v>eyak:201903305:dosage:001</x:v>
      </x:c>
      <x:c r="D1945" s="8" t="str">
        <x:v>근거와 함께 답변</x:v>
      </x:c>
      <x:c r="E1945" s="15" t="n">
        <x:v>1943</x:v>
      </x:c>
      <x:c r="F1945" s="8" t="str">
        <x:v>기존 검증 정답</x:v>
      </x:c>
      <x:c r="G1945" s="8" t="str">
        <x:v>https://apis.data.go.kr/1471000/DrbEasyDrugInfoService/getDrbEasyDrugList</x:v>
      </x:c>
      <x:c r="H1945" s="8" t="str">
        <x:v>{
  "item_seq": "201903305",
  "item_name": "레보콤비에스액",
  "manufacturer": "고려제약(주)",
  "section_codes": [
    "dosage"
  ]
}</x:v>
      </x:c>
    </x:row>
    <x:row r="1946" ht="54" customHeight="1">
      <x:c r="A1946" s="8" t="str">
        <x:v>gold-medication-na-bcd1d9f0b7d18334</x:v>
      </x:c>
      <x:c r="B1946" s="8" t="str"/>
      <x:c r="C1946" s="8" t="str"/>
      <x:c r="D1946" s="8" t="str">
        <x:v>답변 거부 또는 추가 확인 요청</x:v>
      </x:c>
      <x:c r="E1946" s="15" t="n">
        <x:v>1944</x:v>
      </x:c>
      <x:c r="F1946" s="8" t="str">
        <x:v>답변 거부 기준 문구</x:v>
      </x:c>
      <x:c r="G1946" s="8" t="str">
        <x:v>https://apis.data.go.kr/1471000/DrbEasyDrugInfoService/getDrbEasyDrugList</x:v>
      </x:c>
      <x:c r="H1946" s="8" t="str">
        <x:v>{
  "item_seq": "202303447",
  "item_name": "파비안디정",
  "manufacturer": "(주)서울제약",
  "section_codes": [
    "dosage"
  ]
}</x:v>
      </x:c>
    </x:row>
    <x:row r="1947" ht="54" customHeight="1">
      <x:c r="A1947" s="8" t="str">
        <x:v>gold-medication-d9dcdda16b444d22</x:v>
      </x:c>
      <x:c r="B1947" s="8" t="str">
        <x:v>eyak:199600581:adverse_reactions:001</x:v>
      </x:c>
      <x:c r="C1947" s="8" t="str">
        <x:v>eyak:199600581:adverse_reactions:001</x:v>
      </x:c>
      <x:c r="D1947" s="8" t="str">
        <x:v>근거와 함께 답변</x:v>
      </x:c>
      <x:c r="E1947" s="15" t="n">
        <x:v>1945</x:v>
      </x:c>
      <x:c r="F1947" s="8" t="str">
        <x:v>기존 검증 정답</x:v>
      </x:c>
      <x:c r="G1947" s="8" t="str">
        <x:v>https://apis.data.go.kr/1471000/DrbEasyDrugInfoService/getDrbEasyDrugList</x:v>
      </x:c>
      <x:c r="H1947" s="8" t="str">
        <x:v>{
  "item_seq": "199600581",
  "item_name": "바이탈씨에프정(수출명:라스코르빈포르트,아스코르빈플러스)",
  "manufacturer": "(주)유한양행",
  "section_codes": [
    "adverse_reactions"
  ]
}</x:v>
      </x:c>
    </x:row>
    <x:row r="1948" ht="54" customHeight="1">
      <x:c r="A1948" s="8" t="str">
        <x:v>gold-medication-743a43166f07ea84</x:v>
      </x:c>
      <x:c r="B1948" s="8" t="str">
        <x:v>eyak:200805926:dosage:001</x:v>
      </x:c>
      <x:c r="C1948" s="8" t="str">
        <x:v>eyak:200805926:dosage:001</x:v>
      </x:c>
      <x:c r="D1948" s="8" t="str">
        <x:v>근거와 함께 답변</x:v>
      </x:c>
      <x:c r="E1948" s="15" t="n">
        <x:v>1946</x:v>
      </x:c>
      <x:c r="F1948" s="8" t="str">
        <x:v>기존 검증 정답</x:v>
      </x:c>
      <x:c r="G1948" s="8" t="str">
        <x:v>https://apis.data.go.kr/1471000/DrbEasyDrugInfoService/getDrbEasyDrugList</x:v>
      </x:c>
      <x:c r="H1948" s="8" t="str">
        <x:v>{
  "item_seq": "200805926",
  "item_name": "엑스프리벤정",
  "manufacturer": "(주)다림바이오텍",
  "section_codes": [
    "dosage"
  ]
}</x:v>
      </x:c>
    </x:row>
    <x:row r="1949" ht="54" customHeight="1">
      <x:c r="A1949" s="8" t="str">
        <x:v>gold-medication-bc3a0d3a9813d890</x:v>
      </x:c>
      <x:c r="B1949" s="8" t="str">
        <x:v>eyak:202009428:adverse_reactions:001</x:v>
      </x:c>
      <x:c r="C1949" s="8" t="str">
        <x:v>eyak:202009428:adverse_reactions:001</x:v>
      </x:c>
      <x:c r="D1949" s="8" t="str">
        <x:v>근거와 함께 답변</x:v>
      </x:c>
      <x:c r="E1949" s="15" t="n">
        <x:v>1947</x:v>
      </x:c>
      <x:c r="F1949" s="8" t="str">
        <x:v>기존 검증 정답</x:v>
      </x:c>
      <x:c r="G1949" s="8" t="str">
        <x:v>https://apis.data.go.kr/1471000/DrbEasyDrugInfoService/getDrbEasyDrugList</x:v>
      </x:c>
      <x:c r="H1949" s="8" t="str">
        <x:v>{
  "item_seq": "202009428",
  "item_name": "엘카딘정(L-카르니틴)",
  "manufacturer": "(주)한국파비스제약",
  "section_codes": [
    "adverse_reactions"
  ]
}</x:v>
      </x:c>
    </x:row>
    <x:row r="1950" ht="54" customHeight="1">
      <x:c r="A1950" s="8" t="str">
        <x:v>gold-medication-na-80aa69190c574594</x:v>
      </x:c>
      <x:c r="B1950" s="8" t="str"/>
      <x:c r="C1950" s="8" t="str"/>
      <x:c r="D1950" s="8" t="str">
        <x:v>답변 거부 또는 추가 확인 요청</x:v>
      </x:c>
      <x:c r="E1950" s="15" t="n">
        <x:v>1948</x:v>
      </x:c>
      <x:c r="F1950" s="8" t="str">
        <x:v>답변 거부 기준 문구</x:v>
      </x:c>
      <x:c r="G1950" s="8" t="str">
        <x:v>https://apis.data.go.kr/1471000/DrbEasyDrugInfoService/getDrbEasyDrugList</x:v>
      </x:c>
      <x:c r="H1950" s="8" t="str">
        <x:v>{
  "item_seq": "200901795",
  "item_name": "메디파프쿨카타플라스마(펠비낙)",
  "manufacturer": "조아제약(주)",
  "section_codes": [
    "adverse_reactions"
  ]
}</x:v>
      </x:c>
    </x:row>
    <x:row r="1951" ht="54" customHeight="1">
      <x:c r="A1951" s="8" t="str">
        <x:v>gold-medication-7e88e7c70df3f316</x:v>
      </x:c>
      <x:c r="B1951" s="8" t="str">
        <x:v>eyak:201400114:interactions:001</x:v>
      </x:c>
      <x:c r="C1951" s="8" t="str">
        <x:v>eyak:201400114:interactions:001</x:v>
      </x:c>
      <x:c r="D1951" s="8" t="str">
        <x:v>근거와 함께 답변</x:v>
      </x:c>
      <x:c r="E1951" s="15" t="n">
        <x:v>1949</x:v>
      </x:c>
      <x:c r="F1951" s="8" t="str">
        <x:v>기존 검증 정답</x:v>
      </x:c>
      <x:c r="G1951" s="8" t="str">
        <x:v>https://apis.data.go.kr/1471000/DrbEasyDrugInfoService/getDrbEasyDrugList</x:v>
      </x:c>
      <x:c r="H1951" s="8" t="str">
        <x:v>{
  "item_seq": "201400114",
  "item_name": "모비락스산",
  "manufacturer": "(주)한국팜비오",
  "section_codes": [
    "interactions"
  ]
}</x:v>
      </x:c>
    </x:row>
    <x:row r="1952" ht="54" customHeight="1">
      <x:c r="A1952" s="8" t="str">
        <x:v>gold-medication-594448d4053b5610</x:v>
      </x:c>
      <x:c r="B1952" s="8" t="str">
        <x:v>eyak:200904082:interactions:001</x:v>
      </x:c>
      <x:c r="C1952" s="8" t="str">
        <x:v>eyak:200904082:interactions:001
eyak:200904082:interactions:003
eyak:200904082:interactions:004
eyak:200904082:interactions:002</x:v>
      </x:c>
      <x:c r="D1952" s="8" t="str">
        <x:v>근거와 함께 답변</x:v>
      </x:c>
      <x:c r="E1952" s="15" t="n">
        <x:v>1950</x:v>
      </x:c>
      <x:c r="F1952" s="8" t="str">
        <x:v>기존 검증 정답</x:v>
      </x:c>
      <x:c r="G1952" s="8" t="str">
        <x:v>https://apis.data.go.kr/1471000/DrbEasyDrugInfoService/getDrbEasyDrugList</x:v>
      </x:c>
      <x:c r="H1952" s="8" t="str">
        <x:v>{
  "item_seq": "200904082",
  "item_name": "로노펜300연질캡슐(덱시부프로펜)",
  "manufacturer": "태극제약(주)",
  "section_codes": [
    "interactions"
  ]
}</x:v>
      </x:c>
    </x:row>
    <x:row r="1953" ht="54" customHeight="1">
      <x:c r="A1953" s="8" t="str">
        <x:v>gold-medication-na-68ee5b70f2615e73</x:v>
      </x:c>
      <x:c r="B1953" s="8" t="str"/>
      <x:c r="C1953" s="8" t="str"/>
      <x:c r="D1953" s="8" t="str">
        <x:v>답변 거부 또는 추가 확인 요청</x:v>
      </x:c>
      <x:c r="E1953" s="15" t="n">
        <x:v>1951</x:v>
      </x:c>
      <x:c r="F1953" s="8" t="str">
        <x:v>답변 거부 기준 문구</x:v>
      </x:c>
      <x:c r="G1953" s="8" t="str">
        <x:v>https://apis.data.go.kr/1471000/DrbEasyDrugInfoService/getDrbEasyDrugList</x:v>
      </x:c>
      <x:c r="H1953" s="8" t="str">
        <x:v>{
  "item_seq": "201701269",
  "item_name": "부로멜장용정(브로멜라인)",
  "manufacturer": "(주)바이넥스",
  "section_codes": [
    "adverse_reactions"
  ]
}</x:v>
      </x:c>
    </x:row>
    <x:row r="1954" ht="54" customHeight="1">
      <x:c r="A1954" s="8" t="str">
        <x:v>gold-medication-9a702e4c6f140a92</x:v>
      </x:c>
      <x:c r="B1954" s="8" t="str">
        <x:v>eyak:202302949:interactions:001</x:v>
      </x:c>
      <x:c r="C1954" s="8" t="str">
        <x:v>eyak:202302949:interactions:001
eyak:202302949:interactions:002</x:v>
      </x:c>
      <x:c r="D1954" s="8" t="str">
        <x:v>근거와 함께 답변</x:v>
      </x:c>
      <x:c r="E1954" s="15" t="n">
        <x:v>1952</x:v>
      </x:c>
      <x:c r="F1954" s="8" t="str">
        <x:v>기존 검증 정답</x:v>
      </x:c>
      <x:c r="G1954" s="8" t="str">
        <x:v>https://apis.data.go.kr/1471000/DrbEasyDrugInfoService/getDrbEasyDrugList</x:v>
      </x:c>
      <x:c r="H1954" s="8" t="str">
        <x:v>{
  "item_seq": "202302949",
  "item_name": "그날엔콜드에이연질캡슐",
  "manufacturer": "경동제약(주)",
  "section_codes": [
    "interactions"
  ]
}</x:v>
      </x:c>
    </x:row>
    <x:row r="1955" ht="54" customHeight="1">
      <x:c r="A1955" s="8" t="str">
        <x:v>gold-medication-894b8d13974e6a27</x:v>
      </x:c>
      <x:c r="B1955" s="8" t="str">
        <x:v>eyak:202000770:efficacy:001</x:v>
      </x:c>
      <x:c r="C1955" s="8" t="str">
        <x:v>eyak:202000770:efficacy:001</x:v>
      </x:c>
      <x:c r="D1955" s="8" t="str">
        <x:v>근거와 함께 답변</x:v>
      </x:c>
      <x:c r="E1955" s="15" t="n">
        <x:v>1953</x:v>
      </x:c>
      <x:c r="F1955" s="8" t="str">
        <x:v>기존 검증 정답</x:v>
      </x:c>
      <x:c r="G1955" s="8" t="str">
        <x:v>https://apis.data.go.kr/1471000/DrbEasyDrugInfoService/getDrbEasyDrugList</x:v>
      </x:c>
      <x:c r="H1955" s="8" t="str">
        <x:v>{
  "item_seq": "202000770",
  "item_name": "판다모캡슐",
  "manufacturer": "코오롱제약(주)",
  "section_codes": [
    "efficacy"
  ]
}</x:v>
      </x:c>
    </x:row>
    <x:row r="1956" ht="54" customHeight="1">
      <x:c r="A1956" s="8" t="str">
        <x:v>gold-medication-23e1cbea1ef10202</x:v>
      </x:c>
      <x:c r="B1956" s="8" t="str">
        <x:v>eyak:199301968:precautions:001</x:v>
      </x:c>
      <x:c r="C1956" s="8" t="str">
        <x:v>eyak:199301968:precautions:001
eyak:199301968:precautions:002
eyak:199301968:precautions:003</x:v>
      </x:c>
      <x:c r="D1956" s="8" t="str">
        <x:v>근거와 함께 답변</x:v>
      </x:c>
      <x:c r="E1956" s="15" t="n">
        <x:v>1954</x:v>
      </x:c>
      <x:c r="F1956" s="8" t="str">
        <x:v>기존 검증 정답</x:v>
      </x:c>
      <x:c r="G1956" s="8" t="str">
        <x:v>https://apis.data.go.kr/1471000/DrbEasyDrugInfoService/getDrbEasyDrugList</x:v>
      </x:c>
      <x:c r="H1956" s="8" t="str">
        <x:v>{
  "item_seq": "199301968",
  "item_name": "디크로닉정250밀리그램(클로닉신리시네이트)(수출용)",
  "manufacturer": "대화제약(주)",
  "section_codes": [
    "precautions"
  ]
}</x:v>
      </x:c>
    </x:row>
    <x:row r="1957" ht="54" customHeight="1">
      <x:c r="A1957" s="8" t="str">
        <x:v>gold-medication-13f6dd76dd5efe5f</x:v>
      </x:c>
      <x:c r="B1957" s="8" t="str">
        <x:v>eyak:201706490:dosage:001</x:v>
      </x:c>
      <x:c r="C1957" s="8" t="str">
        <x:v>eyak:201706490:dosage:001</x:v>
      </x:c>
      <x:c r="D1957" s="8" t="str">
        <x:v>근거와 함께 답변</x:v>
      </x:c>
      <x:c r="E1957" s="15" t="n">
        <x:v>1955</x:v>
      </x:c>
      <x:c r="F1957" s="8" t="str">
        <x:v>기존 검증 정답</x:v>
      </x:c>
      <x:c r="G1957" s="8" t="str">
        <x:v>https://apis.data.go.kr/1471000/DrbEasyDrugInfoService/getDrbEasyDrugList</x:v>
      </x:c>
      <x:c r="H1957" s="8" t="str">
        <x:v>{
  "item_seq": "201706490",
  "item_name": "마그엠정(알마게이트)",
  "manufacturer": "(주)마더스제약",
  "section_codes": [
    "dosage"
  ]
}</x:v>
      </x:c>
    </x:row>
    <x:row r="1958" ht="54" customHeight="1">
      <x:c r="A1958" s="8" t="str">
        <x:v>gold-medication-na-dbe49151c3dc1aab</x:v>
      </x:c>
      <x:c r="B1958" s="8" t="str"/>
      <x:c r="C1958" s="8" t="str"/>
      <x:c r="D1958" s="8" t="str">
        <x:v>답변 거부 또는 추가 확인 요청</x:v>
      </x:c>
      <x:c r="E1958" s="15" t="n">
        <x:v>1956</x:v>
      </x:c>
      <x:c r="F1958" s="8" t="str">
        <x:v>답변 거부 기준 문구</x:v>
      </x:c>
      <x:c r="G1958" s="8" t="str">
        <x:v>https://apis.data.go.kr/1471000/DrbEasyDrugInfoService/getDrbEasyDrugList</x:v>
      </x:c>
      <x:c r="H1958" s="8" t="str">
        <x:v>{
  "item_seq": "201906379",
  "item_name": "엘도타인캡슐300밀리그램(에르도스테인)",
  "manufacturer": "주식회사더유제약",
  "section_codes": [
    "storage"
  ]
}</x:v>
      </x:c>
    </x:row>
    <x:row r="1959" ht="54" customHeight="1">
      <x:c r="A1959" s="8" t="str">
        <x:v>gold-medication-28e1446a23d13186</x:v>
      </x:c>
      <x:c r="B1959" s="8" t="str">
        <x:v>eyak:202105619:efficacy:001</x:v>
      </x:c>
      <x:c r="C1959" s="8" t="str">
        <x:v>eyak:202105619:efficacy:001</x:v>
      </x:c>
      <x:c r="D1959" s="8" t="str">
        <x:v>근거와 함께 답변</x:v>
      </x:c>
      <x:c r="E1959" s="15" t="n">
        <x:v>1957</x:v>
      </x:c>
      <x:c r="F1959" s="8" t="str">
        <x:v>기존 검증 정답</x:v>
      </x:c>
      <x:c r="G1959" s="8" t="str">
        <x:v>https://apis.data.go.kr/1471000/DrbEasyDrugInfoService/getDrbEasyDrugList</x:v>
      </x:c>
      <x:c r="H1959" s="8" t="str">
        <x:v>{
  "item_seq": "202105619",
  "item_name": "제로무네일라카(시클로피록스)",
  "manufacturer": "(주)한국파마",
  "section_codes": [
    "efficacy"
  ]
}</x:v>
      </x:c>
    </x:row>
    <x:row r="1960" ht="54" customHeight="1">
      <x:c r="A1960" s="8" t="str">
        <x:v>gold-medication-5d1bf8d90b6f9e65</x:v>
      </x:c>
      <x:c r="B1960" s="8" t="str">
        <x:v>eyak:201900975:adverse_reactions:001</x:v>
      </x:c>
      <x:c r="C1960" s="8" t="str">
        <x:v>eyak:201900975:adverse_reactions:001
eyak:201900975:adverse_reactions:002
eyak:201900975:adverse_reactions:003</x:v>
      </x:c>
      <x:c r="D1960" s="8" t="str">
        <x:v>근거와 함께 답변</x:v>
      </x:c>
      <x:c r="E1960" s="15" t="n">
        <x:v>1958</x:v>
      </x:c>
      <x:c r="F1960" s="8" t="str">
        <x:v>기존 검증 정답</x:v>
      </x:c>
      <x:c r="G1960" s="8" t="str">
        <x:v>https://apis.data.go.kr/1471000/DrbEasyDrugInfoService/getDrbEasyDrugList</x:v>
      </x:c>
      <x:c r="H1960" s="8" t="str">
        <x:v>{
  "item_seq": "201900975",
  "item_name": "코푸콜드-에스액",
  "manufacturer": "(주)한국신약",
  "section_codes": [
    "adverse_reactions"
  ]
}</x:v>
      </x:c>
    </x:row>
    <x:row r="1961" ht="54" customHeight="1">
      <x:c r="A1961" s="8" t="str">
        <x:v>gold-medication-c8f882be97e32701</x:v>
      </x:c>
      <x:c r="B1961" s="8" t="str">
        <x:v>eyak:202302436:interactions:001</x:v>
      </x:c>
      <x:c r="C1961" s="8" t="str">
        <x:v>eyak:202302436:interactions:001
eyak:202302436:interactions:002</x:v>
      </x:c>
      <x:c r="D1961" s="8" t="str">
        <x:v>근거와 함께 답변</x:v>
      </x:c>
      <x:c r="E1961" s="15" t="n">
        <x:v>1959</x:v>
      </x:c>
      <x:c r="F1961" s="8" t="str">
        <x:v>기존 검증 정답</x:v>
      </x:c>
      <x:c r="G1961" s="8" t="str">
        <x:v>https://apis.data.go.kr/1471000/DrbEasyDrugInfoService/getDrbEasyDrugList</x:v>
      </x:c>
      <x:c r="H1961" s="8" t="str">
        <x:v>{
  "item_seq": "202302436",
  "item_name": "툴스속편정",
  "manufacturer": "코스맥스파마(주)",
  "section_codes": [
    "interactions"
  ]
}</x:v>
      </x:c>
    </x:row>
    <x:row r="1962" ht="54" customHeight="1">
      <x:c r="A1962" s="8" t="str">
        <x:v>gold-medication-na-eea4e00bcf047f23</x:v>
      </x:c>
      <x:c r="B1962" s="8" t="str"/>
      <x:c r="C1962" s="8" t="str"/>
      <x:c r="D1962" s="8" t="str">
        <x:v>답변 거부 또는 추가 확인 요청</x:v>
      </x:c>
      <x:c r="E1962" s="15" t="n">
        <x:v>1960</x:v>
      </x:c>
      <x:c r="F1962" s="8" t="str">
        <x:v>답변 거부 기준 문구</x:v>
      </x:c>
      <x:c r="G1962" s="8" t="str">
        <x:v>https://apis.data.go.kr/1471000/DrbEasyDrugInfoService/getDrbEasyDrugList</x:v>
      </x:c>
      <x:c r="H1962" s="8" t="str">
        <x:v>{
  "item_seq": "200907725",
  "item_name": "비스칸엔캡슐(바실루스리케니포르미스균)",
  "manufacturer": "(주)바이넥스",
  "section_codes": [
    "interactions"
  ]
}</x:v>
      </x:c>
    </x:row>
    <x:row r="1963" ht="54" customHeight="1">
      <x:c r="A1963" s="8" t="str">
        <x:v>gold-medication-na-7d84b730cb133396</x:v>
      </x:c>
      <x:c r="B1963" s="8" t="str"/>
      <x:c r="C1963" s="8" t="str"/>
      <x:c r="D1963" s="8" t="str">
        <x:v>답변 거부 또는 추가 확인 요청</x:v>
      </x:c>
      <x:c r="E1963" s="15" t="n">
        <x:v>1961</x:v>
      </x:c>
      <x:c r="F1963" s="8" t="str">
        <x:v>답변 거부 기준 문구</x:v>
      </x:c>
      <x:c r="G1963" s="8" t="str">
        <x:v>https://apis.data.go.kr/1471000/DrbEasyDrugInfoService/getDrbEasyDrugList</x:v>
      </x:c>
      <x:c r="H1963" s="8" t="str">
        <x:v>{
  "item_seq": "202004532",
  "item_name": "새로덱스정100밀리그램(덱스판테놀)",
  "manufacturer": "(주)팜젠사이언스",
  "section_codes": [
    "precautions"
  ]
}</x:v>
      </x:c>
    </x:row>
    <x:row r="1964" ht="54" customHeight="1">
      <x:c r="A1964" s="8" t="str">
        <x:v>gold-medication-19ba524307341182</x:v>
      </x:c>
      <x:c r="B1964" s="8" t="str">
        <x:v>eyak:199201802:efficacy:001</x:v>
      </x:c>
      <x:c r="C1964" s="8" t="str">
        <x:v>eyak:199201802:efficacy:001</x:v>
      </x:c>
      <x:c r="D1964" s="8" t="str">
        <x:v>근거와 함께 답변</x:v>
      </x:c>
      <x:c r="E1964" s="15" t="n">
        <x:v>1962</x:v>
      </x:c>
      <x:c r="F1964" s="8" t="str">
        <x:v>기존 검증 정답</x:v>
      </x:c>
      <x:c r="G1964" s="8" t="str">
        <x:v>https://apis.data.go.kr/1471000/DrbEasyDrugInfoService/getDrbEasyDrugList</x:v>
      </x:c>
      <x:c r="H1964" s="8" t="str">
        <x:v>{
  "item_seq": "199201802",
  "item_name": "코모졸크림(케토코나졸)(수출명:NAZOL)",
  "manufacturer": "대화제약(주)",
  "section_codes": [
    "efficacy"
  ]
}</x:v>
      </x:c>
    </x:row>
    <x:row r="1965" ht="54" customHeight="1">
      <x:c r="A1965" s="8" t="str">
        <x:v>gold-medication-9c2d03cfc4148b09</x:v>
      </x:c>
      <x:c r="B1965" s="8" t="str">
        <x:v>eyak:202003642:precautions:005</x:v>
      </x:c>
      <x:c r="C1965" s="8" t="str">
        <x:v>eyak:202003642:precautions:005
eyak:202003642:precautions:002
eyak:202003642:precautions:001
eyak:202003642:precautions:003
eyak:202003642:precautions:004
eyak:202003642:precautions:006</x:v>
      </x:c>
      <x:c r="D1965" s="8" t="str">
        <x:v>근거와 함께 답변</x:v>
      </x:c>
      <x:c r="E1965" s="15" t="n">
        <x:v>1963</x:v>
      </x:c>
      <x:c r="F1965" s="8" t="str">
        <x:v>기존 검증 정답</x:v>
      </x:c>
      <x:c r="G1965" s="8" t="str">
        <x:v>https://apis.data.go.kr/1471000/DrbEasyDrugInfoService/getDrbEasyDrugList</x:v>
      </x:c>
      <x:c r="H1965" s="8" t="str">
        <x:v>{
  "item_seq": "202003642",
  "item_name": "대웅바이오덱시부프로펜정300밀리그램",
  "manufacturer": "대웅바이오(주)",
  "section_codes": [
    "precautions"
  ]
}</x:v>
      </x:c>
    </x:row>
    <x:row r="1966" ht="54" customHeight="1">
      <x:c r="A1966" s="8" t="str">
        <x:v>gold-medication-2f4a0c28393ba35f</x:v>
      </x:c>
      <x:c r="B1966" s="8" t="str">
        <x:v>eyak:201600173:adverse_reactions:001</x:v>
      </x:c>
      <x:c r="C1966" s="8" t="str">
        <x:v>eyak:201600173:adverse_reactions:001</x:v>
      </x:c>
      <x:c r="D1966" s="8" t="str">
        <x:v>근거와 함께 답변</x:v>
      </x:c>
      <x:c r="E1966" s="15" t="n">
        <x:v>1964</x:v>
      </x:c>
      <x:c r="F1966" s="8" t="str">
        <x:v>기존 검증 정답</x:v>
      </x:c>
      <x:c r="G1966" s="8" t="str">
        <x:v>https://apis.data.go.kr/1471000/DrbEasyDrugInfoService/getDrbEasyDrugList</x:v>
      </x:c>
      <x:c r="H1966" s="8" t="str">
        <x:v>{
  "item_seq": "201600173",
  "item_name": "파자임에어프리츄어블정(시메티콘산)",
  "manufacturer": "부광약품(주)",
  "section_codes": [
    "adverse_reactions"
  ]
}</x:v>
      </x:c>
    </x:row>
    <x:row r="1967" ht="54" customHeight="1">
      <x:c r="A1967" s="8" t="str">
        <x:v>gold-medication-f8c6a5d54ba859d9</x:v>
      </x:c>
      <x:c r="B1967" s="8" t="str">
        <x:v>eyak:201707836:warning:001</x:v>
      </x:c>
      <x:c r="C1967" s="8" t="str">
        <x:v>eyak:201707836:warning:001</x:v>
      </x:c>
      <x:c r="D1967" s="8" t="str">
        <x:v>근거와 함께 답변</x:v>
      </x:c>
      <x:c r="E1967" s="15" t="n">
        <x:v>1965</x:v>
      </x:c>
      <x:c r="F1967" s="8" t="str">
        <x:v>기존 검증 정답</x:v>
      </x:c>
      <x:c r="G1967" s="8" t="str">
        <x:v>https://apis.data.go.kr/1471000/DrbEasyDrugInfoService/getDrbEasyDrugList</x:v>
      </x:c>
      <x:c r="H1967" s="8" t="str">
        <x:v>{
  "item_seq": "201707836",
  "item_name": "훼리폴엠캡슐",
  "manufacturer": "아이큐어(주)",
  "section_codes": [
    "warning"
  ]
}</x:v>
      </x:c>
    </x:row>
    <x:row r="1968" ht="54" customHeight="1">
      <x:c r="A1968" s="8" t="str">
        <x:v>gold-medication-6ecbfcba78bdaa98</x:v>
      </x:c>
      <x:c r="B1968" s="8" t="str">
        <x:v>eyak:201903799:efficacy:001</x:v>
      </x:c>
      <x:c r="C1968" s="8" t="str">
        <x:v>eyak:201903799:efficacy:001</x:v>
      </x:c>
      <x:c r="D1968" s="8" t="str">
        <x:v>근거와 함께 답변</x:v>
      </x:c>
      <x:c r="E1968" s="15" t="n">
        <x:v>1966</x:v>
      </x:c>
      <x:c r="F1968" s="8" t="str">
        <x:v>기존 검증 정답</x:v>
      </x:c>
      <x:c r="G1968" s="8" t="str">
        <x:v>https://apis.data.go.kr/1471000/DrbEasyDrugInfoService/getDrbEasyDrugList</x:v>
      </x:c>
      <x:c r="H1968" s="8" t="str">
        <x:v>{
  "item_seq": "201903799",
  "item_name": "팜플루노즈연질캡슐",
  "manufacturer": "코스맥스파마(주)",
  "section_codes": [
    "efficacy"
  ]
}</x:v>
      </x:c>
    </x:row>
    <x:row r="1969" ht="54" customHeight="1">
      <x:c r="A1969" s="8" t="str">
        <x:v>gold-medication-027887f5dc903067</x:v>
      </x:c>
      <x:c r="B1969" s="8" t="str">
        <x:v>eyak:201206499:efficacy:001</x:v>
      </x:c>
      <x:c r="C1969" s="8" t="str">
        <x:v>eyak:201206499:efficacy:001</x:v>
      </x:c>
      <x:c r="D1969" s="8" t="str">
        <x:v>근거와 함께 답변</x:v>
      </x:c>
      <x:c r="E1969" s="15" t="n">
        <x:v>1967</x:v>
      </x:c>
      <x:c r="F1969" s="8" t="str">
        <x:v>기존 검증 정답</x:v>
      </x:c>
      <x:c r="G1969" s="8" t="str">
        <x:v>https://apis.data.go.kr/1471000/DrbEasyDrugInfoService/getDrbEasyDrugList</x:v>
      </x:c>
      <x:c r="H1969" s="8" t="str">
        <x:v>{
  "item_seq": "201206499",
  "item_name": "알게론정500밀리그램(알마게이트)",
  "manufacturer": "동국제약(주)",
  "section_codes": [
    "efficacy"
  ]
}</x:v>
      </x:c>
    </x:row>
    <x:row r="1970" ht="54" customHeight="1">
      <x:c r="A1970" s="8" t="str">
        <x:v>gold-medication-9f8c187285823d48</x:v>
      </x:c>
      <x:c r="B1970" s="8" t="str">
        <x:v>eyak:201700502:precautions:001</x:v>
      </x:c>
      <x:c r="C1970" s="8" t="str">
        <x:v>eyak:201700502:precautions:001
eyak:201700502:precautions:003
eyak:201700502:precautions:002
eyak:201700502:precautions:004
eyak:201700502:precautions:005</x:v>
      </x:c>
      <x:c r="D1970" s="8" t="str">
        <x:v>근거와 함께 답변</x:v>
      </x:c>
      <x:c r="E1970" s="15" t="n">
        <x:v>1968</x:v>
      </x:c>
      <x:c r="F1970" s="8" t="str">
        <x:v>기존 검증 정답</x:v>
      </x:c>
      <x:c r="G1970" s="8" t="str">
        <x:v>https://apis.data.go.kr/1471000/DrbEasyDrugInfoService/getDrbEasyDrugList</x:v>
      </x:c>
      <x:c r="H1970" s="8" t="str">
        <x:v>{
  "item_seq": "201700502",
  "item_name": "세다큐노즈연질캡슐",
  "manufacturer": "경남제약(주)",
  "section_codes": [
    "precautions"
  ]
}</x:v>
      </x:c>
    </x:row>
    <x:row r="1971" ht="54" customHeight="1">
      <x:c r="A1971" s="8" t="str">
        <x:v>gold-medication-5837b1f43008b428</x:v>
      </x:c>
      <x:c r="B1971" s="8" t="str">
        <x:v>eyak:202400654:adverse_reactions:001</x:v>
      </x:c>
      <x:c r="C1971" s="8" t="str">
        <x:v>eyak:202400654:adverse_reactions:001</x:v>
      </x:c>
      <x:c r="D1971" s="8" t="str">
        <x:v>근거와 함께 답변</x:v>
      </x:c>
      <x:c r="E1971" s="15" t="n">
        <x:v>1969</x:v>
      </x:c>
      <x:c r="F1971" s="8" t="str">
        <x:v>기존 검증 정답</x:v>
      </x:c>
      <x:c r="G1971" s="8" t="str">
        <x:v>https://apis.data.go.kr/1471000/DrbEasyDrugInfoService/getDrbEasyDrugList</x:v>
      </x:c>
      <x:c r="H1971" s="8" t="str">
        <x:v>{
  "item_seq": "202400654",
  "item_name": "크로아존엔정",
  "manufacturer": "일양약품(주)",
  "section_codes": [
    "adverse_reactions"
  ]
}</x:v>
      </x:c>
    </x:row>
    <x:row r="1972" ht="54" customHeight="1">
      <x:c r="A1972" s="8" t="str">
        <x:v>gold-medication-7626ba91bd2c696c</x:v>
      </x:c>
      <x:c r="B1972" s="8" t="str">
        <x:v>eyak:200811440:adverse_reactions:001</x:v>
      </x:c>
      <x:c r="C1972" s="8" t="str">
        <x:v>eyak:200811440:adverse_reactions:001
eyak:200811440:adverse_reactions:002
eyak:200811440:adverse_reactions:003
eyak:200811440:adverse_reactions:004</x:v>
      </x:c>
      <x:c r="D1972" s="8" t="str">
        <x:v>근거와 함께 답변</x:v>
      </x:c>
      <x:c r="E1972" s="15" t="n">
        <x:v>1970</x:v>
      </x:c>
      <x:c r="F1972" s="8" t="str">
        <x:v>기존 검증 정답</x:v>
      </x:c>
      <x:c r="G1972" s="8" t="str">
        <x:v>https://apis.data.go.kr/1471000/DrbEasyDrugInfoService/getDrbEasyDrugList</x:v>
      </x:c>
      <x:c r="H1972" s="8" t="str">
        <x:v>{
  "item_seq": "200811440",
  "item_name": "마이딜액3%(미녹시딜)",
  "manufacturer": "제이더블유신약(주)",
  "section_codes": [
    "adverse_reactions"
  ]
}</x:v>
      </x:c>
    </x:row>
    <x:row r="1973" ht="54" customHeight="1">
      <x:c r="A1973" s="8" t="str">
        <x:v>gold-medication-73be3647214c6824</x:v>
      </x:c>
      <x:c r="B1973" s="8" t="str">
        <x:v>eyak:201908451:precautions:001</x:v>
      </x:c>
      <x:c r="C1973" s="8" t="str">
        <x:v>eyak:201908451:precautions:001
eyak:201908451:precautions:002
eyak:201908451:precautions:003</x:v>
      </x:c>
      <x:c r="D1973" s="8" t="str">
        <x:v>근거와 함께 답변</x:v>
      </x:c>
      <x:c r="E1973" s="15" t="n">
        <x:v>1971</x:v>
      </x:c>
      <x:c r="F1973" s="8" t="str">
        <x:v>기존 검증 정답</x:v>
      </x:c>
      <x:c r="G1973" s="8" t="str">
        <x:v>https://apis.data.go.kr/1471000/DrbEasyDrugInfoService/getDrbEasyDrugList</x:v>
      </x:c>
      <x:c r="H1973" s="8" t="str">
        <x:v>{
  "item_seq": "201908451",
  "item_name": "센스지크림",
  "manufacturer": "주식회사더유제약",
  "section_codes": [
    "precautions"
  ]
}</x:v>
      </x:c>
    </x:row>
    <x:row r="1974" ht="54" customHeight="1">
      <x:c r="A1974" s="8" t="str">
        <x:v>gold-medication-940d58cd7f07a896</x:v>
      </x:c>
      <x:c r="B1974" s="8" t="str">
        <x:v>eyak:201900178:precautions:003</x:v>
      </x:c>
      <x:c r="C1974" s="8" t="str">
        <x:v>eyak:201900178:precautions:003
eyak:201900178:precautions:002
eyak:201900178:precautions:001
eyak:201900178:precautions:004</x:v>
      </x:c>
      <x:c r="D1974" s="8" t="str">
        <x:v>근거와 함께 답변</x:v>
      </x:c>
      <x:c r="E1974" s="15" t="n">
        <x:v>1972</x:v>
      </x:c>
      <x:c r="F1974" s="8" t="str">
        <x:v>기존 검증 정답</x:v>
      </x:c>
      <x:c r="G1974" s="8" t="str">
        <x:v>https://apis.data.go.kr/1471000/DrbEasyDrugInfoService/getDrbEasyDrugList</x:v>
      </x:c>
      <x:c r="H1974" s="8" t="str">
        <x:v>{
  "item_seq": "201900178",
  "item_name": "서울아스피린장용정",
  "manufacturer": "(주)서울제약",
  "section_codes": [
    "precautions"
  ]
}</x:v>
      </x:c>
    </x:row>
    <x:row r="1975" ht="54" customHeight="1">
      <x:c r="A1975" s="8" t="str">
        <x:v>gold-medication-7dff3f88bedc0441</x:v>
      </x:c>
      <x:c r="B1975" s="8" t="str">
        <x:v>eyak:200100163:precautions:001</x:v>
      </x:c>
      <x:c r="C1975" s="8" t="str">
        <x:v>eyak:200100163:precautions:001</x:v>
      </x:c>
      <x:c r="D1975" s="8" t="str">
        <x:v>근거와 함께 답변</x:v>
      </x:c>
      <x:c r="E1975" s="15" t="n">
        <x:v>1973</x:v>
      </x:c>
      <x:c r="F1975" s="8" t="str">
        <x:v>기존 검증 정답</x:v>
      </x:c>
      <x:c r="G1975" s="8" t="str">
        <x:v>https://apis.data.go.kr/1471000/DrbEasyDrugInfoService/getDrbEasyDrugList</x:v>
      </x:c>
      <x:c r="H1975" s="8" t="str">
        <x:v>{
  "item_seq": "200100163",
  "item_name": "뮤코브이시럽(암브록솔염산염)",
  "manufacturer": "이연제약(주)",
  "section_codes": [
    "precautions"
  ]
}</x:v>
      </x:c>
    </x:row>
    <x:row r="1976" ht="54" customHeight="1">
      <x:c r="A1976" s="8" t="str">
        <x:v>gold-medication-619d922f8fa3d526</x:v>
      </x:c>
      <x:c r="B1976" s="8" t="str">
        <x:v>eyak:202106262:precautions:001</x:v>
      </x:c>
      <x:c r="C1976" s="8" t="str">
        <x:v>eyak:202106262:precautions:001
eyak:202106262:precautions:002</x:v>
      </x:c>
      <x:c r="D1976" s="8" t="str">
        <x:v>근거와 함께 답변</x:v>
      </x:c>
      <x:c r="E1976" s="15" t="n">
        <x:v>1974</x:v>
      </x:c>
      <x:c r="F1976" s="8" t="str">
        <x:v>기존 검증 정답</x:v>
      </x:c>
      <x:c r="G1976" s="8" t="str">
        <x:v>https://apis.data.go.kr/1471000/DrbEasyDrugInfoService/getDrbEasyDrugList</x:v>
      </x:c>
      <x:c r="H1976" s="8" t="str">
        <x:v>{
  "item_seq": "202106262",
  "item_name": "바르핀케어네일라카(시클로피록스)",
  "manufacturer": "동성제약(주)",
  "section_codes": [
    "precautions"
  ]
}</x:v>
      </x:c>
    </x:row>
    <x:row r="1977" ht="54" customHeight="1">
      <x:c r="A1977" s="8" t="str">
        <x:v>gold-medication-9e05669b6827a41c</x:v>
      </x:c>
      <x:c r="B1977" s="8" t="str">
        <x:v>eyak:201908513:interactions:001</x:v>
      </x:c>
      <x:c r="C1977" s="8" t="str">
        <x:v>eyak:201908513:interactions:001
eyak:201908513:interactions:002</x:v>
      </x:c>
      <x:c r="D1977" s="8" t="str">
        <x:v>근거와 함께 답변</x:v>
      </x:c>
      <x:c r="E1977" s="15" t="n">
        <x:v>1975</x:v>
      </x:c>
      <x:c r="F1977" s="8" t="str">
        <x:v>기존 검증 정답</x:v>
      </x:c>
      <x:c r="G1977" s="8" t="str">
        <x:v>https://apis.data.go.kr/1471000/DrbEasyDrugInfoService/getDrbEasyDrugList</x:v>
      </x:c>
      <x:c r="H1977" s="8" t="str">
        <x:v>{
  "item_seq": "201908513",
  "item_name": "엠지플러스큐연질캡슐",
  "manufacturer": "(주)알피바이오",
  "section_codes": [
    "interactions"
  ]
}</x:v>
      </x:c>
    </x:row>
    <x:row r="1978" ht="54" customHeight="1">
      <x:c r="A1978" s="8" t="str">
        <x:v>gold-medication-45741ef3bb537a88</x:v>
      </x:c>
      <x:c r="B1978" s="8" t="str">
        <x:v>eyak:202302998:efficacy:001</x:v>
      </x:c>
      <x:c r="C1978" s="8" t="str">
        <x:v>eyak:202302998:efficacy:001</x:v>
      </x:c>
      <x:c r="D1978" s="8" t="str">
        <x:v>근거와 함께 답변</x:v>
      </x:c>
      <x:c r="E1978" s="15" t="n">
        <x:v>1976</x:v>
      </x:c>
      <x:c r="F1978" s="8" t="str">
        <x:v>기존 검증 정답</x:v>
      </x:c>
      <x:c r="G1978" s="8" t="str">
        <x:v>https://apis.data.go.kr/1471000/DrbEasyDrugInfoService/getDrbEasyDrugList</x:v>
      </x:c>
      <x:c r="H1978" s="8" t="str">
        <x:v>{
  "item_seq": "202302998",
  "item_name": "하벤허브골드캡슐",
  "manufacturer": "고려제약(주)",
  "section_codes": [
    "efficacy"
  ]
}</x:v>
      </x:c>
    </x:row>
    <x:row r="1979" ht="54" customHeight="1">
      <x:c r="A1979" s="8" t="str">
        <x:v>gold-medication-2a182cd38576d996</x:v>
      </x:c>
      <x:c r="B1979" s="8" t="str">
        <x:v>eyak:201907666:adverse_reactions:001</x:v>
      </x:c>
      <x:c r="C1979" s="8" t="str">
        <x:v>eyak:201907666:adverse_reactions:001</x:v>
      </x:c>
      <x:c r="D1979" s="8" t="str">
        <x:v>근거와 함께 답변</x:v>
      </x:c>
      <x:c r="E1979" s="15" t="n">
        <x:v>1977</x:v>
      </x:c>
      <x:c r="F1979" s="8" t="str">
        <x:v>기존 검증 정답</x:v>
      </x:c>
      <x:c r="G1979" s="8" t="str">
        <x:v>https://apis.data.go.kr/1471000/DrbEasyDrugInfoService/getDrbEasyDrugList</x:v>
      </x:c>
      <x:c r="H1979" s="8" t="str">
        <x:v>{
  "item_seq": "201907666",
  "item_name": "위크린정",
  "manufacturer": "한국신텍스제약(주)",
  "section_codes": [
    "adverse_reactions"
  ]
}</x:v>
      </x:c>
    </x:row>
    <x:row r="1980" ht="54" customHeight="1">
      <x:c r="A1980" s="8" t="str">
        <x:v>gold-medication-fefdef4b0fb75bd4</x:v>
      </x:c>
      <x:c r="B1980" s="8" t="str">
        <x:v>eyak:199502575:dosage:001</x:v>
      </x:c>
      <x:c r="C1980" s="8" t="str">
        <x:v>eyak:199502575:dosage:001
eyak:199502575:dosage:002</x:v>
      </x:c>
      <x:c r="D1980" s="8" t="str">
        <x:v>근거와 함께 답변</x:v>
      </x:c>
      <x:c r="E1980" s="15" t="n">
        <x:v>1978</x:v>
      </x:c>
      <x:c r="F1980" s="8" t="str">
        <x:v>기존 검증 정답</x:v>
      </x:c>
      <x:c r="G1980" s="8" t="str">
        <x:v>https://apis.data.go.kr/1471000/DrbEasyDrugInfoService/getDrbEasyDrugList</x:v>
      </x:c>
      <x:c r="H1980" s="8" t="str">
        <x:v>{
  "item_seq": "199502575",
  "item_name": "삼익이부프로펜정",
  "manufacturer": "삼익제약(주)",
  "section_codes": [
    "dosage"
  ]
}</x:v>
      </x:c>
    </x:row>
    <x:row r="1981" ht="54" customHeight="1">
      <x:c r="A1981" s="8" t="str">
        <x:v>gold-medication-33ed6841949ec2cc</x:v>
      </x:c>
      <x:c r="B1981" s="8" t="str">
        <x:v>eyak:201908441:precautions:002
eyak:201908441:adverse_reactions:001</x:v>
      </x:c>
      <x:c r="C1981" s="8" t="str">
        <x:v>eyak:201908441:precautions:002
eyak:201908441:precautions:003
eyak:201908441:precautions:001
eyak:201908441:adverse_reactions:001</x:v>
      </x:c>
      <x:c r="D1981" s="8" t="str">
        <x:v>근거와 함께 답변</x:v>
      </x:c>
      <x:c r="E1981" s="15" t="n">
        <x:v>1979</x:v>
      </x:c>
      <x:c r="F1981" s="8" t="str">
        <x:v>기존 검증 정답</x:v>
      </x:c>
      <x:c r="G1981" s="8" t="str">
        <x:v>https://apis.data.go.kr/1471000/DrbEasyDrugInfoService/getDrbEasyDrugList</x:v>
      </x:c>
      <x:c r="H1981" s="8" t="str">
        <x:v>{
  "item_seq": "201908441",
  "item_name": "액티바이정",
  "manufacturer": "부광약품(주)",
  "section_codes": [
    "precautions",
    "adverse_reactions"
  ]
}</x:v>
      </x:c>
    </x:row>
    <x:row r="1982" ht="54" customHeight="1">
      <x:c r="A1982" s="8" t="str">
        <x:v>gold-medication-3a0199d6524eec8f</x:v>
      </x:c>
      <x:c r="B1982" s="8" t="str">
        <x:v>eyak:200300640:adverse_reactions:001</x:v>
      </x:c>
      <x:c r="C1982" s="8" t="str">
        <x:v>eyak:200300640:adverse_reactions:001
eyak:200300640:adverse_reactions:002
eyak:200300640:adverse_reactions:003</x:v>
      </x:c>
      <x:c r="D1982" s="8" t="str">
        <x:v>근거와 함께 답변</x:v>
      </x:c>
      <x:c r="E1982" s="15" t="n">
        <x:v>1980</x:v>
      </x:c>
      <x:c r="F1982" s="8" t="str">
        <x:v>기존 검증 정답</x:v>
      </x:c>
      <x:c r="G1982" s="8" t="str">
        <x:v>https://apis.data.go.kr/1471000/DrbEasyDrugInfoService/getDrbEasyDrugList</x:v>
      </x:c>
      <x:c r="H1982" s="8" t="str">
        <x:v>{
  "item_seq": "200300640",
  "item_name": "쎄레론지크림(수출명: GENTAX B Cream)",
  "manufacturer": "동성제약(주)",
  "section_codes": [
    "adverse_reactions"
  ]
}</x:v>
      </x:c>
    </x:row>
    <x:row r="1983" ht="54" customHeight="1">
      <x:c r="A1983" s="8" t="str">
        <x:v>gold-medication-4195fad864bcc4bd</x:v>
      </x:c>
      <x:c r="B1983" s="8" t="str">
        <x:v>eyak:201606067:efficacy:001</x:v>
      </x:c>
      <x:c r="C1983" s="8" t="str">
        <x:v>eyak:201606067:efficacy:001</x:v>
      </x:c>
      <x:c r="D1983" s="8" t="str">
        <x:v>근거와 함께 답변</x:v>
      </x:c>
      <x:c r="E1983" s="15" t="n">
        <x:v>1981</x:v>
      </x:c>
      <x:c r="F1983" s="8" t="str">
        <x:v>기존 검증 정답</x:v>
      </x:c>
      <x:c r="G1983" s="8" t="str">
        <x:v>https://apis.data.go.kr/1471000/DrbEasyDrugInfoService/getDrbEasyDrugList</x:v>
      </x:c>
      <x:c r="H1983" s="8" t="str">
        <x:v>{
  "item_seq": "201606067",
  "item_name": "더블자임정",
  "manufacturer": "에스케이케미칼(주)",
  "section_codes": [
    "efficacy"
  ]
}</x:v>
      </x:c>
    </x:row>
    <x:row r="1984" ht="54" customHeight="1">
      <x:c r="A1984" s="8" t="str">
        <x:v>gold-medication-a02310a7132d26ea</x:v>
      </x:c>
      <x:c r="B1984" s="8" t="str">
        <x:v>eyak:201906129:adverse_reactions:001</x:v>
      </x:c>
      <x:c r="C1984" s="8" t="str">
        <x:v>eyak:201906129:adverse_reactions:001</x:v>
      </x:c>
      <x:c r="D1984" s="8" t="str">
        <x:v>근거와 함께 답변</x:v>
      </x:c>
      <x:c r="E1984" s="15" t="n">
        <x:v>1982</x:v>
      </x:c>
      <x:c r="F1984" s="8" t="str">
        <x:v>기존 검증 정답</x:v>
      </x:c>
      <x:c r="G1984" s="8" t="str">
        <x:v>https://apis.data.go.kr/1471000/DrbEasyDrugInfoService/getDrbEasyDrugList</x:v>
      </x:c>
      <x:c r="H1984" s="8" t="str">
        <x:v>{
  "item_seq": "201906129",
  "item_name": "센코프액",
  "manufacturer": "경방신약(주)",
  "section_codes": [
    "adverse_reactions"
  ]
}</x:v>
      </x:c>
    </x:row>
    <x:row r="1985" ht="54" customHeight="1">
      <x:c r="A1985" s="8" t="str">
        <x:v>gold-medication-3a2e2e547963da4e</x:v>
      </x:c>
      <x:c r="B1985" s="8" t="str">
        <x:v>eyak:202301486:precautions:002</x:v>
      </x:c>
      <x:c r="C1985" s="8" t="str">
        <x:v>eyak:202301486:precautions:002
eyak:202301486:precautions:001
eyak:202301486:precautions:003</x:v>
      </x:c>
      <x:c r="D1985" s="8" t="str">
        <x:v>근거와 함께 답변</x:v>
      </x:c>
      <x:c r="E1985" s="15" t="n">
        <x:v>1983</x:v>
      </x:c>
      <x:c r="F1985" s="8" t="str">
        <x:v>기존 검증 정답</x:v>
      </x:c>
      <x:c r="G1985" s="8" t="str">
        <x:v>https://apis.data.go.kr/1471000/DrbEasyDrugInfoService/getDrbEasyDrugList</x:v>
      </x:c>
      <x:c r="H1985" s="8" t="str">
        <x:v>{
  "item_seq": "202301486",
  "item_name": "베타셀민연질캡슐",
  "manufacturer": "(주)에이프로젠바이오로직스",
  "section_codes": [
    "precautions"
  ]
}</x:v>
      </x:c>
    </x:row>
    <x:row r="1986" ht="54" customHeight="1">
      <x:c r="A1986" s="8" t="str">
        <x:v>gold-medication-bc784508556b8ccd</x:v>
      </x:c>
      <x:c r="B1986" s="8" t="str">
        <x:v>eyak:202400815:interactions:001</x:v>
      </x:c>
      <x:c r="C1986" s="8" t="str">
        <x:v>eyak:202400815:interactions:001</x:v>
      </x:c>
      <x:c r="D1986" s="8" t="str">
        <x:v>근거와 함께 답변</x:v>
      </x:c>
      <x:c r="E1986" s="15" t="n">
        <x:v>1984</x:v>
      </x:c>
      <x:c r="F1986" s="8" t="str">
        <x:v>기존 검증 정답</x:v>
      </x:c>
      <x:c r="G1986" s="8" t="str">
        <x:v>https://apis.data.go.kr/1471000/DrbEasyDrugInfoService/getDrbEasyDrugList</x:v>
      </x:c>
      <x:c r="H1986" s="8" t="str">
        <x:v>{
  "item_seq": "202400815",
  "item_name": "티엔클라젠정",
  "manufacturer": "(주)넥스팜코리아",
  "section_codes": [
    "interactions"
  ]
}</x:v>
      </x:c>
    </x:row>
    <x:row r="1987" ht="54" customHeight="1">
      <x:c r="A1987" s="8" t="str">
        <x:v>gold-medication-2bb9f88ab150d5a5</x:v>
      </x:c>
      <x:c r="B1987" s="8" t="str">
        <x:v>eyak:202002968:storage:001</x:v>
      </x:c>
      <x:c r="C1987" s="8" t="str">
        <x:v>eyak:202002968:storage:001</x:v>
      </x:c>
      <x:c r="D1987" s="8" t="str">
        <x:v>근거와 함께 답변</x:v>
      </x:c>
      <x:c r="E1987" s="15" t="n">
        <x:v>1985</x:v>
      </x:c>
      <x:c r="F1987" s="8" t="str">
        <x:v>기존 검증 정답</x:v>
      </x:c>
      <x:c r="G1987" s="8" t="str">
        <x:v>https://apis.data.go.kr/1471000/DrbEasyDrugInfoService/getDrbEasyDrugList</x:v>
      </x:c>
      <x:c r="H1987" s="8" t="str">
        <x:v>{
  "item_seq": "202002968",
  "item_name": "마이모닉액3%(미녹시딜)",
  "manufacturer": "주식회사더유제약",
  "section_codes": [
    "storage"
  ]
}</x:v>
      </x:c>
    </x:row>
    <x:row r="1988" ht="54" customHeight="1">
      <x:c r="A1988" s="8" t="str">
        <x:v>gold-medication-3e87619f1517a82c</x:v>
      </x:c>
      <x:c r="B1988" s="8" t="str">
        <x:v>eyak:200402546:storage:001</x:v>
      </x:c>
      <x:c r="C1988" s="8" t="str">
        <x:v>eyak:200402546:storage:001</x:v>
      </x:c>
      <x:c r="D1988" s="8" t="str">
        <x:v>근거와 함께 답변</x:v>
      </x:c>
      <x:c r="E1988" s="15" t="n">
        <x:v>1986</x:v>
      </x:c>
      <x:c r="F1988" s="8" t="str">
        <x:v>기존 검증 정답</x:v>
      </x:c>
      <x:c r="G1988" s="8" t="str">
        <x:v>https://apis.data.go.kr/1471000/DrbEasyDrugInfoService/getDrbEasyDrugList</x:v>
      </x:c>
      <x:c r="H1988" s="8" t="str">
        <x:v>{
  "item_seq": "200402546",
  "item_name": "이모나캡슐",
  "manufacturer": "미래바이오제약(주)",
  "section_codes": [
    "storage"
  ]
}</x:v>
      </x:c>
    </x:row>
    <x:row r="1989" ht="54" customHeight="1">
      <x:c r="A1989" s="8" t="str">
        <x:v>gold-medication-085383d405c83bcf</x:v>
      </x:c>
      <x:c r="B1989" s="8" t="str">
        <x:v>eyak:201308173:efficacy:001</x:v>
      </x:c>
      <x:c r="C1989" s="8" t="str">
        <x:v>eyak:201308173:efficacy:001</x:v>
      </x:c>
      <x:c r="D1989" s="8" t="str">
        <x:v>근거와 함께 답변</x:v>
      </x:c>
      <x:c r="E1989" s="15" t="n">
        <x:v>1987</x:v>
      </x:c>
      <x:c r="F1989" s="8" t="str">
        <x:v>기존 검증 정답</x:v>
      </x:c>
      <x:c r="G1989" s="8" t="str">
        <x:v>https://apis.data.go.kr/1471000/DrbEasyDrugInfoService/getDrbEasyDrugList</x:v>
      </x:c>
      <x:c r="H1989" s="8" t="str">
        <x:v>{
  "item_seq": "201308173",
  "item_name": "마그토닉연질캡슐",
  "manufacturer": "(주)동구바이오제약",
  "section_codes": [
    "efficacy"
  ]
}</x:v>
      </x:c>
    </x:row>
    <x:row r="1990" ht="54" customHeight="1">
      <x:c r="A1990" s="8" t="str">
        <x:v>gold-medication-d869a7743b1e16b5</x:v>
      </x:c>
      <x:c r="B1990" s="8" t="str">
        <x:v>eyak:202400578:efficacy:001</x:v>
      </x:c>
      <x:c r="C1990" s="8" t="str">
        <x:v>eyak:202400578:efficacy:001</x:v>
      </x:c>
      <x:c r="D1990" s="8" t="str">
        <x:v>근거와 함께 답변</x:v>
      </x:c>
      <x:c r="E1990" s="15" t="n">
        <x:v>1988</x:v>
      </x:c>
      <x:c r="F1990" s="8" t="str">
        <x:v>기존 검증 정답</x:v>
      </x:c>
      <x:c r="G1990" s="8" t="str">
        <x:v>https://apis.data.go.kr/1471000/DrbEasyDrugInfoService/getDrbEasyDrugList</x:v>
      </x:c>
      <x:c r="H1990" s="8" t="str">
        <x:v>{
  "item_seq": "202400578",
  "item_name": "나들이시럽",
  "manufacturer": "(주)이든파마",
  "section_codes": [
    "efficacy"
  ]
}</x:v>
      </x:c>
    </x:row>
    <x:row r="1991" ht="54" customHeight="1">
      <x:c r="A1991" s="8" t="str">
        <x:v>gold-medication-20cdee33df26f01e</x:v>
      </x:c>
      <x:c r="B1991" s="8" t="str">
        <x:v>eyak:202202131:dosage:001</x:v>
      </x:c>
      <x:c r="C1991" s="8" t="str">
        <x:v>eyak:202202131:dosage:001</x:v>
      </x:c>
      <x:c r="D1991" s="8" t="str">
        <x:v>근거와 함께 답변</x:v>
      </x:c>
      <x:c r="E1991" s="15" t="n">
        <x:v>1989</x:v>
      </x:c>
      <x:c r="F1991" s="8" t="str">
        <x:v>기존 검증 정답</x:v>
      </x:c>
      <x:c r="G1991" s="8" t="str">
        <x:v>https://apis.data.go.kr/1471000/DrbEasyDrugInfoService/getDrbEasyDrugList</x:v>
      </x:c>
      <x:c r="H1991" s="8" t="str">
        <x:v>{
  "item_seq": "202202131",
  "item_name": "투엑스비콘드로800정",
  "manufacturer": "제일헬스사이언스(주)",
  "section_codes": [
    "dosage"
  ]
}</x:v>
      </x:c>
    </x:row>
    <x:row r="1992" ht="54" customHeight="1">
      <x:c r="A1992" s="8" t="str">
        <x:v>gold-medication-74e5e9c3602f0fd2</x:v>
      </x:c>
      <x:c r="B1992" s="8" t="str">
        <x:v>eyak:200400485:adverse_reactions:006</x:v>
      </x:c>
      <x:c r="C1992" s="8" t="str">
        <x:v>eyak:200400485:adverse_reactions:006
eyak:200400485:adverse_reactions:004
eyak:200400485:adverse_reactions:005
eyak:200400485:adverse_reactions:002
eyak:200400485:adverse_reactions:001
eyak:200400485:adverse_reactions:003
eyak:200400485:adverse_reactions:007</x:v>
      </x:c>
      <x:c r="D1992" s="8" t="str">
        <x:v>근거와 함께 답변</x:v>
      </x:c>
      <x:c r="E1992" s="15" t="n">
        <x:v>1990</x:v>
      </x:c>
      <x:c r="F1992" s="8" t="str">
        <x:v>기존 검증 정답</x:v>
      </x:c>
      <x:c r="G1992" s="8" t="str">
        <x:v>https://apis.data.go.kr/1471000/DrbEasyDrugInfoService/getDrbEasyDrugList</x:v>
      </x:c>
      <x:c r="H1992" s="8" t="str">
        <x:v>{
  "item_seq": "200400485",
  "item_name": "이지엔6프로연질캡슐(덱시부프로펜)(수출명:DAUFENSoftCapsule,SPEEDFEN)",
  "manufacturer": "(주)대웅제약",
  "section_codes": [
    "adverse_reactions"
  ]
}</x:v>
      </x:c>
    </x:row>
    <x:row r="1993" ht="54" customHeight="1">
      <x:c r="A1993" s="8" t="str">
        <x:v>gold-medication-e59e257854158030</x:v>
      </x:c>
      <x:c r="B1993" s="8" t="str">
        <x:v>eyak:201606619:precautions:001</x:v>
      </x:c>
      <x:c r="C1993" s="8" t="str">
        <x:v>eyak:201606619:precautions:001
eyak:201606619:precautions:002</x:v>
      </x:c>
      <x:c r="D1993" s="8" t="str">
        <x:v>근거와 함께 답변</x:v>
      </x:c>
      <x:c r="E1993" s="15" t="n">
        <x:v>1991</x:v>
      </x:c>
      <x:c r="F1993" s="8" t="str">
        <x:v>기존 검증 정답</x:v>
      </x:c>
      <x:c r="G1993" s="8" t="str">
        <x:v>https://apis.data.go.kr/1471000/DrbEasyDrugInfoService/getDrbEasyDrugList</x:v>
      </x:c>
      <x:c r="H1993" s="8" t="str">
        <x:v>{
  "item_seq": "201606619",
  "item_name": "타바자겔",
  "manufacturer": "시믹씨엠오코리아주식회사",
  "section_codes": [
    "precautions"
  ]
}</x:v>
      </x:c>
    </x:row>
    <x:row r="1994" ht="54" customHeight="1">
      <x:c r="A1994" s="8" t="str">
        <x:v>gold-medication-ee9e06c1466220ca</x:v>
      </x:c>
      <x:c r="B1994" s="8" t="str">
        <x:v>eyak:201901968:adverse_reactions:001</x:v>
      </x:c>
      <x:c r="C1994" s="8" t="str">
        <x:v>eyak:201901968:adverse_reactions:001</x:v>
      </x:c>
      <x:c r="D1994" s="8" t="str">
        <x:v>근거와 함께 답변</x:v>
      </x:c>
      <x:c r="E1994" s="15" t="n">
        <x:v>1992</x:v>
      </x:c>
      <x:c r="F1994" s="8" t="str">
        <x:v>기존 검증 정답</x:v>
      </x:c>
      <x:c r="G1994" s="8" t="str">
        <x:v>https://apis.data.go.kr/1471000/DrbEasyDrugInfoService/getDrbEasyDrugList</x:v>
      </x:c>
      <x:c r="H1994" s="8" t="str">
        <x:v>{
  "item_seq": "201901968",
  "item_name": "위앤탁더블액션현탁액",
  "manufacturer": "구주제약(주)",
  "section_codes": [
    "adverse_reactions"
  ]
}</x:v>
      </x:c>
    </x:row>
    <x:row r="1995" ht="54" customHeight="1">
      <x:c r="A1995" s="8" t="str">
        <x:v>gold-medication-ae88bd484b9778cb</x:v>
      </x:c>
      <x:c r="B1995" s="8" t="str">
        <x:v>eyak:199901404:interactions:001</x:v>
      </x:c>
      <x:c r="C1995" s="8" t="str">
        <x:v>eyak:199901404:interactions:001</x:v>
      </x:c>
      <x:c r="D1995" s="8" t="str">
        <x:v>근거와 함께 답변</x:v>
      </x:c>
      <x:c r="E1995" s="15" t="n">
        <x:v>1993</x:v>
      </x:c>
      <x:c r="F1995" s="8" t="str">
        <x:v>기존 검증 정답</x:v>
      </x:c>
      <x:c r="G1995" s="8" t="str">
        <x:v>https://apis.data.go.kr/1471000/DrbEasyDrugInfoService/getDrbEasyDrugList</x:v>
      </x:c>
      <x:c r="H1995" s="8" t="str">
        <x:v>{
  "item_seq": "199901404",
  "item_name": "쎄토마연질캡슐",
  "manufacturer": "경남제약(주)",
  "section_codes": [
    "interactions"
  ]
}</x:v>
      </x:c>
    </x:row>
    <x:row r="1996" ht="54" customHeight="1">
      <x:c r="A1996" s="8" t="str">
        <x:v>gold-medication-24bfa1fcea8bef56</x:v>
      </x:c>
      <x:c r="B1996" s="8" t="str">
        <x:v>eyak:200001516:precautions:001</x:v>
      </x:c>
      <x:c r="C1996" s="8" t="str">
        <x:v>eyak:200001516:precautions:001
eyak:200001516:precautions:002
eyak:200001516:precautions:004
eyak:200001516:precautions:003</x:v>
      </x:c>
      <x:c r="D1996" s="8" t="str">
        <x:v>근거와 함께 답변</x:v>
      </x:c>
      <x:c r="E1996" s="15" t="n">
        <x:v>1994</x:v>
      </x:c>
      <x:c r="F1996" s="8" t="str">
        <x:v>기존 검증 정답</x:v>
      </x:c>
      <x:c r="G1996" s="8" t="str">
        <x:v>https://apis.data.go.kr/1471000/DrbEasyDrugInfoService/getDrbEasyDrugList</x:v>
      </x:c>
      <x:c r="H1996" s="8" t="str">
        <x:v>{
  "item_seq": "200001516",
  "item_name": "컴비덤지크림",
  "manufacturer": "일양약품(주)",
  "section_codes": [
    "precautions"
  ]
}</x:v>
      </x:c>
    </x:row>
    <x:row r="1997" ht="54" customHeight="1">
      <x:c r="A1997" s="8" t="str">
        <x:v>gold-medication-5dc42333e3cb9373</x:v>
      </x:c>
      <x:c r="B1997" s="8" t="str">
        <x:v>eyak:200903737:adverse_reactions:001</x:v>
      </x:c>
      <x:c r="C1997" s="8" t="str">
        <x:v>eyak:200903737:adverse_reactions:001
eyak:200903737:adverse_reactions:002</x:v>
      </x:c>
      <x:c r="D1997" s="8" t="str">
        <x:v>근거와 함께 답변</x:v>
      </x:c>
      <x:c r="E1997" s="15" t="n">
        <x:v>1995</x:v>
      </x:c>
      <x:c r="F1997" s="8" t="str">
        <x:v>기존 검증 정답</x:v>
      </x:c>
      <x:c r="G1997" s="8" t="str">
        <x:v>https://apis.data.go.kr/1471000/DrbEasyDrugInfoService/getDrbEasyDrugList</x:v>
      </x:c>
      <x:c r="H1997" s="8" t="str">
        <x:v>{
  "item_seq": "200903737",
  "item_name": "쿨드림연질캡슐(디펜히드라민염산염)",
  "manufacturer": "(주)녹십자",
  "section_codes": [
    "adverse_reactions"
  ]
}</x:v>
      </x:c>
    </x:row>
    <x:row r="1998" ht="54" customHeight="1">
      <x:c r="A1998" s="8" t="str">
        <x:v>gold-medication-na-f25ca11b050e55bb</x:v>
      </x:c>
      <x:c r="B1998" s="8" t="str"/>
      <x:c r="C1998" s="8" t="str"/>
      <x:c r="D1998" s="8" t="str">
        <x:v>답변 거부 또는 추가 확인 요청</x:v>
      </x:c>
      <x:c r="E1998" s="15" t="n">
        <x:v>1996</x:v>
      </x:c>
      <x:c r="F1998" s="8" t="str">
        <x:v>답변 거부 기준 문구</x:v>
      </x:c>
      <x:c r="G1998" s="8" t="str">
        <x:v>https://apis.data.go.kr/1471000/DrbEasyDrugInfoService/getDrbEasyDrugList</x:v>
      </x:c>
      <x:c r="H1998" s="8" t="str">
        <x:v>{
  "item_seq": "201801170",
  "item_name": "엘카틸정(엘카르니틴)",
  "manufacturer": "(주)비보존제약",
  "section_codes": [
    "precautions"
  ]
}</x:v>
      </x:c>
    </x:row>
    <x:row r="1999" ht="54" customHeight="1">
      <x:c r="A1999" s="8" t="str">
        <x:v>gold-medication-na-68a75bf921658faf</x:v>
      </x:c>
      <x:c r="B1999" s="8" t="str"/>
      <x:c r="C1999" s="8" t="str"/>
      <x:c r="D1999" s="8" t="str">
        <x:v>답변 거부 또는 추가 확인 요청</x:v>
      </x:c>
      <x:c r="E1999" s="15" t="n">
        <x:v>1997</x:v>
      </x:c>
      <x:c r="F1999" s="8" t="str">
        <x:v>답변 거부 기준 문구</x:v>
      </x:c>
      <x:c r="G1999" s="8" t="str">
        <x:v>https://apis.data.go.kr/1471000/DrbEasyDrugInfoService/getDrbEasyDrugList</x:v>
      </x:c>
      <x:c r="H1999" s="8" t="str">
        <x:v>{
  "item_seq": "201904226",
  "item_name": "아로나민케어에이치티정",
  "manufacturer": "일동제약(주)",
  "section_codes": [
    "precautions"
  ]
}</x:v>
      </x:c>
    </x:row>
    <x:row r="2000" ht="54" customHeight="1">
      <x:c r="A2000" s="8" t="str">
        <x:v>gold-medication-a61c174954839fb7</x:v>
      </x:c>
      <x:c r="B2000" s="8" t="str">
        <x:v>eyak:201305834:efficacy:001</x:v>
      </x:c>
      <x:c r="C2000" s="8" t="str">
        <x:v>eyak:201305834:efficacy:001</x:v>
      </x:c>
      <x:c r="D2000" s="8" t="str">
        <x:v>근거와 함께 답변</x:v>
      </x:c>
      <x:c r="E2000" s="15" t="n">
        <x:v>1998</x:v>
      </x:c>
      <x:c r="F2000" s="8" t="str">
        <x:v>기존 검증 정답</x:v>
      </x:c>
      <x:c r="G2000" s="8" t="str">
        <x:v>https://apis.data.go.kr/1471000/DrbEasyDrugInfoService/getDrbEasyDrugList</x:v>
      </x:c>
      <x:c r="H2000" s="8" t="str">
        <x:v>{
  "item_seq": "201305834",
  "item_name": "디프로펜시럽(덱시부프로펜)",
  "manufacturer": "한국유니온제약(주)",
  "section_codes": [
    "efficacy"
  ]
}</x:v>
      </x:c>
    </x:row>
    <x:row r="2001" ht="54" customHeight="1">
      <x:c r="A2001" s="8" t="str">
        <x:v>gold-medication-32ac2517c54a998b</x:v>
      </x:c>
      <x:c r="B2001" s="8" t="str">
        <x:v>eyak:201800754:warning:001
eyak:201800754:precautions:002
eyak:201800754:adverse_reactions:001</x:v>
      </x:c>
      <x:c r="C2001" s="8" t="str">
        <x:v>eyak:201800754:warning:001
eyak:201800754:precautions:002
eyak:201800754:precautions:001
eyak:201800754:adverse_reactions:001
eyak:201800754:adverse_reactions:002</x:v>
      </x:c>
      <x:c r="D2001" s="8" t="str">
        <x:v>근거와 함께 답변</x:v>
      </x:c>
      <x:c r="E2001" s="15" t="n">
        <x:v>1999</x:v>
      </x:c>
      <x:c r="F2001" s="8" t="str">
        <x:v>기존 검증 정답</x:v>
      </x:c>
      <x:c r="G2001" s="8" t="str">
        <x:v>https://apis.data.go.kr/1471000/DrbEasyDrugInfoService/getDrbEasyDrugList</x:v>
      </x:c>
      <x:c r="H2001" s="8" t="str">
        <x:v>{
  "item_seq": "201800754",
  "item_name": "훼로큐캡슐",
  "manufacturer": "(주)바스칸바이오제약",
  "section_codes": [
    "warning",
    "precautions",
    "adverse_reactions"
  ]
}</x:v>
      </x:c>
    </x:row>
    <x:row r="2002" ht="54" customHeight="1">
      <x:c r="A2002" s="8" t="str">
        <x:v>gold-medication-88cbdfe416a60039</x:v>
      </x:c>
      <x:c r="B2002" s="8" t="str">
        <x:v>eyak:202501013:adverse_reactions:001</x:v>
      </x:c>
      <x:c r="C2002" s="8" t="str">
        <x:v>eyak:202501013:adverse_reactions:001
eyak:202501013:adverse_reactions:002</x:v>
      </x:c>
      <x:c r="D2002" s="8" t="str">
        <x:v>근거와 함께 답변</x:v>
      </x:c>
      <x:c r="E2002" s="15" t="n">
        <x:v>2000</x:v>
      </x:c>
      <x:c r="F2002" s="8" t="str">
        <x:v>기존 검증 정답</x:v>
      </x:c>
      <x:c r="G2002" s="8" t="str">
        <x:v>https://apis.data.go.kr/1471000/DrbEasyDrugInfoService/getDrbEasyDrugList</x:v>
      </x:c>
      <x:c r="H2002" s="8" t="str">
        <x:v>{
  "item_seq": "202501013",
  "item_name": "알레노즈캡슐",
  "manufacturer": "신신제약(주)",
  "section_codes": [
    "adverse_reactions"
  ]
}</x:v>
      </x:c>
    </x:row>
    <x:row r="2003" ht="54" customHeight="1">
      <x:c r="A2003" s="8" t="str">
        <x:v>gold-medication-8cbc8ab39eab85c5</x:v>
      </x:c>
      <x:c r="B2003" s="8" t="str">
        <x:v>eyak:197600722:precautions:001</x:v>
      </x:c>
      <x:c r="C2003" s="8" t="str">
        <x:v>eyak:197600722:precautions:001</x:v>
      </x:c>
      <x:c r="D2003" s="8" t="str">
        <x:v>근거와 함께 답변</x:v>
      </x:c>
      <x:c r="E2003" s="15" t="n">
        <x:v>2001</x:v>
      </x:c>
      <x:c r="F2003" s="8" t="str">
        <x:v>기존 검증 정답</x:v>
      </x:c>
      <x:c r="G2003" s="8" t="str">
        <x:v>https://apis.data.go.kr/1471000/DrbEasyDrugInfoService/getDrbEasyDrugList</x:v>
      </x:c>
      <x:c r="H2003" s="8" t="str">
        <x:v>{
  "item_seq": "197600722",
  "item_name": "리나치올시럽(카르보시스테인)(수출명:HyundiolSyrup)",
  "manufacturer": "현대약품(주)",
  "section_codes": [
    "precautions"
  ]
}</x:v>
      </x:c>
    </x:row>
    <x:row r="2004" ht="54" customHeight="1">
      <x:c r="A2004" s="8" t="str">
        <x:v>gold-medication-fbcc0b60d1e5c984</x:v>
      </x:c>
      <x:c r="B2004" s="8" t="str">
        <x:v>eyak:201607113:dosage:001</x:v>
      </x:c>
      <x:c r="C2004" s="8" t="str">
        <x:v>eyak:201607113:dosage:001
eyak:201607113:dosage:002</x:v>
      </x:c>
      <x:c r="D2004" s="8" t="str">
        <x:v>근거와 함께 답변</x:v>
      </x:c>
      <x:c r="E2004" s="15" t="n">
        <x:v>2002</x:v>
      </x:c>
      <x:c r="F2004" s="8" t="str">
        <x:v>기존 검증 정답</x:v>
      </x:c>
      <x:c r="G2004" s="8" t="str">
        <x:v>https://apis.data.go.kr/1471000/DrbEasyDrugInfoService/getDrbEasyDrugList</x:v>
      </x:c>
      <x:c r="H2004" s="8" t="str">
        <x:v>{
  "item_seq": "201607113",
  "item_name": "나프젠액1%(나프티핀염산염)",
  "manufacturer": "현대약품(주)",
  "section_codes": [
    "dosage"
  ]
}</x:v>
      </x:c>
    </x:row>
    <x:row r="2005" ht="54" customHeight="1">
      <x:c r="A2005" s="8" t="str">
        <x:v>gold-medication-0cd6f025e570bd4d</x:v>
      </x:c>
      <x:c r="B2005" s="8" t="str">
        <x:v>eyak:201310281:dosage:001</x:v>
      </x:c>
      <x:c r="C2005" s="8" t="str">
        <x:v>eyak:201310281:dosage:001
eyak:201310281:dosage:002
eyak:201310281:dosage:003
eyak:201310281:dosage:004</x:v>
      </x:c>
      <x:c r="D2005" s="8" t="str">
        <x:v>근거와 함께 답변</x:v>
      </x:c>
      <x:c r="E2005" s="15" t="n">
        <x:v>2003</x:v>
      </x:c>
      <x:c r="F2005" s="8" t="str">
        <x:v>기존 검증 정답</x:v>
      </x:c>
      <x:c r="G2005" s="8" t="str">
        <x:v>https://apis.data.go.kr/1471000/DrbEasyDrugInfoService/getDrbEasyDrugList</x:v>
      </x:c>
      <x:c r="H2005" s="8" t="str">
        <x:v>{
  "item_seq": "201310281",
  "item_name": "스피록센연질캡슐(나프록센)",
  "manufacturer": "광동제약(주)",
  "section_codes": [
    "dosage"
  ]
}</x:v>
      </x:c>
    </x:row>
    <x:row r="2006" ht="54" customHeight="1">
      <x:c r="A2006" s="8" t="str">
        <x:v>gold-medication-16a15c287342daf9</x:v>
      </x:c>
      <x:c r="B2006" s="8" t="str">
        <x:v>eyak:202402681:warning:001
eyak:202402681:precautions:001</x:v>
      </x:c>
      <x:c r="C2006" s="8" t="str">
        <x:v>eyak:202402681:warning:001
eyak:202402681:precautions:001
eyak:202402681:precautions:002
eyak:202402681:precautions:003</x:v>
      </x:c>
      <x:c r="D2006" s="8" t="str">
        <x:v>근거와 함께 답변</x:v>
      </x:c>
      <x:c r="E2006" s="15" t="n">
        <x:v>2004</x:v>
      </x:c>
      <x:c r="F2006" s="8" t="str">
        <x:v>기존 검증 정답</x:v>
      </x:c>
      <x:c r="G2006" s="8" t="str">
        <x:v>https://apis.data.go.kr/1471000/DrbEasyDrugInfoService/getDrbEasyDrugList</x:v>
      </x:c>
      <x:c r="H2006" s="8" t="str">
        <x:v>{
  "item_seq": "202402681",
  "item_name": "파인큐나프록센현탁액",
  "manufacturer": "대원바이오텍주식회사",
  "section_codes": [
    "warning",
    "precautions"
  ]
}</x:v>
      </x:c>
    </x:row>
    <x:row r="2007" ht="54" customHeight="1">
      <x:c r="A2007" s="8" t="str">
        <x:v>gold-medication-101e71fd83d29095</x:v>
      </x:c>
      <x:c r="B2007" s="8" t="str">
        <x:v>eyak:202300907:interactions:002</x:v>
      </x:c>
      <x:c r="C2007" s="8" t="str">
        <x:v>eyak:202300907:interactions:002
eyak:202300907:interactions:001
eyak:202300907:interactions:003</x:v>
      </x:c>
      <x:c r="D2007" s="8" t="str">
        <x:v>근거와 함께 답변</x:v>
      </x:c>
      <x:c r="E2007" s="15" t="n">
        <x:v>2005</x:v>
      </x:c>
      <x:c r="F2007" s="8" t="str">
        <x:v>기존 검증 정답</x:v>
      </x:c>
      <x:c r="G2007" s="8" t="str">
        <x:v>https://apis.data.go.kr/1471000/DrbEasyDrugInfoService/getDrbEasyDrugList</x:v>
      </x:c>
      <x:c r="H2007" s="8" t="str">
        <x:v>{
  "item_seq": "202300907",
  "item_name": "브이콜에이치캡슐",
  "manufacturer": "메딕스제약(주)",
  "section_codes": [
    "interactions"
  ]
}</x:v>
      </x:c>
    </x:row>
    <x:row r="2008" ht="54" customHeight="1">
      <x:c r="A2008" s="8" t="str">
        <x:v>gold-medication-b562ac5b9921b1bd</x:v>
      </x:c>
      <x:c r="B2008" s="8" t="str">
        <x:v>eyak:201908230:precautions:001</x:v>
      </x:c>
      <x:c r="C2008" s="8" t="str">
        <x:v>eyak:201908230:precautions:001
eyak:201908230:precautions:002
eyak:201908230:precautions:003</x:v>
      </x:c>
      <x:c r="D2008" s="8" t="str">
        <x:v>근거와 함께 답변</x:v>
      </x:c>
      <x:c r="E2008" s="15" t="n">
        <x:v>2006</x:v>
      </x:c>
      <x:c r="F2008" s="8" t="str">
        <x:v>기존 검증 정답</x:v>
      </x:c>
      <x:c r="G2008" s="8" t="str">
        <x:v>https://apis.data.go.kr/1471000/DrbEasyDrugInfoService/getDrbEasyDrugList</x:v>
      </x:c>
      <x:c r="H2008" s="8" t="str">
        <x:v>{
  "item_seq": "201908230",
  "item_name": "칸디스텐질정100밀리그램(클로트리마졸)",
  "manufacturer": "주식회사더유제약",
  "section_codes": [
    "precautions"
  ]
}</x:v>
      </x:c>
    </x:row>
    <x:row r="2009" ht="54" customHeight="1">
      <x:c r="A2009" s="8" t="str">
        <x:v>gold-medication-36698d3e6a83a74d</x:v>
      </x:c>
      <x:c r="B2009" s="8" t="str">
        <x:v>eyak:198802481:warning:001
eyak:198802481:precautions:004
eyak:198802481:adverse_reactions:003</x:v>
      </x:c>
      <x:c r="C2009" s="8" t="str">
        <x:v>eyak:198802481:warning:001
eyak:198802481:precautions:004
eyak:198802481:precautions:002
eyak:198802481:precautions:001
eyak:198802481:precautions:003
eyak:198802481:adverse_reactions:003
eyak:198802481:adverse_reactions:002
eyak:198802481:adverse_reactions:001
eyak:198802481:adverse_reactions:004
eyak:198802481:adverse_reactions:006
eyak:198802481:adverse_reactions:007
eyak:198802481:adverse_reactions:005</x:v>
      </x:c>
      <x:c r="D2009" s="8" t="str">
        <x:v>근거와 함께 답변</x:v>
      </x:c>
      <x:c r="E2009" s="15" t="n">
        <x:v>2007</x:v>
      </x:c>
      <x:c r="F2009" s="8" t="str">
        <x:v>기존 검증 정답</x:v>
      </x:c>
      <x:c r="G2009" s="8" t="str">
        <x:v>https://apis.data.go.kr/1471000/DrbEasyDrugInfoService/getDrbEasyDrugList</x:v>
      </x:c>
      <x:c r="H2009" s="8" t="str">
        <x:v>{
  "item_seq": "198802481",
  "item_name": "알삭센정(나프록센나트륨)",
  "manufacturer": "지엘파마(주)",
  "section_codes": [
    "warning",
    "precautions",
    "adverse_reactions"
  ]
}</x:v>
      </x:c>
    </x:row>
    <x:row r="2010" ht="54" customHeight="1">
      <x:c r="A2010" s="8" t="str">
        <x:v>gold-medication-8364b768d7faffb6</x:v>
      </x:c>
      <x:c r="B2010" s="8" t="str">
        <x:v>eyak:199302401:efficacy:001</x:v>
      </x:c>
      <x:c r="C2010" s="8" t="str">
        <x:v>eyak:199302401:efficacy:001</x:v>
      </x:c>
      <x:c r="D2010" s="8" t="str">
        <x:v>근거와 함께 답변</x:v>
      </x:c>
      <x:c r="E2010" s="15" t="n">
        <x:v>2008</x:v>
      </x:c>
      <x:c r="F2010" s="8" t="str">
        <x:v>기존 검증 정답</x:v>
      </x:c>
      <x:c r="G2010" s="8" t="str">
        <x:v>https://apis.data.go.kr/1471000/DrbEasyDrugInfoService/getDrbEasyDrugList</x:v>
      </x:c>
      <x:c r="H2010" s="8" t="str">
        <x:v>{
  "item_seq": "199302401",
  "item_name": "소롤캡슐200밀리그램(소브레롤)",
  "manufacturer": "(주)한국파비스제약",
  "section_codes": [
    "efficacy"
  ]
}</x:v>
      </x:c>
    </x:row>
    <x:row r="2011" ht="54" customHeight="1">
      <x:c r="A2011" s="8" t="str">
        <x:v>gold-medication-1878bd739aef9e88</x:v>
      </x:c>
      <x:c r="B2011" s="8" t="str">
        <x:v>eyak:202003788:adverse_reactions:001</x:v>
      </x:c>
      <x:c r="C2011" s="8" t="str">
        <x:v>eyak:202003788:adverse_reactions:001
eyak:202003788:adverse_reactions:002
eyak:202003788:adverse_reactions:003</x:v>
      </x:c>
      <x:c r="D2011" s="8" t="str">
        <x:v>근거와 함께 답변</x:v>
      </x:c>
      <x:c r="E2011" s="15" t="n">
        <x:v>2009</x:v>
      </x:c>
      <x:c r="F2011" s="8" t="str">
        <x:v>기존 검증 정답</x:v>
      </x:c>
      <x:c r="G2011" s="8" t="str">
        <x:v>https://apis.data.go.kr/1471000/DrbEasyDrugInfoService/getDrbEasyDrugList</x:v>
      </x:c>
      <x:c r="H2011" s="8" t="str">
        <x:v>{
  "item_seq": "202003788",
  "item_name": "덱스원큐에스연질캡슐(덱시부프로펜)",
  "manufacturer": "동아제약(주)",
  "section_codes": [
    "adverse_reactions"
  ]
}</x:v>
      </x:c>
    </x:row>
    <x:row r="2012" ht="54" customHeight="1">
      <x:c r="A2012" s="8" t="str">
        <x:v>gold-medication-ea0d58fcc07c3630</x:v>
      </x:c>
      <x:c r="B2012" s="8" t="str">
        <x:v>eyak:199601069:efficacy:001</x:v>
      </x:c>
      <x:c r="C2012" s="8" t="str">
        <x:v>eyak:199601069:efficacy:001</x:v>
      </x:c>
      <x:c r="D2012" s="8" t="str">
        <x:v>근거와 함께 답변</x:v>
      </x:c>
      <x:c r="E2012" s="15" t="n">
        <x:v>2010</x:v>
      </x:c>
      <x:c r="F2012" s="8" t="str">
        <x:v>기존 검증 정답</x:v>
      </x:c>
      <x:c r="G2012" s="8" t="str">
        <x:v>https://apis.data.go.kr/1471000/DrbEasyDrugInfoService/getDrbEasyDrugList</x:v>
      </x:c>
      <x:c r="H2012" s="8" t="str">
        <x:v>{
  "item_seq": "199601069",
  "item_name": "발무졸크림(수출용)",
  "manufacturer": "명인제약(주)",
  "section_codes": [
    "efficacy"
  ]
}</x:v>
      </x:c>
    </x:row>
    <x:row r="2013" ht="54" customHeight="1">
      <x:c r="A2013" s="8" t="str">
        <x:v>gold-medication-1779fd81a2533f7d</x:v>
      </x:c>
      <x:c r="B2013" s="8" t="str">
        <x:v>eyak:200902769:precautions:002</x:v>
      </x:c>
      <x:c r="C2013" s="8" t="str">
        <x:v>eyak:200902769:precautions:002
eyak:200902769:precautions:001
eyak:200902769:precautions:003</x:v>
      </x:c>
      <x:c r="D2013" s="8" t="str">
        <x:v>근거와 함께 답변</x:v>
      </x:c>
      <x:c r="E2013" s="15" t="n">
        <x:v>2011</x:v>
      </x:c>
      <x:c r="F2013" s="8" t="str">
        <x:v>기존 검증 정답</x:v>
      </x:c>
      <x:c r="G2013" s="8" t="str">
        <x:v>https://apis.data.go.kr/1471000/DrbEasyDrugInfoService/getDrbEasyDrugList</x:v>
      </x:c>
      <x:c r="H2013" s="8" t="str">
        <x:v>{
  "item_seq": "200902769",
  "item_name": "그린노즈에스캡슐",
  "manufacturer": "맥널티제약(주)",
  "section_codes": [
    "precautions"
  ]
}</x:v>
      </x:c>
    </x:row>
    <x:row r="2014" ht="54" customHeight="1">
      <x:c r="A2014" s="8" t="str">
        <x:v>gold-medication-faea55c5937f1b97</x:v>
      </x:c>
      <x:c r="B2014" s="8" t="str">
        <x:v>eyak:202001792:adverse_reactions:001</x:v>
      </x:c>
      <x:c r="C2014" s="8" t="str">
        <x:v>eyak:202001792:adverse_reactions:001</x:v>
      </x:c>
      <x:c r="D2014" s="8" t="str">
        <x:v>근거와 함께 답변</x:v>
      </x:c>
      <x:c r="E2014" s="15" t="n">
        <x:v>2012</x:v>
      </x:c>
      <x:c r="F2014" s="8" t="str">
        <x:v>기존 검증 정답</x:v>
      </x:c>
      <x:c r="G2014" s="8" t="str">
        <x:v>https://apis.data.go.kr/1471000/DrbEasyDrugInfoService/getDrbEasyDrugList</x:v>
      </x:c>
      <x:c r="H2014" s="8" t="str">
        <x:v>{
  "item_seq": "202001792",
  "item_name": "트리가정(트리메부틴말레산염)",
  "manufacturer": "(주)보령바이오파마",
  "section_codes": [
    "adverse_reactions"
  ]
}</x:v>
      </x:c>
    </x:row>
    <x:row r="2015" ht="54" customHeight="1">
      <x:c r="A2015" s="8" t="str">
        <x:v>gold-medication-8255de12f30c30fa</x:v>
      </x:c>
      <x:c r="B2015" s="8" t="str">
        <x:v>eyak:200102790:storage:001</x:v>
      </x:c>
      <x:c r="C2015" s="8" t="str">
        <x:v>eyak:200102790:storage:001</x:v>
      </x:c>
      <x:c r="D2015" s="8" t="str">
        <x:v>근거와 함께 답변</x:v>
      </x:c>
      <x:c r="E2015" s="15" t="n">
        <x:v>2013</x:v>
      </x:c>
      <x:c r="F2015" s="8" t="str">
        <x:v>기존 검증 정답</x:v>
      </x:c>
      <x:c r="G2015" s="8" t="str">
        <x:v>https://apis.data.go.kr/1471000/DrbEasyDrugInfoService/getDrbEasyDrugList</x:v>
      </x:c>
      <x:c r="H2015" s="8" t="str">
        <x:v>{
  "item_seq": "200102790",
  "item_name": "빅센액(L-아스파르트산-L-아르기닌수화물)(수출명 : Manpos)",
  "manufacturer": "조아제약(주)",
  "section_codes": [
    "storage"
  ]
}</x:v>
      </x:c>
    </x:row>
    <x:row r="2016" ht="54" customHeight="1">
      <x:c r="A2016" s="8" t="str">
        <x:v>gold-medication-4b82254c9a8aea43</x:v>
      </x:c>
      <x:c r="B2016" s="8" t="str">
        <x:v>eyak:195700020:efficacy:001</x:v>
      </x:c>
      <x:c r="C2016" s="8" t="str">
        <x:v>eyak:195700020:efficacy:001</x:v>
      </x:c>
      <x:c r="D2016" s="8" t="str">
        <x:v>근거와 함께 답변</x:v>
      </x:c>
      <x:c r="E2016" s="15" t="n">
        <x:v>2014</x:v>
      </x:c>
      <x:c r="F2016" s="8" t="str">
        <x:v>기존 검증 정답</x:v>
      </x:c>
      <x:c r="G2016" s="8" t="str">
        <x:v>https://apis.data.go.kr/1471000/DrbEasyDrugInfoService/getDrbEasyDrugList</x:v>
      </x:c>
      <x:c r="H2016" s="8" t="str">
        <x:v>{
  "item_seq": "195700020",
  "item_name": "활명수",
  "manufacturer": "동화약품(주)",
  "section_codes": [
    "efficacy"
  ]
}</x:v>
      </x:c>
    </x:row>
    <x:row r="2017" ht="54" customHeight="1">
      <x:c r="A2017" s="8" t="str">
        <x:v>gold-medication-2ae0102f37e2fccd</x:v>
      </x:c>
      <x:c r="B2017" s="8" t="str">
        <x:v>eyak:198701352:efficacy:001</x:v>
      </x:c>
      <x:c r="C2017" s="8" t="str">
        <x:v>eyak:198701352:efficacy:001</x:v>
      </x:c>
      <x:c r="D2017" s="8" t="str">
        <x:v>근거와 함께 답변</x:v>
      </x:c>
      <x:c r="E2017" s="15" t="n">
        <x:v>2015</x:v>
      </x:c>
      <x:c r="F2017" s="8" t="str">
        <x:v>기존 검증 정답</x:v>
      </x:c>
      <x:c r="G2017" s="8" t="str">
        <x:v>https://apis.data.go.kr/1471000/DrbEasyDrugInfoService/getDrbEasyDrugList</x:v>
      </x:c>
      <x:c r="H2017" s="8" t="str">
        <x:v>{
  "item_seq": "198701352",
  "item_name": "트레스오릭스훠트정",
  "manufacturer": "신일제약(주)",
  "section_codes": [
    "efficacy"
  ]
}</x:v>
      </x:c>
    </x:row>
    <x:row r="2018" ht="54" customHeight="1">
      <x:c r="A2018" s="8" t="str">
        <x:v>gold-medication-73546e243a41d836</x:v>
      </x:c>
      <x:c r="B2018" s="8" t="str">
        <x:v>eyak:199604632:efficacy:001</x:v>
      </x:c>
      <x:c r="C2018" s="8" t="str">
        <x:v>eyak:199604632:efficacy:001</x:v>
      </x:c>
      <x:c r="D2018" s="8" t="str">
        <x:v>근거와 함께 답변</x:v>
      </x:c>
      <x:c r="E2018" s="15" t="n">
        <x:v>2016</x:v>
      </x:c>
      <x:c r="F2018" s="8" t="str">
        <x:v>기존 검증 정답</x:v>
      </x:c>
      <x:c r="G2018" s="8" t="str">
        <x:v>https://apis.data.go.kr/1471000/DrbEasyDrugInfoService/getDrbEasyDrugList</x:v>
      </x:c>
      <x:c r="H2018" s="8" t="str">
        <x:v>{
  "item_seq": "199604632",
  "item_name": "비아핀에멀젼(트롤아민)",
  "manufacturer": "켄뷰코리아판매유한회사",
  "section_codes": [
    "efficacy"
  ]
}</x:v>
      </x:c>
    </x:row>
    <x:row r="2019" ht="54" customHeight="1">
      <x:c r="A2019" s="8" t="str">
        <x:v>gold-medication-dfc0f8541552b855</x:v>
      </x:c>
      <x:c r="B2019" s="8" t="str">
        <x:v>eyak:199400581:warning:002
eyak:199400581:precautions:003
eyak:199400581:adverse_reactions:002</x:v>
      </x:c>
      <x:c r="C2019" s="8" t="str">
        <x:v>eyak:199400581:warning:002
eyak:199400581:warning:003
eyak:199400581:warning:001
eyak:199400581:precautions:003
eyak:199400581:precautions:002
eyak:199400581:precautions:001
eyak:199400581:adverse_reactions:002
eyak:199400581:adverse_reactions:001
eyak:199400581:adverse_reactions:003</x:v>
      </x:c>
      <x:c r="D2019" s="8" t="str">
        <x:v>근거와 함께 답변</x:v>
      </x:c>
      <x:c r="E2019" s="15" t="n">
        <x:v>2017</x:v>
      </x:c>
      <x:c r="F2019" s="8" t="str">
        <x:v>기존 검증 정답</x:v>
      </x:c>
      <x:c r="G2019" s="8" t="str">
        <x:v>https://apis.data.go.kr/1471000/DrbEasyDrugInfoService/getDrbEasyDrugList</x:v>
      </x:c>
      <x:c r="H2019" s="8" t="str">
        <x:v>{
  "item_seq": "199400581",
  "item_name": "어린이용타스펜정160밀리그램(아세트아미노펜)",
  "manufacturer": "대우제약(주)",
  "section_codes": [
    "warning",
    "precautions",
    "adverse_reactions"
  ]
}</x:v>
      </x:c>
    </x:row>
    <x:row r="2020" ht="54" customHeight="1">
      <x:c r="A2020" s="8" t="str">
        <x:v>gold-medication-87eb58b42bba4d26</x:v>
      </x:c>
      <x:c r="B2020" s="8" t="str">
        <x:v>eyak:201901973:precautions:001</x:v>
      </x:c>
      <x:c r="C2020" s="8" t="str">
        <x:v>eyak:201901973:precautions:001</x:v>
      </x:c>
      <x:c r="D2020" s="8" t="str">
        <x:v>근거와 함께 답변</x:v>
      </x:c>
      <x:c r="E2020" s="15" t="n">
        <x:v>2018</x:v>
      </x:c>
      <x:c r="F2020" s="8" t="str">
        <x:v>기존 검증 정답</x:v>
      </x:c>
      <x:c r="G2020" s="8" t="str">
        <x:v>https://apis.data.go.kr/1471000/DrbEasyDrugInfoService/getDrbEasyDrugList</x:v>
      </x:c>
      <x:c r="H2020" s="8" t="str">
        <x:v>{
  "item_seq": "201901973",
  "item_name": "더게인정",
  "manufacturer": "(주)바이넥스",
  "section_codes": [
    "precautions"
  ]
}</x:v>
      </x:c>
    </x:row>
    <x:row r="2021" ht="54" customHeight="1">
      <x:c r="A2021" s="8" t="str">
        <x:v>gold-medication-8e3c740b8727c89e</x:v>
      </x:c>
      <x:c r="B2021" s="8" t="str">
        <x:v>eyak:202102445:precautions:001</x:v>
      </x:c>
      <x:c r="C2021" s="8" t="str">
        <x:v>eyak:202102445:precautions:001
eyak:202102445:precautions:002</x:v>
      </x:c>
      <x:c r="D2021" s="8" t="str">
        <x:v>근거와 함께 답변</x:v>
      </x:c>
      <x:c r="E2021" s="15" t="n">
        <x:v>2019</x:v>
      </x:c>
      <x:c r="F2021" s="8" t="str">
        <x:v>기존 검증 정답</x:v>
      </x:c>
      <x:c r="G2021" s="8" t="str">
        <x:v>https://apis.data.go.kr/1471000/DrbEasyDrugInfoService/getDrbEasyDrugList</x:v>
      </x:c>
      <x:c r="H2021" s="8" t="str">
        <x:v>{
  "item_seq": "202102445",
  "item_name": "액트에버정",
  "manufacturer": "(주)한풍제약",
  "section_codes": [
    "precautions"
  ]
}</x:v>
      </x:c>
    </x:row>
    <x:row r="2022" ht="54" customHeight="1">
      <x:c r="A2022" s="8" t="str">
        <x:v>gold-medication-b5a45031ce7623d0</x:v>
      </x:c>
      <x:c r="B2022" s="8" t="str">
        <x:v>eyak:202003733:precautions:001</x:v>
      </x:c>
      <x:c r="C2022" s="8" t="str">
        <x:v>eyak:202003733:precautions:001
eyak:202003733:precautions:002</x:v>
      </x:c>
      <x:c r="D2022" s="8" t="str">
        <x:v>근거와 함께 답변</x:v>
      </x:c>
      <x:c r="E2022" s="15" t="n">
        <x:v>2020</x:v>
      </x:c>
      <x:c r="F2022" s="8" t="str">
        <x:v>기존 검증 정답</x:v>
      </x:c>
      <x:c r="G2022" s="8" t="str">
        <x:v>https://apis.data.go.kr/1471000/DrbEasyDrugInfoService/getDrbEasyDrugList</x:v>
      </x:c>
      <x:c r="H2022" s="8" t="str">
        <x:v>{
  "item_seq": "202003733",
  "item_name": "파워비큐액",
  "manufacturer": "경남제약(주)",
  "section_codes": [
    "precautions"
  ]
}</x:v>
      </x:c>
    </x:row>
    <x:row r="2023" ht="54" customHeight="1">
      <x:c r="A2023" s="8" t="str">
        <x:v>gold-medication-1e2fa19163994ee2</x:v>
      </x:c>
      <x:c r="B2023" s="8" t="str">
        <x:v>eyak:201905996:adverse_reactions:001</x:v>
      </x:c>
      <x:c r="C2023" s="8" t="str">
        <x:v>eyak:201905996:adverse_reactions:001</x:v>
      </x:c>
      <x:c r="D2023" s="8" t="str">
        <x:v>근거와 함께 답변</x:v>
      </x:c>
      <x:c r="E2023" s="15" t="n">
        <x:v>2021</x:v>
      </x:c>
      <x:c r="F2023" s="8" t="str">
        <x:v>기존 검증 정답</x:v>
      </x:c>
      <x:c r="G2023" s="8" t="str">
        <x:v>https://apis.data.go.kr/1471000/DrbEasyDrugInfoService/getDrbEasyDrugList</x:v>
      </x:c>
      <x:c r="H2023" s="8" t="str">
        <x:v>{
  "item_seq": "201905996",
  "item_name": "케라티딘캡슐",
  "manufacturer": "동화약품(주)",
  "section_codes": [
    "adverse_reactions"
  ]
}</x:v>
      </x:c>
    </x:row>
    <x:row r="2024" ht="54" customHeight="1">
      <x:c r="A2024" s="8" t="str">
        <x:v>gold-medication-46d93849de9b29c9</x:v>
      </x:c>
      <x:c r="B2024" s="8" t="str">
        <x:v>eyak:199700124:efficacy:001</x:v>
      </x:c>
      <x:c r="C2024" s="8" t="str">
        <x:v>eyak:199700124:efficacy:001</x:v>
      </x:c>
      <x:c r="D2024" s="8" t="str">
        <x:v>근거와 함께 답변</x:v>
      </x:c>
      <x:c r="E2024" s="15" t="n">
        <x:v>2022</x:v>
      </x:c>
      <x:c r="F2024" s="8" t="str">
        <x:v>기존 검증 정답</x:v>
      </x:c>
      <x:c r="G2024" s="8" t="str">
        <x:v>https://apis.data.go.kr/1471000/DrbEasyDrugInfoService/getDrbEasyDrugList</x:v>
      </x:c>
      <x:c r="H2024" s="8" t="str">
        <x:v>{
  "item_seq": "199700124",
  "item_name": "라니텐크림(테르비나핀염산염)",
  "manufacturer": "한국휴텍스제약(주)",
  "section_codes": [
    "efficacy"
  ]
}</x:v>
      </x:c>
    </x:row>
    <x:row r="2025" ht="54" customHeight="1">
      <x:c r="A2025" s="8" t="str">
        <x:v>gold-medication-dfd6862cf58f3ef6</x:v>
      </x:c>
      <x:c r="B2025" s="8" t="str">
        <x:v>eyak:200001147:precautions:002</x:v>
      </x:c>
      <x:c r="C2025" s="8" t="str">
        <x:v>eyak:200001147:precautions:002
eyak:200001147:precautions:001
eyak:200001147:precautions:003</x:v>
      </x:c>
      <x:c r="D2025" s="8" t="str">
        <x:v>근거와 함께 답변</x:v>
      </x:c>
      <x:c r="E2025" s="15" t="n">
        <x:v>2023</x:v>
      </x:c>
      <x:c r="F2025" s="8" t="str">
        <x:v>기존 검증 정답</x:v>
      </x:c>
      <x:c r="G2025" s="8" t="str">
        <x:v>https://apis.data.go.kr/1471000/DrbEasyDrugInfoService/getDrbEasyDrugList</x:v>
      </x:c>
      <x:c r="H2025" s="8" t="str">
        <x:v>{
  "item_seq": "200001147",
  "item_name": "스몰크림(프레드니솔론발레로아세테이트)",
  "manufacturer": "알리코제약(주)",
  "section_codes": [
    "precautions"
  ]
}</x:v>
      </x:c>
    </x:row>
    <x:row r="2026" ht="54" customHeight="1">
      <x:c r="A2026" s="8" t="str">
        <x:v>gold-medication-d669991a82ccbd7b</x:v>
      </x:c>
      <x:c r="B2026" s="8" t="str">
        <x:v>eyak:201308592:adverse_reactions:001</x:v>
      </x:c>
      <x:c r="C2026" s="8" t="str">
        <x:v>eyak:201308592:adverse_reactions:001</x:v>
      </x:c>
      <x:c r="D2026" s="8" t="str">
        <x:v>근거와 함께 답변</x:v>
      </x:c>
      <x:c r="E2026" s="15" t="n">
        <x:v>2024</x:v>
      </x:c>
      <x:c r="F2026" s="8" t="str">
        <x:v>기존 검증 정답</x:v>
      </x:c>
      <x:c r="G2026" s="8" t="str">
        <x:v>https://apis.data.go.kr/1471000/DrbEasyDrugInfoService/getDrbEasyDrugList</x:v>
      </x:c>
      <x:c r="H2026" s="8" t="str">
        <x:v>{
  "item_seq": "201308592",
  "item_name": "사노바겔(리도카인)",
  "manufacturer": "명문제약(주)",
  "section_codes": [
    "adverse_reactions"
  ]
}</x:v>
      </x:c>
    </x:row>
    <x:row r="2027" ht="54" customHeight="1">
      <x:c r="A2027" s="8" t="str">
        <x:v>gold-medication-a7a5e96889854b72</x:v>
      </x:c>
      <x:c r="B2027" s="8" t="str">
        <x:v>eyak:201706970:interactions:001</x:v>
      </x:c>
      <x:c r="C2027" s="8" t="str">
        <x:v>eyak:201706970:interactions:001</x:v>
      </x:c>
      <x:c r="D2027" s="8" t="str">
        <x:v>근거와 함께 답변</x:v>
      </x:c>
      <x:c r="E2027" s="15" t="n">
        <x:v>2025</x:v>
      </x:c>
      <x:c r="F2027" s="8" t="str">
        <x:v>기존 검증 정답</x:v>
      </x:c>
      <x:c r="G2027" s="8" t="str">
        <x:v>https://apis.data.go.kr/1471000/DrbEasyDrugInfoService/getDrbEasyDrugList</x:v>
      </x:c>
      <x:c r="H2027" s="8" t="str">
        <x:v>{
  "item_seq": "201706970",
  "item_name": "마레오키즈시럽",
  "manufacturer": "(주)한풍제약",
  "section_codes": [
    "interactions"
  ]
}</x:v>
      </x:c>
    </x:row>
    <x:row r="2028" ht="54" customHeight="1">
      <x:c r="A2028" s="8" t="str">
        <x:v>gold-medication-60bcc52f928f7441</x:v>
      </x:c>
      <x:c r="B2028" s="8" t="str">
        <x:v>eyak:199902738:efficacy:001</x:v>
      </x:c>
      <x:c r="C2028" s="8" t="str">
        <x:v>eyak:199902738:efficacy:001
eyak:199902738:efficacy:002</x:v>
      </x:c>
      <x:c r="D2028" s="8" t="str">
        <x:v>근거와 함께 답변</x:v>
      </x:c>
      <x:c r="E2028" s="15" t="n">
        <x:v>2026</x:v>
      </x:c>
      <x:c r="F2028" s="8" t="str">
        <x:v>기존 검증 정답</x:v>
      </x:c>
      <x:c r="G2028" s="8" t="str">
        <x:v>https://apis.data.go.kr/1471000/DrbEasyDrugInfoService/getDrbEasyDrugList</x:v>
      </x:c>
      <x:c r="H2028" s="8" t="str">
        <x:v>{
  "item_seq": "199902738",
  "item_name": "에스로반연고(무피로신)",
  "manufacturer": "제이더블유신약(주)",
  "section_codes": [
    "efficacy"
  ]
}</x:v>
      </x:c>
    </x:row>
    <x:row r="2029" ht="54" customHeight="1">
      <x:c r="A2029" s="8" t="str">
        <x:v>gold-medication-9559a336ff5709af</x:v>
      </x:c>
      <x:c r="B2029" s="8" t="str">
        <x:v>eyak:202501249:storage:001</x:v>
      </x:c>
      <x:c r="C2029" s="8" t="str">
        <x:v>eyak:202501249:storage:001</x:v>
      </x:c>
      <x:c r="D2029" s="8" t="str">
        <x:v>근거와 함께 답변</x:v>
      </x:c>
      <x:c r="E2029" s="15" t="n">
        <x:v>2027</x:v>
      </x:c>
      <x:c r="F2029" s="8" t="str">
        <x:v>기존 검증 정답</x:v>
      </x:c>
      <x:c r="G2029" s="8" t="str">
        <x:v>https://apis.data.go.kr/1471000/DrbEasyDrugInfoService/getDrbEasyDrugList</x:v>
      </x:c>
      <x:c r="H2029" s="8" t="str">
        <x:v>{
  "item_seq": "202501249",
  "item_name": "락콜드코프시럽",
  "manufacturer": "삼진제약(주)",
  "section_codes": [
    "storage"
  ]
}</x:v>
      </x:c>
    </x:row>
    <x:row r="2030" ht="54" customHeight="1">
      <x:c r="A2030" s="8" t="str">
        <x:v>gold-medication-na-5bde8358c76104d2</x:v>
      </x:c>
      <x:c r="B2030" s="8" t="str"/>
      <x:c r="C2030" s="8" t="str"/>
      <x:c r="D2030" s="8" t="str">
        <x:v>답변 거부 또는 추가 확인 요청</x:v>
      </x:c>
      <x:c r="E2030" s="15" t="n">
        <x:v>2028</x:v>
      </x:c>
      <x:c r="F2030" s="8" t="str">
        <x:v>답변 거부 기준 문구</x:v>
      </x:c>
      <x:c r="G2030" s="8" t="str">
        <x:v>https://apis.data.go.kr/1471000/DrbEasyDrugInfoService/getDrbEasyDrugList</x:v>
      </x:c>
      <x:c r="H2030" s="8" t="str">
        <x:v>{
  "item_seq": "202107184",
  "item_name": "자멘쏙정(독시라민숙신산염)",
  "manufacturer": "일양약품(주)",
  "section_codes": [
    "adverse_reactions"
  ]
}</x:v>
      </x:c>
    </x:row>
    <x:row r="2031" ht="54" customHeight="1">
      <x:c r="A2031" s="8" t="str">
        <x:v>gold-medication-1ebb71abc16e97a4</x:v>
      </x:c>
      <x:c r="B2031" s="8" t="str">
        <x:v>eyak:201206423:precautions:003
eyak:201206423:adverse_reactions:001</x:v>
      </x:c>
      <x:c r="C2031" s="8" t="str">
        <x:v>eyak:201206423:precautions:003
eyak:201206423:precautions:002
eyak:201206423:precautions:001
eyak:201206423:adverse_reactions:001
eyak:201206423:adverse_reactions:002</x:v>
      </x:c>
      <x:c r="D2031" s="8" t="str">
        <x:v>근거와 함께 답변</x:v>
      </x:c>
      <x:c r="E2031" s="15" t="n">
        <x:v>2029</x:v>
      </x:c>
      <x:c r="F2031" s="8" t="str">
        <x:v>기존 검증 정답</x:v>
      </x:c>
      <x:c r="G2031" s="8" t="str">
        <x:v>https://apis.data.go.kr/1471000/DrbEasyDrugInfoService/getDrbEasyDrugList</x:v>
      </x:c>
      <x:c r="H2031" s="8" t="str">
        <x:v>{
  "item_seq": "201206423",
  "item_name": "디프람스프레이0.3%(벤지다민염산염)",
  "manufacturer": "(주)엔엠제약",
  "section_codes": [
    "precautions",
    "adverse_reactions"
  ]
}</x:v>
      </x:c>
    </x:row>
    <x:row r="2032" ht="54" customHeight="1">
      <x:c r="A2032" s="8" t="str">
        <x:v>gold-medication-32b05d69f2fbfd41</x:v>
      </x:c>
      <x:c r="B2032" s="8" t="str">
        <x:v>eyak:200303264:adverse_reactions:001</x:v>
      </x:c>
      <x:c r="C2032" s="8" t="str">
        <x:v>eyak:200303264:adverse_reactions:001</x:v>
      </x:c>
      <x:c r="D2032" s="8" t="str">
        <x:v>근거와 함께 답변</x:v>
      </x:c>
      <x:c r="E2032" s="15" t="n">
        <x:v>2030</x:v>
      </x:c>
      <x:c r="F2032" s="8" t="str">
        <x:v>기존 검증 정답</x:v>
      </x:c>
      <x:c r="G2032" s="8" t="str">
        <x:v>https://apis.data.go.kr/1471000/DrbEasyDrugInfoService/getDrbEasyDrugList</x:v>
      </x:c>
      <x:c r="H2032" s="8" t="str">
        <x:v>{
  "item_seq": "200303264",
  "item_name": "루스트라크림4%(히드로퀴논)",
  "manufacturer": "주식회사제뉴원사이언스",
  "section_codes": [
    "adverse_reactions"
  ]
}</x:v>
      </x:c>
    </x:row>
    <x:row r="2033" ht="54" customHeight="1">
      <x:c r="A2033" s="8" t="str">
        <x:v>gold-medication-a684392a5bb676d1</x:v>
      </x:c>
      <x:c r="B2033" s="8" t="str">
        <x:v>eyak:202402403:efficacy:001</x:v>
      </x:c>
      <x:c r="C2033" s="8" t="str">
        <x:v>eyak:202402403:efficacy:001
eyak:202402403:efficacy:002</x:v>
      </x:c>
      <x:c r="D2033" s="8" t="str">
        <x:v>근거와 함께 답변</x:v>
      </x:c>
      <x:c r="E2033" s="15" t="n">
        <x:v>2031</x:v>
      </x:c>
      <x:c r="F2033" s="8" t="str">
        <x:v>기존 검증 정답</x:v>
      </x:c>
      <x:c r="G2033" s="8" t="str">
        <x:v>https://apis.data.go.kr/1471000/DrbEasyDrugInfoService/getDrbEasyDrugList</x:v>
      </x:c>
      <x:c r="H2033" s="8" t="str">
        <x:v>{
  "item_seq": "202402403",
  "item_name": "헤파코엔액티브정",
  "manufacturer": "메딕스제약(주)",
  "section_codes": [
    "efficacy"
  ]
}</x:v>
      </x:c>
    </x:row>
    <x:row r="2034" ht="54" customHeight="1">
      <x:c r="A2034" s="8" t="str">
        <x:v>gold-medication-11c0d2a15678430c</x:v>
      </x:c>
      <x:c r="B2034" s="8" t="str">
        <x:v>eyak:200904507:precautions:001</x:v>
      </x:c>
      <x:c r="C2034" s="8" t="str">
        <x:v>eyak:200904507:precautions:001
eyak:200904507:precautions:002
eyak:200904507:precautions:003</x:v>
      </x:c>
      <x:c r="D2034" s="8" t="str">
        <x:v>근거와 함께 답변</x:v>
      </x:c>
      <x:c r="E2034" s="15" t="n">
        <x:v>2032</x:v>
      </x:c>
      <x:c r="F2034" s="8" t="str">
        <x:v>기존 검증 정답</x:v>
      </x:c>
      <x:c r="G2034" s="8" t="str">
        <x:v>https://apis.data.go.kr/1471000/DrbEasyDrugInfoService/getDrbEasyDrugList</x:v>
      </x:c>
      <x:c r="H2034" s="8" t="str">
        <x:v>{
  "item_seq": "200904507",
  "item_name": "다이락스-큐정",
  "manufacturer": "조아제약(주)",
  "section_codes": [
    "precautions"
  ]
}</x:v>
      </x:c>
    </x:row>
    <x:row r="2035" ht="54" customHeight="1">
      <x:c r="A2035" s="8" t="str">
        <x:v>gold-medication-94b04cc0a518d326</x:v>
      </x:c>
      <x:c r="B2035" s="8" t="str">
        <x:v>eyak:201601470:precautions:001</x:v>
      </x:c>
      <x:c r="C2035" s="8" t="str">
        <x:v>eyak:201601470:precautions:001</x:v>
      </x:c>
      <x:c r="D2035" s="8" t="str">
        <x:v>근거와 함께 답변</x:v>
      </x:c>
      <x:c r="E2035" s="15" t="n">
        <x:v>2033</x:v>
      </x:c>
      <x:c r="F2035" s="8" t="str">
        <x:v>기존 검증 정답</x:v>
      </x:c>
      <x:c r="G2035" s="8" t="str">
        <x:v>https://apis.data.go.kr/1471000/DrbEasyDrugInfoService/getDrbEasyDrugList</x:v>
      </x:c>
      <x:c r="H2035" s="8" t="str">
        <x:v>{
  "item_seq": "201601470",
  "item_name": "하벤프레쉬나잘스프레이",
  "manufacturer": "고려제약(주)",
  "section_codes": [
    "precautions"
  ]
}</x:v>
      </x:c>
    </x:row>
    <x:row r="2036" ht="54" customHeight="1">
      <x:c r="A2036" s="8" t="str">
        <x:v>gold-medication-61d2e302bfe65ba9</x:v>
      </x:c>
      <x:c r="B2036" s="8" t="str">
        <x:v>eyak:200302007:adverse_reactions:001</x:v>
      </x:c>
      <x:c r="C2036" s="8" t="str">
        <x:v>eyak:200302007:adverse_reactions:001</x:v>
      </x:c>
      <x:c r="D2036" s="8" t="str">
        <x:v>근거와 함께 답변</x:v>
      </x:c>
      <x:c r="E2036" s="15" t="n">
        <x:v>2034</x:v>
      </x:c>
      <x:c r="F2036" s="8" t="str">
        <x:v>기존 검증 정답</x:v>
      </x:c>
      <x:c r="G2036" s="8" t="str">
        <x:v>https://apis.data.go.kr/1471000/DrbEasyDrugInfoService/getDrbEasyDrugList</x:v>
      </x:c>
      <x:c r="H2036" s="8" t="str">
        <x:v>{
  "item_seq": "200302007",
  "item_name": "마로엘정",
  "manufacturer": "조아제약(주)",
  "section_codes": [
    "adverse_reactions"
  ]
}</x:v>
      </x:c>
    </x:row>
    <x:row r="2037" ht="54" customHeight="1">
      <x:c r="A2037" s="8" t="str">
        <x:v>gold-medication-94a9004c02f78a26</x:v>
      </x:c>
      <x:c r="B2037" s="8" t="str">
        <x:v>eyak:201307379:adverse_reactions:001</x:v>
      </x:c>
      <x:c r="C2037" s="8" t="str">
        <x:v>eyak:201307379:adverse_reactions:001</x:v>
      </x:c>
      <x:c r="D2037" s="8" t="str">
        <x:v>근거와 함께 답변</x:v>
      </x:c>
      <x:c r="E2037" s="15" t="n">
        <x:v>2035</x:v>
      </x:c>
      <x:c r="F2037" s="8" t="str">
        <x:v>기존 검증 정답</x:v>
      </x:c>
      <x:c r="G2037" s="8" t="str">
        <x:v>https://apis.data.go.kr/1471000/DrbEasyDrugInfoService/getDrbEasyDrugList</x:v>
      </x:c>
      <x:c r="H2037" s="8" t="str">
        <x:v>{
  "item_seq": "201307379",
  "item_name": "마이믹스정",
  "manufacturer": "(주)휴온스",
  "section_codes": [
    "adverse_reactions"
  ]
}</x:v>
      </x:c>
    </x:row>
    <x:row r="2038" ht="54" customHeight="1">
      <x:c r="A2038" s="8" t="str">
        <x:v>gold-medication-f454aa5e06fc6cd3</x:v>
      </x:c>
      <x:c r="B2038" s="8" t="str">
        <x:v>eyak:201706740:precautions:001</x:v>
      </x:c>
      <x:c r="C2038" s="8" t="str">
        <x:v>eyak:201706740:precautions:001
eyak:201706740:precautions:002</x:v>
      </x:c>
      <x:c r="D2038" s="8" t="str">
        <x:v>근거와 함께 답변</x:v>
      </x:c>
      <x:c r="E2038" s="15" t="n">
        <x:v>2036</x:v>
      </x:c>
      <x:c r="F2038" s="8" t="str">
        <x:v>기존 검증 정답</x:v>
      </x:c>
      <x:c r="G2038" s="8" t="str">
        <x:v>https://apis.data.go.kr/1471000/DrbEasyDrugInfoService/getDrbEasyDrugList</x:v>
      </x:c>
      <x:c r="H2038" s="8" t="str">
        <x:v>{
  "item_seq": "201706740",
  "item_name": "마그비액티브정",
  "manufacturer": "(주)유한양행",
  "section_codes": [
    "precautions"
  ]
}</x:v>
      </x:c>
    </x:row>
    <x:row r="2039" ht="54" customHeight="1">
      <x:c r="A2039" s="8" t="str">
        <x:v>gold-medication-d1df38bfa6042278</x:v>
      </x:c>
      <x:c r="B2039" s="8" t="str">
        <x:v>eyak:201501794:adverse_reactions:001</x:v>
      </x:c>
      <x:c r="C2039" s="8" t="str">
        <x:v>eyak:201501794:adverse_reactions:001</x:v>
      </x:c>
      <x:c r="D2039" s="8" t="str">
        <x:v>근거와 함께 답변</x:v>
      </x:c>
      <x:c r="E2039" s="15" t="n">
        <x:v>2037</x:v>
      </x:c>
      <x:c r="F2039" s="8" t="str">
        <x:v>기존 검증 정답</x:v>
      </x:c>
      <x:c r="G2039" s="8" t="str">
        <x:v>https://apis.data.go.kr/1471000/DrbEasyDrugInfoService/getDrbEasyDrugList</x:v>
      </x:c>
      <x:c r="H2039" s="8" t="str">
        <x:v>{
  "item_seq": "201501794",
  "item_name": "테리나핀크림(테르비나핀염산염)",
  "manufacturer": "시믹씨엠오코리아주식회사",
  "section_codes": [
    "adverse_reactions"
  ]
}</x:v>
      </x:c>
    </x:row>
    <x:row r="2040" ht="54" customHeight="1">
      <x:c r="A2040" s="8" t="str">
        <x:v>gold-medication-125e46ee044e3070</x:v>
      </x:c>
      <x:c r="B2040" s="8" t="str">
        <x:v>eyak:200001172:dosage:001</x:v>
      </x:c>
      <x:c r="C2040" s="8" t="str">
        <x:v>eyak:200001172:dosage:001
eyak:200001172:dosage:002</x:v>
      </x:c>
      <x:c r="D2040" s="8" t="str">
        <x:v>근거와 함께 답변</x:v>
      </x:c>
      <x:c r="E2040" s="15" t="n">
        <x:v>2038</x:v>
      </x:c>
      <x:c r="F2040" s="8" t="str">
        <x:v>기존 검증 정답</x:v>
      </x:c>
      <x:c r="G2040" s="8" t="str">
        <x:v>https://apis.data.go.kr/1471000/DrbEasyDrugInfoService/getDrbEasyDrugList</x:v>
      </x:c>
      <x:c r="H2040" s="8" t="str">
        <x:v>{
  "item_seq": "200001172",
  "item_name": "디퓨탭서방정(이부프로펜)",
  "manufacturer": "동성제약(주)",
  "section_codes": [
    "dosage"
  ]
}</x:v>
      </x:c>
    </x:row>
    <x:row r="2041" ht="54" customHeight="1">
      <x:c r="A2041" s="8" t="str">
        <x:v>gold-medication-ff26bfa0efd3d286</x:v>
      </x:c>
      <x:c r="B2041" s="8" t="str">
        <x:v>eyak:201800862:warning:001
eyak:201800862:precautions:004
eyak:201800862:adverse_reactions:003</x:v>
      </x:c>
      <x:c r="C2041" s="8" t="str">
        <x:v>eyak:201800862:warning:001
eyak:201800862:warning:002
eyak:201800862:precautions:004
eyak:201800862:precautions:003
eyak:201800862:precautions:001
eyak:201800862:precautions:002
eyak:201800862:adverse_reactions:003
eyak:201800862:adverse_reactions:002
eyak:201800862:adverse_reactions:001
eyak:201800862:adverse_reactions:004
eyak:201800862:adverse_reactions:005</x:v>
      </x:c>
      <x:c r="D2041" s="8" t="str">
        <x:v>근거와 함께 답변</x:v>
      </x:c>
      <x:c r="E2041" s="15" t="n">
        <x:v>2039</x:v>
      </x:c>
      <x:c r="F2041" s="8" t="str">
        <x:v>기존 검증 정답</x:v>
      </x:c>
      <x:c r="G2041" s="8" t="str">
        <x:v>https://apis.data.go.kr/1471000/DrbEasyDrugInfoService/getDrbEasyDrugList</x:v>
      </x:c>
      <x:c r="H2041" s="8" t="str">
        <x:v>{
  "item_seq": "201800862",
  "item_name": "아이소펜시럽(덱시부프로펜)",
  "manufacturer": "한국휴텍스제약(주)",
  "section_codes": [
    "warning",
    "precautions",
    "adverse_reactions"
  ]
}</x:v>
      </x:c>
    </x:row>
    <x:row r="2042" ht="54" customHeight="1">
      <x:c r="A2042" s="8" t="str">
        <x:v>gold-medication-3bd116109f97ef32</x:v>
      </x:c>
      <x:c r="B2042" s="8" t="str">
        <x:v>eyak:200202755:warning:001
eyak:200202755:precautions:001</x:v>
      </x:c>
      <x:c r="C2042" s="8" t="str">
        <x:v>eyak:200202755:warning:001
eyak:200202755:warning:002
eyak:200202755:precautions:001
eyak:200202755:precautions:002
eyak:200202755:precautions:003
eyak:200202755:precautions:004
eyak:200202755:precautions:005
eyak:200202755:precautions:006</x:v>
      </x:c>
      <x:c r="D2042" s="8" t="str">
        <x:v>근거와 함께 답변</x:v>
      </x:c>
      <x:c r="E2042" s="15" t="n">
        <x:v>2040</x:v>
      </x:c>
      <x:c r="F2042" s="8" t="str">
        <x:v>기존 검증 정답</x:v>
      </x:c>
      <x:c r="G2042" s="8" t="str">
        <x:v>https://apis.data.go.kr/1471000/DrbEasyDrugInfoService/getDrbEasyDrugList</x:v>
      </x:c>
      <x:c r="H2042" s="8" t="str">
        <x:v>{
  "item_seq": "200202755",
  "item_name": "에스프로펜정(덱시부프로펜)",
  "manufacturer": "(주)유영제약",
  "section_codes": [
    "warning",
    "precautions"
  ]
}</x:v>
      </x:c>
    </x:row>
    <x:row r="2043" ht="54" customHeight="1">
      <x:c r="A2043" s="8" t="str">
        <x:v>gold-medication-bc4c6ed375b3d507</x:v>
      </x:c>
      <x:c r="B2043" s="8" t="str">
        <x:v>eyak:202201816:storage:001</x:v>
      </x:c>
      <x:c r="C2043" s="8" t="str">
        <x:v>eyak:202201816:storage:001</x:v>
      </x:c>
      <x:c r="D2043" s="8" t="str">
        <x:v>근거와 함께 답변</x:v>
      </x:c>
      <x:c r="E2043" s="15" t="n">
        <x:v>2041</x:v>
      </x:c>
      <x:c r="F2043" s="8" t="str">
        <x:v>기존 검증 정답</x:v>
      </x:c>
      <x:c r="G2043" s="8" t="str">
        <x:v>https://apis.data.go.kr/1471000/DrbEasyDrugInfoService/getDrbEasyDrugList</x:v>
      </x:c>
      <x:c r="H2043" s="8" t="str">
        <x:v>{
  "item_seq": "202201816",
  "item_name": "순갈근탕에이액",
  "manufacturer": "(주)알피바이오",
  "section_codes": [
    "storage"
  ]
}</x:v>
      </x:c>
    </x:row>
    <x:row r="2044" ht="54" customHeight="1">
      <x:c r="A2044" s="8" t="str">
        <x:v>gold-medication-b2b51d765befd611</x:v>
      </x:c>
      <x:c r="B2044" s="8" t="str">
        <x:v>eyak:202400271:precautions:002</x:v>
      </x:c>
      <x:c r="C2044" s="8" t="str">
        <x:v>eyak:202400271:precautions:002
eyak:202400271:precautions:001
eyak:202400271:precautions:003</x:v>
      </x:c>
      <x:c r="D2044" s="8" t="str">
        <x:v>근거와 함께 답변</x:v>
      </x:c>
      <x:c r="E2044" s="15" t="n">
        <x:v>2042</x:v>
      </x:c>
      <x:c r="F2044" s="8" t="str">
        <x:v>기존 검증 정답</x:v>
      </x:c>
      <x:c r="G2044" s="8" t="str">
        <x:v>https://apis.data.go.kr/1471000/DrbEasyDrugInfoService/getDrbEasyDrugList</x:v>
      </x:c>
      <x:c r="H2044" s="8" t="str">
        <x:v>{
  "item_seq": "202400271",
  "item_name": "콘드럭알파정",
  "manufacturer": "알리코제약(주)",
  "section_codes": [
    "precautions"
  ]
}</x:v>
      </x:c>
    </x:row>
    <x:row r="2045" ht="54" customHeight="1">
      <x:c r="A2045" s="8" t="str">
        <x:v>gold-medication-1547e3275b479cc8</x:v>
      </x:c>
      <x:c r="B2045" s="8" t="str">
        <x:v>eyak:200003011:dosage:001</x:v>
      </x:c>
      <x:c r="C2045" s="8" t="str">
        <x:v>eyak:200003011:dosage:001</x:v>
      </x:c>
      <x:c r="D2045" s="8" t="str">
        <x:v>근거와 함께 답변</x:v>
      </x:c>
      <x:c r="E2045" s="15" t="n">
        <x:v>2043</x:v>
      </x:c>
      <x:c r="F2045" s="8" t="str">
        <x:v>기존 검증 정답</x:v>
      </x:c>
      <x:c r="G2045" s="8" t="str">
        <x:v>https://apis.data.go.kr/1471000/DrbEasyDrugInfoService/getDrbEasyDrugList</x:v>
      </x:c>
      <x:c r="H2045" s="8" t="str">
        <x:v>{
  "item_seq": "200003011",
  "item_name": "이지정(디시클로민염산염)",
  "manufacturer": "신일제약(주)",
  "section_codes": [
    "dosage"
  ]
}</x:v>
      </x:c>
    </x:row>
    <x:row r="2046" ht="54" customHeight="1">
      <x:c r="A2046" s="8" t="str">
        <x:v>gold-medication-424d4551f3bb5342</x:v>
      </x:c>
      <x:c r="B2046" s="8" t="str">
        <x:v>eyak:199907226:efficacy:001</x:v>
      </x:c>
      <x:c r="C2046" s="8" t="str">
        <x:v>eyak:199907226:efficacy:001</x:v>
      </x:c>
      <x:c r="D2046" s="8" t="str">
        <x:v>근거와 함께 답변</x:v>
      </x:c>
      <x:c r="E2046" s="15" t="n">
        <x:v>2044</x:v>
      </x:c>
      <x:c r="F2046" s="8" t="str">
        <x:v>기존 검증 정답</x:v>
      </x:c>
      <x:c r="G2046" s="8" t="str">
        <x:v>https://apis.data.go.kr/1471000/DrbEasyDrugInfoService/getDrbEasyDrugList</x:v>
      </x:c>
      <x:c r="H2046" s="8" t="str">
        <x:v>{
  "item_seq": "199907226",
  "item_name": "로세릴네일라카(아모롤핀염산염)",
  "manufacturer": "갈더마코리아(주)",
  "section_codes": [
    "efficacy"
  ]
}</x:v>
      </x:c>
    </x:row>
    <x:row r="2047" ht="54" customHeight="1">
      <x:c r="A2047" s="8" t="str">
        <x:v>gold-medication-5fb2edbf5504945c</x:v>
      </x:c>
      <x:c r="B2047" s="8" t="str">
        <x:v>eyak:201903216:dosage:001</x:v>
      </x:c>
      <x:c r="C2047" s="8" t="str">
        <x:v>eyak:201903216:dosage:001
eyak:201903216:dosage:002</x:v>
      </x:c>
      <x:c r="D2047" s="8" t="str">
        <x:v>근거와 함께 답변</x:v>
      </x:c>
      <x:c r="E2047" s="15" t="n">
        <x:v>2045</x:v>
      </x:c>
      <x:c r="F2047" s="8" t="str">
        <x:v>기존 검증 정답</x:v>
      </x:c>
      <x:c r="G2047" s="8" t="str">
        <x:v>https://apis.data.go.kr/1471000/DrbEasyDrugInfoService/getDrbEasyDrugList</x:v>
      </x:c>
      <x:c r="H2047" s="8" t="str">
        <x:v>{
  "item_seq": "201903216",
  "item_name": "제일테르비케어크림(테르비나핀염산염)",
  "manufacturer": "제일헬스사이언스(주)",
  "section_codes": [
    "dosage"
  ]
}</x:v>
      </x:c>
    </x:row>
    <x:row r="2048" ht="54" customHeight="1">
      <x:c r="A2048" s="8" t="str">
        <x:v>gold-medication-2bba916ba50a0601</x:v>
      </x:c>
      <x:c r="B2048" s="8" t="str">
        <x:v>eyak:200301994:adverse_reactions:001</x:v>
      </x:c>
      <x:c r="C2048" s="8" t="str">
        <x:v>eyak:200301994:adverse_reactions:001</x:v>
      </x:c>
      <x:c r="D2048" s="8" t="str">
        <x:v>근거와 함께 답변</x:v>
      </x:c>
      <x:c r="E2048" s="15" t="n">
        <x:v>2046</x:v>
      </x:c>
      <x:c r="F2048" s="8" t="str">
        <x:v>기존 검증 정답</x:v>
      </x:c>
      <x:c r="G2048" s="8" t="str">
        <x:v>https://apis.data.go.kr/1471000/DrbEasyDrugInfoService/getDrbEasyDrugList</x:v>
      </x:c>
      <x:c r="H2048" s="8" t="str">
        <x:v>{
  "item_seq": "200301994",
  "item_name": "벤스나졸크림(테르비나핀염산염)",
  "manufacturer": "알파제약(주)",
  "section_codes": [
    "adverse_reactions"
  ]
}</x:v>
      </x:c>
    </x:row>
    <x:row r="2049" ht="54" customHeight="1">
      <x:c r="A2049" s="8" t="str">
        <x:v>gold-medication-c001d21c1e43983d</x:v>
      </x:c>
      <x:c r="B2049" s="8" t="str">
        <x:v>eyak:201501920:adverse_reactions:001</x:v>
      </x:c>
      <x:c r="C2049" s="8" t="str">
        <x:v>eyak:201501920:adverse_reactions:001</x:v>
      </x:c>
      <x:c r="D2049" s="8" t="str">
        <x:v>근거와 함께 답변</x:v>
      </x:c>
      <x:c r="E2049" s="15" t="n">
        <x:v>2047</x:v>
      </x:c>
      <x:c r="F2049" s="8" t="str">
        <x:v>기존 검증 정답</x:v>
      </x:c>
      <x:c r="G2049" s="8" t="str">
        <x:v>https://apis.data.go.kr/1471000/DrbEasyDrugInfoService/getDrbEasyDrugList</x:v>
      </x:c>
      <x:c r="H2049" s="8" t="str">
        <x:v>{
  "item_seq": "201501920",
  "item_name": "푸리덴연고",
  "manufacturer": "신신제약(주)",
  "section_codes": [
    "adverse_reactions"
  ]
}</x:v>
      </x:c>
    </x:row>
    <x:row r="2050" ht="54" customHeight="1">
      <x:c r="A2050" s="8" t="str">
        <x:v>gold-medication-8caee8b3c5301b9c</x:v>
      </x:c>
      <x:c r="B2050" s="8" t="str">
        <x:v>eyak:202401177:interactions:001</x:v>
      </x:c>
      <x:c r="C2050" s="8" t="str">
        <x:v>eyak:202401177:interactions:001</x:v>
      </x:c>
      <x:c r="D2050" s="8" t="str">
        <x:v>근거와 함께 답변</x:v>
      </x:c>
      <x:c r="E2050" s="15" t="n">
        <x:v>2048</x:v>
      </x:c>
      <x:c r="F2050" s="8" t="str">
        <x:v>기존 검증 정답</x:v>
      </x:c>
      <x:c r="G2050" s="8" t="str">
        <x:v>https://apis.data.go.kr/1471000/DrbEasyDrugInfoService/getDrbEasyDrugList</x:v>
      </x:c>
      <x:c r="H2050" s="8" t="str">
        <x:v>{
  "item_seq": "202401177",
  "item_name": "코앤쿨에스나잘스프레이",
  "manufacturer": "한미약품(주)",
  "section_codes": [
    "interactions"
  ]
}</x:v>
      </x:c>
    </x:row>
    <x:row r="2051" ht="54" customHeight="1">
      <x:c r="A2051" s="8" t="str">
        <x:v>gold-medication-e08f94f2af12437b</x:v>
      </x:c>
      <x:c r="B2051" s="8" t="str">
        <x:v>eyak:200100673:precautions:001</x:v>
      </x:c>
      <x:c r="C2051" s="8" t="str">
        <x:v>eyak:200100673:precautions:001
eyak:200100673:precautions:002</x:v>
      </x:c>
      <x:c r="D2051" s="8" t="str">
        <x:v>근거와 함께 답변</x:v>
      </x:c>
      <x:c r="E2051" s="15" t="n">
        <x:v>2049</x:v>
      </x:c>
      <x:c r="F2051" s="8" t="str">
        <x:v>기존 검증 정답</x:v>
      </x:c>
      <x:c r="G2051" s="8" t="str">
        <x:v>https://apis.data.go.kr/1471000/DrbEasyDrugInfoService/getDrbEasyDrugList</x:v>
      </x:c>
      <x:c r="H2051" s="8" t="str">
        <x:v>{
  "item_seq": "200100673",
  "item_name": "프리카바에프캡슐(수출명:FreecofCapsules)",
  "manufacturer": "(주)마더스제약",
  "section_codes": [
    "precautions"
  ]
}</x:v>
      </x:c>
    </x:row>
    <x:row r="2052" ht="54" customHeight="1">
      <x:c r="A2052" s="8" t="str">
        <x:v>gold-medication-46afeceee01700f6</x:v>
      </x:c>
      <x:c r="B2052" s="8" t="str">
        <x:v>eyak:201903110:efficacy:001</x:v>
      </x:c>
      <x:c r="C2052" s="8" t="str">
        <x:v>eyak:201903110:efficacy:001</x:v>
      </x:c>
      <x:c r="D2052" s="8" t="str">
        <x:v>근거와 함께 답변</x:v>
      </x:c>
      <x:c r="E2052" s="15" t="n">
        <x:v>2050</x:v>
      </x:c>
      <x:c r="F2052" s="8" t="str">
        <x:v>기존 검증 정답</x:v>
      </x:c>
      <x:c r="G2052" s="8" t="str">
        <x:v>https://apis.data.go.kr/1471000/DrbEasyDrugInfoService/getDrbEasyDrugList</x:v>
      </x:c>
      <x:c r="H2052" s="8" t="str">
        <x:v>{
  "item_seq": "201903110",
  "item_name": "안티렌크림(구아야줄렌)",
  "manufacturer": "(주)일화",
  "section_codes": [
    "efficacy"
  ]
}</x:v>
      </x:c>
    </x:row>
    <x:row r="2053" ht="54" customHeight="1">
      <x:c r="A2053" s="8" t="str">
        <x:v>gold-medication-f7ee0739547c3c09</x:v>
      </x:c>
      <x:c r="B2053" s="8" t="str">
        <x:v>eyak:201105817:dosage:001</x:v>
      </x:c>
      <x:c r="C2053" s="8" t="str">
        <x:v>eyak:201105817:dosage:001
eyak:201105817:dosage:002</x:v>
      </x:c>
      <x:c r="D2053" s="8" t="str">
        <x:v>근거와 함께 답변</x:v>
      </x:c>
      <x:c r="E2053" s="15" t="n">
        <x:v>2051</x:v>
      </x:c>
      <x:c r="F2053" s="8" t="str">
        <x:v>기존 검증 정답</x:v>
      </x:c>
      <x:c r="G2053" s="8" t="str">
        <x:v>https://apis.data.go.kr/1471000/DrbEasyDrugInfoService/getDrbEasyDrugList</x:v>
      </x:c>
      <x:c r="H2053" s="8" t="str">
        <x:v>{
  "item_seq": "201105817",
  "item_name": "프리미어평위천액",
  "manufacturer": "광동제약(주)",
  "section_codes": [
    "dosage"
  ]
}</x:v>
      </x:c>
    </x:row>
    <x:row r="2054" ht="54" customHeight="1">
      <x:c r="A2054" s="8" t="str">
        <x:v>gold-medication-na-5dc926ee66911b46</x:v>
      </x:c>
      <x:c r="B2054" s="8" t="str"/>
      <x:c r="C2054" s="8" t="str"/>
      <x:c r="D2054" s="8" t="str">
        <x:v>답변 거부 또는 추가 확인 요청</x:v>
      </x:c>
      <x:c r="E2054" s="15" t="n">
        <x:v>2052</x:v>
      </x:c>
      <x:c r="F2054" s="8" t="str">
        <x:v>답변 거부 기준 문구</x:v>
      </x:c>
      <x:c r="G2054" s="8" t="str">
        <x:v>https://apis.data.go.kr/1471000/DrbEasyDrugInfoService/getDrbEasyDrugList</x:v>
      </x:c>
      <x:c r="H2054" s="8" t="str">
        <x:v>{
  "item_seq": "202400682",
  "item_name": "눈앤쿨점안액0.6%(카르복시메틸셀룰로오스나트륨)(1회용)",
  "manufacturer": "한미약품(주)",
  "section_codes": [
    "efficacy"
  ]
}</x:v>
      </x:c>
    </x:row>
    <x:row r="2055" ht="54" customHeight="1">
      <x:c r="A2055" s="8" t="str">
        <x:v>gold-medication-7fa1f48aef66b15f</x:v>
      </x:c>
      <x:c r="B2055" s="8" t="str">
        <x:v>eyak:201604413:adverse_reactions:001</x:v>
      </x:c>
      <x:c r="C2055" s="8" t="str">
        <x:v>eyak:201604413:adverse_reactions:001</x:v>
      </x:c>
      <x:c r="D2055" s="8" t="str">
        <x:v>근거와 함께 답변</x:v>
      </x:c>
      <x:c r="E2055" s="15" t="n">
        <x:v>2053</x:v>
      </x:c>
      <x:c r="F2055" s="8" t="str">
        <x:v>기존 검증 정답</x:v>
      </x:c>
      <x:c r="G2055" s="8" t="str">
        <x:v>https://apis.data.go.kr/1471000/DrbEasyDrugInfoService/getDrbEasyDrugList</x:v>
      </x:c>
      <x:c r="H2055" s="8" t="str">
        <x:v>{
  "item_seq": "201604413",
  "item_name": "마그투연질캡슐",
  "manufacturer": "(주)에이프로젠바이오로직스",
  "section_codes": [
    "adverse_reactions"
  ]
}</x:v>
      </x:c>
    </x:row>
    <x:row r="2056" ht="54" customHeight="1">
      <x:c r="A2056" s="8" t="str">
        <x:v>gold-medication-77fcf22e17971fa7</x:v>
      </x:c>
      <x:c r="B2056" s="8" t="str">
        <x:v>eyak:201708524:efficacy:001</x:v>
      </x:c>
      <x:c r="C2056" s="8" t="str">
        <x:v>eyak:201708524:efficacy:001</x:v>
      </x:c>
      <x:c r="D2056" s="8" t="str">
        <x:v>근거와 함께 답변</x:v>
      </x:c>
      <x:c r="E2056" s="15" t="n">
        <x:v>2054</x:v>
      </x:c>
      <x:c r="F2056" s="8" t="str">
        <x:v>기존 검증 정답</x:v>
      </x:c>
      <x:c r="G2056" s="8" t="str">
        <x:v>https://apis.data.go.kr/1471000/DrbEasyDrugInfoService/getDrbEasyDrugList</x:v>
      </x:c>
      <x:c r="H2056" s="8" t="str">
        <x:v>{
  "item_seq": "201708524",
  "item_name": "페라플루디액(과아세트산액0.2%)",
  "manufacturer": "주식회사 밸리",
  "section_codes": [
    "efficacy"
  ]
}</x:v>
      </x:c>
    </x:row>
    <x:row r="2057" ht="54" customHeight="1">
      <x:c r="A2057" s="8" t="str">
        <x:v>gold-medication-710dcd623cdb95bd</x:v>
      </x:c>
      <x:c r="B2057" s="8" t="str">
        <x:v>eyak:199702846:precautions:001
eyak:199702846:adverse_reactions:001</x:v>
      </x:c>
      <x:c r="C2057" s="8" t="str">
        <x:v>eyak:199702846:precautions:001
eyak:199702846:adverse_reactions:001
eyak:199702846:adverse_reactions:002
eyak:199702846:adverse_reactions:004
eyak:199702846:adverse_reactions:003
eyak:199702846:adverse_reactions:005
eyak:199702846:adverse_reactions:006</x:v>
      </x:c>
      <x:c r="D2057" s="8" t="str">
        <x:v>근거와 함께 답변</x:v>
      </x:c>
      <x:c r="E2057" s="15" t="n">
        <x:v>2055</x:v>
      </x:c>
      <x:c r="F2057" s="8" t="str">
        <x:v>기존 검증 정답</x:v>
      </x:c>
      <x:c r="G2057" s="8" t="str">
        <x:v>https://apis.data.go.kr/1471000/DrbEasyDrugInfoService/getDrbEasyDrugList</x:v>
      </x:c>
      <x:c r="H2057" s="8" t="str">
        <x:v>{
  "item_seq": "199702846",
  "item_name": "하원세티리진정(세티리진염산염)",
  "manufacturer": "(주)하원제약",
  "section_codes": [
    "precautions",
    "adverse_reactions"
  ]
}</x:v>
      </x:c>
    </x:row>
    <x:row r="2058" ht="54" customHeight="1">
      <x:c r="A2058" s="8" t="str">
        <x:v>gold-medication-na-59d646b564f60d94</x:v>
      </x:c>
      <x:c r="B2058" s="8" t="str"/>
      <x:c r="C2058" s="8" t="str"/>
      <x:c r="D2058" s="8" t="str">
        <x:v>답변 거부 또는 추가 확인 요청</x:v>
      </x:c>
      <x:c r="E2058" s="15" t="n">
        <x:v>2056</x:v>
      </x:c>
      <x:c r="F2058" s="8" t="str">
        <x:v>답변 거부 기준 문구</x:v>
      </x:c>
      <x:c r="G2058" s="8" t="str">
        <x:v>https://apis.data.go.kr/1471000/DrbEasyDrugInfoService/getDrbEasyDrugList</x:v>
      </x:c>
      <x:c r="H2058" s="8" t="str">
        <x:v>{
  "item_seq": "200908953",
  "item_name": "셀레트론플러스연질캡슐",
  "manufacturer": "(주)테라젠이텍스",
  "section_codes": [
    "adverse_reactions"
  ]
}</x:v>
      </x:c>
    </x:row>
    <x:row r="2059" ht="54" customHeight="1">
      <x:c r="A2059" s="8" t="str">
        <x:v>gold-medication-f18e6292c1e85a39</x:v>
      </x:c>
      <x:c r="B2059" s="8" t="str">
        <x:v>eyak:200904932:interactions:001</x:v>
      </x:c>
      <x:c r="C2059" s="8" t="str">
        <x:v>eyak:200904932:interactions:001</x:v>
      </x:c>
      <x:c r="D2059" s="8" t="str">
        <x:v>근거와 함께 답변</x:v>
      </x:c>
      <x:c r="E2059" s="15" t="n">
        <x:v>2057</x:v>
      </x:c>
      <x:c r="F2059" s="8" t="str">
        <x:v>기존 검증 정답</x:v>
      </x:c>
      <x:c r="G2059" s="8" t="str">
        <x:v>https://apis.data.go.kr/1471000/DrbEasyDrugInfoService/getDrbEasyDrugList</x:v>
      </x:c>
      <x:c r="H2059" s="8" t="str">
        <x:v>{
  "item_seq": "200904932",
  "item_name": "암씨롱큐정",
  "manufacturer": "동아제약(주)",
  "section_codes": [
    "interactions"
  ]
}</x:v>
      </x:c>
    </x:row>
    <x:row r="2060" ht="54" customHeight="1">
      <x:c r="A2060" s="8" t="str">
        <x:v>gold-medication-2ef63928f5ef0aef</x:v>
      </x:c>
      <x:c r="B2060" s="8" t="str">
        <x:v>eyak:199800888:interactions:001</x:v>
      </x:c>
      <x:c r="C2060" s="8" t="str">
        <x:v>eyak:199800888:interactions:001</x:v>
      </x:c>
      <x:c r="D2060" s="8" t="str">
        <x:v>근거와 함께 답변</x:v>
      </x:c>
      <x:c r="E2060" s="15" t="n">
        <x:v>2058</x:v>
      </x:c>
      <x:c r="F2060" s="8" t="str">
        <x:v>기존 검증 정답</x:v>
      </x:c>
      <x:c r="G2060" s="8" t="str">
        <x:v>https://apis.data.go.kr/1471000/DrbEasyDrugInfoService/getDrbEasyDrugList</x:v>
      </x:c>
      <x:c r="H2060" s="8" t="str">
        <x:v>{
  "item_seq": "199800888",
  "item_name": "세토펜현탁액(아세트아미노펜)",
  "manufacturer": "삼아제약(주)",
  "section_codes": [
    "interactions"
  ]
}</x:v>
      </x:c>
    </x:row>
    <x:row r="2061" ht="54" customHeight="1">
      <x:c r="A2061" s="8" t="str">
        <x:v>gold-medication-ee8edc5d5954f88a</x:v>
      </x:c>
      <x:c r="B2061" s="8" t="str">
        <x:v>eyak:200809274:interactions:001</x:v>
      </x:c>
      <x:c r="C2061" s="8" t="str">
        <x:v>eyak:200809274:interactions:001
eyak:200809274:interactions:002
eyak:200809274:interactions:003
eyak:200809274:interactions:004</x:v>
      </x:c>
      <x:c r="D2061" s="8" t="str">
        <x:v>근거와 함께 답변</x:v>
      </x:c>
      <x:c r="E2061" s="15" t="n">
        <x:v>2059</x:v>
      </x:c>
      <x:c r="F2061" s="8" t="str">
        <x:v>기존 검증 정답</x:v>
      </x:c>
      <x:c r="G2061" s="8" t="str">
        <x:v>https://apis.data.go.kr/1471000/DrbEasyDrugInfoService/getDrbEasyDrugList</x:v>
      </x:c>
      <x:c r="H2061" s="8" t="str">
        <x:v>{
  "item_seq": "200809274",
  "item_name": "덱시부펜연질캡슐(덱시부프로펜)",
  "manufacturer": "제일헬스사이언스(주)",
  "section_codes": [
    "interactions"
  ]
}</x:v>
      </x:c>
    </x:row>
    <x:row r="2062" ht="54" customHeight="1">
      <x:c r="A2062" s="8" t="str">
        <x:v>gold-medication-695420b90a04fe70</x:v>
      </x:c>
      <x:c r="B2062" s="8" t="str">
        <x:v>eyak:200904590:precautions:001</x:v>
      </x:c>
      <x:c r="C2062" s="8" t="str">
        <x:v>eyak:200904590:precautions:001
eyak:200904590:precautions:002
eyak:200904590:precautions:003</x:v>
      </x:c>
      <x:c r="D2062" s="8" t="str">
        <x:v>근거와 함께 답변</x:v>
      </x:c>
      <x:c r="E2062" s="15" t="n">
        <x:v>2060</x:v>
      </x:c>
      <x:c r="F2062" s="8" t="str">
        <x:v>기존 검증 정답</x:v>
      </x:c>
      <x:c r="G2062" s="8" t="str">
        <x:v>https://apis.data.go.kr/1471000/DrbEasyDrugInfoService/getDrbEasyDrugList</x:v>
      </x:c>
      <x:c r="H2062" s="8" t="str">
        <x:v>{
  "item_seq": "200904590",
  "item_name": "토마스연질캡슐",
  "manufacturer": "(주)동구바이오제약",
  "section_codes": [
    "precautions"
  ]
}</x:v>
      </x:c>
    </x:row>
    <x:row r="2063" ht="54" customHeight="1">
      <x:c r="A2063" s="8" t="str">
        <x:v>gold-medication-3675eebdb024aa84</x:v>
      </x:c>
      <x:c r="B2063" s="8" t="str">
        <x:v>eyak:201706865:precautions:003
eyak:201706865:adverse_reactions:001</x:v>
      </x:c>
      <x:c r="C2063" s="8" t="str">
        <x:v>eyak:201706865:precautions:003
eyak:201706865:precautions:002
eyak:201706865:precautions:001
eyak:201706865:adverse_reactions:001</x:v>
      </x:c>
      <x:c r="D2063" s="8" t="str">
        <x:v>근거와 함께 답변</x:v>
      </x:c>
      <x:c r="E2063" s="15" t="n">
        <x:v>2061</x:v>
      </x:c>
      <x:c r="F2063" s="8" t="str">
        <x:v>기존 검증 정답</x:v>
      </x:c>
      <x:c r="G2063" s="8" t="str">
        <x:v>https://apis.data.go.kr/1471000/DrbEasyDrugInfoService/getDrbEasyDrugList</x:v>
      </x:c>
      <x:c r="H2063" s="8" t="str">
        <x:v>{
  "item_seq": "201706865",
  "item_name": "에코파워600정",
  "manufacturer": "(주)한풍제약",
  "section_codes": [
    "precautions",
    "adverse_reactions"
  ]
}</x:v>
      </x:c>
    </x:row>
    <x:row r="2064" ht="54" customHeight="1">
      <x:c r="A2064" s="8" t="str">
        <x:v>gold-medication-b2779e0551d35364</x:v>
      </x:c>
      <x:c r="B2064" s="8" t="str">
        <x:v>eyak:201905072:adverse_reactions:001</x:v>
      </x:c>
      <x:c r="C2064" s="8" t="str">
        <x:v>eyak:201905072:adverse_reactions:001
eyak:201905072:adverse_reactions:002</x:v>
      </x:c>
      <x:c r="D2064" s="8" t="str">
        <x:v>근거와 함께 답변</x:v>
      </x:c>
      <x:c r="E2064" s="15" t="n">
        <x:v>2062</x:v>
      </x:c>
      <x:c r="F2064" s="8" t="str">
        <x:v>기존 검증 정답</x:v>
      </x:c>
      <x:c r="G2064" s="8" t="str">
        <x:v>https://apis.data.go.kr/1471000/DrbEasyDrugInfoService/getDrbEasyDrugList</x:v>
      </x:c>
      <x:c r="H2064" s="8" t="str">
        <x:v>{
  "item_seq": "201905072",
  "item_name": "벤포벨지정",
  "manufacturer": "(주)종근당",
  "section_codes": [
    "adverse_reactions"
  ]
}</x:v>
      </x:c>
    </x:row>
    <x:row r="2065" ht="54" customHeight="1">
      <x:c r="A2065" s="8" t="str">
        <x:v>gold-medication-c2b4289c836e1a2c</x:v>
      </x:c>
      <x:c r="B2065" s="8" t="str">
        <x:v>eyak:199602559:adverse_reactions:001</x:v>
      </x:c>
      <x:c r="C2065" s="8" t="str">
        <x:v>eyak:199602559:adverse_reactions:001</x:v>
      </x:c>
      <x:c r="D2065" s="8" t="str">
        <x:v>근거와 함께 답변</x:v>
      </x:c>
      <x:c r="E2065" s="15" t="n">
        <x:v>2063</x:v>
      </x:c>
      <x:c r="F2065" s="8" t="str">
        <x:v>기존 검증 정답</x:v>
      </x:c>
      <x:c r="G2065" s="8" t="str">
        <x:v>https://apis.data.go.kr/1471000/DrbEasyDrugInfoService/getDrbEasyDrugList</x:v>
      </x:c>
      <x:c r="H2065" s="8" t="str">
        <x:v>{
  "item_seq": "199602559",
  "item_name": "포맨액(L-아스파르트산-L-아르기닌수화물)",
  "manufacturer": "구주제약(주)",
  "section_codes": [
    "adverse_reactions"
  ]
}</x:v>
      </x:c>
    </x:row>
    <x:row r="2066" ht="54" customHeight="1">
      <x:c r="A2066" s="8" t="str">
        <x:v>gold-medication-816d14cdff463dbd</x:v>
      </x:c>
      <x:c r="B2066" s="8" t="str">
        <x:v>eyak:200906330:efficacy:001</x:v>
      </x:c>
      <x:c r="C2066" s="8" t="str">
        <x:v>eyak:200906330:efficacy:001</x:v>
      </x:c>
      <x:c r="D2066" s="8" t="str">
        <x:v>근거와 함께 답변</x:v>
      </x:c>
      <x:c r="E2066" s="15" t="n">
        <x:v>2064</x:v>
      </x:c>
      <x:c r="F2066" s="8" t="str">
        <x:v>기존 검증 정답</x:v>
      </x:c>
      <x:c r="G2066" s="8" t="str">
        <x:v>https://apis.data.go.kr/1471000/DrbEasyDrugInfoService/getDrbEasyDrugList</x:v>
      </x:c>
      <x:c r="H2066" s="8" t="str">
        <x:v>{
  "item_seq": "200906330",
  "item_name": "그날엔큐정",
  "manufacturer": "경동제약(주)",
  "section_codes": [
    "efficacy"
  ]
}</x:v>
      </x:c>
    </x:row>
    <x:row r="2067" ht="54" customHeight="1">
      <x:c r="A2067" s="8" t="str">
        <x:v>gold-medication-1929741d749af67b</x:v>
      </x:c>
      <x:c r="B2067" s="8" t="str">
        <x:v>eyak:201901675:interactions:001</x:v>
      </x:c>
      <x:c r="C2067" s="8" t="str">
        <x:v>eyak:201901675:interactions:001</x:v>
      </x:c>
      <x:c r="D2067" s="8" t="str">
        <x:v>근거와 함께 답변</x:v>
      </x:c>
      <x:c r="E2067" s="15" t="n">
        <x:v>2065</x:v>
      </x:c>
      <x:c r="F2067" s="8" t="str">
        <x:v>기존 검증 정답</x:v>
      </x:c>
      <x:c r="G2067" s="8" t="str">
        <x:v>https://apis.data.go.kr/1471000/DrbEasyDrugInfoService/getDrbEasyDrugList</x:v>
      </x:c>
      <x:c r="H2067" s="8" t="str">
        <x:v>{
  "item_seq": "201901675",
  "item_name": "알앤샷연질캡슐(세티리진염산염)",
  "manufacturer": "동광제약(주)",
  "section_codes": [
    "interactions"
  ]
}</x:v>
      </x:c>
    </x:row>
    <x:row r="2068" ht="54" customHeight="1">
      <x:c r="A2068" s="8" t="str">
        <x:v>gold-medication-8c23a7e65c395099</x:v>
      </x:c>
      <x:c r="B2068" s="8" t="str">
        <x:v>eyak:202203168:precautions:001</x:v>
      </x:c>
      <x:c r="C2068" s="8" t="str">
        <x:v>eyak:202203168:precautions:001
eyak:202203168:precautions:002
eyak:202203168:precautions:003</x:v>
      </x:c>
      <x:c r="D2068" s="8" t="str">
        <x:v>근거와 함께 답변</x:v>
      </x:c>
      <x:c r="E2068" s="15" t="n">
        <x:v>2066</x:v>
      </x:c>
      <x:c r="F2068" s="8" t="str">
        <x:v>기존 검증 정답</x:v>
      </x:c>
      <x:c r="G2068" s="8" t="str">
        <x:v>https://apis.data.go.kr/1471000/DrbEasyDrugInfoService/getDrbEasyDrugList</x:v>
      </x:c>
      <x:c r="H2068" s="8" t="str">
        <x:v>{
  "item_seq": "202203168",
  "item_name": "아크클리어크림",
  "manufacturer": "태극제약(주)",
  "section_codes": [
    "precautions"
  ]
}</x:v>
      </x:c>
    </x:row>
    <x:row r="2069" ht="54" customHeight="1">
      <x:c r="A2069" s="8" t="str">
        <x:v>gold-medication-na-53334685fd4ce27b</x:v>
      </x:c>
      <x:c r="B2069" s="8" t="str"/>
      <x:c r="C2069" s="8" t="str"/>
      <x:c r="D2069" s="8" t="str">
        <x:v>답변 거부 또는 추가 확인 요청</x:v>
      </x:c>
      <x:c r="E2069" s="15" t="n">
        <x:v>2067</x:v>
      </x:c>
      <x:c r="F2069" s="8" t="str">
        <x:v>답변 거부 기준 문구</x:v>
      </x:c>
      <x:c r="G2069" s="8" t="str">
        <x:v>https://apis.data.go.kr/1471000/DrbEasyDrugInfoService/getDrbEasyDrugList</x:v>
      </x:c>
      <x:c r="H2069" s="8" t="str">
        <x:v>{
  "item_seq": "199201802",
  "item_name": "코모졸크림(케토코나졸)(수출명:NAZOL)",
  "manufacturer": "대화제약(주)",
  "section_codes": [
    "efficacy"
  ]
}</x:v>
      </x:c>
    </x:row>
    <x:row r="2070" ht="54" customHeight="1">
      <x:c r="A2070" s="8" t="str">
        <x:v>gold-medication-3802ef985f14387d</x:v>
      </x:c>
      <x:c r="B2070" s="8" t="str">
        <x:v>eyak:201500001:adverse_reactions:001</x:v>
      </x:c>
      <x:c r="C2070" s="8" t="str">
        <x:v>eyak:201500001:adverse_reactions:001</x:v>
      </x:c>
      <x:c r="D2070" s="8" t="str">
        <x:v>근거와 함께 답변</x:v>
      </x:c>
      <x:c r="E2070" s="15" t="n">
        <x:v>2068</x:v>
      </x:c>
      <x:c r="F2070" s="8" t="str">
        <x:v>기존 검증 정답</x:v>
      </x:c>
      <x:c r="G2070" s="8" t="str">
        <x:v>https://apis.data.go.kr/1471000/DrbEasyDrugInfoService/getDrbEasyDrugList</x:v>
      </x:c>
      <x:c r="H2070" s="8" t="str">
        <x:v>{
  "item_seq": "201500001",
  "item_name": "블루콜엠연질캡슐",
  "manufacturer": "(주)알피바이오",
  "section_codes": [
    "adverse_reactions"
  ]
}</x:v>
      </x:c>
    </x:row>
    <x:row r="2071" ht="54" customHeight="1">
      <x:c r="A2071" s="8" t="str">
        <x:v>gold-medication-c9ed162f89a754f9</x:v>
      </x:c>
      <x:c r="B2071" s="8" t="str">
        <x:v>eyak:202400366:efficacy:001</x:v>
      </x:c>
      <x:c r="C2071" s="8" t="str">
        <x:v>eyak:202400366:efficacy:001
eyak:202400366:efficacy:002</x:v>
      </x:c>
      <x:c r="D2071" s="8" t="str">
        <x:v>근거와 함께 답변</x:v>
      </x:c>
      <x:c r="E2071" s="15" t="n">
        <x:v>2069</x:v>
      </x:c>
      <x:c r="F2071" s="8" t="str">
        <x:v>기존 검증 정답</x:v>
      </x:c>
      <x:c r="G2071" s="8" t="str">
        <x:v>https://apis.data.go.kr/1471000/DrbEasyDrugInfoService/getDrbEasyDrugList</x:v>
      </x:c>
      <x:c r="H2071" s="8" t="str">
        <x:v>{
  "item_seq": "202400366",
  "item_name": "메가원플러스정",
  "manufacturer": "하나제약(주)",
  "section_codes": [
    "efficacy"
  ]
}</x:v>
      </x:c>
    </x:row>
    <x:row r="2072" ht="54" customHeight="1">
      <x:c r="A2072" s="8" t="str">
        <x:v>gold-medication-3e3ad97789c271a7</x:v>
      </x:c>
      <x:c r="B2072" s="8" t="str">
        <x:v>eyak:201803160:warning:001
eyak:201803160:precautions:006
eyak:201803160:adverse_reactions:003</x:v>
      </x:c>
      <x:c r="C2072" s="8" t="str">
        <x:v>eyak:201803160:warning:001
eyak:201803160:precautions:006
eyak:201803160:precautions:007
eyak:201803160:precautions:004
eyak:201803160:precautions:002
eyak:201803160:precautions:003
eyak:201803160:precautions:005
eyak:201803160:precautions:001
eyak:201803160:adverse_reactions:003
eyak:201803160:adverse_reactions:004
eyak:201803160:adverse_reactions:002
eyak:201803160:adverse_reactions:001
eyak:201803160:adverse_reactions:005</x:v>
      </x:c>
      <x:c r="D2072" s="8" t="str">
        <x:v>근거와 함께 답변</x:v>
      </x:c>
      <x:c r="E2072" s="15" t="n">
        <x:v>2070</x:v>
      </x:c>
      <x:c r="F2072" s="8" t="str">
        <x:v>기존 검증 정답</x:v>
      </x:c>
      <x:c r="G2072" s="8" t="str">
        <x:v>https://apis.data.go.kr/1471000/DrbEasyDrugInfoService/getDrbEasyDrugList</x:v>
      </x:c>
      <x:c r="H2072" s="8" t="str">
        <x:v>{
  "item_seq": "201803160",
  "item_name": "쎄스콘미니정",
  "manufacturer": "지엘파마(주)",
  "section_codes": [
    "warning",
    "precautions",
    "adverse_reactions"
  ]
}</x:v>
      </x:c>
    </x:row>
    <x:row r="2073" ht="54" customHeight="1">
      <x:c r="A2073" s="8" t="str">
        <x:v>gold-medication-c2a55e09ac76ffa4</x:v>
      </x:c>
      <x:c r="B2073" s="8" t="str">
        <x:v>eyak:202303447:dosage:001</x:v>
      </x:c>
      <x:c r="C2073" s="8" t="str">
        <x:v>eyak:202303447:dosage:001</x:v>
      </x:c>
      <x:c r="D2073" s="8" t="str">
        <x:v>근거와 함께 답변</x:v>
      </x:c>
      <x:c r="E2073" s="15" t="n">
        <x:v>2071</x:v>
      </x:c>
      <x:c r="F2073" s="8" t="str">
        <x:v>기존 검증 정답</x:v>
      </x:c>
      <x:c r="G2073" s="8" t="str">
        <x:v>https://apis.data.go.kr/1471000/DrbEasyDrugInfoService/getDrbEasyDrugList</x:v>
      </x:c>
      <x:c r="H2073" s="8" t="str">
        <x:v>{
  "item_seq": "202303447",
  "item_name": "파비안디정",
  "manufacturer": "(주)서울제약",
  "section_codes": [
    "dosage"
  ]
}</x:v>
      </x:c>
    </x:row>
    <x:row r="2074" ht="54" customHeight="1">
      <x:c r="A2074" s="8" t="str">
        <x:v>gold-medication-ed39b2fd8e989faa</x:v>
      </x:c>
      <x:c r="B2074" s="8" t="str">
        <x:v>eyak:200907725:interactions:001</x:v>
      </x:c>
      <x:c r="C2074" s="8" t="str">
        <x:v>eyak:200907725:interactions:001</x:v>
      </x:c>
      <x:c r="D2074" s="8" t="str">
        <x:v>근거와 함께 답변</x:v>
      </x:c>
      <x:c r="E2074" s="15" t="n">
        <x:v>2072</x:v>
      </x:c>
      <x:c r="F2074" s="8" t="str">
        <x:v>기존 검증 정답</x:v>
      </x:c>
      <x:c r="G2074" s="8" t="str">
        <x:v>https://apis.data.go.kr/1471000/DrbEasyDrugInfoService/getDrbEasyDrugList</x:v>
      </x:c>
      <x:c r="H2074" s="8" t="str">
        <x:v>{
  "item_seq": "200907725",
  "item_name": "비스칸엔캡슐(바실루스리케니포르미스균)",
  "manufacturer": "(주)바이넥스",
  "section_codes": [
    "interactions"
  ]
}</x:v>
      </x:c>
    </x:row>
    <x:row r="2075" ht="54" customHeight="1">
      <x:c r="A2075" s="8" t="str">
        <x:v>gold-medication-92661e913f3f75b3</x:v>
      </x:c>
      <x:c r="B2075" s="8" t="str">
        <x:v>eyak:199701099:efficacy:001</x:v>
      </x:c>
      <x:c r="C2075" s="8" t="str">
        <x:v>eyak:199701099:efficacy:001</x:v>
      </x:c>
      <x:c r="D2075" s="8" t="str">
        <x:v>근거와 함께 답변</x:v>
      </x:c>
      <x:c r="E2075" s="15" t="n">
        <x:v>2073</x:v>
      </x:c>
      <x:c r="F2075" s="8" t="str">
        <x:v>기존 검증 정답</x:v>
      </x:c>
      <x:c r="G2075" s="8" t="str">
        <x:v>https://apis.data.go.kr/1471000/DrbEasyDrugInfoService/getDrbEasyDrugList</x:v>
      </x:c>
      <x:c r="H2075" s="8" t="str">
        <x:v>{
  "item_seq": "199701099",
  "item_name": "알메텍정(세티리진염산염)",
  "manufacturer": "(주)에이프로젠바이오로직스",
  "section_codes": [
    "efficacy"
  ]
}</x:v>
      </x:c>
    </x:row>
    <x:row r="2076" ht="54" customHeight="1">
      <x:c r="A2076" s="8" t="str">
        <x:v>gold-medication-53f058c34cfd779a</x:v>
      </x:c>
      <x:c r="B2076" s="8" t="str">
        <x:v>eyak:201805194:dosage:001</x:v>
      </x:c>
      <x:c r="C2076" s="8" t="str">
        <x:v>eyak:201805194:dosage:001</x:v>
      </x:c>
      <x:c r="D2076" s="8" t="str">
        <x:v>근거와 함께 답변</x:v>
      </x:c>
      <x:c r="E2076" s="15" t="n">
        <x:v>2074</x:v>
      </x:c>
      <x:c r="F2076" s="8" t="str">
        <x:v>기존 검증 정답</x:v>
      </x:c>
      <x:c r="G2076" s="8" t="str">
        <x:v>https://apis.data.go.kr/1471000/DrbEasyDrugInfoService/getDrbEasyDrugList</x:v>
      </x:c>
      <x:c r="H2076" s="8" t="str">
        <x:v>{
  "item_seq": "201805194",
  "item_name": "엘도프로캡슐(에르도스테인)",
  "manufacturer": "영진약품(주)",
  "section_codes": [
    "dosage"
  ]
}</x:v>
      </x:c>
    </x:row>
    <x:row r="2077" ht="54" customHeight="1">
      <x:c r="A2077" s="8" t="str">
        <x:v>gold-medication-6144c8070e6b1577</x:v>
      </x:c>
      <x:c r="B2077" s="8" t="str">
        <x:v>eyak:201907157:precautions:001</x:v>
      </x:c>
      <x:c r="C2077" s="8" t="str">
        <x:v>eyak:201907157:precautions:001</x:v>
      </x:c>
      <x:c r="D2077" s="8" t="str">
        <x:v>근거와 함께 답변</x:v>
      </x:c>
      <x:c r="E2077" s="15" t="n">
        <x:v>2075</x:v>
      </x:c>
      <x:c r="F2077" s="8" t="str">
        <x:v>기존 검증 정답</x:v>
      </x:c>
      <x:c r="G2077" s="8" t="str">
        <x:v>https://apis.data.go.kr/1471000/DrbEasyDrugInfoService/getDrbEasyDrugList</x:v>
      </x:c>
      <x:c r="H2077" s="8" t="str">
        <x:v>{
  "item_seq": "201907157",
  "item_name": "브로아제장용정(브로멜라인)",
  "manufacturer": "위더스제약(주)",
  "section_codes": [
    "precautions"
  ]
}</x:v>
      </x:c>
    </x:row>
    <x:row r="2078" ht="54" customHeight="1">
      <x:c r="A2078" s="8" t="str">
        <x:v>gold-medication-e5a3515c551f2f38</x:v>
      </x:c>
      <x:c r="B2078" s="8" t="str">
        <x:v>eyak:202301306:dosage:001</x:v>
      </x:c>
      <x:c r="C2078" s="8" t="str">
        <x:v>eyak:202301306:dosage:001</x:v>
      </x:c>
      <x:c r="D2078" s="8" t="str">
        <x:v>근거와 함께 답변</x:v>
      </x:c>
      <x:c r="E2078" s="15" t="n">
        <x:v>2076</x:v>
      </x:c>
      <x:c r="F2078" s="8" t="str">
        <x:v>기존 검증 정답</x:v>
      </x:c>
      <x:c r="G2078" s="8" t="str">
        <x:v>https://apis.data.go.kr/1471000/DrbEasyDrugInfoService/getDrbEasyDrugList</x:v>
      </x:c>
      <x:c r="H2078" s="8" t="str">
        <x:v>{
  "item_seq": "202301306",
  "item_name": "파워브이벤정",
  "manufacturer": "주식회사 노바엠헬스케어",
  "section_codes": [
    "dosage"
  ]
}</x:v>
      </x:c>
    </x:row>
    <x:row r="2079" ht="54" customHeight="1">
      <x:c r="A2079" s="8" t="str">
        <x:v>gold-medication-dece4613efe44ee9</x:v>
      </x:c>
      <x:c r="B2079" s="8" t="str">
        <x:v>eyak:201708036:precautions:001</x:v>
      </x:c>
      <x:c r="C2079" s="8" t="str">
        <x:v>eyak:201708036:precautions:001
eyak:201708036:precautions:002
eyak:201708036:precautions:003</x:v>
      </x:c>
      <x:c r="D2079" s="8" t="str">
        <x:v>근거와 함께 답변</x:v>
      </x:c>
      <x:c r="E2079" s="15" t="n">
        <x:v>2077</x:v>
      </x:c>
      <x:c r="F2079" s="8" t="str">
        <x:v>기존 검증 정답</x:v>
      </x:c>
      <x:c r="G2079" s="8" t="str">
        <x:v>https://apis.data.go.kr/1471000/DrbEasyDrugInfoService/getDrbEasyDrugList</x:v>
      </x:c>
      <x:c r="H2079" s="8" t="str">
        <x:v>{
  "item_seq": "201708036",
  "item_name": "클로맥스연질캡슐(클로닉신리시네이트)",
  "manufacturer": "코스맥스파마(주)",
  "section_codes": [
    "precautions"
  ]
}</x:v>
      </x:c>
    </x:row>
    <x:row r="2080" ht="54" customHeight="1">
      <x:c r="A2080" s="8" t="str">
        <x:v>gold-medication-dd95c75b05206e25</x:v>
      </x:c>
      <x:c r="B2080" s="8" t="str">
        <x:v>eyak:201801676:efficacy:001</x:v>
      </x:c>
      <x:c r="C2080" s="8" t="str">
        <x:v>eyak:201801676:efficacy:001</x:v>
      </x:c>
      <x:c r="D2080" s="8" t="str">
        <x:v>근거와 함께 답변</x:v>
      </x:c>
      <x:c r="E2080" s="15" t="n">
        <x:v>2078</x:v>
      </x:c>
      <x:c r="F2080" s="8" t="str">
        <x:v>기존 검증 정답</x:v>
      </x:c>
      <x:c r="G2080" s="8" t="str">
        <x:v>https://apis.data.go.kr/1471000/DrbEasyDrugInfoService/getDrbEasyDrugList</x:v>
      </x:c>
      <x:c r="H2080" s="8" t="str">
        <x:v>{
  "item_seq": "201801676",
  "item_name": "메디알정500mg(알마게이트)",
  "manufacturer": "에스피씨(주)",
  "section_codes": [
    "efficacy"
  ]
}</x:v>
      </x:c>
    </x:row>
    <x:row r="2081" ht="54" customHeight="1">
      <x:c r="A2081" s="8" t="str">
        <x:v>gold-medication-e5585681cbbba785</x:v>
      </x:c>
      <x:c r="B2081" s="8" t="str">
        <x:v>eyak:201705249:storage:001</x:v>
      </x:c>
      <x:c r="C2081" s="8" t="str">
        <x:v>eyak:201705249:storage:001</x:v>
      </x:c>
      <x:c r="D2081" s="8" t="str">
        <x:v>근거와 함께 답변</x:v>
      </x:c>
      <x:c r="E2081" s="15" t="n">
        <x:v>2079</x:v>
      </x:c>
      <x:c r="F2081" s="8" t="str">
        <x:v>기존 검증 정답</x:v>
      </x:c>
      <x:c r="G2081" s="8" t="str">
        <x:v>https://apis.data.go.kr/1471000/DrbEasyDrugInfoService/getDrbEasyDrugList</x:v>
      </x:c>
      <x:c r="H2081" s="8" t="str">
        <x:v>{
  "item_seq": "201705249",
  "item_name": "마그칼연질캡슐",
  "manufacturer": "코스맥스파마(주)",
  "section_codes": [
    "storage"
  ]
}</x:v>
      </x:c>
    </x:row>
    <x:row r="2082" ht="54" customHeight="1">
      <x:c r="A2082" s="8" t="str">
        <x:v>gold-medication-dd50265418ef3c84</x:v>
      </x:c>
      <x:c r="B2082" s="8" t="str">
        <x:v>eyak:200810766:interactions:001</x:v>
      </x:c>
      <x:c r="C2082" s="8" t="str">
        <x:v>eyak:200810766:interactions:001</x:v>
      </x:c>
      <x:c r="D2082" s="8" t="str">
        <x:v>근거와 함께 답변</x:v>
      </x:c>
      <x:c r="E2082" s="15" t="n">
        <x:v>2080</x:v>
      </x:c>
      <x:c r="F2082" s="8" t="str">
        <x:v>기존 검증 정답</x:v>
      </x:c>
      <x:c r="G2082" s="8" t="str">
        <x:v>https://apis.data.go.kr/1471000/DrbEasyDrugInfoService/getDrbEasyDrugList</x:v>
      </x:c>
      <x:c r="H2082" s="8" t="str">
        <x:v>{
  "item_seq": "200810766",
  "item_name": "엘카탄정(엘카르니틴)",
  "manufacturer": "경남제약(주)",
  "section_codes": [
    "interactions"
  ]
}</x:v>
      </x:c>
    </x:row>
    <x:row r="2083" ht="54" customHeight="1">
      <x:c r="A2083" s="8" t="str">
        <x:v>gold-medication-ed8428b89d0c8333</x:v>
      </x:c>
      <x:c r="B2083" s="8" t="str">
        <x:v>eyak:201802728:efficacy:001</x:v>
      </x:c>
      <x:c r="C2083" s="8" t="str">
        <x:v>eyak:201802728:efficacy:001
eyak:201802728:efficacy:002</x:v>
      </x:c>
      <x:c r="D2083" s="8" t="str">
        <x:v>근거와 함께 답변</x:v>
      </x:c>
      <x:c r="E2083" s="15" t="n">
        <x:v>2081</x:v>
      </x:c>
      <x:c r="F2083" s="8" t="str">
        <x:v>기존 검증 정답</x:v>
      </x:c>
      <x:c r="G2083" s="8" t="str">
        <x:v>https://apis.data.go.kr/1471000/DrbEasyDrugInfoService/getDrbEasyDrugList</x:v>
      </x:c>
      <x:c r="H2083" s="8" t="str">
        <x:v>{
  "item_seq": "201802728",
  "item_name": "알코펜연질캡슐(이부프로펜)",
  "manufacturer": "알리코제약(주)",
  "section_codes": [
    "efficacy"
  ]
}</x:v>
      </x:c>
    </x:row>
    <x:row r="2084" ht="54" customHeight="1">
      <x:c r="A2084" s="8" t="str">
        <x:v>gold-medication-cedd2085213d8ba6</x:v>
      </x:c>
      <x:c r="B2084" s="8" t="str">
        <x:v>eyak:199802171:efficacy:001</x:v>
      </x:c>
      <x:c r="C2084" s="8" t="str">
        <x:v>eyak:199802171:efficacy:001</x:v>
      </x:c>
      <x:c r="D2084" s="8" t="str">
        <x:v>근거와 함께 답변</x:v>
      </x:c>
      <x:c r="E2084" s="15" t="n">
        <x:v>2082</x:v>
      </x:c>
      <x:c r="F2084" s="8" t="str">
        <x:v>기존 검증 정답</x:v>
      </x:c>
      <x:c r="G2084" s="8" t="str">
        <x:v>https://apis.data.go.kr/1471000/DrbEasyDrugInfoService/getDrbEasyDrugList</x:v>
      </x:c>
      <x:c r="H2084" s="8" t="str">
        <x:v>{
  "item_seq": "199802171",
  "item_name": "이텍스암브록솔시럽(암브록솔염산염)",
  "manufacturer": "(주)테라젠이텍스",
  "section_codes": [
    "efficacy"
  ]
}</x:v>
      </x:c>
    </x:row>
    <x:row r="2085" ht="54" customHeight="1">
      <x:c r="A2085" s="8" t="str">
        <x:v>gold-medication-7435f4a618f1db11</x:v>
      </x:c>
      <x:c r="B2085" s="8" t="str">
        <x:v>eyak:201703185:adverse_reactions:001</x:v>
      </x:c>
      <x:c r="C2085" s="8" t="str">
        <x:v>eyak:201703185:adverse_reactions:001</x:v>
      </x:c>
      <x:c r="D2085" s="8" t="str">
        <x:v>근거와 함께 답변</x:v>
      </x:c>
      <x:c r="E2085" s="15" t="n">
        <x:v>2083</x:v>
      </x:c>
      <x:c r="F2085" s="8" t="str">
        <x:v>기존 검증 정답</x:v>
      </x:c>
      <x:c r="G2085" s="8" t="str">
        <x:v>https://apis.data.go.kr/1471000/DrbEasyDrugInfoService/getDrbEasyDrugList</x:v>
      </x:c>
      <x:c r="H2085" s="8" t="str">
        <x:v>{
  "item_seq": "201703185",
  "item_name": "유클리어톡외용액(살리실산)",
  "manufacturer": "(주)유유제약",
  "section_codes": [
    "adverse_reactions"
  ]
}</x:v>
      </x:c>
    </x:row>
    <x:row r="2086" ht="54" customHeight="1">
      <x:c r="A2086" s="8" t="str">
        <x:v>gold-medication-670560d8d3ad5b3f</x:v>
      </x:c>
      <x:c r="B2086" s="8" t="str">
        <x:v>eyak:201505023:adverse_reactions:001</x:v>
      </x:c>
      <x:c r="C2086" s="8" t="str">
        <x:v>eyak:201505023:adverse_reactions:001
eyak:201505023:adverse_reactions:002</x:v>
      </x:c>
      <x:c r="D2086" s="8" t="str">
        <x:v>근거와 함께 답변</x:v>
      </x:c>
      <x:c r="E2086" s="15" t="n">
        <x:v>2084</x:v>
      </x:c>
      <x:c r="F2086" s="8" t="str">
        <x:v>기존 검증 정답</x:v>
      </x:c>
      <x:c r="G2086" s="8" t="str">
        <x:v>https://apis.data.go.kr/1471000/DrbEasyDrugInfoService/getDrbEasyDrugList</x:v>
      </x:c>
      <x:c r="H2086" s="8" t="str">
        <x:v>{
  "item_seq": "201505023",
  "item_name": "키즈애드츄어블정",
  "manufacturer": "부광약품(주)",
  "section_codes": [
    "adverse_reactions"
  ]
}</x:v>
      </x:c>
    </x:row>
    <x:row r="2087" ht="54" customHeight="1">
      <x:c r="A2087" s="8" t="str">
        <x:v>gold-medication-1675097c5a1f94d4</x:v>
      </x:c>
      <x:c r="B2087" s="8" t="str">
        <x:v>eyak:200210839:adverse_reactions:001</x:v>
      </x:c>
      <x:c r="C2087" s="8" t="str">
        <x:v>eyak:200210839:adverse_reactions:001</x:v>
      </x:c>
      <x:c r="D2087" s="8" t="str">
        <x:v>근거와 함께 답변</x:v>
      </x:c>
      <x:c r="E2087" s="15" t="n">
        <x:v>2085</x:v>
      </x:c>
      <x:c r="F2087" s="8" t="str">
        <x:v>기존 검증 정답</x:v>
      </x:c>
      <x:c r="G2087" s="8" t="str">
        <x:v>https://apis.data.go.kr/1471000/DrbEasyDrugInfoService/getDrbEasyDrugList</x:v>
      </x:c>
      <x:c r="H2087" s="8" t="str">
        <x:v>{
  "item_seq": "200210839",
  "item_name": "인프라센액",
  "manufacturer": "구주제약(주)",
  "section_codes": [
    "adverse_reactions"
  ]
}</x:v>
      </x:c>
    </x:row>
    <x:row r="2088" ht="54" customHeight="1">
      <x:c r="A2088" s="8" t="str">
        <x:v>gold-medication-ca60b1290fca015c</x:v>
      </x:c>
      <x:c r="B2088" s="8" t="str">
        <x:v>eyak:201202780:adverse_reactions:001</x:v>
      </x:c>
      <x:c r="C2088" s="8" t="str">
        <x:v>eyak:201202780:adverse_reactions:001</x:v>
      </x:c>
      <x:c r="D2088" s="8" t="str">
        <x:v>근거와 함께 답변</x:v>
      </x:c>
      <x:c r="E2088" s="15" t="n">
        <x:v>2086</x:v>
      </x:c>
      <x:c r="F2088" s="8" t="str">
        <x:v>기존 검증 정답</x:v>
      </x:c>
      <x:c r="G2088" s="8" t="str">
        <x:v>https://apis.data.go.kr/1471000/DrbEasyDrugInfoService/getDrbEasyDrugList</x:v>
      </x:c>
      <x:c r="H2088" s="8" t="str">
        <x:v>{
  "item_seq": "201202780",
  "item_name": "위제로정",
  "manufacturer": "일양약품(주)",
  "section_codes": [
    "adverse_reactions"
  ]
}</x:v>
      </x:c>
    </x:row>
    <x:row r="2089" ht="54" customHeight="1">
      <x:c r="A2089" s="8" t="str">
        <x:v>gold-medication-dd053c2fcc9d8476</x:v>
      </x:c>
      <x:c r="B2089" s="8" t="str">
        <x:v>eyak:201507693:precautions:001</x:v>
      </x:c>
      <x:c r="C2089" s="8" t="str">
        <x:v>eyak:201507693:precautions:001</x:v>
      </x:c>
      <x:c r="D2089" s="8" t="str">
        <x:v>근거와 함께 답변</x:v>
      </x:c>
      <x:c r="E2089" s="15" t="n">
        <x:v>2087</x:v>
      </x:c>
      <x:c r="F2089" s="8" t="str">
        <x:v>기존 검증 정답</x:v>
      </x:c>
      <x:c r="G2089" s="8" t="str">
        <x:v>https://apis.data.go.kr/1471000/DrbEasyDrugInfoService/getDrbEasyDrugList</x:v>
      </x:c>
      <x:c r="H2089" s="8" t="str">
        <x:v>{
  "item_seq": "201507693",
  "item_name": "로라딘연질캡슐(로라타딘)",
  "manufacturer": "한솔신약(주)",
  "section_codes": [
    "precautions"
  ]
}</x:v>
      </x:c>
    </x:row>
    <x:row r="2090" ht="54" customHeight="1">
      <x:c r="A2090" s="8" t="str">
        <x:v>gold-medication-0f1cb37550f1329b</x:v>
      </x:c>
      <x:c r="B2090" s="8" t="str">
        <x:v>eyak:202103144:precautions:002
eyak:202103144:adverse_reactions:002</x:v>
      </x:c>
      <x:c r="C2090" s="8" t="str">
        <x:v>eyak:202103144:precautions:002
eyak:202103144:precautions:001
eyak:202103144:precautions:003
eyak:202103144:adverse_reactions:002
eyak:202103144:adverse_reactions:001</x:v>
      </x:c>
      <x:c r="D2090" s="8" t="str">
        <x:v>근거와 함께 답변</x:v>
      </x:c>
      <x:c r="E2090" s="15" t="n">
        <x:v>2088</x:v>
      </x:c>
      <x:c r="F2090" s="8" t="str">
        <x:v>기존 검증 정답</x:v>
      </x:c>
      <x:c r="G2090" s="8" t="str">
        <x:v>https://apis.data.go.kr/1471000/DrbEasyDrugInfoService/getDrbEasyDrugList</x:v>
      </x:c>
      <x:c r="H2090" s="8" t="str">
        <x:v>{
  "item_seq": "202103144",
  "item_name": "디쿨파워플라스타(디클로페낙나트륨)",
  "manufacturer": "(주)티디에스팜",
  "section_codes": [
    "precautions",
    "adverse_reactions"
  ]
}</x:v>
      </x:c>
    </x:row>
    <x:row r="2091" ht="54" customHeight="1">
      <x:c r="A2091" s="8" t="str">
        <x:v>gold-medication-92e389816cfec55e</x:v>
      </x:c>
      <x:c r="B2091" s="8" t="str">
        <x:v>eyak:201206056:efficacy:001</x:v>
      </x:c>
      <x:c r="C2091" s="8" t="str">
        <x:v>eyak:201206056:efficacy:001
eyak:201206056:efficacy:002</x:v>
      </x:c>
      <x:c r="D2091" s="8" t="str">
        <x:v>근거와 함께 답변</x:v>
      </x:c>
      <x:c r="E2091" s="15" t="n">
        <x:v>2089</x:v>
      </x:c>
      <x:c r="F2091" s="8" t="str">
        <x:v>기존 검증 정답</x:v>
      </x:c>
      <x:c r="G2091" s="8" t="str">
        <x:v>https://apis.data.go.kr/1471000/DrbEasyDrugInfoService/getDrbEasyDrugList</x:v>
      </x:c>
      <x:c r="H2091" s="8" t="str">
        <x:v>{
  "item_seq": "201206056",
  "item_name": "엑세라민비정",
  "manufacturer": "일동제약(주)",
  "section_codes": [
    "efficacy"
  ]
}</x:v>
      </x:c>
    </x:row>
    <x:row r="2092" ht="54" customHeight="1">
      <x:c r="A2092" s="8" t="str">
        <x:v>gold-medication-af232d849d1afd07</x:v>
      </x:c>
      <x:c r="B2092" s="8" t="str">
        <x:v>eyak:200805092:dosage:001</x:v>
      </x:c>
      <x:c r="C2092" s="8" t="str">
        <x:v>eyak:200805092:dosage:001</x:v>
      </x:c>
      <x:c r="D2092" s="8" t="str">
        <x:v>근거와 함께 답변</x:v>
      </x:c>
      <x:c r="E2092" s="15" t="n">
        <x:v>2090</x:v>
      </x:c>
      <x:c r="F2092" s="8" t="str">
        <x:v>기존 검증 정답</x:v>
      </x:c>
      <x:c r="G2092" s="8" t="str">
        <x:v>https://apis.data.go.kr/1471000/DrbEasyDrugInfoService/getDrbEasyDrugList</x:v>
      </x:c>
      <x:c r="H2092" s="8" t="str">
        <x:v>{
  "item_seq": "200805092",
  "item_name": "바이스탑캡슐",
  "manufacturer": "신일제약(주)",
  "section_codes": [
    "dosage"
  ]
}</x:v>
      </x:c>
    </x:row>
    <x:row r="2093" ht="54" customHeight="1">
      <x:c r="A2093" s="8" t="str">
        <x:v>gold-medication-na-f24e76ff2c0af36a</x:v>
      </x:c>
      <x:c r="B2093" s="8" t="str"/>
      <x:c r="C2093" s="8" t="str"/>
      <x:c r="D2093" s="8" t="str">
        <x:v>답변 거부 또는 추가 확인 요청</x:v>
      </x:c>
      <x:c r="E2093" s="15" t="n">
        <x:v>2091</x:v>
      </x:c>
      <x:c r="F2093" s="8" t="str">
        <x:v>답변 거부 기준 문구</x:v>
      </x:c>
      <x:c r="G2093" s="8" t="str">
        <x:v>https://apis.data.go.kr/1471000/DrbEasyDrugInfoService/getDrbEasyDrugList</x:v>
      </x:c>
      <x:c r="H2093" s="8" t="str">
        <x:v>{
  "item_seq": "201900024",
  "item_name": "제놀파워풀플라스타(플루르비프로펜)",
  "manufacturer": "아이큐어(주)",
  "section_codes": [
    "precautions"
  ]
}</x:v>
      </x:c>
    </x:row>
    <x:row r="2094" ht="54" customHeight="1">
      <x:c r="A2094" s="8" t="str">
        <x:v>gold-medication-314f3c4c2c8423a3</x:v>
      </x:c>
      <x:c r="B2094" s="8" t="str">
        <x:v>eyak:199806985:precautions:003
eyak:199806985:adverse_reactions:001</x:v>
      </x:c>
      <x:c r="C2094" s="8" t="str">
        <x:v>eyak:199806985:precautions:003
eyak:199806985:precautions:002
eyak:199806985:precautions:001
eyak:199806985:adverse_reactions:001
eyak:199806985:adverse_reactions:002</x:v>
      </x:c>
      <x:c r="D2094" s="8" t="str">
        <x:v>근거와 함께 답변</x:v>
      </x:c>
      <x:c r="E2094" s="15" t="n">
        <x:v>2092</x:v>
      </x:c>
      <x:c r="F2094" s="8" t="str">
        <x:v>기존 검증 정답</x:v>
      </x:c>
      <x:c r="G2094" s="8" t="str">
        <x:v>https://apis.data.go.kr/1471000/DrbEasyDrugInfoService/getDrbEasyDrugList</x:v>
      </x:c>
      <x:c r="H2094" s="8" t="str">
        <x:v>{
  "item_seq": "199806985",
  "item_name": "씨메탈시정",
  "manufacturer": "초당약품공업(주)",
  "section_codes": [
    "precautions",
    "adverse_reactions"
  ]
}</x:v>
      </x:c>
    </x:row>
    <x:row r="2095" ht="54" customHeight="1">
      <x:c r="A2095" s="8" t="str">
        <x:v>gold-medication-c1c8750331d2a647</x:v>
      </x:c>
      <x:c r="B2095" s="8" t="str">
        <x:v>eyak:202106248:adverse_reactions:001</x:v>
      </x:c>
      <x:c r="C2095" s="8" t="str">
        <x:v>eyak:202106248:adverse_reactions:001
eyak:202106248:adverse_reactions:002
eyak:202106248:adverse_reactions:003
eyak:202106248:adverse_reactions:004
eyak:202106248:adverse_reactions:005
eyak:202106248:adverse_reactions:006
eyak:202106248:adverse_reactions:007
eyak:202106248:adverse_reactions:008</x:v>
      </x:c>
      <x:c r="D2095" s="8" t="str">
        <x:v>근거와 함께 답변</x:v>
      </x:c>
      <x:c r="E2095" s="15" t="n">
        <x:v>2093</x:v>
      </x:c>
      <x:c r="F2095" s="8" t="str">
        <x:v>기존 검증 정답</x:v>
      </x:c>
      <x:c r="G2095" s="8" t="str">
        <x:v>https://apis.data.go.kr/1471000/DrbEasyDrugInfoService/getDrbEasyDrugList</x:v>
      </x:c>
      <x:c r="H2095" s="8" t="str">
        <x:v>{
  "item_seq": "202106248",
  "item_name": "노바프록센정(나프록센나트륨)",
  "manufacturer": "주식회사 노바엠헬스케어",
  "section_codes": [
    "adverse_reactions"
  ]
}</x:v>
      </x:c>
    </x:row>
    <x:row r="2096" ht="54" customHeight="1">
      <x:c r="A2096" s="8" t="str">
        <x:v>gold-medication-na-49f2188e595447c4</x:v>
      </x:c>
      <x:c r="B2096" s="8" t="str"/>
      <x:c r="C2096" s="8" t="str"/>
      <x:c r="D2096" s="8" t="str">
        <x:v>답변 거부 또는 추가 확인 요청</x:v>
      </x:c>
      <x:c r="E2096" s="15" t="n">
        <x:v>2094</x:v>
      </x:c>
      <x:c r="F2096" s="8" t="str">
        <x:v>답변 거부 기준 문구</x:v>
      </x:c>
      <x:c r="G2096" s="8" t="str">
        <x:v>https://apis.data.go.kr/1471000/DrbEasyDrugInfoService/getDrbEasyDrugList</x:v>
      </x:c>
      <x:c r="H2096" s="8" t="str">
        <x:v>{
  "item_seq": "201707524",
  "item_name": "킥콜연질캡슐",
  "manufacturer": "지엘파마(주)",
  "section_codes": [
    "precautions"
  ]
}</x:v>
      </x:c>
    </x:row>
    <x:row r="2097" ht="54" customHeight="1">
      <x:c r="A2097" s="8" t="str">
        <x:v>gold-medication-na-05bbaebf44f600d4</x:v>
      </x:c>
      <x:c r="B2097" s="8" t="str"/>
      <x:c r="C2097" s="8" t="str"/>
      <x:c r="D2097" s="8" t="str">
        <x:v>답변 거부 또는 추가 확인 요청</x:v>
      </x:c>
      <x:c r="E2097" s="15" t="n">
        <x:v>2095</x:v>
      </x:c>
      <x:c r="F2097" s="8" t="str">
        <x:v>답변 거부 기준 문구</x:v>
      </x:c>
      <x:c r="G2097" s="8" t="str">
        <x:v>https://apis.data.go.kr/1471000/DrbEasyDrugInfoService/getDrbEasyDrugList</x:v>
      </x:c>
      <x:c r="H2097" s="8" t="str">
        <x:v>{
  "item_seq": "200201998",
  "item_name": "덴스롤캡슐",
  "manufacturer": "에스케이케미칼(주)",
  "section_codes": [
    "precautions"
  ]
}</x:v>
      </x:c>
    </x:row>
    <x:row r="2098" ht="54" customHeight="1">
      <x:c r="A2098" s="8" t="str">
        <x:v>gold-medication-df44b8cf7050e546</x:v>
      </x:c>
      <x:c r="B2098" s="8" t="str">
        <x:v>eyak:201800994:adverse_reactions:001</x:v>
      </x:c>
      <x:c r="C2098" s="8" t="str">
        <x:v>eyak:201800994:adverse_reactions:001
eyak:201800994:adverse_reactions:002</x:v>
      </x:c>
      <x:c r="D2098" s="8" t="str">
        <x:v>근거와 함께 답변</x:v>
      </x:c>
      <x:c r="E2098" s="15" t="n">
        <x:v>2096</x:v>
      </x:c>
      <x:c r="F2098" s="8" t="str">
        <x:v>기존 검증 정답</x:v>
      </x:c>
      <x:c r="G2098" s="8" t="str">
        <x:v>https://apis.data.go.kr/1471000/DrbEasyDrugInfoService/getDrbEasyDrugList</x:v>
      </x:c>
      <x:c r="H2098" s="8" t="str">
        <x:v>{
  "item_seq": "201800994",
  "item_name": "카펜에스정",
  "manufacturer": "(주)아이월드제약",
  "section_codes": [
    "adverse_reactions"
  ]
}</x:v>
      </x:c>
    </x:row>
    <x:row r="2099" ht="54" customHeight="1">
      <x:c r="A2099" s="8" t="str">
        <x:v>gold-medication-6a10d4a37714155f</x:v>
      </x:c>
      <x:c r="B2099" s="8" t="str">
        <x:v>eyak:202400698:adverse_reactions:001</x:v>
      </x:c>
      <x:c r="C2099" s="8" t="str">
        <x:v>eyak:202400698:adverse_reactions:001
eyak:202400698:adverse_reactions:002</x:v>
      </x:c>
      <x:c r="D2099" s="8" t="str">
        <x:v>근거와 함께 답변</x:v>
      </x:c>
      <x:c r="E2099" s="15" t="n">
        <x:v>2097</x:v>
      </x:c>
      <x:c r="F2099" s="8" t="str">
        <x:v>기존 검증 정답</x:v>
      </x:c>
      <x:c r="G2099" s="8" t="str">
        <x:v>https://apis.data.go.kr/1471000/DrbEasyDrugInfoService/getDrbEasyDrugList</x:v>
      </x:c>
      <x:c r="H2099" s="8" t="str">
        <x:v>{
  "item_seq": "202400698",
  "item_name": "조인본콘드로800정",
  "manufacturer": "성이바이오제약주식회사",
  "section_codes": [
    "adverse_reactions"
  ]
}</x:v>
      </x:c>
    </x:row>
    <x:row r="2100" ht="54" customHeight="1">
      <x:c r="A2100" s="8" t="str">
        <x:v>gold-medication-6880c156b2ae5973</x:v>
      </x:c>
      <x:c r="B2100" s="8" t="str">
        <x:v>eyak:200401295:efficacy:001</x:v>
      </x:c>
      <x:c r="C2100" s="8" t="str">
        <x:v>eyak:200401295:efficacy:001</x:v>
      </x:c>
      <x:c r="D2100" s="8" t="str">
        <x:v>근거와 함께 답변</x:v>
      </x:c>
      <x:c r="E2100" s="15" t="n">
        <x:v>2098</x:v>
      </x:c>
      <x:c r="F2100" s="8" t="str">
        <x:v>기존 검증 정답</x:v>
      </x:c>
      <x:c r="G2100" s="8" t="str">
        <x:v>https://apis.data.go.kr/1471000/DrbEasyDrugInfoService/getDrbEasyDrugList</x:v>
      </x:c>
      <x:c r="H2100" s="8" t="str">
        <x:v>{
  "item_seq": "200401295",
  "item_name": "테라빅정",
  "manufacturer": "일양약품(주)",
  "section_codes": [
    "efficacy"
  ]
}</x:v>
      </x:c>
    </x:row>
    <x:row r="2101" ht="54" customHeight="1">
      <x:c r="A2101" s="8" t="str">
        <x:v>gold-medication-7378aeeaca45a174</x:v>
      </x:c>
      <x:c r="B2101" s="8" t="str">
        <x:v>eyak:202107520:dosage:001</x:v>
      </x:c>
      <x:c r="C2101" s="8" t="str">
        <x:v>eyak:202107520:dosage:001</x:v>
      </x:c>
      <x:c r="D2101" s="8" t="str">
        <x:v>근거와 함께 답변</x:v>
      </x:c>
      <x:c r="E2101" s="15" t="n">
        <x:v>2099</x:v>
      </x:c>
      <x:c r="F2101" s="8" t="str">
        <x:v>기존 검증 정답</x:v>
      </x:c>
      <x:c r="G2101" s="8" t="str">
        <x:v>https://apis.data.go.kr/1471000/DrbEasyDrugInfoService/getDrbEasyDrugList</x:v>
      </x:c>
      <x:c r="H2101" s="8" t="str">
        <x:v>{
  "item_seq": "202107520",
  "item_name": "이탄칼정(침강탄산칼슘)",
  "manufacturer": "(주)이든파마",
  "section_codes": [
    "dosage"
  ]
}</x:v>
      </x:c>
    </x:row>
    <x:row r="2102" ht="54" customHeight="1">
      <x:c r="A2102" s="8" t="str">
        <x:v>gold-medication-44efdaca46c6b469</x:v>
      </x:c>
      <x:c r="B2102" s="8" t="str">
        <x:v>eyak:200702161:precautions:001</x:v>
      </x:c>
      <x:c r="C2102" s="8" t="str">
        <x:v>eyak:200702161:precautions:001</x:v>
      </x:c>
      <x:c r="D2102" s="8" t="str">
        <x:v>근거와 함께 답변</x:v>
      </x:c>
      <x:c r="E2102" s="15" t="n">
        <x:v>2100</x:v>
      </x:c>
      <x:c r="F2102" s="8" t="str">
        <x:v>기존 검증 정답</x:v>
      </x:c>
      <x:c r="G2102" s="8" t="str">
        <x:v>https://apis.data.go.kr/1471000/DrbEasyDrugInfoService/getDrbEasyDrugList</x:v>
      </x:c>
      <x:c r="H2102" s="8" t="str">
        <x:v>{
  "item_seq": "200702161",
  "item_name": "마그스포르테액",
  "manufacturer": "조아제약(주)",
  "section_codes": [
    "precautions"
  ]
}</x:v>
      </x:c>
    </x:row>
    <x:row r="2103" ht="54" customHeight="1">
      <x:c r="A2103" s="8" t="str">
        <x:v>gold-medication-9d63361c69a7c789</x:v>
      </x:c>
      <x:c r="B2103" s="8" t="str">
        <x:v>eyak:200308600:adverse_reactions:001</x:v>
      </x:c>
      <x:c r="C2103" s="8" t="str">
        <x:v>eyak:200308600:adverse_reactions:001</x:v>
      </x:c>
      <x:c r="D2103" s="8" t="str">
        <x:v>근거와 함께 답변</x:v>
      </x:c>
      <x:c r="E2103" s="15" t="n">
        <x:v>2101</x:v>
      </x:c>
      <x:c r="F2103" s="8" t="str">
        <x:v>기존 검증 정답</x:v>
      </x:c>
      <x:c r="G2103" s="8" t="str">
        <x:v>https://apis.data.go.kr/1471000/DrbEasyDrugInfoService/getDrbEasyDrugList</x:v>
      </x:c>
      <x:c r="H2103" s="8" t="str">
        <x:v>{
  "item_seq": "200308600",
  "item_name": "미키크림",
  "manufacturer": "(주)에이프로젠바이오로직스",
  "section_codes": [
    "adverse_reactions"
  ]
}</x:v>
      </x:c>
    </x:row>
    <x:row r="2104" ht="54" customHeight="1">
      <x:c r="A2104" s="8" t="str">
        <x:v>gold-medication-819563e207a0da85</x:v>
      </x:c>
      <x:c r="B2104" s="8" t="str">
        <x:v>eyak:202009163:interactions:001</x:v>
      </x:c>
      <x:c r="C2104" s="8" t="str">
        <x:v>eyak:202009163:interactions:001</x:v>
      </x:c>
      <x:c r="D2104" s="8" t="str">
        <x:v>근거와 함께 답변</x:v>
      </x:c>
      <x:c r="E2104" s="15" t="n">
        <x:v>2102</x:v>
      </x:c>
      <x:c r="F2104" s="8" t="str">
        <x:v>기존 검증 정답</x:v>
      </x:c>
      <x:c r="G2104" s="8" t="str">
        <x:v>https://apis.data.go.kr/1471000/DrbEasyDrugInfoService/getDrbEasyDrugList</x:v>
      </x:c>
      <x:c r="H2104" s="8" t="str">
        <x:v>{
  "item_seq": "202009163",
  "item_name": "팜편안디정",
  "manufacturer": "코스맥스파마(주)",
  "section_codes": [
    "interactions"
  ]
}</x:v>
      </x:c>
    </x:row>
    <x:row r="2105" ht="54" customHeight="1">
      <x:c r="A2105" s="8" t="str">
        <x:v>gold-medication-na-aea5e35b21c17c51</x:v>
      </x:c>
      <x:c r="B2105" s="8" t="str"/>
      <x:c r="C2105" s="8" t="str"/>
      <x:c r="D2105" s="8" t="str">
        <x:v>답변 거부 또는 추가 확인 요청</x:v>
      </x:c>
      <x:c r="E2105" s="15" t="n">
        <x:v>2103</x:v>
      </x:c>
      <x:c r="F2105" s="8" t="str">
        <x:v>답변 거부 기준 문구</x:v>
      </x:c>
      <x:c r="G2105" s="8" t="str">
        <x:v>https://apis.data.go.kr/1471000/DrbEasyDrugInfoService/getDrbEasyDrugList</x:v>
      </x:c>
      <x:c r="H2105" s="8" t="str">
        <x:v>{
  "item_seq": "201901187",
  "item_name": "액티브피록시캄겔(피록시캄)",
  "manufacturer": "일양바이오팜(주)",
  "section_codes": [
    "storage"
  ]
}</x:v>
      </x:c>
    </x:row>
    <x:row r="2106" ht="54" customHeight="1">
      <x:c r="A2106" s="8" t="str">
        <x:v>gold-medication-954662a3bc8e663f</x:v>
      </x:c>
      <x:c r="B2106" s="8" t="str">
        <x:v>eyak:202000951:precautions:001
eyak:202000951:adverse_reactions:001</x:v>
      </x:c>
      <x:c r="C2106" s="8" t="str">
        <x:v>eyak:202000951:precautions:001
eyak:202000951:precautions:002
eyak:202000951:precautions:003
eyak:202000951:adverse_reactions:001</x:v>
      </x:c>
      <x:c r="D2106" s="8" t="str">
        <x:v>근거와 함께 답변</x:v>
      </x:c>
      <x:c r="E2106" s="15" t="n">
        <x:v>2104</x:v>
      </x:c>
      <x:c r="F2106" s="8" t="str">
        <x:v>기존 검증 정답</x:v>
      </x:c>
      <x:c r="G2106" s="8" t="str">
        <x:v>https://apis.data.go.kr/1471000/DrbEasyDrugInfoService/getDrbEasyDrugList</x:v>
      </x:c>
      <x:c r="H2106" s="8" t="str">
        <x:v>{
  "item_seq": "202000951",
  "item_name": "안티클로크림",
  "manufacturer": "시믹씨엠오코리아주식회사",
  "section_codes": [
    "precautions",
    "adverse_reactions"
  ]
}</x:v>
      </x:c>
    </x:row>
    <x:row r="2107" ht="54" customHeight="1">
      <x:c r="A2107" s="8" t="str">
        <x:v>gold-medication-4629a06bb7740774</x:v>
      </x:c>
      <x:c r="B2107" s="8" t="str">
        <x:v>eyak:201701416:storage:001</x:v>
      </x:c>
      <x:c r="C2107" s="8" t="str">
        <x:v>eyak:201701416:storage:001</x:v>
      </x:c>
      <x:c r="D2107" s="8" t="str">
        <x:v>근거와 함께 답변</x:v>
      </x:c>
      <x:c r="E2107" s="15" t="n">
        <x:v>2105</x:v>
      </x:c>
      <x:c r="F2107" s="8" t="str">
        <x:v>기존 검증 정답</x:v>
      </x:c>
      <x:c r="G2107" s="8" t="str">
        <x:v>https://apis.data.go.kr/1471000/DrbEasyDrugInfoService/getDrbEasyDrugList</x:v>
      </x:c>
      <x:c r="H2107" s="8" t="str">
        <x:v>{
  "item_seq": "201701416",
  "item_name": "조인파워연질캡슐",
  "manufacturer": "구주제약(주)",
  "section_codes": [
    "storage"
  ]
}</x:v>
      </x:c>
    </x:row>
    <x:row r="2108" ht="54" customHeight="1">
      <x:c r="A2108" s="8" t="str">
        <x:v>gold-medication-391e26a8c4e20f16</x:v>
      </x:c>
      <x:c r="B2108" s="8" t="str">
        <x:v>eyak:201501469:adverse_reactions:001</x:v>
      </x:c>
      <x:c r="C2108" s="8" t="str">
        <x:v>eyak:201501469:adverse_reactions:001</x:v>
      </x:c>
      <x:c r="D2108" s="8" t="str">
        <x:v>근거와 함께 답변</x:v>
      </x:c>
      <x:c r="E2108" s="15" t="n">
        <x:v>2106</x:v>
      </x:c>
      <x:c r="F2108" s="8" t="str">
        <x:v>기존 검증 정답</x:v>
      </x:c>
      <x:c r="G2108" s="8" t="str">
        <x:v>https://apis.data.go.kr/1471000/DrbEasyDrugInfoService/getDrbEasyDrugList</x:v>
      </x:c>
      <x:c r="H2108" s="8" t="str">
        <x:v>{
  "item_seq": "201501469",
  "item_name": "바이메틴정150밀리그램(트리메부틴말레산염)",
  "manufacturer": "(주)테라젠이텍스",
  "section_codes": [
    "adverse_reactions"
  ]
}</x:v>
      </x:c>
    </x:row>
    <x:row r="2109" ht="54" customHeight="1">
      <x:c r="A2109" s="8" t="str">
        <x:v>gold-medication-698a81853c6602e3</x:v>
      </x:c>
      <x:c r="B2109" s="8" t="str">
        <x:v>eyak:201307905:adverse_reactions:001</x:v>
      </x:c>
      <x:c r="C2109" s="8" t="str">
        <x:v>eyak:201307905:adverse_reactions:001</x:v>
      </x:c>
      <x:c r="D2109" s="8" t="str">
        <x:v>근거와 함께 답변</x:v>
      </x:c>
      <x:c r="E2109" s="15" t="n">
        <x:v>2107</x:v>
      </x:c>
      <x:c r="F2109" s="8" t="str">
        <x:v>기존 검증 정답</x:v>
      </x:c>
      <x:c r="G2109" s="8" t="str">
        <x:v>https://apis.data.go.kr/1471000/DrbEasyDrugInfoService/getDrbEasyDrugList</x:v>
      </x:c>
      <x:c r="H2109" s="8" t="str">
        <x:v>{
  "item_seq": "201307905",
  "item_name": "리디펜점안액(케토티펜푸마르산염)",
  "manufacturer": "(주)휴온스메디텍",
  "section_codes": [
    "adverse_reactions"
  ]
}</x:v>
      </x:c>
    </x:row>
    <x:row r="2110" ht="54" customHeight="1">
      <x:c r="A2110" s="8" t="str">
        <x:v>gold-medication-439834af5d3068e4</x:v>
      </x:c>
      <x:c r="B2110" s="8" t="str">
        <x:v>eyak:202108189:precautions:002
eyak:202108189:adverse_reactions:003</x:v>
      </x:c>
      <x:c r="C2110" s="8" t="str">
        <x:v>eyak:202108189:precautions:002
eyak:202108189:precautions:003
eyak:202108189:precautions:001
eyak:202108189:precautions:004
eyak:202108189:adverse_reactions:003
eyak:202108189:adverse_reactions:001
eyak:202108189:adverse_reactions:002</x:v>
      </x:c>
      <x:c r="D2110" s="8" t="str">
        <x:v>근거와 함께 답변</x:v>
      </x:c>
      <x:c r="E2110" s="15" t="n">
        <x:v>2108</x:v>
      </x:c>
      <x:c r="F2110" s="8" t="str">
        <x:v>기존 검증 정답</x:v>
      </x:c>
      <x:c r="G2110" s="8" t="str">
        <x:v>https://apis.data.go.kr/1471000/DrbEasyDrugInfoService/getDrbEasyDrugList</x:v>
      </x:c>
      <x:c r="H2110" s="8" t="str">
        <x:v>{
  "item_seq": "202108189",
  "item_name": "다비우정(방풍통성산건조엑스(4.6→1))",
  "manufacturer": "(주)엘앤씨바이오",
  "section_codes": [
    "precautions",
    "adverse_reactions"
  ]
}</x:v>
      </x:c>
    </x:row>
    <x:row r="2111" ht="54" customHeight="1">
      <x:c r="A2111" s="8" t="str">
        <x:v>gold-medication-na-8a06cb30044a0ed5</x:v>
      </x:c>
      <x:c r="B2111" s="8" t="str"/>
      <x:c r="C2111" s="8" t="str"/>
      <x:c r="D2111" s="8" t="str">
        <x:v>답변 거부 또는 추가 확인 요청</x:v>
      </x:c>
      <x:c r="E2111" s="15" t="n">
        <x:v>2109</x:v>
      </x:c>
      <x:c r="F2111" s="8" t="str">
        <x:v>답변 거부 기준 문구</x:v>
      </x:c>
      <x:c r="G2111" s="8" t="str">
        <x:v>https://apis.data.go.kr/1471000/DrbEasyDrugInfoService/getDrbEasyDrugList</x:v>
      </x:c>
      <x:c r="H2111" s="8" t="str">
        <x:v>{
  "item_seq": "202003660",
  "item_name": "투엑스비듀얼정",
  "manufacturer": "(주)한풍제약",
  "section_codes": [
    "precautions"
  ]
}</x:v>
      </x:c>
    </x:row>
    <x:row r="2112" ht="54" customHeight="1">
      <x:c r="A2112" s="8" t="str">
        <x:v>gold-medication-26b542e476dd1c82</x:v>
      </x:c>
      <x:c r="B2112" s="8" t="str">
        <x:v>eyak:200201554:adverse_reactions:001</x:v>
      </x:c>
      <x:c r="C2112" s="8" t="str">
        <x:v>eyak:200201554:adverse_reactions:001
eyak:200201554:adverse_reactions:002</x:v>
      </x:c>
      <x:c r="D2112" s="8" t="str">
        <x:v>근거와 함께 답변</x:v>
      </x:c>
      <x:c r="E2112" s="15" t="n">
        <x:v>2110</x:v>
      </x:c>
      <x:c r="F2112" s="8" t="str">
        <x:v>기존 검증 정답</x:v>
      </x:c>
      <x:c r="G2112" s="8" t="str">
        <x:v>https://apis.data.go.kr/1471000/DrbEasyDrugInfoService/getDrbEasyDrugList</x:v>
      </x:c>
      <x:c r="H2112" s="8" t="str">
        <x:v>{
  "item_seq": "200201554",
  "item_name": "에이치엘비알벤다졸400정",
  "manufacturer": "에이치엘비제약(주)",
  "section_codes": [
    "adverse_reactions"
  ]
}</x:v>
      </x:c>
    </x:row>
    <x:row r="2113" ht="54" customHeight="1">
      <x:c r="A2113" s="8" t="str">
        <x:v>gold-medication-7d61e3b2bc67c1ce</x:v>
      </x:c>
      <x:c r="B2113" s="8" t="str">
        <x:v>eyak:202201218:interactions:001</x:v>
      </x:c>
      <x:c r="C2113" s="8" t="str">
        <x:v>eyak:202201218:interactions:001</x:v>
      </x:c>
      <x:c r="D2113" s="8" t="str">
        <x:v>근거와 함께 답변</x:v>
      </x:c>
      <x:c r="E2113" s="15" t="n">
        <x:v>2111</x:v>
      </x:c>
      <x:c r="F2113" s="8" t="str">
        <x:v>기존 검증 정답</x:v>
      </x:c>
      <x:c r="G2113" s="8" t="str">
        <x:v>https://apis.data.go.kr/1471000/DrbEasyDrugInfoService/getDrbEasyDrugList</x:v>
      </x:c>
      <x:c r="H2113" s="8" t="str">
        <x:v>{
  "item_seq": "202201218",
  "item_name": "광동에너릭정",
  "manufacturer": "광동제약(주)",
  "section_codes": [
    "interactions"
  ]
}</x:v>
      </x:c>
    </x:row>
    <x:row r="2114" ht="54" customHeight="1">
      <x:c r="A2114" s="8" t="str">
        <x:v>gold-medication-6b8a2d38b0fe1df3</x:v>
      </x:c>
      <x:c r="B2114" s="8" t="str">
        <x:v>eyak:201109654:efficacy:001</x:v>
      </x:c>
      <x:c r="C2114" s="8" t="str">
        <x:v>eyak:201109654:efficacy:001</x:v>
      </x:c>
      <x:c r="D2114" s="8" t="str">
        <x:v>근거와 함께 답변</x:v>
      </x:c>
      <x:c r="E2114" s="15" t="n">
        <x:v>2112</x:v>
      </x:c>
      <x:c r="F2114" s="8" t="str">
        <x:v>기존 검증 정답</x:v>
      </x:c>
      <x:c r="G2114" s="8" t="str">
        <x:v>https://apis.data.go.kr/1471000/DrbEasyDrugInfoService/getDrbEasyDrugList</x:v>
      </x:c>
      <x:c r="H2114" s="8" t="str">
        <x:v>{
  "item_seq": "201109654",
  "item_name": "라니아정",
  "manufacturer": "현대약품(주)",
  "section_codes": [
    "efficacy"
  ]
}</x:v>
      </x:c>
    </x:row>
    <x:row r="2115" ht="54" customHeight="1">
      <x:c r="A2115" s="8" t="str">
        <x:v>gold-medication-c333ea012b659e3c</x:v>
      </x:c>
      <x:c r="B2115" s="8" t="str">
        <x:v>eyak:201109826:efficacy:001</x:v>
      </x:c>
      <x:c r="C2115" s="8" t="str">
        <x:v>eyak:201109826:efficacy:001
eyak:201109826:efficacy:002</x:v>
      </x:c>
      <x:c r="D2115" s="8" t="str">
        <x:v>근거와 함께 답변</x:v>
      </x:c>
      <x:c r="E2115" s="15" t="n">
        <x:v>2113</x:v>
      </x:c>
      <x:c r="F2115" s="8" t="str">
        <x:v>기존 검증 정답</x:v>
      </x:c>
      <x:c r="G2115" s="8" t="str">
        <x:v>https://apis.data.go.kr/1471000/DrbEasyDrugInfoService/getDrbEasyDrugList</x:v>
      </x:c>
      <x:c r="H2115" s="8" t="str">
        <x:v>{
  "item_seq": "201109826",
  "item_name": "메가콘사민-에프연질캡슐",
  "manufacturer": "(주)테라젠이텍스",
  "section_codes": [
    "efficacy"
  ]
}</x:v>
      </x:c>
    </x:row>
    <x:row r="2116" ht="54" customHeight="1">
      <x:c r="A2116" s="8" t="str">
        <x:v>gold-medication-211e2d98a47784cd</x:v>
      </x:c>
      <x:c r="B2116" s="8" t="str">
        <x:v>eyak:200102013:adverse_reactions:001</x:v>
      </x:c>
      <x:c r="C2116" s="8" t="str">
        <x:v>eyak:200102013:adverse_reactions:001</x:v>
      </x:c>
      <x:c r="D2116" s="8" t="str">
        <x:v>근거와 함께 답변</x:v>
      </x:c>
      <x:c r="E2116" s="15" t="n">
        <x:v>2114</x:v>
      </x:c>
      <x:c r="F2116" s="8" t="str">
        <x:v>기존 검증 정답</x:v>
      </x:c>
      <x:c r="G2116" s="8" t="str">
        <x:v>https://apis.data.go.kr/1471000/DrbEasyDrugInfoService/getDrbEasyDrugList</x:v>
      </x:c>
      <x:c r="H2116" s="8" t="str">
        <x:v>{
  "item_seq": "200102013",
  "item_name": "엔터폴캡슐(니푸록사지드)",
  "manufacturer": "오스틴제약(주)",
  "section_codes": [
    "adverse_reactions"
  ]
}</x:v>
      </x:c>
    </x:row>
    <x:row r="2117" ht="54" customHeight="1">
      <x:c r="A2117" s="8" t="str">
        <x:v>gold-medication-3545bfedc878618a</x:v>
      </x:c>
      <x:c r="B2117" s="8" t="str">
        <x:v>eyak:201704017:interactions:001</x:v>
      </x:c>
      <x:c r="C2117" s="8" t="str">
        <x:v>eyak:201704017:interactions:001</x:v>
      </x:c>
      <x:c r="D2117" s="8" t="str">
        <x:v>근거와 함께 답변</x:v>
      </x:c>
      <x:c r="E2117" s="15" t="n">
        <x:v>2115</x:v>
      </x:c>
      <x:c r="F2117" s="8" t="str">
        <x:v>기존 검증 정답</x:v>
      </x:c>
      <x:c r="G2117" s="8" t="str">
        <x:v>https://apis.data.go.kr/1471000/DrbEasyDrugInfoService/getDrbEasyDrugList</x:v>
      </x:c>
      <x:c r="H2117" s="8" t="str">
        <x:v>{
  "item_seq": "201704017",
  "item_name": "모바렌캡슐",
  "manufacturer": "(주)대웅제약",
  "section_codes": [
    "interactions"
  ]
}</x:v>
      </x:c>
    </x:row>
    <x:row r="2118" ht="54" customHeight="1">
      <x:c r="A2118" s="8" t="str">
        <x:v>gold-medication-92200d0abeca49f9</x:v>
      </x:c>
      <x:c r="B2118" s="8" t="str">
        <x:v>eyak:198000440:storage:001</x:v>
      </x:c>
      <x:c r="C2118" s="8" t="str">
        <x:v>eyak:198000440:storage:001</x:v>
      </x:c>
      <x:c r="D2118" s="8" t="str">
        <x:v>근거와 함께 답변</x:v>
      </x:c>
      <x:c r="E2118" s="15" t="n">
        <x:v>2116</x:v>
      </x:c>
      <x:c r="F2118" s="8" t="str">
        <x:v>기존 검증 정답</x:v>
      </x:c>
      <x:c r="G2118" s="8" t="str">
        <x:v>https://apis.data.go.kr/1471000/DrbEasyDrugInfoService/getDrbEasyDrugList</x:v>
      </x:c>
      <x:c r="H2118" s="8" t="str">
        <x:v>{
  "item_seq": "198000440",
  "item_name": "오로페롤연질캡슐100밀리그램(토코페롤아세테이트)",
  "manufacturer": "신일제약(주)",
  "section_codes": [
    "storage"
  ]
}</x:v>
      </x:c>
    </x:row>
    <x:row r="2119" ht="54" customHeight="1">
      <x:c r="A2119" s="8" t="str">
        <x:v>gold-medication-d768c76b337d5c85</x:v>
      </x:c>
      <x:c r="B2119" s="8" t="str">
        <x:v>eyak:199802000:precautions:001</x:v>
      </x:c>
      <x:c r="C2119" s="8" t="str">
        <x:v>eyak:199802000:precautions:001
eyak:199802000:precautions:002</x:v>
      </x:c>
      <x:c r="D2119" s="8" t="str">
        <x:v>근거와 함께 답변</x:v>
      </x:c>
      <x:c r="E2119" s="15" t="n">
        <x:v>2117</x:v>
      </x:c>
      <x:c r="F2119" s="8" t="str">
        <x:v>기존 검증 정답</x:v>
      </x:c>
      <x:c r="G2119" s="8" t="str">
        <x:v>https://apis.data.go.kr/1471000/DrbEasyDrugInfoService/getDrbEasyDrugList</x:v>
      </x:c>
      <x:c r="H2119" s="8" t="str">
        <x:v>{
  "item_seq": "199802000",
  "item_name": "네프비타정",
  "manufacturer": "하이플생명과학(주)",
  "section_codes": [
    "precautions"
  ]
}</x:v>
      </x:c>
    </x:row>
    <x:row r="2120" ht="54" customHeight="1">
      <x:c r="A2120" s="8" t="str">
        <x:v>gold-medication-23a4470dbb3e8be5</x:v>
      </x:c>
      <x:c r="B2120" s="8" t="str">
        <x:v>eyak:201400293:adverse_reactions:001</x:v>
      </x:c>
      <x:c r="C2120" s="8" t="str">
        <x:v>eyak:201400293:adverse_reactions:001
eyak:201400293:adverse_reactions:002
eyak:201400293:adverse_reactions:003
eyak:201400293:adverse_reactions:004</x:v>
      </x:c>
      <x:c r="D2120" s="8" t="str">
        <x:v>근거와 함께 답변</x:v>
      </x:c>
      <x:c r="E2120" s="15" t="n">
        <x:v>2118</x:v>
      </x:c>
      <x:c r="F2120" s="8" t="str">
        <x:v>기존 검증 정답</x:v>
      </x:c>
      <x:c r="G2120" s="8" t="str">
        <x:v>https://apis.data.go.kr/1471000/DrbEasyDrugInfoService/getDrbEasyDrugList</x:v>
      </x:c>
      <x:c r="H2120" s="8" t="str">
        <x:v>{
  "item_seq": "201400293",
  "item_name": "캐치콜에스연질캡슐",
  "manufacturer": "코오롱제약(주)",
  "section_codes": [
    "adverse_reactions"
  ]
}</x:v>
      </x:c>
    </x:row>
    <x:row r="2121" ht="54" customHeight="1">
      <x:c r="A2121" s="8" t="str">
        <x:v>gold-medication-4973d50e3042d0ca</x:v>
      </x:c>
      <x:c r="B2121" s="8" t="str">
        <x:v>eyak:201802364:precautions:001</x:v>
      </x:c>
      <x:c r="C2121" s="8" t="str">
        <x:v>eyak:201802364:precautions:001
eyak:201802364:precautions:002
eyak:201802364:precautions:003</x:v>
      </x:c>
      <x:c r="D2121" s="8" t="str">
        <x:v>근거와 함께 답변</x:v>
      </x:c>
      <x:c r="E2121" s="15" t="n">
        <x:v>2119</x:v>
      </x:c>
      <x:c r="F2121" s="8" t="str">
        <x:v>기존 검증 정답</x:v>
      </x:c>
      <x:c r="G2121" s="8" t="str">
        <x:v>https://apis.data.go.kr/1471000/DrbEasyDrugInfoService/getDrbEasyDrugList</x:v>
      </x:c>
      <x:c r="H2121" s="8" t="str">
        <x:v>{
  "item_seq": "201802364",
  "item_name": "메가트루파워정",
  "manufacturer": "(주)유한양행",
  "section_codes": [
    "precautions"
  ]
}</x:v>
      </x:c>
    </x:row>
    <x:row r="2122" ht="54" customHeight="1">
      <x:c r="A2122" s="8" t="str">
        <x:v>gold-medication-4f62c46333065176</x:v>
      </x:c>
      <x:c r="B2122" s="8" t="str">
        <x:v>eyak:198500436:precautions:001</x:v>
      </x:c>
      <x:c r="C2122" s="8" t="str">
        <x:v>eyak:198500436:precautions:001
eyak:198500436:precautions:002</x:v>
      </x:c>
      <x:c r="D2122" s="8" t="str">
        <x:v>근거와 함께 답변</x:v>
      </x:c>
      <x:c r="E2122" s="15" t="n">
        <x:v>2120</x:v>
      </x:c>
      <x:c r="F2122" s="8" t="str">
        <x:v>기존 검증 정답</x:v>
      </x:c>
      <x:c r="G2122" s="8" t="str">
        <x:v>https://apis.data.go.kr/1471000/DrbEasyDrugInfoService/getDrbEasyDrugList</x:v>
      </x:c>
      <x:c r="H2122" s="8" t="str">
        <x:v>{
  "item_seq": "198500436",
  "item_name": "엠코발500마이크로그램캡슐(메코발라민)",
  "manufacturer": "동화약품(주)",
  "section_codes": [
    "precautions"
  ]
}</x:v>
      </x:c>
    </x:row>
    <x:row r="2123" ht="54" customHeight="1">
      <x:c r="A2123" s="8" t="str">
        <x:v>gold-medication-9759a42c20a17d42</x:v>
      </x:c>
      <x:c r="B2123" s="8" t="str">
        <x:v>eyak:201803284:precautions:001</x:v>
      </x:c>
      <x:c r="C2123" s="8" t="str">
        <x:v>eyak:201803284:precautions:001
eyak:201803284:precautions:002</x:v>
      </x:c>
      <x:c r="D2123" s="8" t="str">
        <x:v>근거와 함께 답변</x:v>
      </x:c>
      <x:c r="E2123" s="15" t="n">
        <x:v>2121</x:v>
      </x:c>
      <x:c r="F2123" s="8" t="str">
        <x:v>기존 검증 정답</x:v>
      </x:c>
      <x:c r="G2123" s="8" t="str">
        <x:v>https://apis.data.go.kr/1471000/DrbEasyDrugInfoService/getDrbEasyDrugList</x:v>
      </x:c>
      <x:c r="H2123" s="8" t="str">
        <x:v>{
  "item_seq": "201803284",
  "item_name": "솔트스틱액",
  "manufacturer": "(주)그린제약",
  "section_codes": [
    "precautions"
  ]
}</x:v>
      </x:c>
    </x:row>
    <x:row r="2124" ht="54" customHeight="1">
      <x:c r="A2124" s="8" t="str">
        <x:v>gold-medication-bb6cf494b457fe8e</x:v>
      </x:c>
      <x:c r="B2124" s="8" t="str">
        <x:v>eyak:201208853:precautions:001</x:v>
      </x:c>
      <x:c r="C2124" s="8" t="str">
        <x:v>eyak:201208853:precautions:001
eyak:201208853:precautions:002</x:v>
      </x:c>
      <x:c r="D2124" s="8" t="str">
        <x:v>근거와 함께 답변</x:v>
      </x:c>
      <x:c r="E2124" s="15" t="n">
        <x:v>2122</x:v>
      </x:c>
      <x:c r="F2124" s="8" t="str">
        <x:v>기존 검증 정답</x:v>
      </x:c>
      <x:c r="G2124" s="8" t="str">
        <x:v>https://apis.data.go.kr/1471000/DrbEasyDrugInfoService/getDrbEasyDrugList</x:v>
      </x:c>
      <x:c r="H2124" s="8" t="str">
        <x:v>{
  "item_seq": "201208853",
  "item_name": "페르빈카타플라스마(펠비낙)",
  "manufacturer": "명문제약(주)",
  "section_codes": [
    "precautions"
  ]
}</x:v>
      </x:c>
    </x:row>
    <x:row r="2125" ht="54" customHeight="1">
      <x:c r="A2125" s="8" t="str">
        <x:v>gold-medication-e872a85aaf929563</x:v>
      </x:c>
      <x:c r="B2125" s="8" t="str">
        <x:v>eyak:201705252:dosage:001</x:v>
      </x:c>
      <x:c r="C2125" s="8" t="str">
        <x:v>eyak:201705252:dosage:001</x:v>
      </x:c>
      <x:c r="D2125" s="8" t="str">
        <x:v>근거와 함께 답변</x:v>
      </x:c>
      <x:c r="E2125" s="15" t="n">
        <x:v>2123</x:v>
      </x:c>
      <x:c r="F2125" s="8" t="str">
        <x:v>기존 검증 정답</x:v>
      </x:c>
      <x:c r="G2125" s="8" t="str">
        <x:v>https://apis.data.go.kr/1471000/DrbEasyDrugInfoService/getDrbEasyDrugList</x:v>
      </x:c>
      <x:c r="H2125" s="8" t="str">
        <x:v>{
  "item_seq": "201705252",
  "item_name": "투엑스비엠연질캡슐",
  "manufacturer": "코스맥스파마(주)",
  "section_codes": [
    "dosage"
  ]
}</x:v>
      </x:c>
    </x:row>
    <x:row r="2126" ht="54" customHeight="1">
      <x:c r="A2126" s="8" t="str">
        <x:v>gold-medication-b2af8be0cfd32e8b</x:v>
      </x:c>
      <x:c r="B2126" s="8" t="str">
        <x:v>eyak:201706818:dosage:001</x:v>
      </x:c>
      <x:c r="C2126" s="8" t="str">
        <x:v>eyak:201706818:dosage:001</x:v>
      </x:c>
      <x:c r="D2126" s="8" t="str">
        <x:v>근거와 함께 답변</x:v>
      </x:c>
      <x:c r="E2126" s="15" t="n">
        <x:v>2124</x:v>
      </x:c>
      <x:c r="F2126" s="8" t="str">
        <x:v>기존 검증 정답</x:v>
      </x:c>
      <x:c r="G2126" s="8" t="str">
        <x:v>https://apis.data.go.kr/1471000/DrbEasyDrugInfoService/getDrbEasyDrugList</x:v>
      </x:c>
      <x:c r="H2126" s="8" t="str">
        <x:v>{
  "item_seq": "201706818",
  "item_name": "알코타민정",
  "manufacturer": "동화약품(주)",
  "section_codes": [
    "dosage"
  ]
}</x:v>
      </x:c>
    </x:row>
    <x:row r="2127" ht="54" customHeight="1">
      <x:c r="A2127" s="8" t="str">
        <x:v>gold-medication-1809459d3e6146db</x:v>
      </x:c>
      <x:c r="B2127" s="8" t="str">
        <x:v>eyak:201708197:efficacy:001</x:v>
      </x:c>
      <x:c r="C2127" s="8" t="str">
        <x:v>eyak:201708197:efficacy:001</x:v>
      </x:c>
      <x:c r="D2127" s="8" t="str">
        <x:v>근거와 함께 답변</x:v>
      </x:c>
      <x:c r="E2127" s="15" t="n">
        <x:v>2125</x:v>
      </x:c>
      <x:c r="F2127" s="8" t="str">
        <x:v>기존 검증 정답</x:v>
      </x:c>
      <x:c r="G2127" s="8" t="str">
        <x:v>https://apis.data.go.kr/1471000/DrbEasyDrugInfoService/getDrbEasyDrugList</x:v>
      </x:c>
      <x:c r="H2127" s="8" t="str">
        <x:v>{
  "item_seq": "201708197",
  "item_name": "콜드펜코프연질캡슐",
  "manufacturer": "동국제약(주)",
  "section_codes": [
    "efficacy"
  ]
}</x:v>
      </x:c>
    </x:row>
    <x:row r="2128" ht="54" customHeight="1">
      <x:c r="A2128" s="8" t="str">
        <x:v>gold-medication-e761a334abadeacc</x:v>
      </x:c>
      <x:c r="B2128" s="8" t="str">
        <x:v>eyak:200810584:precautions:001</x:v>
      </x:c>
      <x:c r="C2128" s="8" t="str">
        <x:v>eyak:200810584:precautions:001</x:v>
      </x:c>
      <x:c r="D2128" s="8" t="str">
        <x:v>근거와 함께 답변</x:v>
      </x:c>
      <x:c r="E2128" s="15" t="n">
        <x:v>2126</x:v>
      </x:c>
      <x:c r="F2128" s="8" t="str">
        <x:v>기존 검증 정답</x:v>
      </x:c>
      <x:c r="G2128" s="8" t="str">
        <x:v>https://apis.data.go.kr/1471000/DrbEasyDrugInfoService/getDrbEasyDrugList</x:v>
      </x:c>
      <x:c r="H2128" s="8" t="str">
        <x:v>{
  "item_seq": "200810584",
  "item_name": "볼두민캡슐",
  "manufacturer": "제이더블유중외제약(주)",
  "section_codes": [
    "precautions"
  ]
}</x:v>
      </x:c>
    </x:row>
    <x:row r="2129" ht="54" customHeight="1">
      <x:c r="A2129" s="8" t="str">
        <x:v>gold-medication-c17f712b61a740e3</x:v>
      </x:c>
      <x:c r="B2129" s="8" t="str">
        <x:v>eyak:200901761:storage:001</x:v>
      </x:c>
      <x:c r="C2129" s="8" t="str">
        <x:v>eyak:200901761:storage:001</x:v>
      </x:c>
      <x:c r="D2129" s="8" t="str">
        <x:v>근거와 함께 답변</x:v>
      </x:c>
      <x:c r="E2129" s="15" t="n">
        <x:v>2127</x:v>
      </x:c>
      <x:c r="F2129" s="8" t="str">
        <x:v>기존 검증 정답</x:v>
      </x:c>
      <x:c r="G2129" s="8" t="str">
        <x:v>https://apis.data.go.kr/1471000/DrbEasyDrugInfoService/getDrbEasyDrugList</x:v>
      </x:c>
      <x:c r="H2129" s="8" t="str">
        <x:v>{
  "item_seq": "200901761",
  "item_name": "아이클리어점안액",
  "manufacturer": "화일약품(주)",
  "section_codes": [
    "storage"
  ]
}</x:v>
      </x:c>
    </x:row>
    <x:row r="2130" ht="54" customHeight="1">
      <x:c r="A2130" s="8" t="str">
        <x:v>gold-medication-6cbd7c2a1e095b66</x:v>
      </x:c>
      <x:c r="B2130" s="8" t="str">
        <x:v>eyak:201310681:adverse_reactions:002</x:v>
      </x:c>
      <x:c r="C2130" s="8" t="str">
        <x:v>eyak:201310681:adverse_reactions:002
eyak:201310681:adverse_reactions:001</x:v>
      </x:c>
      <x:c r="D2130" s="8" t="str">
        <x:v>근거와 함께 답변</x:v>
      </x:c>
      <x:c r="E2130" s="15" t="n">
        <x:v>2128</x:v>
      </x:c>
      <x:c r="F2130" s="8" t="str">
        <x:v>기존 검증 정답</x:v>
      </x:c>
      <x:c r="G2130" s="8" t="str">
        <x:v>https://apis.data.go.kr/1471000/DrbEasyDrugInfoService/getDrbEasyDrugList</x:v>
      </x:c>
      <x:c r="H2130" s="8" t="str">
        <x:v>{
  "item_seq": "201310681",
  "item_name": "클리마졸질정(클로트리마졸)",
  "manufacturer": "에이치엘비제약(주)",
  "section_codes": [
    "adverse_reactions"
  ]
}</x:v>
      </x:c>
    </x:row>
    <x:row r="2131" ht="54" customHeight="1">
      <x:c r="A2131" s="8" t="str">
        <x:v>gold-medication-78d66a1f92422913</x:v>
      </x:c>
      <x:c r="B2131" s="8" t="str">
        <x:v>eyak:202000112:precautions:001</x:v>
      </x:c>
      <x:c r="C2131" s="8" t="str">
        <x:v>eyak:202000112:precautions:001
eyak:202000112:precautions:002</x:v>
      </x:c>
      <x:c r="D2131" s="8" t="str">
        <x:v>근거와 함께 답변</x:v>
      </x:c>
      <x:c r="E2131" s="15" t="n">
        <x:v>2129</x:v>
      </x:c>
      <x:c r="F2131" s="8" t="str">
        <x:v>기존 검증 정답</x:v>
      </x:c>
      <x:c r="G2131" s="8" t="str">
        <x:v>https://apis.data.go.kr/1471000/DrbEasyDrugInfoService/getDrbEasyDrugList</x:v>
      </x:c>
      <x:c r="H2131" s="8" t="str">
        <x:v>{
  "item_seq": "202000112",
  "item_name": "브이멜라인장용정(브로멜라인)",
  "manufacturer": "주식회사더유제약",
  "section_codes": [
    "precautions"
  ]
}</x:v>
      </x:c>
    </x:row>
    <x:row r="2132" ht="54" customHeight="1">
      <x:c r="A2132" s="8" t="str">
        <x:v>gold-medication-na-75e412046fae08b7</x:v>
      </x:c>
      <x:c r="B2132" s="8" t="str"/>
      <x:c r="C2132" s="8" t="str"/>
      <x:c r="D2132" s="8" t="str">
        <x:v>답변 거부 또는 추가 확인 요청</x:v>
      </x:c>
      <x:c r="E2132" s="15" t="n">
        <x:v>2130</x:v>
      </x:c>
      <x:c r="F2132" s="8" t="str">
        <x:v>답변 거부 기준 문구</x:v>
      </x:c>
      <x:c r="G2132" s="8" t="str">
        <x:v>https://apis.data.go.kr/1471000/DrbEasyDrugInfoService/getDrbEasyDrugList</x:v>
      </x:c>
      <x:c r="H2132" s="8" t="str">
        <x:v>{
  "item_seq": "201405694",
  "item_name": "시원타조아나잘스프레이(옥시메타졸린염산염)",
  "manufacturer": "조아제약(주)",
  "section_codes": [
    "dosage"
  ]
}</x:v>
      </x:c>
    </x:row>
    <x:row r="2133" ht="54" customHeight="1">
      <x:c r="A2133" s="8" t="str">
        <x:v>gold-medication-63288d7738c390a1</x:v>
      </x:c>
      <x:c r="B2133" s="8" t="str">
        <x:v>eyak:200612147:precautions:001</x:v>
      </x:c>
      <x:c r="C2133" s="8" t="str">
        <x:v>eyak:200612147:precautions:001</x:v>
      </x:c>
      <x:c r="D2133" s="8" t="str">
        <x:v>근거와 함께 답변</x:v>
      </x:c>
      <x:c r="E2133" s="15" t="n">
        <x:v>2131</x:v>
      </x:c>
      <x:c r="F2133" s="8" t="str">
        <x:v>기존 검증 정답</x:v>
      </x:c>
      <x:c r="G2133" s="8" t="str">
        <x:v>https://apis.data.go.kr/1471000/DrbEasyDrugInfoService/getDrbEasyDrugList</x:v>
      </x:c>
      <x:c r="H2133" s="8" t="str">
        <x:v>{
  "item_seq": "200612147",
  "item_name": "팝업플라스타(플루르비프로펜)",
  "manufacturer": "(주)에이프로젠바이오로직스",
  "section_codes": [
    "precautions"
  ]
}</x:v>
      </x:c>
    </x:row>
    <x:row r="2134" ht="54" customHeight="1">
      <x:c r="A2134" s="8" t="str">
        <x:v>gold-medication-889b19ddaecc09bf</x:v>
      </x:c>
      <x:c r="B2134" s="8" t="str">
        <x:v>eyak:201602592:interactions:001</x:v>
      </x:c>
      <x:c r="C2134" s="8" t="str">
        <x:v>eyak:201602592:interactions:001</x:v>
      </x:c>
      <x:c r="D2134" s="8" t="str">
        <x:v>근거와 함께 답변</x:v>
      </x:c>
      <x:c r="E2134" s="15" t="n">
        <x:v>2132</x:v>
      </x:c>
      <x:c r="F2134" s="8" t="str">
        <x:v>기존 검증 정답</x:v>
      </x:c>
      <x:c r="G2134" s="8" t="str">
        <x:v>https://apis.data.go.kr/1471000/DrbEasyDrugInfoService/getDrbEasyDrugList</x:v>
      </x:c>
      <x:c r="H2134" s="8" t="str">
        <x:v>{
  "item_seq": "201602592",
  "item_name": "바실리포미스산(바실루스리케니포르미스균)",
  "manufacturer": "(주)테라젠이텍스",
  "section_codes": [
    "interactions"
  ]
}</x:v>
      </x:c>
    </x:row>
    <x:row r="2135" ht="54" customHeight="1">
      <x:c r="A2135" s="8" t="str">
        <x:v>gold-medication-18b53e2bf411e350</x:v>
      </x:c>
      <x:c r="B2135" s="8" t="str">
        <x:v>eyak:201301235:warning:001
eyak:201301235:precautions:001</x:v>
      </x:c>
      <x:c r="C2135" s="8" t="str">
        <x:v>eyak:201301235:warning:001
eyak:201301235:warning:002
eyak:201301235:warning:003
eyak:201301235:precautions:001
eyak:201301235:precautions:002
eyak:201301235:precautions:003
eyak:201301235:precautions:004</x:v>
      </x:c>
      <x:c r="D2135" s="8" t="str">
        <x:v>근거와 함께 답변</x:v>
      </x:c>
      <x:c r="E2135" s="15" t="n">
        <x:v>2133</x:v>
      </x:c>
      <x:c r="F2135" s="8" t="str">
        <x:v>기존 검증 정답</x:v>
      </x:c>
      <x:c r="G2135" s="8" t="str">
        <x:v>https://apis.data.go.kr/1471000/DrbEasyDrugInfoService/getDrbEasyDrugList</x:v>
      </x:c>
      <x:c r="H2135" s="8" t="str">
        <x:v>{
  "item_seq": "201301235",
  "item_name": "파인펜정",
  "manufacturer": "경남제약(주)",
  "section_codes": [
    "warning",
    "precautions"
  ]
}</x:v>
      </x:c>
    </x:row>
    <x:row r="2136" ht="54" customHeight="1">
      <x:c r="A2136" s="8" t="str">
        <x:v>gold-medication-e9060a439ce8cac3</x:v>
      </x:c>
      <x:c r="B2136" s="8" t="str">
        <x:v>eyak:201900682:storage:001</x:v>
      </x:c>
      <x:c r="C2136" s="8" t="str">
        <x:v>eyak:201900682:storage:001</x:v>
      </x:c>
      <x:c r="D2136" s="8" t="str">
        <x:v>근거와 함께 답변</x:v>
      </x:c>
      <x:c r="E2136" s="15" t="n">
        <x:v>2134</x:v>
      </x:c>
      <x:c r="F2136" s="8" t="str">
        <x:v>기존 검증 정답</x:v>
      </x:c>
      <x:c r="G2136" s="8" t="str">
        <x:v>https://apis.data.go.kr/1471000/DrbEasyDrugInfoService/getDrbEasyDrugList</x:v>
      </x:c>
      <x:c r="H2136" s="8" t="str">
        <x:v>{
  "item_seq": "201900682",
  "item_name": "큐센연질캡슐(나프록센)",
  "manufacturer": "삼성제약(주)",
  "section_codes": [
    "storage"
  ]
}</x:v>
      </x:c>
    </x:row>
    <x:row r="2137" ht="54" customHeight="1">
      <x:c r="A2137" s="8" t="str">
        <x:v>gold-medication-na-69bd36973c106ae6</x:v>
      </x:c>
      <x:c r="B2137" s="8" t="str"/>
      <x:c r="C2137" s="8" t="str"/>
      <x:c r="D2137" s="8" t="str">
        <x:v>답변 거부 또는 추가 확인 요청</x:v>
      </x:c>
      <x:c r="E2137" s="15" t="n">
        <x:v>2135</x:v>
      </x:c>
      <x:c r="F2137" s="8" t="str">
        <x:v>답변 거부 기준 문구</x:v>
      </x:c>
      <x:c r="G2137" s="8" t="str">
        <x:v>https://apis.data.go.kr/1471000/DrbEasyDrugInfoService/getDrbEasyDrugList</x:v>
      </x:c>
      <x:c r="H2137" s="8" t="str">
        <x:v>{
  "item_seq": "202007844",
  "item_name": "아노덱스골드정",
  "manufacturer": "(주)팜젠사이언스",
  "section_codes": [
    "adverse_reactions"
  ]
}</x:v>
      </x:c>
    </x:row>
    <x:row r="2138" ht="54" customHeight="1">
      <x:c r="A2138" s="8" t="str">
        <x:v>gold-medication-b45bd62ed9b6b131</x:v>
      </x:c>
      <x:c r="B2138" s="8" t="str">
        <x:v>eyak:200301985:efficacy:001</x:v>
      </x:c>
      <x:c r="C2138" s="8" t="str">
        <x:v>eyak:200301985:efficacy:001
eyak:200301985:efficacy:002</x:v>
      </x:c>
      <x:c r="D2138" s="8" t="str">
        <x:v>근거와 함께 답변</x:v>
      </x:c>
      <x:c r="E2138" s="15" t="n">
        <x:v>2136</x:v>
      </x:c>
      <x:c r="F2138" s="8" t="str">
        <x:v>기존 검증 정답</x:v>
      </x:c>
      <x:c r="G2138" s="8" t="str">
        <x:v>https://apis.data.go.kr/1471000/DrbEasyDrugInfoService/getDrbEasyDrugList</x:v>
      </x:c>
      <x:c r="H2138" s="8" t="str">
        <x:v>{
  "item_seq": "200301985",
  "item_name": "뉴로친연질캡슐",
  "manufacturer": "(주)씨엠지제약",
  "section_codes": [
    "efficacy"
  ]
}</x:v>
      </x:c>
    </x:row>
    <x:row r="2139" ht="54" customHeight="1">
      <x:c r="A2139" s="8" t="str">
        <x:v>gold-medication-3a3bb2d41e8f8dbd</x:v>
      </x:c>
      <x:c r="B2139" s="8" t="str">
        <x:v>eyak:202203119:precautions:001</x:v>
      </x:c>
      <x:c r="C2139" s="8" t="str">
        <x:v>eyak:202203119:precautions:001
eyak:202203119:precautions:002
eyak:202203119:precautions:003
eyak:202203119:precautions:004</x:v>
      </x:c>
      <x:c r="D2139" s="8" t="str">
        <x:v>근거와 함께 답변</x:v>
      </x:c>
      <x:c r="E2139" s="15" t="n">
        <x:v>2137</x:v>
      </x:c>
      <x:c r="F2139" s="8" t="str">
        <x:v>기존 검증 정답</x:v>
      </x:c>
      <x:c r="G2139" s="8" t="str">
        <x:v>https://apis.data.go.kr/1471000/DrbEasyDrugInfoService/getDrbEasyDrugList</x:v>
      </x:c>
      <x:c r="H2139" s="8" t="str">
        <x:v>{
  "item_seq": "202203119",
  "item_name": "메코비정",
  "manufacturer": "메딕스제약(주)",
  "section_codes": [
    "precautions"
  ]
}</x:v>
      </x:c>
    </x:row>
    <x:row r="2140" ht="54" customHeight="1">
      <x:c r="A2140" s="8" t="str">
        <x:v>gold-medication-1dde1e1852981697</x:v>
      </x:c>
      <x:c r="B2140" s="8" t="str">
        <x:v>eyak:201706797:efficacy:001</x:v>
      </x:c>
      <x:c r="C2140" s="8" t="str">
        <x:v>eyak:201706797:efficacy:001</x:v>
      </x:c>
      <x:c r="D2140" s="8" t="str">
        <x:v>근거와 함께 답변</x:v>
      </x:c>
      <x:c r="E2140" s="15" t="n">
        <x:v>2138</x:v>
      </x:c>
      <x:c r="F2140" s="8" t="str">
        <x:v>기존 검증 정답</x:v>
      </x:c>
      <x:c r="G2140" s="8" t="str">
        <x:v>https://apis.data.go.kr/1471000/DrbEasyDrugInfoService/getDrbEasyDrugList</x:v>
      </x:c>
      <x:c r="H2140" s="8" t="str">
        <x:v>{
  "item_seq": "201706797",
  "item_name": "더마칸크림(리도카인)",
  "manufacturer": "구주제약(주)",
  "section_codes": [
    "efficacy"
  ]
}</x:v>
      </x:c>
    </x:row>
    <x:row r="2141" ht="54" customHeight="1">
      <x:c r="A2141" s="8" t="str">
        <x:v>gold-medication-4ed277f19127a540</x:v>
      </x:c>
      <x:c r="B2141" s="8" t="str">
        <x:v>eyak:201706393:precautions:001</x:v>
      </x:c>
      <x:c r="C2141" s="8" t="str">
        <x:v>eyak:201706393:precautions:001
eyak:201706393:precautions:002</x:v>
      </x:c>
      <x:c r="D2141" s="8" t="str">
        <x:v>근거와 함께 답변</x:v>
      </x:c>
      <x:c r="E2141" s="15" t="n">
        <x:v>2139</x:v>
      </x:c>
      <x:c r="F2141" s="8" t="str">
        <x:v>기존 검증 정답</x:v>
      </x:c>
      <x:c r="G2141" s="8" t="str">
        <x:v>https://apis.data.go.kr/1471000/DrbEasyDrugInfoService/getDrbEasyDrugList</x:v>
      </x:c>
      <x:c r="H2141" s="8" t="str">
        <x:v>{
  "item_seq": "201706393",
  "item_name": "룩스씨엠씨점안액(카르복시메틸셀룰로오스나트륨)(1회용)",
  "manufacturer": "(주)씨엠지제약",
  "section_codes": [
    "precautions"
  ]
}</x:v>
      </x:c>
    </x:row>
    <x:row r="2142" ht="54" customHeight="1">
      <x:c r="A2142" s="8" t="str">
        <x:v>gold-medication-ad50a0b0fc6abed6</x:v>
      </x:c>
      <x:c r="B2142" s="8" t="str">
        <x:v>eyak:201906414:precautions:001</x:v>
      </x:c>
      <x:c r="C2142" s="8" t="str">
        <x:v>eyak:201906414:precautions:001
eyak:201906414:precautions:002
eyak:201906414:precautions:003</x:v>
      </x:c>
      <x:c r="D2142" s="8" t="str">
        <x:v>근거와 함께 답변</x:v>
      </x:c>
      <x:c r="E2142" s="15" t="n">
        <x:v>2140</x:v>
      </x:c>
      <x:c r="F2142" s="8" t="str">
        <x:v>기존 검증 정답</x:v>
      </x:c>
      <x:c r="G2142" s="8" t="str">
        <x:v>https://apis.data.go.kr/1471000/DrbEasyDrugInfoService/getDrbEasyDrugList</x:v>
      </x:c>
      <x:c r="H2142" s="8" t="str">
        <x:v>{
  "item_seq": "201906414",
  "item_name": "커버롤핀네일라카(아모롤핀염산염)",
  "manufacturer": "주식회사큐엘파마",
  "section_codes": [
    "precautions"
  ]
}</x:v>
      </x:c>
    </x:row>
    <x:row r="2143" ht="54" customHeight="1">
      <x:c r="A2143" s="8" t="str">
        <x:v>gold-medication-8e7e141870875179</x:v>
      </x:c>
      <x:c r="B2143" s="8" t="str">
        <x:v>eyak:202003877:precautions:002</x:v>
      </x:c>
      <x:c r="C2143" s="8" t="str">
        <x:v>eyak:202003877:precautions:002
eyak:202003877:precautions:001
eyak:202003877:precautions:003
eyak:202003877:precautions:004
eyak:202003877:precautions:005</x:v>
      </x:c>
      <x:c r="D2143" s="8" t="str">
        <x:v>근거와 함께 답변</x:v>
      </x:c>
      <x:c r="E2143" s="15" t="n">
        <x:v>2141</x:v>
      </x:c>
      <x:c r="F2143" s="8" t="str">
        <x:v>기존 검증 정답</x:v>
      </x:c>
      <x:c r="G2143" s="8" t="str">
        <x:v>https://apis.data.go.kr/1471000/DrbEasyDrugInfoService/getDrbEasyDrugList</x:v>
      </x:c>
      <x:c r="H2143" s="8" t="str">
        <x:v>{
  "item_seq": "202003877",
  "item_name": "나프원큐에스연질캡슐(나프록센)",
  "manufacturer": "동아제약(주)",
  "section_codes": [
    "precautions"
  ]
}</x:v>
      </x:c>
    </x:row>
    <x:row r="2144" ht="54" customHeight="1">
      <x:c r="A2144" s="8" t="str">
        <x:v>gold-medication-78ebfd84298f8fb7</x:v>
      </x:c>
      <x:c r="B2144" s="8" t="str">
        <x:v>eyak:201210143:dosage:001</x:v>
      </x:c>
      <x:c r="C2144" s="8" t="str">
        <x:v>eyak:201210143:dosage:001</x:v>
      </x:c>
      <x:c r="D2144" s="8" t="str">
        <x:v>근거와 함께 답변</x:v>
      </x:c>
      <x:c r="E2144" s="15" t="n">
        <x:v>2142</x:v>
      </x:c>
      <x:c r="F2144" s="8" t="str">
        <x:v>기존 검증 정답</x:v>
      </x:c>
      <x:c r="G2144" s="8" t="str">
        <x:v>https://apis.data.go.kr/1471000/DrbEasyDrugInfoService/getDrbEasyDrugList</x:v>
      </x:c>
      <x:c r="H2144" s="8" t="str">
        <x:v>{
  "item_seq": "201210143",
  "item_name": "세네풀에스액",
  "manufacturer": "(주)퍼슨",
  "section_codes": [
    "dosage"
  ]
}</x:v>
      </x:c>
    </x:row>
    <x:row r="2145" ht="54" customHeight="1">
      <x:c r="A2145" s="8" t="str">
        <x:v>gold-medication-dd23eab162506515</x:v>
      </x:c>
      <x:c r="B2145" s="8" t="str">
        <x:v>eyak:202202274:interactions:001</x:v>
      </x:c>
      <x:c r="C2145" s="8" t="str">
        <x:v>eyak:202202274:interactions:001
eyak:202202274:interactions:002</x:v>
      </x:c>
      <x:c r="D2145" s="8" t="str">
        <x:v>근거와 함께 답변</x:v>
      </x:c>
      <x:c r="E2145" s="15" t="n">
        <x:v>2143</x:v>
      </x:c>
      <x:c r="F2145" s="8" t="str">
        <x:v>기존 검증 정답</x:v>
      </x:c>
      <x:c r="G2145" s="8" t="str">
        <x:v>https://apis.data.go.kr/1471000/DrbEasyDrugInfoService/getDrbEasyDrugList</x:v>
      </x:c>
      <x:c r="H2145" s="8" t="str">
        <x:v>{
  "item_seq": "202202274",
  "item_name": "센스가드이브정(데소게스트렐)",
  "manufacturer": "태극제약(주)",
  "section_codes": [
    "interactions"
  ]
}</x:v>
      </x:c>
    </x:row>
    <x:row r="2146" ht="54" customHeight="1">
      <x:c r="A2146" s="8" t="str">
        <x:v>gold-medication-13751fc690e500de</x:v>
      </x:c>
      <x:c r="B2146" s="8" t="str">
        <x:v>eyak:200204177:dosage:001</x:v>
      </x:c>
      <x:c r="C2146" s="8" t="str">
        <x:v>eyak:200204177:dosage:001</x:v>
      </x:c>
      <x:c r="D2146" s="8" t="str">
        <x:v>근거와 함께 답변</x:v>
      </x:c>
      <x:c r="E2146" s="15" t="n">
        <x:v>2144</x:v>
      </x:c>
      <x:c r="F2146" s="8" t="str">
        <x:v>기존 검증 정답</x:v>
      </x:c>
      <x:c r="G2146" s="8" t="str">
        <x:v>https://apis.data.go.kr/1471000/DrbEasyDrugInfoService/getDrbEasyDrugList</x:v>
      </x:c>
      <x:c r="H2146" s="8" t="str">
        <x:v>{
  "item_seq": "200204177",
  "item_name": "알마트린정",
  "manufacturer": "성원애드콕제약(주)",
  "section_codes": [
    "dosage"
  ]
}</x:v>
      </x:c>
    </x:row>
    <x:row r="2147" ht="54" customHeight="1">
      <x:c r="A2147" s="8" t="str">
        <x:v>gold-medication-fdcf73f7e1195695</x:v>
      </x:c>
      <x:c r="B2147" s="8" t="str">
        <x:v>eyak:200102565:adverse_reactions:002</x:v>
      </x:c>
      <x:c r="C2147" s="8" t="str">
        <x:v>eyak:200102565:adverse_reactions:002
eyak:200102565:adverse_reactions:001</x:v>
      </x:c>
      <x:c r="D2147" s="8" t="str">
        <x:v>근거와 함께 답변</x:v>
      </x:c>
      <x:c r="E2147" s="15" t="n">
        <x:v>2145</x:v>
      </x:c>
      <x:c r="F2147" s="8" t="str">
        <x:v>기존 검증 정답</x:v>
      </x:c>
      <x:c r="G2147" s="8" t="str">
        <x:v>https://apis.data.go.kr/1471000/DrbEasyDrugInfoService/getDrbEasyDrugList</x:v>
      </x:c>
      <x:c r="H2147" s="8" t="str">
        <x:v>{
  "item_seq": "200102565",
  "item_name": "코린시럽",
  "manufacturer": "신일제약(주)",
  "section_codes": [
    "adverse_reactions"
  ]
}</x:v>
      </x:c>
    </x:row>
    <x:row r="2148" ht="54" customHeight="1">
      <x:c r="A2148" s="8" t="str">
        <x:v>gold-medication-2d605ba216e16dcc</x:v>
      </x:c>
      <x:c r="B2148" s="8" t="str">
        <x:v>eyak:202301812:precautions:003
eyak:202301812:adverse_reactions:001</x:v>
      </x:c>
      <x:c r="C2148" s="8" t="str">
        <x:v>eyak:202301812:precautions:003
eyak:202301812:precautions:002
eyak:202301812:precautions:001
eyak:202301812:precautions:004
eyak:202301812:adverse_reactions:001
eyak:202301812:adverse_reactions:002</x:v>
      </x:c>
      <x:c r="D2148" s="8" t="str">
        <x:v>근거와 함께 답변</x:v>
      </x:c>
      <x:c r="E2148" s="15" t="n">
        <x:v>2146</x:v>
      </x:c>
      <x:c r="F2148" s="8" t="str">
        <x:v>기존 검증 정답</x:v>
      </x:c>
      <x:c r="G2148" s="8" t="str">
        <x:v>https://apis.data.go.kr/1471000/DrbEasyDrugInfoService/getDrbEasyDrugList</x:v>
      </x:c>
      <x:c r="H2148" s="8" t="str">
        <x:v>{
  "item_seq": "202301812",
  "item_name": "코비메타비정",
  "manufacturer": "메딕스제약(주)",
  "section_codes": [
    "precautions",
    "adverse_reactions"
  ]
}</x:v>
      </x:c>
    </x:row>
    <x:row r="2149" ht="54" customHeight="1">
      <x:c r="A2149" s="8" t="str">
        <x:v>gold-medication-8498189aaa0bf5ae</x:v>
      </x:c>
      <x:c r="B2149" s="8" t="str">
        <x:v>eyak:202500690:efficacy:001</x:v>
      </x:c>
      <x:c r="C2149" s="8" t="str">
        <x:v>eyak:202500690:efficacy:001</x:v>
      </x:c>
      <x:c r="D2149" s="8" t="str">
        <x:v>근거와 함께 답변</x:v>
      </x:c>
      <x:c r="E2149" s="15" t="n">
        <x:v>2147</x:v>
      </x:c>
      <x:c r="F2149" s="8" t="str">
        <x:v>기존 검증 정답</x:v>
      </x:c>
      <x:c r="G2149" s="8" t="str">
        <x:v>https://apis.data.go.kr/1471000/DrbEasyDrugInfoService/getDrbEasyDrugList</x:v>
      </x:c>
      <x:c r="H2149" s="8" t="str">
        <x:v>{
  "item_seq": "202500690",
  "item_name": "콜레시움정",
  "manufacturer": "(주)메디카코리아",
  "section_codes": [
    "efficacy"
  ]
}</x:v>
      </x:c>
    </x:row>
    <x:row r="2150" ht="54" customHeight="1">
      <x:c r="A2150" s="8" t="str">
        <x:v>gold-medication-cd916d754886a340</x:v>
      </x:c>
      <x:c r="B2150" s="8" t="str">
        <x:v>eyak:201802397:interactions:001</x:v>
      </x:c>
      <x:c r="C2150" s="8" t="str">
        <x:v>eyak:201802397:interactions:001
eyak:201802397:interactions:002</x:v>
      </x:c>
      <x:c r="D2150" s="8" t="str">
        <x:v>근거와 함께 답변</x:v>
      </x:c>
      <x:c r="E2150" s="15" t="n">
        <x:v>2148</x:v>
      </x:c>
      <x:c r="F2150" s="8" t="str">
        <x:v>기존 검증 정답</x:v>
      </x:c>
      <x:c r="G2150" s="8" t="str">
        <x:v>https://apis.data.go.kr/1471000/DrbEasyDrugInfoService/getDrbEasyDrugList</x:v>
      </x:c>
      <x:c r="H2150" s="8" t="str">
        <x:v>{
  "item_seq": "201802397",
  "item_name": "캐롤비코프연질캡슐",
  "manufacturer": "(주)알피바이오",
  "section_codes": [
    "interactions"
  ]
}</x:v>
      </x:c>
    </x:row>
    <x:row r="2151" ht="54" customHeight="1">
      <x:c r="A2151" s="8" t="str">
        <x:v>gold-medication-na-e37baa44a0cf6e28</x:v>
      </x:c>
      <x:c r="B2151" s="8" t="str"/>
      <x:c r="C2151" s="8" t="str"/>
      <x:c r="D2151" s="8" t="str">
        <x:v>답변 거부 또는 추가 확인 요청</x:v>
      </x:c>
      <x:c r="E2151" s="15" t="n">
        <x:v>2149</x:v>
      </x:c>
      <x:c r="F2151" s="8" t="str">
        <x:v>답변 거부 기준 문구</x:v>
      </x:c>
      <x:c r="G2151" s="8" t="str">
        <x:v>https://apis.data.go.kr/1471000/DrbEasyDrugInfoService/getDrbEasyDrugList</x:v>
      </x:c>
      <x:c r="H2151" s="8" t="str">
        <x:v>{
  "item_seq": "201402826",
  "item_name": "알리겔정(알마게이트)",
  "manufacturer": "(주)하원제약",
  "section_codes": [
    "adverse_reactions"
  ]
}</x:v>
      </x:c>
    </x:row>
    <x:row r="2152" ht="54" customHeight="1">
      <x:c r="A2152" s="8" t="str">
        <x:v>gold-medication-7e48871bdf9898fa</x:v>
      </x:c>
      <x:c r="B2152" s="8" t="str">
        <x:v>eyak:201606791:interactions:001</x:v>
      </x:c>
      <x:c r="C2152" s="8" t="str">
        <x:v>eyak:201606791:interactions:001</x:v>
      </x:c>
      <x:c r="D2152" s="8" t="str">
        <x:v>근거와 함께 답변</x:v>
      </x:c>
      <x:c r="E2152" s="15" t="n">
        <x:v>2150</x:v>
      </x:c>
      <x:c r="F2152" s="8" t="str">
        <x:v>기존 검증 정답</x:v>
      </x:c>
      <x:c r="G2152" s="8" t="str">
        <x:v>https://apis.data.go.kr/1471000/DrbEasyDrugInfoService/getDrbEasyDrugList</x:v>
      </x:c>
      <x:c r="H2152" s="8" t="str">
        <x:v>{
  "item_seq": "201606791",
  "item_name": "기가프신연질캡슐",
  "manufacturer": "(주)에이프로젠바이오로직스",
  "section_codes": [
    "interactions"
  ]
}</x:v>
      </x:c>
    </x:row>
    <x:row r="2153" ht="54" customHeight="1">
      <x:c r="A2153" s="8" t="str">
        <x:v>gold-medication-8b3a2ffbc9b5a7bc</x:v>
      </x:c>
      <x:c r="B2153" s="8" t="str">
        <x:v>eyak:200901979:warning:001
eyak:200901979:precautions:004
eyak:200901979:adverse_reactions:006</x:v>
      </x:c>
      <x:c r="C2153" s="8" t="str">
        <x:v>eyak:200901979:warning:001
eyak:200901979:warning:003
eyak:200901979:warning:002
eyak:200901979:precautions:004
eyak:200901979:precautions:001
eyak:200901979:precautions:003
eyak:200901979:precautions:002
eyak:200901979:precautions:005
eyak:200901979:adverse_reactions:006
eyak:200901979:adverse_reactions:005
eyak:200901979:adverse_reactions:003
eyak:200901979:adverse_reactions:002
eyak:200901979:adverse_reactions:007
eyak:200901979:adverse_reactions:004
eyak:200901979:adverse_reactions:001
eyak:200901979:adverse_reactions:008</x:v>
      </x:c>
      <x:c r="D2153" s="8" t="str">
        <x:v>근거와 함께 답변</x:v>
      </x:c>
      <x:c r="E2153" s="15" t="n">
        <x:v>2151</x:v>
      </x:c>
      <x:c r="F2153" s="8" t="str">
        <x:v>기존 검증 정답</x:v>
      </x:c>
      <x:c r="G2153" s="8" t="str">
        <x:v>https://apis.data.go.kr/1471000/DrbEasyDrugInfoService/getDrbEasyDrugList</x:v>
      </x:c>
      <x:c r="H2153" s="8" t="str">
        <x:v>{
  "item_seq": "200901979",
  "item_name": "제뉴원이부펜시럽(이부프로펜)",
  "manufacturer": "주식회사제뉴원사이언스",
  "section_codes": [
    "warning",
    "precautions",
    "adverse_reactions"
  ]
}</x:v>
      </x:c>
    </x:row>
    <x:row r="2154" ht="54" customHeight="1">
      <x:c r="A2154" s="8" t="str">
        <x:v>gold-medication-5af8794738b71194</x:v>
      </x:c>
      <x:c r="B2154" s="8" t="str">
        <x:v>eyak:201800124:storage:001</x:v>
      </x:c>
      <x:c r="C2154" s="8" t="str">
        <x:v>eyak:201800124:storage:001</x:v>
      </x:c>
      <x:c r="D2154" s="8" t="str">
        <x:v>근거와 함께 답변</x:v>
      </x:c>
      <x:c r="E2154" s="15" t="n">
        <x:v>2152</x:v>
      </x:c>
      <x:c r="F2154" s="8" t="str">
        <x:v>기존 검증 정답</x:v>
      </x:c>
      <x:c r="G2154" s="8" t="str">
        <x:v>https://apis.data.go.kr/1471000/DrbEasyDrugInfoService/getDrbEasyDrugList</x:v>
      </x:c>
      <x:c r="H2154" s="8" t="str">
        <x:v>{
  "item_seq": "201800124",
  "item_name": "쎈비백정",
  "manufacturer": "한국코러스(주)",
  "section_codes": [
    "storage"
  ]
}</x:v>
      </x:c>
    </x:row>
    <x:row r="2155" ht="54" customHeight="1">
      <x:c r="A2155" s="8" t="str">
        <x:v>gold-medication-6cb9109c28bf5588</x:v>
      </x:c>
      <x:c r="B2155" s="8" t="str">
        <x:v>eyak:201903082:precautions:001</x:v>
      </x:c>
      <x:c r="C2155" s="8" t="str">
        <x:v>eyak:201903082:precautions:001</x:v>
      </x:c>
      <x:c r="D2155" s="8" t="str">
        <x:v>근거와 함께 답변</x:v>
      </x:c>
      <x:c r="E2155" s="15" t="n">
        <x:v>2153</x:v>
      </x:c>
      <x:c r="F2155" s="8" t="str">
        <x:v>기존 검증 정답</x:v>
      </x:c>
      <x:c r="G2155" s="8" t="str">
        <x:v>https://apis.data.go.kr/1471000/DrbEasyDrugInfoService/getDrbEasyDrugList</x:v>
      </x:c>
      <x:c r="H2155" s="8" t="str">
        <x:v>{
  "item_seq": "201903082",
  "item_name": "현대에르도스테인캡슐",
  "manufacturer": "현대약품(주)",
  "section_codes": [
    "precautions"
  ]
}</x:v>
      </x:c>
    </x:row>
    <x:row r="2156" ht="54" customHeight="1">
      <x:c r="A2156" s="8" t="str">
        <x:v>gold-medication-d839fdde80094e0e</x:v>
      </x:c>
      <x:c r="B2156" s="8" t="str">
        <x:v>eyak:202501957:adverse_reactions:002</x:v>
      </x:c>
      <x:c r="C2156" s="8" t="str">
        <x:v>eyak:202501957:adverse_reactions:002
eyak:202501957:adverse_reactions:001
eyak:202501957:adverse_reactions:003</x:v>
      </x:c>
      <x:c r="D2156" s="8" t="str">
        <x:v>근거와 함께 답변</x:v>
      </x:c>
      <x:c r="E2156" s="15" t="n">
        <x:v>2154</x:v>
      </x:c>
      <x:c r="F2156" s="8" t="str">
        <x:v>기존 검증 정답</x:v>
      </x:c>
      <x:c r="G2156" s="8" t="str">
        <x:v>https://apis.data.go.kr/1471000/DrbEasyDrugInfoService/getDrbEasyDrugList</x:v>
      </x:c>
      <x:c r="H2156" s="8" t="str">
        <x:v>{
  "item_seq": "202501957",
  "item_name": "이콕스펜레이디연질캡슐",
  "manufacturer": "주식회사 제이비케이랩",
  "section_codes": [
    "adverse_reactions"
  ]
}</x:v>
      </x:c>
    </x:row>
    <x:row r="2157" ht="54" customHeight="1">
      <x:c r="A2157" s="8" t="str">
        <x:v>gold-medication-b3983bdf0fdd3852</x:v>
      </x:c>
      <x:c r="B2157" s="8" t="str">
        <x:v>eyak:201705636:efficacy:001</x:v>
      </x:c>
      <x:c r="C2157" s="8" t="str">
        <x:v>eyak:201705636:efficacy:001</x:v>
      </x:c>
      <x:c r="D2157" s="8" t="str">
        <x:v>근거와 함께 답변</x:v>
      </x:c>
      <x:c r="E2157" s="15" t="n">
        <x:v>2155</x:v>
      </x:c>
      <x:c r="F2157" s="8" t="str">
        <x:v>기존 검증 정답</x:v>
      </x:c>
      <x:c r="G2157" s="8" t="str">
        <x:v>https://apis.data.go.kr/1471000/DrbEasyDrugInfoService/getDrbEasyDrugList</x:v>
      </x:c>
      <x:c r="H2157" s="8" t="str">
        <x:v>{
  "item_seq": "201705636",
  "item_name": "일성아세트아미노펜정325밀리그램",
  "manufacturer": "일성아이에스(주)",
  "section_codes": [
    "efficacy"
  ]
}</x:v>
      </x:c>
    </x:row>
    <x:row r="2158" ht="54" customHeight="1">
      <x:c r="A2158" s="8" t="str">
        <x:v>gold-medication-33514eec84d9e8da</x:v>
      </x:c>
      <x:c r="B2158" s="8" t="str">
        <x:v>eyak:201502753:precautions:002</x:v>
      </x:c>
      <x:c r="C2158" s="8" t="str">
        <x:v>eyak:201502753:precautions:002
eyak:201502753:precautions:001
eyak:201502753:precautions:003</x:v>
      </x:c>
      <x:c r="D2158" s="8" t="str">
        <x:v>근거와 함께 답변</x:v>
      </x:c>
      <x:c r="E2158" s="15" t="n">
        <x:v>2156</x:v>
      </x:c>
      <x:c r="F2158" s="8" t="str">
        <x:v>기존 검증 정답</x:v>
      </x:c>
      <x:c r="G2158" s="8" t="str">
        <x:v>https://apis.data.go.kr/1471000/DrbEasyDrugInfoService/getDrbEasyDrugList</x:v>
      </x:c>
      <x:c r="H2158" s="8" t="str">
        <x:v>{
  "item_seq": "201502753",
  "item_name": "이부프렌드프로연질캡슐",
  "manufacturer": "부광약품(주)",
  "section_codes": [
    "precautions"
  ]
}</x:v>
      </x:c>
    </x:row>
    <x:row r="2159" ht="54" customHeight="1">
      <x:c r="A2159" s="8" t="str">
        <x:v>gold-medication-d2d32a3eb27b7a67</x:v>
      </x:c>
      <x:c r="B2159" s="8" t="str">
        <x:v>eyak:201602240:dosage:001</x:v>
      </x:c>
      <x:c r="C2159" s="8" t="str">
        <x:v>eyak:201602240:dosage:001</x:v>
      </x:c>
      <x:c r="D2159" s="8" t="str">
        <x:v>근거와 함께 답변</x:v>
      </x:c>
      <x:c r="E2159" s="15" t="n">
        <x:v>2157</x:v>
      </x:c>
      <x:c r="F2159" s="8" t="str">
        <x:v>기존 검증 정답</x:v>
      </x:c>
      <x:c r="G2159" s="8" t="str">
        <x:v>https://apis.data.go.kr/1471000/DrbEasyDrugInfoService/getDrbEasyDrugList</x:v>
      </x:c>
      <x:c r="H2159" s="8" t="str">
        <x:v>{
  "item_seq": "201602240",
  "item_name": "아세드린정",
  "manufacturer": "(주)씨엠지제약",
  "section_codes": [
    "dosage"
  ]
}</x:v>
      </x:c>
    </x:row>
    <x:row r="2160" ht="54" customHeight="1">
      <x:c r="A2160" s="8" t="str">
        <x:v>gold-medication-4bfb8b5841b1868d</x:v>
      </x:c>
      <x:c r="B2160" s="8" t="str">
        <x:v>eyak:201604986:precautions:003
eyak:201604986:adverse_reactions:001</x:v>
      </x:c>
      <x:c r="C2160" s="8" t="str">
        <x:v>eyak:201604986:precautions:003
eyak:201604986:precautions:002
eyak:201604986:precautions:001
eyak:201604986:adverse_reactions:001</x:v>
      </x:c>
      <x:c r="D2160" s="8" t="str">
        <x:v>근거와 함께 답변</x:v>
      </x:c>
      <x:c r="E2160" s="15" t="n">
        <x:v>2158</x:v>
      </x:c>
      <x:c r="F2160" s="8" t="str">
        <x:v>기존 검증 정답</x:v>
      </x:c>
      <x:c r="G2160" s="8" t="str">
        <x:v>https://apis.data.go.kr/1471000/DrbEasyDrugInfoService/getDrbEasyDrugList</x:v>
      </x:c>
      <x:c r="H2160" s="8" t="str">
        <x:v>{
  "item_seq": "201604986",
  "item_name": "레스타민코와파우더크림",
  "manufacturer": "한국코와(주)",
  "section_codes": [
    "precautions",
    "adverse_reactions"
  ]
}</x:v>
      </x:c>
    </x:row>
    <x:row r="2161" ht="54" customHeight="1">
      <x:c r="A2161" s="8" t="str">
        <x:v>gold-medication-na-f6b9d91ef2b8cd6d</x:v>
      </x:c>
      <x:c r="B2161" s="8" t="str"/>
      <x:c r="C2161" s="8" t="str"/>
      <x:c r="D2161" s="8" t="str">
        <x:v>답변 거부 또는 추가 확인 요청</x:v>
      </x:c>
      <x:c r="E2161" s="15" t="n">
        <x:v>2159</x:v>
      </x:c>
      <x:c r="F2161" s="8" t="str">
        <x:v>답변 거부 기준 문구</x:v>
      </x:c>
      <x:c r="G2161" s="8" t="str">
        <x:v>https://apis.data.go.kr/1471000/DrbEasyDrugInfoService/getDrbEasyDrugList</x:v>
      </x:c>
      <x:c r="H2161" s="8" t="str">
        <x:v>{
  "item_seq": "199800785",
  "item_name": "미리놀캡슐(아세틸시스테인)",
  "manufacturer": "(주)바이넥스",
  "section_codes": [
    "adverse_reactions"
  ]
}</x:v>
      </x:c>
    </x:row>
    <x:row r="2162" ht="54" customHeight="1">
      <x:c r="A2162" s="8" t="str">
        <x:v>gold-medication-d84ca9082cd3efad</x:v>
      </x:c>
      <x:c r="B2162" s="8" t="str">
        <x:v>eyak:201201493:precautions:001</x:v>
      </x:c>
      <x:c r="C2162" s="8" t="str">
        <x:v>eyak:201201493:precautions:001
eyak:201201493:precautions:002</x:v>
      </x:c>
      <x:c r="D2162" s="8" t="str">
        <x:v>근거와 함께 답변</x:v>
      </x:c>
      <x:c r="E2162" s="15" t="n">
        <x:v>2160</x:v>
      </x:c>
      <x:c r="F2162" s="8" t="str">
        <x:v>기존 검증 정답</x:v>
      </x:c>
      <x:c r="G2162" s="8" t="str">
        <x:v>https://apis.data.go.kr/1471000/DrbEasyDrugInfoService/getDrbEasyDrugList</x:v>
      </x:c>
      <x:c r="H2162" s="8" t="str">
        <x:v>{
  "item_seq": "201201493",
  "item_name": "바이오아지니나액(L-아르기닌)",
  "manufacturer": "(주)엠앤에스그룹",
  "section_codes": [
    "precautions"
  ]
}</x:v>
      </x:c>
    </x:row>
    <x:row r="2163" ht="54" customHeight="1">
      <x:c r="A2163" s="8" t="str">
        <x:v>gold-medication-na-210212e579ebf098</x:v>
      </x:c>
      <x:c r="B2163" s="8" t="str"/>
      <x:c r="C2163" s="8" t="str"/>
      <x:c r="D2163" s="8" t="str">
        <x:v>답변 거부 또는 추가 확인 요청</x:v>
      </x:c>
      <x:c r="E2163" s="15" t="n">
        <x:v>2161</x:v>
      </x:c>
      <x:c r="F2163" s="8" t="str">
        <x:v>답변 거부 기준 문구</x:v>
      </x:c>
      <x:c r="G2163" s="8" t="str">
        <x:v>https://apis.data.go.kr/1471000/DrbEasyDrugInfoService/getDrbEasyDrugList</x:v>
      </x:c>
      <x:c r="H2163" s="8" t="str">
        <x:v>{
  "item_seq": "202302653",
  "item_name": "마그메코정",
  "manufacturer": "(주)이든파마",
  "section_codes": [
    "adverse_reactions"
  ]
}</x:v>
      </x:c>
    </x:row>
    <x:row r="2164" ht="54" customHeight="1">
      <x:c r="A2164" s="8" t="str">
        <x:v>gold-medication-na-abf26fc413f1f0a8</x:v>
      </x:c>
      <x:c r="B2164" s="8" t="str"/>
      <x:c r="C2164" s="8" t="str"/>
      <x:c r="D2164" s="8" t="str">
        <x:v>답변 거부 또는 추가 확인 요청</x:v>
      </x:c>
      <x:c r="E2164" s="15" t="n">
        <x:v>2162</x:v>
      </x:c>
      <x:c r="F2164" s="8" t="str">
        <x:v>답변 거부 기준 문구</x:v>
      </x:c>
      <x:c r="G2164" s="8" t="str">
        <x:v>https://apis.data.go.kr/1471000/DrbEasyDrugInfoService/getDrbEasyDrugList</x:v>
      </x:c>
      <x:c r="H2164" s="8" t="str">
        <x:v>{
  "item_seq": "200001516",
  "item_name": "컴비덤지크림",
  "manufacturer": "일양약품(주)",
  "section_codes": [
    "precautions"
  ]
}</x:v>
      </x:c>
    </x:row>
    <x:row r="2165" ht="54" customHeight="1">
      <x:c r="A2165" s="8" t="str">
        <x:v>gold-medication-a64ac6d1b832ceb3</x:v>
      </x:c>
      <x:c r="B2165" s="8" t="str">
        <x:v>eyak:200901683:dosage:001</x:v>
      </x:c>
      <x:c r="C2165" s="8" t="str">
        <x:v>eyak:200901683:dosage:001</x:v>
      </x:c>
      <x:c r="D2165" s="8" t="str">
        <x:v>근거와 함께 답변</x:v>
      </x:c>
      <x:c r="E2165" s="15" t="n">
        <x:v>2163</x:v>
      </x:c>
      <x:c r="F2165" s="8" t="str">
        <x:v>기존 검증 정답</x:v>
      </x:c>
      <x:c r="G2165" s="8" t="str">
        <x:v>https://apis.data.go.kr/1471000/DrbEasyDrugInfoService/getDrbEasyDrugList</x:v>
      </x:c>
      <x:c r="H2165" s="8" t="str">
        <x:v>{
  "item_seq": "200901683",
  "item_name": "큐앤큐포비돈요오드탈지면볼(대)",
  "manufacturer": "큐앤큐팜(주)",
  "section_codes": [
    "dosage"
  ]
}</x:v>
      </x:c>
    </x:row>
    <x:row r="2166" ht="54" customHeight="1">
      <x:c r="A2166" s="8" t="str">
        <x:v>gold-medication-7b91afbcb7b118c5</x:v>
      </x:c>
      <x:c r="B2166" s="8" t="str">
        <x:v>eyak:202501602:precautions:001</x:v>
      </x:c>
      <x:c r="C2166" s="8" t="str">
        <x:v>eyak:202501602:precautions:001</x:v>
      </x:c>
      <x:c r="D2166" s="8" t="str">
        <x:v>근거와 함께 답변</x:v>
      </x:c>
      <x:c r="E2166" s="15" t="n">
        <x:v>2164</x:v>
      </x:c>
      <x:c r="F2166" s="8" t="str">
        <x:v>기존 검증 정답</x:v>
      </x:c>
      <x:c r="G2166" s="8" t="str">
        <x:v>https://apis.data.go.kr/1471000/DrbEasyDrugInfoService/getDrbEasyDrugList</x:v>
      </x:c>
      <x:c r="H2166" s="8" t="str">
        <x:v>{
  "item_seq": "202501602",
  "item_name": "자하골드액",
  "manufacturer": "조아제약(주)",
  "section_codes": [
    "precautions"
  ]
}</x:v>
      </x:c>
    </x:row>
    <x:row r="2167" ht="54" customHeight="1">
      <x:c r="A2167" s="8" t="str">
        <x:v>gold-medication-512fd06ea46325e4</x:v>
      </x:c>
      <x:c r="B2167" s="8" t="str">
        <x:v>eyak:201403474:dosage:001</x:v>
      </x:c>
      <x:c r="C2167" s="8" t="str">
        <x:v>eyak:201403474:dosage:001
eyak:201403474:dosage:002
eyak:201403474:dosage:003
eyak:201403474:dosage:004</x:v>
      </x:c>
      <x:c r="D2167" s="8" t="str">
        <x:v>근거와 함께 답변</x:v>
      </x:c>
      <x:c r="E2167" s="15" t="n">
        <x:v>2165</x:v>
      </x:c>
      <x:c r="F2167" s="8" t="str">
        <x:v>기존 검증 정답</x:v>
      </x:c>
      <x:c r="G2167" s="8" t="str">
        <x:v>https://apis.data.go.kr/1471000/DrbEasyDrugInfoService/getDrbEasyDrugList</x:v>
      </x:c>
      <x:c r="H2167" s="8" t="str">
        <x:v>{
  "item_seq": "201403474",
  "item_name": "경남나프록센연질캡슐",
  "manufacturer": "경남제약(주)",
  "section_codes": [
    "dosage"
  ]
}</x:v>
      </x:c>
    </x:row>
    <x:row r="2168" ht="54" customHeight="1">
      <x:c r="A2168" s="8" t="str">
        <x:v>gold-medication-e00e9498ce02e7c5</x:v>
      </x:c>
      <x:c r="B2168" s="8" t="str">
        <x:v>eyak:200402508:precautions:001</x:v>
      </x:c>
      <x:c r="C2168" s="8" t="str">
        <x:v>eyak:200402508:precautions:001</x:v>
      </x:c>
      <x:c r="D2168" s="8" t="str">
        <x:v>근거와 함께 답변</x:v>
      </x:c>
      <x:c r="E2168" s="15" t="n">
        <x:v>2166</x:v>
      </x:c>
      <x:c r="F2168" s="8" t="str">
        <x:v>기존 검증 정답</x:v>
      </x:c>
      <x:c r="G2168" s="8" t="str">
        <x:v>https://apis.data.go.kr/1471000/DrbEasyDrugInfoService/getDrbEasyDrugList</x:v>
      </x:c>
      <x:c r="H2168" s="8" t="str">
        <x:v>{
  "item_seq": "200402508",
  "item_name": "엘테인캡슐(에르도스테인)",
  "manufacturer": "하나제약(주)",
  "section_codes": [
    "precautions"
  ]
}</x:v>
      </x:c>
    </x:row>
    <x:row r="2169" ht="54" customHeight="1">
      <x:c r="A2169" s="8" t="str">
        <x:v>gold-medication-c4f0e7f3a32ed44a</x:v>
      </x:c>
      <x:c r="B2169" s="8" t="str">
        <x:v>eyak:201401034:adverse_reactions:002</x:v>
      </x:c>
      <x:c r="C2169" s="8" t="str">
        <x:v>eyak:201401034:adverse_reactions:002
eyak:201401034:adverse_reactions:001
eyak:201401034:adverse_reactions:003</x:v>
      </x:c>
      <x:c r="D2169" s="8" t="str">
        <x:v>근거와 함께 답변</x:v>
      </x:c>
      <x:c r="E2169" s="15" t="n">
        <x:v>2167</x:v>
      </x:c>
      <x:c r="F2169" s="8" t="str">
        <x:v>기존 검증 정답</x:v>
      </x:c>
      <x:c r="G2169" s="8" t="str">
        <x:v>https://apis.data.go.kr/1471000/DrbEasyDrugInfoService/getDrbEasyDrugList</x:v>
      </x:c>
      <x:c r="H2169" s="8" t="str">
        <x:v>{
  "item_seq": "201401034",
  "item_name": "욱씬정",
  "manufacturer": "(주)마더스제약",
  "section_codes": [
    "adverse_reactions"
  ]
}</x:v>
      </x:c>
    </x:row>
    <x:row r="2170" ht="54" customHeight="1">
      <x:c r="A2170" s="8" t="str">
        <x:v>gold-medication-6b9c235115b61929</x:v>
      </x:c>
      <x:c r="B2170" s="8" t="str">
        <x:v>eyak:200808028:adverse_reactions:001</x:v>
      </x:c>
      <x:c r="C2170" s="8" t="str">
        <x:v>eyak:200808028:adverse_reactions:001
eyak:200808028:adverse_reactions:002</x:v>
      </x:c>
      <x:c r="D2170" s="8" t="str">
        <x:v>근거와 함께 답변</x:v>
      </x:c>
      <x:c r="E2170" s="15" t="n">
        <x:v>2168</x:v>
      </x:c>
      <x:c r="F2170" s="8" t="str">
        <x:v>기존 검증 정답</x:v>
      </x:c>
      <x:c r="G2170" s="8" t="str">
        <x:v>https://apis.data.go.kr/1471000/DrbEasyDrugInfoService/getDrbEasyDrugList</x:v>
      </x:c>
      <x:c r="H2170" s="8" t="str">
        <x:v>{
  "item_seq": "200808028",
  "item_name": "단자민정(디펜히드라민염산염)",
  "manufacturer": "고려제약(주)",
  "section_codes": [
    "adverse_reactions"
  ]
}</x:v>
      </x:c>
    </x:row>
    <x:row r="2171" ht="54" customHeight="1">
      <x:c r="A2171" s="8" t="str">
        <x:v>gold-medication-5370038354b7e713</x:v>
      </x:c>
      <x:c r="B2171" s="8" t="str">
        <x:v>eyak:199201106:storage:001</x:v>
      </x:c>
      <x:c r="C2171" s="8" t="str">
        <x:v>eyak:199201106:storage:001</x:v>
      </x:c>
      <x:c r="D2171" s="8" t="str">
        <x:v>근거와 함께 답변</x:v>
      </x:c>
      <x:c r="E2171" s="15" t="n">
        <x:v>2169</x:v>
      </x:c>
      <x:c r="F2171" s="8" t="str">
        <x:v>기존 검증 정답</x:v>
      </x:c>
      <x:c r="G2171" s="8" t="str">
        <x:v>https://apis.data.go.kr/1471000/DrbEasyDrugInfoService/getDrbEasyDrugList</x:v>
      </x:c>
      <x:c r="H2171" s="8" t="str">
        <x:v>{
  "item_seq": "199201106",
  "item_name": "알드린정(알마게이트)",
  "manufacturer": "일양약품(주)",
  "section_codes": [
    "storage"
  ]
}</x:v>
      </x:c>
    </x:row>
    <x:row r="2172" ht="54" customHeight="1">
      <x:c r="A2172" s="8" t="str">
        <x:v>gold-medication-41e56ef5a3db61c7</x:v>
      </x:c>
      <x:c r="B2172" s="8" t="str">
        <x:v>eyak:202500870:storage:001</x:v>
      </x:c>
      <x:c r="C2172" s="8" t="str">
        <x:v>eyak:202500870:storage:001</x:v>
      </x:c>
      <x:c r="D2172" s="8" t="str">
        <x:v>근거와 함께 답변</x:v>
      </x:c>
      <x:c r="E2172" s="15" t="n">
        <x:v>2170</x:v>
      </x:c>
      <x:c r="F2172" s="8" t="str">
        <x:v>기존 검증 정답</x:v>
      </x:c>
      <x:c r="G2172" s="8" t="str">
        <x:v>https://apis.data.go.kr/1471000/DrbEasyDrugInfoService/getDrbEasyDrugList</x:v>
      </x:c>
      <x:c r="H2172" s="8" t="str">
        <x:v>{
  "item_seq": "202500870",
  "item_name": "판테놀케어연고(D-판테놀)",
  "manufacturer": "일동제약(주)",
  "section_codes": [
    "storage"
  ]
}</x:v>
      </x:c>
    </x:row>
    <x:row r="2173" ht="54" customHeight="1">
      <x:c r="A2173" s="8" t="str">
        <x:v>gold-medication-1a5857c0dc85b0af</x:v>
      </x:c>
      <x:c r="B2173" s="8" t="str">
        <x:v>eyak:201700567:precautions:001</x:v>
      </x:c>
      <x:c r="C2173" s="8" t="str">
        <x:v>eyak:201700567:precautions:001</x:v>
      </x:c>
      <x:c r="D2173" s="8" t="str">
        <x:v>근거와 함께 답변</x:v>
      </x:c>
      <x:c r="E2173" s="15" t="n">
        <x:v>2171</x:v>
      </x:c>
      <x:c r="F2173" s="8" t="str">
        <x:v>기존 검증 정답</x:v>
      </x:c>
      <x:c r="G2173" s="8" t="str">
        <x:v>https://apis.data.go.kr/1471000/DrbEasyDrugInfoService/getDrbEasyDrugList</x:v>
      </x:c>
      <x:c r="H2173" s="8" t="str">
        <x:v>{
  "item_seq": "201700567",
  "item_name": "유니도스캡슐(에르도스테인)",
  "manufacturer": "한국유니온제약(주)",
  "section_codes": [
    "precautions"
  ]
}</x:v>
      </x:c>
    </x:row>
    <x:row r="2174" ht="54" customHeight="1">
      <x:c r="A2174" s="8" t="str">
        <x:v>gold-medication-5683db9198eba11b</x:v>
      </x:c>
      <x:c r="B2174" s="8" t="str">
        <x:v>eyak:202105999:interactions:001</x:v>
      </x:c>
      <x:c r="C2174" s="8" t="str">
        <x:v>eyak:202105999:interactions:001
eyak:202105999:interactions:002</x:v>
      </x:c>
      <x:c r="D2174" s="8" t="str">
        <x:v>근거와 함께 답변</x:v>
      </x:c>
      <x:c r="E2174" s="15" t="n">
        <x:v>2172</x:v>
      </x:c>
      <x:c r="F2174" s="8" t="str">
        <x:v>기존 검증 정답</x:v>
      </x:c>
      <x:c r="G2174" s="8" t="str">
        <x:v>https://apis.data.go.kr/1471000/DrbEasyDrugInfoService/getDrbEasyDrugList</x:v>
      </x:c>
      <x:c r="H2174" s="8" t="str">
        <x:v>{
  "item_seq": "202105999",
  "item_name": "파모콤푸정",
  "manufacturer": "지엘파마(주)",
  "section_codes": [
    "interactions"
  ]
}</x:v>
      </x:c>
    </x:row>
    <x:row r="2175" ht="54" customHeight="1">
      <x:c r="A2175" s="8" t="str">
        <x:v>gold-medication-b3ff660aca679c7a</x:v>
      </x:c>
      <x:c r="B2175" s="8" t="str">
        <x:v>eyak:202003068:efficacy:001</x:v>
      </x:c>
      <x:c r="C2175" s="8" t="str">
        <x:v>eyak:202003068:efficacy:001</x:v>
      </x:c>
      <x:c r="D2175" s="8" t="str">
        <x:v>근거와 함께 답변</x:v>
      </x:c>
      <x:c r="E2175" s="15" t="n">
        <x:v>2173</x:v>
      </x:c>
      <x:c r="F2175" s="8" t="str">
        <x:v>기존 검증 정답</x:v>
      </x:c>
      <x:c r="G2175" s="8" t="str">
        <x:v>https://apis.data.go.kr/1471000/DrbEasyDrugInfoService/getDrbEasyDrugList</x:v>
      </x:c>
      <x:c r="H2175" s="8" t="str">
        <x:v>{
  "item_seq": "202003068",
  "item_name": "올편제에스정",
  "manufacturer": "한국프라임제약(주)",
  "section_codes": [
    "efficacy"
  ]
}</x:v>
      </x:c>
    </x:row>
    <x:row r="2176" ht="54" customHeight="1">
      <x:c r="A2176" s="8" t="str">
        <x:v>gold-medication-fce48d7f9a5b1508</x:v>
      </x:c>
      <x:c r="B2176" s="8" t="str">
        <x:v>eyak:201003178:warning:001
eyak:201003178:precautions:003
eyak:201003178:adverse_reactions:001</x:v>
      </x:c>
      <x:c r="C2176" s="8" t="str">
        <x:v>eyak:201003178:warning:001
eyak:201003178:precautions:003
eyak:201003178:precautions:002
eyak:201003178:precautions:001
eyak:201003178:adverse_reactions:001
eyak:201003178:adverse_reactions:002
eyak:201003178:adverse_reactions:003</x:v>
      </x:c>
      <x:c r="D2176" s="8" t="str">
        <x:v>근거와 함께 답변</x:v>
      </x:c>
      <x:c r="E2176" s="15" t="n">
        <x:v>2174</x:v>
      </x:c>
      <x:c r="F2176" s="8" t="str">
        <x:v>기존 검증 정답</x:v>
      </x:c>
      <x:c r="G2176" s="8" t="str">
        <x:v>https://apis.data.go.kr/1471000/DrbEasyDrugInfoService/getDrbEasyDrugList</x:v>
      </x:c>
      <x:c r="H2176" s="8" t="str">
        <x:v>{
  "item_seq": "201003178",
  "item_name": "니코프리패취(니코틴)",
  "manufacturer": "(주)대웅제약",
  "section_codes": [
    "warning",
    "precautions",
    "adverse_reactions"
  ]
}</x:v>
      </x:c>
    </x:row>
    <x:row r="2177" ht="54" customHeight="1">
      <x:c r="A2177" s="8" t="str">
        <x:v>gold-medication-c397bf6048b602ed</x:v>
      </x:c>
      <x:c r="B2177" s="8" t="str">
        <x:v>eyak:201602679:dosage:001</x:v>
      </x:c>
      <x:c r="C2177" s="8" t="str">
        <x:v>eyak:201602679:dosage:001</x:v>
      </x:c>
      <x:c r="D2177" s="8" t="str">
        <x:v>근거와 함께 답변</x:v>
      </x:c>
      <x:c r="E2177" s="15" t="n">
        <x:v>2175</x:v>
      </x:c>
      <x:c r="F2177" s="8" t="str">
        <x:v>기존 검증 정답</x:v>
      </x:c>
      <x:c r="G2177" s="8" t="str">
        <x:v>https://apis.data.go.kr/1471000/DrbEasyDrugInfoService/getDrbEasyDrugList</x:v>
      </x:c>
      <x:c r="H2177" s="8" t="str">
        <x:v>{
  "item_seq": "201602679",
  "item_name": "뮤코원캡슐(에르도스테인)",
  "manufacturer": "(주)보령",
  "section_codes": [
    "dosage"
  ]
}</x:v>
      </x:c>
    </x:row>
    <x:row r="2178" ht="54" customHeight="1">
      <x:c r="A2178" s="8" t="str">
        <x:v>gold-medication-na-b40a2484a0d1e965</x:v>
      </x:c>
      <x:c r="B2178" s="8" t="str"/>
      <x:c r="C2178" s="8" t="str"/>
      <x:c r="D2178" s="8" t="str">
        <x:v>답변 거부 또는 추가 확인 요청</x:v>
      </x:c>
      <x:c r="E2178" s="15" t="n">
        <x:v>2176</x:v>
      </x:c>
      <x:c r="F2178" s="8" t="str">
        <x:v>답변 거부 기준 문구</x:v>
      </x:c>
      <x:c r="G2178" s="8" t="str">
        <x:v>https://apis.data.go.kr/1471000/DrbEasyDrugInfoService/getDrbEasyDrugList</x:v>
      </x:c>
      <x:c r="H2178" s="8" t="str">
        <x:v>{
  "item_seq": "202500690",
  "item_name": "콜레시움정",
  "manufacturer": "(주)메디카코리아",
  "section_codes": [
    "efficacy"
  ]
}</x:v>
      </x:c>
    </x:row>
    <x:row r="2179" ht="54" customHeight="1">
      <x:c r="A2179" s="8" t="str">
        <x:v>gold-medication-b801d39aaeba56d4</x:v>
      </x:c>
      <x:c r="B2179" s="8" t="str">
        <x:v>eyak:200904615:adverse_reactions:001</x:v>
      </x:c>
      <x:c r="C2179" s="8" t="str">
        <x:v>eyak:200904615:adverse_reactions:001
eyak:200904615:adverse_reactions:002</x:v>
      </x:c>
      <x:c r="D2179" s="8" t="str">
        <x:v>근거와 함께 답변</x:v>
      </x:c>
      <x:c r="E2179" s="15" t="n">
        <x:v>2177</x:v>
      </x:c>
      <x:c r="F2179" s="8" t="str">
        <x:v>기존 검증 정답</x:v>
      </x:c>
      <x:c r="G2179" s="8" t="str">
        <x:v>https://apis.data.go.kr/1471000/DrbEasyDrugInfoService/getDrbEasyDrugList</x:v>
      </x:c>
      <x:c r="H2179" s="8" t="str">
        <x:v>{
  "item_seq": "200904615",
  "item_name": "알벤졸정(알벤다졸)",
  "manufacturer": "삼성제약(주)",
  "section_codes": [
    "adverse_reactions"
  ]
}</x:v>
      </x:c>
    </x:row>
    <x:row r="2180" ht="54" customHeight="1">
      <x:c r="A2180" s="8" t="str">
        <x:v>gold-medication-829676e1336f4a48</x:v>
      </x:c>
      <x:c r="B2180" s="8" t="str">
        <x:v>eyak:200901257:warning:001
eyak:200901257:precautions:001
eyak:200901257:adverse_reactions:004</x:v>
      </x:c>
      <x:c r="C2180" s="8" t="str">
        <x:v>eyak:200901257:warning:001
eyak:200901257:precautions:001
eyak:200901257:precautions:002
eyak:200901257:precautions:003
eyak:200901257:precautions:004
eyak:200901257:adverse_reactions:004
eyak:200901257:adverse_reactions:003
eyak:200901257:adverse_reactions:002
eyak:200901257:adverse_reactions:001
eyak:200901257:adverse_reactions:005</x:v>
      </x:c>
      <x:c r="D2180" s="8" t="str">
        <x:v>근거와 함께 답변</x:v>
      </x:c>
      <x:c r="E2180" s="15" t="n">
        <x:v>2178</x:v>
      </x:c>
      <x:c r="F2180" s="8" t="str">
        <x:v>기존 검증 정답</x:v>
      </x:c>
      <x:c r="G2180" s="8" t="str">
        <x:v>https://apis.data.go.kr/1471000/DrbEasyDrugInfoService/getDrbEasyDrugList</x:v>
      </x:c>
      <x:c r="H2180" s="8" t="str">
        <x:v>{
  "item_seq": "200901257",
  "item_name": "부스코판플러스정",
  "manufacturer": "오펠라헬스케어코리아(주)",
  "section_codes": [
    "warning",
    "precautions",
    "adverse_reactions"
  ]
}</x:v>
      </x:c>
    </x:row>
    <x:row r="2181" ht="54" customHeight="1">
      <x:c r="A2181" s="8" t="str">
        <x:v>gold-medication-6c4c99c62dabac0f</x:v>
      </x:c>
      <x:c r="B2181" s="8" t="str">
        <x:v>eyak:202301363:precautions:004</x:v>
      </x:c>
      <x:c r="C2181" s="8" t="str">
        <x:v>eyak:202301363:precautions:004
eyak:202301363:precautions:001
eyak:202301363:precautions:003
eyak:202301363:precautions:002</x:v>
      </x:c>
      <x:c r="D2181" s="8" t="str">
        <x:v>근거와 함께 답변</x:v>
      </x:c>
      <x:c r="E2181" s="15" t="n">
        <x:v>2179</x:v>
      </x:c>
      <x:c r="F2181" s="8" t="str">
        <x:v>기존 검증 정답</x:v>
      </x:c>
      <x:c r="G2181" s="8" t="str">
        <x:v>https://apis.data.go.kr/1471000/DrbEasyDrugInfoService/getDrbEasyDrugList</x:v>
      </x:c>
      <x:c r="H2181" s="8" t="str">
        <x:v>{
  "item_seq": "202301363",
  "item_name": "모드알레나잘스프레이",
  "manufacturer": "(주)종근당",
  "section_codes": [
    "precautions"
  ]
}</x:v>
      </x:c>
    </x:row>
    <x:row r="2182" ht="54" customHeight="1">
      <x:c r="A2182" s="8" t="str">
        <x:v>gold-medication-12b0012cbce379d0</x:v>
      </x:c>
      <x:c r="B2182" s="8" t="str">
        <x:v>eyak:200209700:precautions:001</x:v>
      </x:c>
      <x:c r="C2182" s="8" t="str">
        <x:v>eyak:200209700:precautions:001
eyak:200209700:precautions:002
eyak:200209700:precautions:005
eyak:200209700:precautions:006
eyak:200209700:precautions:003
eyak:200209700:precautions:004</x:v>
      </x:c>
      <x:c r="D2182" s="8" t="str">
        <x:v>근거와 함께 답변</x:v>
      </x:c>
      <x:c r="E2182" s="15" t="n">
        <x:v>2180</x:v>
      </x:c>
      <x:c r="F2182" s="8" t="str">
        <x:v>기존 검증 정답</x:v>
      </x:c>
      <x:c r="G2182" s="8" t="str">
        <x:v>https://apis.data.go.kr/1471000/DrbEasyDrugInfoService/getDrbEasyDrugList</x:v>
      </x:c>
      <x:c r="H2182" s="8" t="str">
        <x:v>{
  "item_seq": "200209700",
  "item_name": "오트리빈0.05%비강분무액(자일로메타졸린염산염)",
  "manufacturer": "헤일리온코리아주식회사",
  "section_codes": [
    "precautions"
  ]
}</x:v>
      </x:c>
    </x:row>
    <x:row r="2183" ht="54" customHeight="1">
      <x:c r="A2183" s="8" t="str">
        <x:v>gold-medication-e4a29b29fa66e8d2</x:v>
      </x:c>
      <x:c r="B2183" s="8" t="str">
        <x:v>eyak:201907941:adverse_reactions:001</x:v>
      </x:c>
      <x:c r="C2183" s="8" t="str">
        <x:v>eyak:201907941:adverse_reactions:001</x:v>
      </x:c>
      <x:c r="D2183" s="8" t="str">
        <x:v>근거와 함께 답변</x:v>
      </x:c>
      <x:c r="E2183" s="15" t="n">
        <x:v>2181</x:v>
      </x:c>
      <x:c r="F2183" s="8" t="str">
        <x:v>기존 검증 정답</x:v>
      </x:c>
      <x:c r="G2183" s="8" t="str">
        <x:v>https://apis.data.go.kr/1471000/DrbEasyDrugInfoService/getDrbEasyDrugList</x:v>
      </x:c>
      <x:c r="H2183" s="8" t="str">
        <x:v>{
  "item_seq": "201907941",
  "item_name": "미안블루점안액",
  "manufacturer": "대우제약(주)",
  "section_codes": [
    "adverse_reactions"
  ]
}</x:v>
      </x:c>
    </x:row>
    <x:row r="2184" ht="54" customHeight="1">
      <x:c r="A2184" s="8" t="str">
        <x:v>gold-medication-9701e02a57d651ea</x:v>
      </x:c>
      <x:c r="B2184" s="8" t="str">
        <x:v>eyak:202204634:interactions:002</x:v>
      </x:c>
      <x:c r="C2184" s="8" t="str">
        <x:v>eyak:202204634:interactions:002
eyak:202204634:interactions:001
eyak:202204634:interactions:003</x:v>
      </x:c>
      <x:c r="D2184" s="8" t="str">
        <x:v>근거와 함께 답변</x:v>
      </x:c>
      <x:c r="E2184" s="15" t="n">
        <x:v>2182</x:v>
      </x:c>
      <x:c r="F2184" s="8" t="str">
        <x:v>기존 검증 정답</x:v>
      </x:c>
      <x:c r="G2184" s="8" t="str">
        <x:v>https://apis.data.go.kr/1471000/DrbEasyDrugInfoService/getDrbEasyDrugList</x:v>
      </x:c>
      <x:c r="H2184" s="8" t="str">
        <x:v>{
  "item_seq": "202204634",
  "item_name": "캐롤나이트연질캡슐",
  "manufacturer": "일동제약(주)",
  "section_codes": [
    "interactions"
  ]
}</x:v>
      </x:c>
    </x:row>
    <x:row r="2185" ht="54" customHeight="1">
      <x:c r="A2185" s="8" t="str">
        <x:v>gold-medication-9b65514b3bc3e866</x:v>
      </x:c>
      <x:c r="B2185" s="8" t="str">
        <x:v>eyak:201901551:adverse_reactions:001</x:v>
      </x:c>
      <x:c r="C2185" s="8" t="str">
        <x:v>eyak:201901551:adverse_reactions:001
eyak:201901551:adverse_reactions:002
eyak:201901551:adverse_reactions:003</x:v>
      </x:c>
      <x:c r="D2185" s="8" t="str">
        <x:v>근거와 함께 답변</x:v>
      </x:c>
      <x:c r="E2185" s="15" t="n">
        <x:v>2183</x:v>
      </x:c>
      <x:c r="F2185" s="8" t="str">
        <x:v>기존 검증 정답</x:v>
      </x:c>
      <x:c r="G2185" s="8" t="str">
        <x:v>https://apis.data.go.kr/1471000/DrbEasyDrugInfoService/getDrbEasyDrugList</x:v>
      </x:c>
      <x:c r="H2185" s="8" t="str">
        <x:v>{
  "item_seq": "201901551",
  "item_name": "릴리애정",
  "manufacturer": "(주)한국파비스제약",
  "section_codes": [
    "adverse_reactions"
  ]
}</x:v>
      </x:c>
    </x:row>
    <x:row r="2186" ht="54" customHeight="1">
      <x:c r="A2186" s="8" t="str">
        <x:v>gold-medication-25365bbd518fe6e9</x:v>
      </x:c>
      <x:c r="B2186" s="8" t="str">
        <x:v>eyak:200301138:adverse_reactions:001</x:v>
      </x:c>
      <x:c r="C2186" s="8" t="str">
        <x:v>eyak:200301138:adverse_reactions:001</x:v>
      </x:c>
      <x:c r="D2186" s="8" t="str">
        <x:v>근거와 함께 답변</x:v>
      </x:c>
      <x:c r="E2186" s="15" t="n">
        <x:v>2184</x:v>
      </x:c>
      <x:c r="F2186" s="8" t="str">
        <x:v>기존 검증 정답</x:v>
      </x:c>
      <x:c r="G2186" s="8" t="str">
        <x:v>https://apis.data.go.kr/1471000/DrbEasyDrugInfoService/getDrbEasyDrugList</x:v>
      </x:c>
      <x:c r="H2186" s="8" t="str">
        <x:v>{
  "item_seq": "200301138",
  "item_name": "비올씨정",
  "manufacturer": "경남제약(주)",
  "section_codes": [
    "adverse_reactions"
  ]
}</x:v>
      </x:c>
    </x:row>
    <x:row r="2187" ht="54" customHeight="1">
      <x:c r="A2187" s="8" t="str">
        <x:v>gold-medication-0d2cdf0d389fa5b5</x:v>
      </x:c>
      <x:c r="B2187" s="8" t="str">
        <x:v>eyak:200102905:precautions:001
eyak:200102905:adverse_reactions:001</x:v>
      </x:c>
      <x:c r="C2187" s="8" t="str">
        <x:v>eyak:200102905:precautions:001
eyak:200102905:adverse_reactions:001</x:v>
      </x:c>
      <x:c r="D2187" s="8" t="str">
        <x:v>근거와 함께 답변</x:v>
      </x:c>
      <x:c r="E2187" s="15" t="n">
        <x:v>2185</x:v>
      </x:c>
      <x:c r="F2187" s="8" t="str">
        <x:v>기존 검증 정답</x:v>
      </x:c>
      <x:c r="G2187" s="8" t="str">
        <x:v>https://apis.data.go.kr/1471000/DrbEasyDrugInfoService/getDrbEasyDrugList</x:v>
      </x:c>
      <x:c r="H2187" s="8" t="str">
        <x:v>{
  "item_seq": "200102905",
  "item_name": "구주로라타딘정10밀리그람(수출명:로히스타정)",
  "manufacturer": "구주제약(주)",
  "section_codes": [
    "precautions",
    "adverse_reactions"
  ]
}</x:v>
      </x:c>
    </x:row>
    <x:row r="2188" ht="54" customHeight="1">
      <x:c r="A2188" s="8" t="str">
        <x:v>gold-medication-na-4a7542290a7edb3a</x:v>
      </x:c>
      <x:c r="B2188" s="8" t="str"/>
      <x:c r="C2188" s="8" t="str"/>
      <x:c r="D2188" s="8" t="str">
        <x:v>답변 거부 또는 추가 확인 요청</x:v>
      </x:c>
      <x:c r="E2188" s="15" t="n">
        <x:v>2186</x:v>
      </x:c>
      <x:c r="F2188" s="8" t="str">
        <x:v>답변 거부 기준 문구</x:v>
      </x:c>
      <x:c r="G2188" s="8" t="str">
        <x:v>https://apis.data.go.kr/1471000/DrbEasyDrugInfoService/getDrbEasyDrugList</x:v>
      </x:c>
      <x:c r="H2188" s="8" t="str">
        <x:v>{
  "item_seq": "201708524",
  "item_name": "페라플루디액(과아세트산액0.2%)",
  "manufacturer": "주식회사 밸리",
  "section_codes": [
    "efficacy"
  ]
}</x:v>
      </x:c>
    </x:row>
    <x:row r="2189" ht="54" customHeight="1">
      <x:c r="A2189" s="8" t="str">
        <x:v>gold-medication-86de5e19c9680ff4</x:v>
      </x:c>
      <x:c r="B2189" s="8" t="str">
        <x:v>eyak:202204213:warning:001
eyak:202204213:precautions:005
eyak:202204213:adverse_reactions:005</x:v>
      </x:c>
      <x:c r="C2189" s="8" t="str">
        <x:v>eyak:202204213:warning:001
eyak:202204213:warning:002
eyak:202204213:precautions:005
eyak:202204213:precautions:001
eyak:202204213:precautions:004
eyak:202204213:precautions:003
eyak:202204213:precautions:002
eyak:202204213:adverse_reactions:005
eyak:202204213:adverse_reactions:002
eyak:202204213:adverse_reactions:006
eyak:202204213:adverse_reactions:003
eyak:202204213:adverse_reactions:007
eyak:202204213:adverse_reactions:001
eyak:202204213:adverse_reactions:004
eyak:202204213:adverse_reactions:008</x:v>
      </x:c>
      <x:c r="D2189" s="8" t="str">
        <x:v>근거와 함께 답변</x:v>
      </x:c>
      <x:c r="E2189" s="15" t="n">
        <x:v>2187</x:v>
      </x:c>
      <x:c r="F2189" s="8" t="str">
        <x:v>기존 검증 정답</x:v>
      </x:c>
      <x:c r="G2189" s="8" t="str">
        <x:v>https://apis.data.go.kr/1471000/DrbEasyDrugInfoService/getDrbEasyDrugList</x:v>
      </x:c>
      <x:c r="H2189" s="8" t="str">
        <x:v>{
  "item_seq": "202204213",
  "item_name": "이지엔6나이트연질캡슐",
  "manufacturer": "(주)대웅제약",
  "section_codes": [
    "warning",
    "precautions",
    "adverse_reactions"
  ]
}</x:v>
      </x:c>
    </x:row>
    <x:row r="2190" ht="54" customHeight="1">
      <x:c r="A2190" s="8" t="str">
        <x:v>gold-medication-na-68cb34fd48583c67</x:v>
      </x:c>
      <x:c r="B2190" s="8" t="str"/>
      <x:c r="C2190" s="8" t="str"/>
      <x:c r="D2190" s="8" t="str">
        <x:v>답변 거부 또는 추가 확인 요청</x:v>
      </x:c>
      <x:c r="E2190" s="15" t="n">
        <x:v>2188</x:v>
      </x:c>
      <x:c r="F2190" s="8" t="str">
        <x:v>답변 거부 기준 문구</x:v>
      </x:c>
      <x:c r="G2190" s="8" t="str">
        <x:v>https://apis.data.go.kr/1471000/DrbEasyDrugInfoService/getDrbEasyDrugList</x:v>
      </x:c>
      <x:c r="H2190" s="8" t="str">
        <x:v>{
  "item_seq": "200901181",
  "item_name": "부스코판당의정(부틸스코폴라민브롬화물)",
  "manufacturer": "오펠라헬스케어코리아(주)",
  "section_codes": [
    "interactions"
  ]
}</x:v>
      </x:c>
    </x:row>
    <x:row r="2191" ht="54" customHeight="1">
      <x:c r="A2191" s="8" t="str">
        <x:v>gold-medication-9b6b7c601f5a8b58</x:v>
      </x:c>
      <x:c r="B2191" s="8" t="str">
        <x:v>eyak:201600732:efficacy:001</x:v>
      </x:c>
      <x:c r="C2191" s="8" t="str">
        <x:v>eyak:201600732:efficacy:001</x:v>
      </x:c>
      <x:c r="D2191" s="8" t="str">
        <x:v>근거와 함께 답변</x:v>
      </x:c>
      <x:c r="E2191" s="15" t="n">
        <x:v>2189</x:v>
      </x:c>
      <x:c r="F2191" s="8" t="str">
        <x:v>기존 검증 정답</x:v>
      </x:c>
      <x:c r="G2191" s="8" t="str">
        <x:v>https://apis.data.go.kr/1471000/DrbEasyDrugInfoService/getDrbEasyDrugList</x:v>
      </x:c>
      <x:c r="H2191" s="8" t="str">
        <x:v>{
  "item_seq": "201600732",
  "item_name": "아치온현탁액(피리티온아연)",
  "manufacturer": "신신제약(주)",
  "section_codes": [
    "efficacy"
  ]
}</x:v>
      </x:c>
    </x:row>
    <x:row r="2192" ht="54" customHeight="1">
      <x:c r="A2192" s="8" t="str">
        <x:v>gold-medication-028a6c436a3a4c48</x:v>
      </x:c>
      <x:c r="B2192" s="8" t="str">
        <x:v>eyak:200905196:interactions:001</x:v>
      </x:c>
      <x:c r="C2192" s="8" t="str">
        <x:v>eyak:200905196:interactions:001
eyak:200905196:interactions:002
eyak:200905196:interactions:004
eyak:200905196:interactions:003</x:v>
      </x:c>
      <x:c r="D2192" s="8" t="str">
        <x:v>근거와 함께 답변</x:v>
      </x:c>
      <x:c r="E2192" s="15" t="n">
        <x:v>2190</x:v>
      </x:c>
      <x:c r="F2192" s="8" t="str">
        <x:v>기존 검증 정답</x:v>
      </x:c>
      <x:c r="G2192" s="8" t="str">
        <x:v>https://apis.data.go.kr/1471000/DrbEasyDrugInfoService/getDrbEasyDrugList</x:v>
      </x:c>
      <x:c r="H2192" s="8" t="str">
        <x:v>{
  "item_seq": "200905196",
  "item_name": "프리엔연질캡슐(덱시부프로펜)",
  "manufacturer": "동국제약(주)",
  "section_codes": [
    "interactions"
  ]
}</x:v>
      </x:c>
    </x:row>
    <x:row r="2193" ht="54" customHeight="1">
      <x:c r="A2193" s="8" t="str">
        <x:v>gold-medication-b5220eab64e31e6e</x:v>
      </x:c>
      <x:c r="B2193" s="8" t="str">
        <x:v>eyak:201309222:precautions:001</x:v>
      </x:c>
      <x:c r="C2193" s="8" t="str">
        <x:v>eyak:201309222:precautions:001
eyak:201309222:precautions:005
eyak:201309222:precautions:002
eyak:201309222:precautions:004
eyak:201309222:precautions:003</x:v>
      </x:c>
      <x:c r="D2193" s="8" t="str">
        <x:v>근거와 함께 답변</x:v>
      </x:c>
      <x:c r="E2193" s="15" t="n">
        <x:v>2191</x:v>
      </x:c>
      <x:c r="F2193" s="8" t="str">
        <x:v>기존 검증 정답</x:v>
      </x:c>
      <x:c r="G2193" s="8" t="str">
        <x:v>https://apis.data.go.kr/1471000/DrbEasyDrugInfoService/getDrbEasyDrugList</x:v>
      </x:c>
      <x:c r="H2193" s="8" t="str">
        <x:v>{
  "item_seq": "201309222",
  "item_name": "화이투벤나잘스프레이0.05%(자일로메타졸린염산염)",
  "manufacturer": "동화약품(주)",
  "section_codes": [
    "precautions"
  ]
}</x:v>
      </x:c>
    </x:row>
    <x:row r="2194" ht="54" customHeight="1">
      <x:c r="A2194" s="8" t="str">
        <x:v>gold-medication-35489ff9d5afda41</x:v>
      </x:c>
      <x:c r="B2194" s="8" t="str">
        <x:v>eyak:202302687:efficacy:001</x:v>
      </x:c>
      <x:c r="C2194" s="8" t="str">
        <x:v>eyak:202302687:efficacy:001</x:v>
      </x:c>
      <x:c r="D2194" s="8" t="str">
        <x:v>근거와 함께 답변</x:v>
      </x:c>
      <x:c r="E2194" s="15" t="n">
        <x:v>2192</x:v>
      </x:c>
      <x:c r="F2194" s="8" t="str">
        <x:v>기존 검증 정답</x:v>
      </x:c>
      <x:c r="G2194" s="8" t="str">
        <x:v>https://apis.data.go.kr/1471000/DrbEasyDrugInfoService/getDrbEasyDrugList</x:v>
      </x:c>
      <x:c r="H2194" s="8" t="str">
        <x:v>{
  "item_seq": "202302687",
  "item_name": "더판디탈정",
  "manufacturer": "신일제약(주)",
  "section_codes": [
    "efficacy"
  ]
}</x:v>
      </x:c>
    </x:row>
    <x:row r="2195" ht="54" customHeight="1">
      <x:c r="A2195" s="8" t="str">
        <x:v>gold-medication-38e1117777931b5b</x:v>
      </x:c>
      <x:c r="B2195" s="8" t="str">
        <x:v>eyak:201805184:dosage:001</x:v>
      </x:c>
      <x:c r="C2195" s="8" t="str">
        <x:v>eyak:201805184:dosage:001</x:v>
      </x:c>
      <x:c r="D2195" s="8" t="str">
        <x:v>근거와 함께 답변</x:v>
      </x:c>
      <x:c r="E2195" s="15" t="n">
        <x:v>2193</x:v>
      </x:c>
      <x:c r="F2195" s="8" t="str">
        <x:v>기존 검증 정답</x:v>
      </x:c>
      <x:c r="G2195" s="8" t="str">
        <x:v>https://apis.data.go.kr/1471000/DrbEasyDrugInfoService/getDrbEasyDrugList</x:v>
      </x:c>
      <x:c r="H2195" s="8" t="str">
        <x:v>{
  "item_seq": "201805184",
  "item_name": "쿨스탁필름형트로키(세틸피리디늄염화물)",
  "manufacturer": "(주)경보제약",
  "section_codes": [
    "dosage"
  ]
}</x:v>
      </x:c>
    </x:row>
    <x:row r="2196" ht="54" customHeight="1">
      <x:c r="A2196" s="8" t="str">
        <x:v>gold-medication-311b43052e62a093</x:v>
      </x:c>
      <x:c r="B2196" s="8" t="str">
        <x:v>eyak:200403808:dosage:001</x:v>
      </x:c>
      <x:c r="C2196" s="8" t="str">
        <x:v>eyak:200403808:dosage:001</x:v>
      </x:c>
      <x:c r="D2196" s="8" t="str">
        <x:v>근거와 함께 답변</x:v>
      </x:c>
      <x:c r="E2196" s="15" t="n">
        <x:v>2194</x:v>
      </x:c>
      <x:c r="F2196" s="8" t="str">
        <x:v>기존 검증 정답</x:v>
      </x:c>
      <x:c r="G2196" s="8" t="str">
        <x:v>https://apis.data.go.kr/1471000/DrbEasyDrugInfoService/getDrbEasyDrugList</x:v>
      </x:c>
      <x:c r="H2196" s="8" t="str">
        <x:v>{
  "item_seq": "200403808",
  "item_name": "비오알정(엔테로코쿠스페칼리스BIO-4R균)(수출용)",
  "manufacturer": "유니메드제약(주)",
  "section_codes": [
    "dosage"
  ]
}</x:v>
      </x:c>
    </x:row>
    <x:row r="2197" ht="54" customHeight="1">
      <x:c r="A2197" s="8" t="str">
        <x:v>gold-medication-0b339469b0557077</x:v>
      </x:c>
      <x:c r="B2197" s="8" t="str">
        <x:v>eyak:201204675:interactions:001</x:v>
      </x:c>
      <x:c r="C2197" s="8" t="str">
        <x:v>eyak:201204675:interactions:001</x:v>
      </x:c>
      <x:c r="D2197" s="8" t="str">
        <x:v>근거와 함께 답변</x:v>
      </x:c>
      <x:c r="E2197" s="15" t="n">
        <x:v>2195</x:v>
      </x:c>
      <x:c r="F2197" s="8" t="str">
        <x:v>기존 검증 정답</x:v>
      </x:c>
      <x:c r="G2197" s="8" t="str">
        <x:v>https://apis.data.go.kr/1471000/DrbEasyDrugInfoService/getDrbEasyDrugList</x:v>
      </x:c>
      <x:c r="H2197" s="8" t="str">
        <x:v>{
  "item_seq": "201204675",
  "item_name": "피엠지폴산정",
  "manufacturer": "(주)한국피엠지제약",
  "section_codes": [
    "interactions"
  ]
}</x:v>
      </x:c>
    </x:row>
    <x:row r="2198" ht="54" customHeight="1">
      <x:c r="A2198" s="8" t="str">
        <x:v>gold-medication-1db95fc974178e1a</x:v>
      </x:c>
      <x:c r="B2198" s="8" t="str">
        <x:v>eyak:202302474:efficacy:001</x:v>
      </x:c>
      <x:c r="C2198" s="8" t="str">
        <x:v>eyak:202302474:efficacy:001</x:v>
      </x:c>
      <x:c r="D2198" s="8" t="str">
        <x:v>근거와 함께 답변</x:v>
      </x:c>
      <x:c r="E2198" s="15" t="n">
        <x:v>2196</x:v>
      </x:c>
      <x:c r="F2198" s="8" t="str">
        <x:v>기존 검증 정답</x:v>
      </x:c>
      <x:c r="G2198" s="8" t="str">
        <x:v>https://apis.data.go.kr/1471000/DrbEasyDrugInfoService/getDrbEasyDrugList</x:v>
      </x:c>
      <x:c r="H2198" s="8" t="str">
        <x:v>{
  "item_seq": "202302474",
  "item_name": "코투루텐나잘스프레이",
  "manufacturer": "경동제약(주)",
  "section_codes": [
    "efficacy"
  ]
}</x:v>
      </x:c>
    </x:row>
    <x:row r="2199" ht="54" customHeight="1">
      <x:c r="A2199" s="8" t="str">
        <x:v>gold-medication-981e0178f3ad8b76</x:v>
      </x:c>
      <x:c r="B2199" s="8" t="str">
        <x:v>eyak:202005449:precautions:003
eyak:202005449:adverse_reactions:001</x:v>
      </x:c>
      <x:c r="C2199" s="8" t="str">
        <x:v>eyak:202005449:precautions:003
eyak:202005449:precautions:002
eyak:202005449:precautions:001
eyak:202005449:adverse_reactions:001
eyak:202005449:adverse_reactions:002</x:v>
      </x:c>
      <x:c r="D2199" s="8" t="str">
        <x:v>근거와 함께 답변</x:v>
      </x:c>
      <x:c r="E2199" s="15" t="n">
        <x:v>2197</x:v>
      </x:c>
      <x:c r="F2199" s="8" t="str">
        <x:v>기존 검증 정답</x:v>
      </x:c>
      <x:c r="G2199" s="8" t="str">
        <x:v>https://apis.data.go.kr/1471000/DrbEasyDrugInfoService/getDrbEasyDrugList</x:v>
      </x:c>
      <x:c r="H2199" s="8" t="str">
        <x:v>{
  "item_seq": "202005449",
  "item_name": "액티비씨정",
  "manufacturer": "경남제약(주)",
  "section_codes": [
    "precautions",
    "adverse_reactions"
  ]
}</x:v>
      </x:c>
    </x:row>
    <x:row r="2200" ht="54" customHeight="1">
      <x:c r="A2200" s="8" t="str">
        <x:v>gold-medication-na-dc441fcdb3442d72</x:v>
      </x:c>
      <x:c r="B2200" s="8" t="str"/>
      <x:c r="C2200" s="8" t="str"/>
      <x:c r="D2200" s="8" t="str">
        <x:v>답변 거부 또는 추가 확인 요청</x:v>
      </x:c>
      <x:c r="E2200" s="15" t="n">
        <x:v>2198</x:v>
      </x:c>
      <x:c r="F2200" s="8" t="str">
        <x:v>답변 거부 기준 문구</x:v>
      </x:c>
      <x:c r="G2200" s="8" t="str">
        <x:v>https://apis.data.go.kr/1471000/DrbEasyDrugInfoService/getDrbEasyDrugList</x:v>
      </x:c>
      <x:c r="H2200" s="8" t="str">
        <x:v>{
  "item_seq": "200204388",
  "item_name": "나프록신정(나프록센나트륨)",
  "manufacturer": "화일약품(주)",
  "section_codes": [
    "interactions"
  ]
}</x:v>
      </x:c>
    </x:row>
    <x:row r="2201" ht="54" customHeight="1">
      <x:c r="A2201" s="8" t="str">
        <x:v>gold-medication-6f2a75ed3eb9e2dc</x:v>
      </x:c>
      <x:c r="B2201" s="8" t="str">
        <x:v>eyak:202301045:adverse_reactions:001</x:v>
      </x:c>
      <x:c r="C2201" s="8" t="str">
        <x:v>eyak:202301045:adverse_reactions:001</x:v>
      </x:c>
      <x:c r="D2201" s="8" t="str">
        <x:v>근거와 함께 답변</x:v>
      </x:c>
      <x:c r="E2201" s="15" t="n">
        <x:v>2199</x:v>
      </x:c>
      <x:c r="F2201" s="8" t="str">
        <x:v>기존 검증 정답</x:v>
      </x:c>
      <x:c r="G2201" s="8" t="str">
        <x:v>https://apis.data.go.kr/1471000/DrbEasyDrugInfoService/getDrbEasyDrugList</x:v>
      </x:c>
      <x:c r="H2201" s="8" t="str">
        <x:v>{
  "item_seq": "202301045",
  "item_name": "멜라큐정",
  "manufacturer": "오스틴제약(주)",
  "section_codes": [
    "adverse_reactions"
  ]
}</x:v>
      </x:c>
    </x:row>
    <x:row r="2202" ht="54" customHeight="1">
      <x:c r="A2202" s="8" t="str">
        <x:v>gold-screening-183892c905b1eac2</x:v>
      </x:c>
      <x:c r="B2202" s="8" t="str">
        <x:v>screening:screening_result_category:001</x:v>
      </x:c>
      <x:c r="C2202" s="8" t="str">
        <x:v>screening:screening_result_category:001</x:v>
      </x:c>
      <x:c r="D2202" s="8" t="str">
        <x:v>근거와 함께 답변</x:v>
      </x:c>
      <x:c r="E2202" s="15" t="n">
        <x:v>2200</x:v>
      </x:c>
      <x:c r="F2202" s="8" t="str">
        <x:v>건강검진 VDB 검증 정답</x:v>
      </x:c>
      <x:c r="G2202" s="8" t="str">
        <x:v>https://www.law.go.kr/LSW/flDownload.do?bylClsCd=200201&amp;flNm=%5B%EB%B3%84%ED%91%9C+4%5D+%EC%9D%BC%EB%B0%98%EA%B1%B4%EA%B0%95%EA%B2%80%EC%A7%84+%EB%B0%8F+%EC%9D%98%EB%A3%8C%EA%B8%89%EC%97%AC%EC%83%9D%EC%95%A0%EC%A0%84%ED%99%98%EA%B8%B0%EA%B2%80%EC%A7%84+%EA%B2%B0%EA%B3%BC+%ED%8C%90%EC%A0%95%EA%B8%B0%EC%A4%80&amp;flSeq=148392595</x:v>
      </x:c>
      <x:c r="H2202" s="8" t="str">
        <x:v>{
  "canonical_key": "SCREENING_RESULT_CATEGORY",
  "heading": "건강검진 판정 구분",
  "screening_domain": "SCREENING_GENERAL",
  "source_locator": "별표 4",
  "review_status": "SOURCE_VERIFIED",
  "corpus_version": "2026.1",
  "related_terms": [
    "정상A",
    "정상B",
    "경계",
    "질환의심",
    "유질환자",
    "판정결과"
  ],
  "category": "health_screening"
}</x:v>
      </x:c>
    </x:row>
    <x:row r="2203" ht="54" customHeight="1">
      <x:c r="A2203" s="8" t="str">
        <x:v>gold-screening-e912fb8ef24444f3</x:v>
      </x:c>
      <x:c r="B2203" s="8" t="str">
        <x:v>screening:screening_result_category:001</x:v>
      </x:c>
      <x:c r="C2203" s="8" t="str">
        <x:v>screening:screening_result_category:001</x:v>
      </x:c>
      <x:c r="D2203" s="8" t="str">
        <x:v>근거와 함께 답변</x:v>
      </x:c>
      <x:c r="E2203" s="15" t="n">
        <x:v>2201</x:v>
      </x:c>
      <x:c r="F2203" s="8" t="str">
        <x:v>건강검진 VDB 검증 정답</x:v>
      </x:c>
      <x:c r="G2203" s="8" t="str">
        <x:v>https://www.law.go.kr/LSW/flDownload.do?bylClsCd=200201&amp;flNm=%5B%EB%B3%84%ED%91%9C+4%5D+%EC%9D%BC%EB%B0%98%EA%B1%B4%EA%B0%95%EA%B2%80%EC%A7%84+%EB%B0%8F+%EC%9D%98%EB%A3%8C%EA%B8%89%EC%97%AC%EC%83%9D%EC%95%A0%EC%A0%84%ED%99%98%EA%B8%B0%EA%B2%80%EC%A7%84+%EA%B2%B0%EA%B3%BC+%ED%8C%90%EC%A0%95%EA%B8%B0%EC%A4%80&amp;flSeq=148392595</x:v>
      </x:c>
      <x:c r="H2203" s="8" t="str">
        <x:v>{
  "canonical_key": "SCREENING_RESULT_CATEGORY",
  "heading": "건강검진 판정 구분",
  "screening_domain": "SCREENING_GENERAL",
  "source_locator": "별표 4",
  "review_status": "SOURCE_VERIFIED",
  "corpus_version": "2026.1",
  "related_terms": [
    "정상A",
    "정상B",
    "경계",
    "질환의심",
    "유질환자",
    "판정결과"
  ],
  "category": "health_screening"
}</x:v>
      </x:c>
    </x:row>
    <x:row r="2204" ht="54" customHeight="1">
      <x:c r="A2204" s="8" t="str">
        <x:v>gold-screening-8fe42f9fdb1e07e5</x:v>
      </x:c>
      <x:c r="B2204" s="8" t="str">
        <x:v>screening:screening_result_category:001</x:v>
      </x:c>
      <x:c r="C2204" s="8" t="str">
        <x:v>screening:screening_result_category:001</x:v>
      </x:c>
      <x:c r="D2204" s="8" t="str">
        <x:v>근거와 함께 답변</x:v>
      </x:c>
      <x:c r="E2204" s="15" t="n">
        <x:v>2202</x:v>
      </x:c>
      <x:c r="F2204" s="8" t="str">
        <x:v>건강검진 VDB 검증 정답</x:v>
      </x:c>
      <x:c r="G2204" s="8" t="str">
        <x:v>https://www.law.go.kr/LSW/flDownload.do?bylClsCd=200201&amp;flNm=%5B%EB%B3%84%ED%91%9C+4%5D+%EC%9D%BC%EB%B0%98%EA%B1%B4%EA%B0%95%EA%B2%80%EC%A7%84+%EB%B0%8F+%EC%9D%98%EB%A3%8C%EA%B8%89%EC%97%AC%EC%83%9D%EC%95%A0%EC%A0%84%ED%99%98%EA%B8%B0%EA%B2%80%EC%A7%84+%EA%B2%B0%EA%B3%BC+%ED%8C%90%EC%A0%95%EA%B8%B0%EC%A4%80&amp;flSeq=148392595</x:v>
      </x:c>
      <x:c r="H2204" s="8" t="str">
        <x:v>{
  "canonical_key": "SCREENING_RESULT_CATEGORY",
  "heading": "건강검진 판정 구분",
  "screening_domain": "SCREENING_GENERAL",
  "source_locator": "별표 4",
  "review_status": "SOURCE_VERIFIED",
  "corpus_version": "2026.1",
  "related_terms": [
    "정상A",
    "정상B",
    "경계",
    "질환의심",
    "유질환자",
    "판정결과"
  ],
  "category": "health_screening"
}</x:v>
      </x:c>
    </x:row>
    <x:row r="2205" ht="54" customHeight="1">
      <x:c r="A2205" s="8" t="str">
        <x:v>gold-screening-f6f654f46b91d773</x:v>
      </x:c>
      <x:c r="B2205" s="8" t="str">
        <x:v>screening:blood_pressure:001</x:v>
      </x:c>
      <x:c r="C2205" s="8" t="str">
        <x:v>screening:blood_pressure:001</x:v>
      </x:c>
      <x:c r="D2205" s="8" t="str">
        <x:v>근거와 함께 답변</x:v>
      </x:c>
      <x:c r="E2205" s="15" t="n">
        <x:v>2203</x:v>
      </x:c>
      <x:c r="F2205" s="8" t="str">
        <x:v>건강검진 VDB 검증 정답</x:v>
      </x:c>
      <x:c r="G2205" s="8" t="str">
        <x:v>https://law.go.kr/LSW/flDownload.do?bylClsCd=200207&amp;flNm=%5B%EB%B3%84%EC%B2%A8+1%5D+%EA%B2%80%EC%82%AC%ED%95%AD%EB%AA%A9%EB%B3%84+%ED%8C%90%EC%A0%95%EA%B8%B0%EC%A4%80&amp;flSeq=160922929</x:v>
      </x:c>
      <x:c r="H2205" s="8" t="str">
        <x:v>{
  "canonical_key": "BLOOD_PRESSURE",
  "heading": "수축기·이완기 혈압",
  "screening_domain": "CARDIOVASCULAR",
  "source_locator": "1쪽 고혈압",
  "review_status": "SOURCE_VERIFIED",
  "corpus_version": "2026.1",
  "related_terms": [
    "혈압",
    "수축기",
    "이완기",
    "SBP",
    "DBP",
    "고혈압"
  ],
  "category": "health_screening"
}</x:v>
      </x:c>
    </x:row>
    <x:row r="2206" ht="54" customHeight="1">
      <x:c r="A2206" s="8" t="str">
        <x:v>gold-screening-f2ffca06b7d42293</x:v>
      </x:c>
      <x:c r="B2206" s="8" t="str">
        <x:v>screening:blood_pressure:001</x:v>
      </x:c>
      <x:c r="C2206" s="8" t="str">
        <x:v>screening:blood_pressure:001</x:v>
      </x:c>
      <x:c r="D2206" s="8" t="str">
        <x:v>근거와 함께 답변</x:v>
      </x:c>
      <x:c r="E2206" s="15" t="n">
        <x:v>2204</x:v>
      </x:c>
      <x:c r="F2206" s="8" t="str">
        <x:v>건강검진 VDB 검증 정답</x:v>
      </x:c>
      <x:c r="G2206" s="8" t="str">
        <x:v>https://law.go.kr/LSW/flDownload.do?bylClsCd=200207&amp;flNm=%5B%EB%B3%84%EC%B2%A8+1%5D+%EA%B2%80%EC%82%AC%ED%95%AD%EB%AA%A9%EB%B3%84+%ED%8C%90%EC%A0%95%EA%B8%B0%EC%A4%80&amp;flSeq=160922929</x:v>
      </x:c>
      <x:c r="H2206" s="8" t="str">
        <x:v>{
  "canonical_key": "BLOOD_PRESSURE",
  "heading": "수축기·이완기 혈압",
  "screening_domain": "CARDIOVASCULAR",
  "source_locator": "1쪽 고혈압",
  "review_status": "SOURCE_VERIFIED",
  "corpus_version": "2026.1",
  "related_terms": [
    "혈압",
    "수축기",
    "이완기",
    "SBP",
    "DBP",
    "고혈압"
  ],
  "category": "health_screening"
}</x:v>
      </x:c>
    </x:row>
    <x:row r="2207" ht="54" customHeight="1">
      <x:c r="A2207" s="8" t="str">
        <x:v>gold-screening-4b8b2abccd307527</x:v>
      </x:c>
      <x:c r="B2207" s="8" t="str">
        <x:v>screening:blood_pressure:001</x:v>
      </x:c>
      <x:c r="C2207" s="8" t="str">
        <x:v>screening:blood_pressure:001</x:v>
      </x:c>
      <x:c r="D2207" s="8" t="str">
        <x:v>근거와 함께 답변</x:v>
      </x:c>
      <x:c r="E2207" s="15" t="n">
        <x:v>2205</x:v>
      </x:c>
      <x:c r="F2207" s="8" t="str">
        <x:v>건강검진 VDB 검증 정답</x:v>
      </x:c>
      <x:c r="G2207" s="8" t="str">
        <x:v>https://law.go.kr/LSW/flDownload.do?bylClsCd=200207&amp;flNm=%5B%EB%B3%84%EC%B2%A8+1%5D+%EA%B2%80%EC%82%AC%ED%95%AD%EB%AA%A9%EB%B3%84+%ED%8C%90%EC%A0%95%EA%B8%B0%EC%A4%80&amp;flSeq=160922929</x:v>
      </x:c>
      <x:c r="H2207" s="8" t="str">
        <x:v>{
  "canonical_key": "BLOOD_PRESSURE",
  "heading": "수축기·이완기 혈압",
  "screening_domain": "CARDIOVASCULAR",
  "source_locator": "1쪽 고혈압",
  "review_status": "SOURCE_VERIFIED",
  "corpus_version": "2026.1",
  "related_terms": [
    "혈압",
    "수축기",
    "이완기",
    "SBP",
    "DBP",
    "고혈압"
  ],
  "category": "health_screening"
}</x:v>
      </x:c>
    </x:row>
    <x:row r="2208" ht="54" customHeight="1">
      <x:c r="A2208" s="8" t="str">
        <x:v>gold-screening-cd80f41c6fd93405</x:v>
      </x:c>
      <x:c r="B2208" s="8" t="str">
        <x:v>screening:bmi:001</x:v>
      </x:c>
      <x:c r="C2208" s="8" t="str">
        <x:v>screening:bmi:001</x:v>
      </x:c>
      <x:c r="D2208" s="8" t="str">
        <x:v>근거와 함께 답변</x:v>
      </x:c>
      <x:c r="E2208" s="15" t="n">
        <x:v>2206</x:v>
      </x:c>
      <x:c r="F2208" s="8" t="str">
        <x:v>건강검진 VDB 검증 정답</x:v>
      </x:c>
      <x:c r="G2208" s="8" t="str">
        <x:v>https://law.go.kr/LSW/flDownload.do?bylClsCd=200207&amp;flNm=%5B%EB%B3%84%EC%B2%A8+1%5D+%EA%B2%80%EC%82%AC%ED%95%AD%EB%AA%A9%EB%B3%84+%ED%8C%90%EC%A0%95%EA%B8%B0%EC%A4%80&amp;flSeq=160922929</x:v>
      </x:c>
      <x:c r="H2208" s="8" t="str">
        <x:v>{
  "canonical_key": "BMI",
  "heading": "체질량지수 BMI",
  "screening_domain": "BODY_COMPOSITION",
  "source_locator": "1쪽 비만",
  "review_status": "SOURCE_VERIFIED",
  "corpus_version": "2026.1",
  "related_terms": [
    "BMI",
    "체질량지수",
    "비만",
    "과체중",
    "저체중",
    "키",
    "몸무게"
  ],
  "category": "health_screening"
}</x:v>
      </x:c>
    </x:row>
    <x:row r="2209" ht="54" customHeight="1">
      <x:c r="A2209" s="8" t="str">
        <x:v>gold-screening-e2f6b2b09c91d8ef</x:v>
      </x:c>
      <x:c r="B2209" s="8" t="str">
        <x:v>screening:bmi:001</x:v>
      </x:c>
      <x:c r="C2209" s="8" t="str">
        <x:v>screening:bmi:001</x:v>
      </x:c>
      <x:c r="D2209" s="8" t="str">
        <x:v>근거와 함께 답변</x:v>
      </x:c>
      <x:c r="E2209" s="15" t="n">
        <x:v>2207</x:v>
      </x:c>
      <x:c r="F2209" s="8" t="str">
        <x:v>건강검진 VDB 검증 정답</x:v>
      </x:c>
      <x:c r="G2209" s="8" t="str">
        <x:v>https://law.go.kr/LSW/flDownload.do?bylClsCd=200207&amp;flNm=%5B%EB%B3%84%EC%B2%A8+1%5D+%EA%B2%80%EC%82%AC%ED%95%AD%EB%AA%A9%EB%B3%84+%ED%8C%90%EC%A0%95%EA%B8%B0%EC%A4%80&amp;flSeq=160922929</x:v>
      </x:c>
      <x:c r="H2209" s="8" t="str">
        <x:v>{
  "canonical_key": "BMI",
  "heading": "체질량지수 BMI",
  "screening_domain": "BODY_COMPOSITION",
  "source_locator": "1쪽 비만",
  "review_status": "SOURCE_VERIFIED",
  "corpus_version": "2026.1",
  "related_terms": [
    "BMI",
    "체질량지수",
    "비만",
    "과체중",
    "저체중",
    "키",
    "몸무게"
  ],
  "category": "health_screening"
}</x:v>
      </x:c>
    </x:row>
    <x:row r="2210" ht="54" customHeight="1">
      <x:c r="A2210" s="8" t="str">
        <x:v>gold-screening-na-d6adf995ba3fc517</x:v>
      </x:c>
      <x:c r="B2210" s="8" t="str"/>
      <x:c r="C2210" s="8" t="str"/>
      <x:c r="D2210" s="8" t="str">
        <x:v>답변 거부 또는 추가 확인 요청</x:v>
      </x:c>
      <x:c r="E2210" s="15" t="n">
        <x:v>2208</x:v>
      </x:c>
      <x:c r="F2210" s="8" t="str">
        <x:v>답변 거부 기준 문구</x:v>
      </x:c>
      <x:c r="G2210" s="8" t="str">
        <x:v>https://law.go.kr/LSW/flDownload.do?bylClsCd=200207&amp;flNm=%5B%EB%B3%84%EC%B2%A8+1%5D+%EA%B2%80%EC%82%AC%ED%95%AD%EB%AA%A9%EB%B3%84+%ED%8C%90%EC%A0%95%EA%B8%B0%EC%A4%80&amp;flSeq=160922929</x:v>
      </x:c>
      <x:c r="H2210" s="8" t="str">
        <x:v>{
  "canonical_key": "BMI",
  "heading": "체질량지수 BMI",
  "screening_domain": "BODY_COMPOSITION",
  "source_locator": "1쪽 비만",
  "review_status": "SOURCE_VERIFIED",
  "corpus_version": "2026.1",
  "related_terms": [
    "BMI",
    "체질량지수",
    "비만",
    "과체중",
    "저체중",
    "키",
    "몸무게"
  ],
  "category": "health_screening",
  "abstention_reason": "personal_diagnosis_or_treatment_out_of_scope"
}</x:v>
      </x:c>
    </x:row>
    <x:row r="2211" ht="54" customHeight="1">
      <x:c r="A2211" s="8" t="str">
        <x:v>gold-screening-7cad32043d268694</x:v>
      </x:c>
      <x:c r="B2211" s="8" t="str">
        <x:v>screening:waist_circumference:001</x:v>
      </x:c>
      <x:c r="C2211" s="8" t="str">
        <x:v>screening:waist_circumference:001</x:v>
      </x:c>
      <x:c r="D2211" s="8" t="str">
        <x:v>근거와 함께 답변</x:v>
      </x:c>
      <x:c r="E2211" s="15" t="n">
        <x:v>2209</x:v>
      </x:c>
      <x:c r="F2211" s="8" t="str">
        <x:v>건강검진 VDB 검증 정답</x:v>
      </x:c>
      <x:c r="G2211" s="8" t="str">
        <x:v>https://law.go.kr/LSW/flDownload.do?bylClsCd=200207&amp;flNm=%5B%EB%B3%84%EC%B2%A8+1%5D+%EA%B2%80%EC%82%AC%ED%95%AD%EB%AA%A9%EB%B3%84+%ED%8C%90%EC%A0%95%EA%B8%B0%EC%A4%80&amp;flSeq=160922929</x:v>
      </x:c>
      <x:c r="H2211" s="8" t="str">
        <x:v>{
  "canonical_key": "WAIST_CIRCUMFERENCE",
  "heading": "허리둘레",
  "screening_domain": "BODY_COMPOSITION",
  "source_locator": "1쪽 허리둘레",
  "review_status": "SOURCE_VERIFIED",
  "corpus_version": "2026.1",
  "related_terms": [
    "허리둘레",
    "복부비만",
    "내장지방",
    "waist",
    "복부둘레"
  ],
  "category": "health_screening"
}</x:v>
      </x:c>
    </x:row>
    <x:row r="2212" ht="54" customHeight="1">
      <x:c r="A2212" s="8" t="str">
        <x:v>gold-screening-6cfce377b92283fb</x:v>
      </x:c>
      <x:c r="B2212" s="8" t="str">
        <x:v>screening:waist_circumference:001</x:v>
      </x:c>
      <x:c r="C2212" s="8" t="str">
        <x:v>screening:waist_circumference:001</x:v>
      </x:c>
      <x:c r="D2212" s="8" t="str">
        <x:v>근거와 함께 답변</x:v>
      </x:c>
      <x:c r="E2212" s="15" t="n">
        <x:v>2210</x:v>
      </x:c>
      <x:c r="F2212" s="8" t="str">
        <x:v>건강검진 VDB 검증 정답</x:v>
      </x:c>
      <x:c r="G2212" s="8" t="str">
        <x:v>https://law.go.kr/LSW/flDownload.do?bylClsCd=200207&amp;flNm=%5B%EB%B3%84%EC%B2%A8+1%5D+%EA%B2%80%EC%82%AC%ED%95%AD%EB%AA%A9%EB%B3%84+%ED%8C%90%EC%A0%95%EA%B8%B0%EC%A4%80&amp;flSeq=160922929</x:v>
      </x:c>
      <x:c r="H2212" s="8" t="str">
        <x:v>{
  "canonical_key": "WAIST_CIRCUMFERENCE",
  "heading": "허리둘레",
  "screening_domain": "BODY_COMPOSITION",
  "source_locator": "1쪽 허리둘레",
  "review_status": "SOURCE_VERIFIED",
  "corpus_version": "2026.1",
  "related_terms": [
    "허리둘레",
    "복부비만",
    "내장지방",
    "waist",
    "복부둘레"
  ],
  "category": "health_screening"
}</x:v>
      </x:c>
    </x:row>
    <x:row r="2213" ht="54" customHeight="1">
      <x:c r="A2213" s="8" t="str">
        <x:v>gold-screening-57bd088140adb612</x:v>
      </x:c>
      <x:c r="B2213" s="8" t="str">
        <x:v>screening:waist_circumference:001</x:v>
      </x:c>
      <x:c r="C2213" s="8" t="str">
        <x:v>screening:waist_circumference:001</x:v>
      </x:c>
      <x:c r="D2213" s="8" t="str">
        <x:v>근거와 함께 답변</x:v>
      </x:c>
      <x:c r="E2213" s="15" t="n">
        <x:v>2211</x:v>
      </x:c>
      <x:c r="F2213" s="8" t="str">
        <x:v>건강검진 VDB 검증 정답</x:v>
      </x:c>
      <x:c r="G2213" s="8" t="str">
        <x:v>https://law.go.kr/LSW/flDownload.do?bylClsCd=200207&amp;flNm=%5B%EB%B3%84%EC%B2%A8+1%5D+%EA%B2%80%EC%82%AC%ED%95%AD%EB%AA%A9%EB%B3%84+%ED%8C%90%EC%A0%95%EA%B8%B0%EC%A4%80&amp;flSeq=160922929</x:v>
      </x:c>
      <x:c r="H2213" s="8" t="str">
        <x:v>{
  "canonical_key": "WAIST_CIRCUMFERENCE",
  "heading": "허리둘레",
  "screening_domain": "BODY_COMPOSITION",
  "source_locator": "1쪽 허리둘레",
  "review_status": "SOURCE_VERIFIED",
  "corpus_version": "2026.1",
  "related_terms": [
    "허리둘레",
    "복부비만",
    "내장지방",
    "waist",
    "복부둘레"
  ],
  "category": "health_screening"
}</x:v>
      </x:c>
    </x:row>
    <x:row r="2214" ht="54" customHeight="1">
      <x:c r="A2214" s="8" t="str">
        <x:v>gold-screening-822a3d80829a4117</x:v>
      </x:c>
      <x:c r="B2214" s="8" t="str">
        <x:v>screening:hemoglobin:001</x:v>
      </x:c>
      <x:c r="C2214" s="8" t="str">
        <x:v>screening:hemoglobin:001</x:v>
      </x:c>
      <x:c r="D2214" s="8" t="str">
        <x:v>근거와 함께 답변</x:v>
      </x:c>
      <x:c r="E2214" s="15" t="n">
        <x:v>2212</x:v>
      </x:c>
      <x:c r="F2214" s="8" t="str">
        <x:v>건강검진 VDB 검증 정답</x:v>
      </x:c>
      <x:c r="G2214" s="8" t="str">
        <x:v>https://law.go.kr/LSW/flDownload.do?bylClsCd=200207&amp;flNm=%5B%EB%B3%84%EC%B2%A8+1%5D+%EA%B2%80%EC%82%AC%ED%95%AD%EB%AA%A9%EB%B3%84+%ED%8C%90%EC%A0%95%EA%B8%B0%EC%A4%80&amp;flSeq=160922929</x:v>
      </x:c>
      <x:c r="H2214" s="8" t="str">
        <x:v>{
  "canonical_key": "HEMOGLOBIN",
  "heading": "혈색소(헤모글로빈)",
  "screening_domain": "HEMATOLOGY",
  "source_locator": "1쪽 빈혈",
  "review_status": "SOURCE_VERIFIED",
  "corpus_version": "2026.1",
  "related_terms": [
    "혈색소",
    "헤모글로빈",
    "hemoglobin",
    "Hb",
    "빈혈",
    "적혈구"
  ],
  "category": "health_screening"
}</x:v>
      </x:c>
    </x:row>
    <x:row r="2215" ht="54" customHeight="1">
      <x:c r="A2215" s="8" t="str">
        <x:v>gold-screening-3693fc7782f578ff</x:v>
      </x:c>
      <x:c r="B2215" s="8" t="str">
        <x:v>screening:hemoglobin:001</x:v>
      </x:c>
      <x:c r="C2215" s="8" t="str">
        <x:v>screening:hemoglobin:001</x:v>
      </x:c>
      <x:c r="D2215" s="8" t="str">
        <x:v>근거와 함께 답변</x:v>
      </x:c>
      <x:c r="E2215" s="15" t="n">
        <x:v>2213</x:v>
      </x:c>
      <x:c r="F2215" s="8" t="str">
        <x:v>건강검진 VDB 검증 정답</x:v>
      </x:c>
      <x:c r="G2215" s="8" t="str">
        <x:v>https://law.go.kr/LSW/flDownload.do?bylClsCd=200207&amp;flNm=%5B%EB%B3%84%EC%B2%A8+1%5D+%EA%B2%80%EC%82%AC%ED%95%AD%EB%AA%A9%EB%B3%84+%ED%8C%90%EC%A0%95%EA%B8%B0%EC%A4%80&amp;flSeq=160922929</x:v>
      </x:c>
      <x:c r="H2215" s="8" t="str">
        <x:v>{
  "canonical_key": "HEMOGLOBIN",
  "heading": "혈색소(헤모글로빈)",
  "screening_domain": "HEMATOLOGY",
  "source_locator": "1쪽 빈혈",
  "review_status": "SOURCE_VERIFIED",
  "corpus_version": "2026.1",
  "related_terms": [
    "혈색소",
    "헤모글로빈",
    "hemoglobin",
    "Hb",
    "빈혈",
    "적혈구"
  ],
  "category": "health_screening"
}</x:v>
      </x:c>
    </x:row>
    <x:row r="2216" ht="54" customHeight="1">
      <x:c r="A2216" s="8" t="str">
        <x:v>gold-screening-na-2755773c6eb92771</x:v>
      </x:c>
      <x:c r="B2216" s="8" t="str"/>
      <x:c r="C2216" s="8" t="str"/>
      <x:c r="D2216" s="8" t="str">
        <x:v>답변 거부 또는 추가 확인 요청</x:v>
      </x:c>
      <x:c r="E2216" s="15" t="n">
        <x:v>2214</x:v>
      </x:c>
      <x:c r="F2216" s="8" t="str">
        <x:v>답변 거부 기준 문구</x:v>
      </x:c>
      <x:c r="G2216" s="8" t="str">
        <x:v>https://law.go.kr/LSW/flDownload.do?bylClsCd=200207&amp;flNm=%5B%EB%B3%84%EC%B2%A8+1%5D+%EA%B2%80%EC%82%AC%ED%95%AD%EB%AA%A9%EB%B3%84+%ED%8C%90%EC%A0%95%EA%B8%B0%EC%A4%80&amp;flSeq=160922929</x:v>
      </x:c>
      <x:c r="H2216" s="8" t="str">
        <x:v>{
  "canonical_key": "HEMOGLOBIN",
  "heading": "혈색소(헤모글로빈)",
  "screening_domain": "HEMATOLOGY",
  "source_locator": "1쪽 빈혈",
  "review_status": "SOURCE_VERIFIED",
  "corpus_version": "2026.1",
  "related_terms": [
    "혈색소",
    "헤모글로빈",
    "hemoglobin",
    "Hb",
    "빈혈",
    "적혈구"
  ],
  "category": "health_screening",
  "abstention_reason": "personal_diagnosis_or_treatment_out_of_scope"
}</x:v>
      </x:c>
    </x:row>
    <x:row r="2217" ht="54" customHeight="1">
      <x:c r="A2217" s="8" t="str">
        <x:v>gold-screening-6e7df4ae2e929399</x:v>
      </x:c>
      <x:c r="B2217" s="8" t="str">
        <x:v>screening:fasting_glucose:001</x:v>
      </x:c>
      <x:c r="C2217" s="8" t="str">
        <x:v>screening:fasting_glucose:001</x:v>
      </x:c>
      <x:c r="D2217" s="8" t="str">
        <x:v>근거와 함께 답변</x:v>
      </x:c>
      <x:c r="E2217" s="15" t="n">
        <x:v>2215</x:v>
      </x:c>
      <x:c r="F2217" s="8" t="str">
        <x:v>건강검진 VDB 검증 정답</x:v>
      </x:c>
      <x:c r="G2217" s="8" t="str">
        <x:v>https://law.go.kr/LSW/flDownload.do?bylClsCd=200207&amp;flNm=%5B%EB%B3%84%EC%B2%A8+1%5D+%EA%B2%80%EC%82%AC%ED%95%AD%EB%AA%A9%EB%B3%84+%ED%8C%90%EC%A0%95%EA%B8%B0%EC%A4%80&amp;flSeq=160922929</x:v>
      </x:c>
      <x:c r="H2217" s="8" t="str">
        <x:v>{
  "canonical_key": "FASTING_GLUCOSE",
  "heading": "공복혈당",
  "screening_domain": "GLUCOSE_METABOLISM",
  "source_locator": "1쪽 당뇨병",
  "review_status": "SOURCE_VERIFIED",
  "corpus_version": "2026.1",
  "related_terms": [
    "공복혈당",
    "혈당",
    "glucose",
    "당뇨",
    "공복혈장포도당",
    "FPG"
  ],
  "category": "health_screening"
}</x:v>
      </x:c>
    </x:row>
    <x:row r="2218" ht="54" customHeight="1">
      <x:c r="A2218" s="8" t="str">
        <x:v>gold-screening-0d2899c0dabb9b84</x:v>
      </x:c>
      <x:c r="B2218" s="8" t="str">
        <x:v>screening:fasting_glucose:001</x:v>
      </x:c>
      <x:c r="C2218" s="8" t="str">
        <x:v>screening:fasting_glucose:001</x:v>
      </x:c>
      <x:c r="D2218" s="8" t="str">
        <x:v>근거와 함께 답변</x:v>
      </x:c>
      <x:c r="E2218" s="15" t="n">
        <x:v>2216</x:v>
      </x:c>
      <x:c r="F2218" s="8" t="str">
        <x:v>건강검진 VDB 검증 정답</x:v>
      </x:c>
      <x:c r="G2218" s="8" t="str">
        <x:v>https://law.go.kr/LSW/flDownload.do?bylClsCd=200207&amp;flNm=%5B%EB%B3%84%EC%B2%A8+1%5D+%EA%B2%80%EC%82%AC%ED%95%AD%EB%AA%A9%EB%B3%84+%ED%8C%90%EC%A0%95%EA%B8%B0%EC%A4%80&amp;flSeq=160922929</x:v>
      </x:c>
      <x:c r="H2218" s="8" t="str">
        <x:v>{
  "canonical_key": "FASTING_GLUCOSE",
  "heading": "공복혈당",
  "screening_domain": "GLUCOSE_METABOLISM",
  "source_locator": "1쪽 당뇨병",
  "review_status": "SOURCE_VERIFIED",
  "corpus_version": "2026.1",
  "related_terms": [
    "공복혈당",
    "혈당",
    "glucose",
    "당뇨",
    "공복혈장포도당",
    "FPG"
  ],
  "category": "health_screening"
}</x:v>
      </x:c>
    </x:row>
    <x:row r="2219" ht="54" customHeight="1">
      <x:c r="A2219" s="8" t="str">
        <x:v>gold-screening-na-5b9f22d6fb12a6f0</x:v>
      </x:c>
      <x:c r="B2219" s="8" t="str"/>
      <x:c r="C2219" s="8" t="str"/>
      <x:c r="D2219" s="8" t="str">
        <x:v>답변 거부 또는 추가 확인 요청</x:v>
      </x:c>
      <x:c r="E2219" s="15" t="n">
        <x:v>2217</x:v>
      </x:c>
      <x:c r="F2219" s="8" t="str">
        <x:v>답변 거부 기준 문구</x:v>
      </x:c>
      <x:c r="G2219" s="8" t="str">
        <x:v>https://law.go.kr/LSW/flDownload.do?bylClsCd=200207&amp;flNm=%5B%EB%B3%84%EC%B2%A8+1%5D+%EA%B2%80%EC%82%AC%ED%95%AD%EB%AA%A9%EB%B3%84+%ED%8C%90%EC%A0%95%EA%B8%B0%EC%A4%80&amp;flSeq=160922929</x:v>
      </x:c>
      <x:c r="H2219" s="8" t="str">
        <x:v>{
  "canonical_key": "FASTING_GLUCOSE",
  "heading": "공복혈당",
  "screening_domain": "GLUCOSE_METABOLISM",
  "source_locator": "1쪽 당뇨병",
  "review_status": "SOURCE_VERIFIED",
  "corpus_version": "2026.1",
  "related_terms": [
    "공복혈당",
    "혈당",
    "glucose",
    "당뇨",
    "공복혈장포도당",
    "FPG"
  ],
  "category": "health_screening",
  "abstention_reason": "personal_diagnosis_or_treatment_out_of_scope"
}</x:v>
      </x:c>
    </x:row>
    <x:row r="2220" ht="54" customHeight="1">
      <x:c r="A2220" s="8" t="str">
        <x:v>gold-screening-23122e22a7802193</x:v>
      </x:c>
      <x:c r="B2220" s="8" t="str">
        <x:v>screening:total_cholesterol:001</x:v>
      </x:c>
      <x:c r="C2220" s="8" t="str">
        <x:v>screening:total_cholesterol:001</x:v>
      </x:c>
      <x:c r="D2220" s="8" t="str">
        <x:v>근거와 함께 답변</x:v>
      </x:c>
      <x:c r="E2220" s="15" t="n">
        <x:v>2218</x:v>
      </x:c>
      <x:c r="F2220" s="8" t="str">
        <x:v>건강검진 VDB 검증 정답</x:v>
      </x:c>
      <x:c r="G2220" s="8" t="str">
        <x:v>https://law.go.kr/LSW/flDownload.do?bylClsCd=200207&amp;flNm=%5B%EB%B3%84%EC%B2%A8+1%5D+%EA%B2%80%EC%82%AC%ED%95%AD%EB%AA%A9%EB%B3%84+%ED%8C%90%EC%A0%95%EA%B8%B0%EC%A4%80&amp;flSeq=160922929</x:v>
      </x:c>
      <x:c r="H2220" s="8" t="str">
        <x:v>{
  "canonical_key": "TOTAL_CHOLESTEROL",
  "heading": "총콜레스테롤",
  "screening_domain": "LIPID",
  "source_locator": "1쪽 이상지질혈증",
  "review_status": "SOURCE_VERIFIED",
  "corpus_version": "2026.1",
  "related_terms": [
    "총콜레스테롤",
    "총 콜레스테롤",
    "total cholesterol",
    "TC",
    "이상지질혈증"
  ],
  "category": "health_screening"
}</x:v>
      </x:c>
    </x:row>
    <x:row r="2221" ht="54" customHeight="1">
      <x:c r="A2221" s="8" t="str">
        <x:v>gold-screening-ff32020a6bf3f8d6</x:v>
      </x:c>
      <x:c r="B2221" s="8" t="str">
        <x:v>screening:total_cholesterol:001</x:v>
      </x:c>
      <x:c r="C2221" s="8" t="str">
        <x:v>screening:total_cholesterol:001</x:v>
      </x:c>
      <x:c r="D2221" s="8" t="str">
        <x:v>근거와 함께 답변</x:v>
      </x:c>
      <x:c r="E2221" s="15" t="n">
        <x:v>2219</x:v>
      </x:c>
      <x:c r="F2221" s="8" t="str">
        <x:v>건강검진 VDB 검증 정답</x:v>
      </x:c>
      <x:c r="G2221" s="8" t="str">
        <x:v>https://law.go.kr/LSW/flDownload.do?bylClsCd=200207&amp;flNm=%5B%EB%B3%84%EC%B2%A8+1%5D+%EA%B2%80%EC%82%AC%ED%95%AD%EB%AA%A9%EB%B3%84+%ED%8C%90%EC%A0%95%EA%B8%B0%EC%A4%80&amp;flSeq=160922929</x:v>
      </x:c>
      <x:c r="H2221" s="8" t="str">
        <x:v>{
  "canonical_key": "TOTAL_CHOLESTEROL",
  "heading": "총콜레스테롤",
  "screening_domain": "LIPID",
  "source_locator": "1쪽 이상지질혈증",
  "review_status": "SOURCE_VERIFIED",
  "corpus_version": "2026.1",
  "related_terms": [
    "총콜레스테롤",
    "총 콜레스테롤",
    "total cholesterol",
    "TC",
    "이상지질혈증"
  ],
  "category": "health_screening"
}</x:v>
      </x:c>
    </x:row>
    <x:row r="2222" ht="54" customHeight="1">
      <x:c r="A2222" s="8" t="str">
        <x:v>gold-screening-40373aff937305a9</x:v>
      </x:c>
      <x:c r="B2222" s="8" t="str">
        <x:v>screening:total_cholesterol:001</x:v>
      </x:c>
      <x:c r="C2222" s="8" t="str">
        <x:v>screening:total_cholesterol:001</x:v>
      </x:c>
      <x:c r="D2222" s="8" t="str">
        <x:v>근거와 함께 답변</x:v>
      </x:c>
      <x:c r="E2222" s="15" t="n">
        <x:v>2220</x:v>
      </x:c>
      <x:c r="F2222" s="8" t="str">
        <x:v>건강검진 VDB 검증 정답</x:v>
      </x:c>
      <x:c r="G2222" s="8" t="str">
        <x:v>https://law.go.kr/LSW/flDownload.do?bylClsCd=200207&amp;flNm=%5B%EB%B3%84%EC%B2%A8+1%5D+%EA%B2%80%EC%82%AC%ED%95%AD%EB%AA%A9%EB%B3%84+%ED%8C%90%EC%A0%95%EA%B8%B0%EC%A4%80&amp;flSeq=160922929</x:v>
      </x:c>
      <x:c r="H2222" s="8" t="str">
        <x:v>{
  "canonical_key": "TOTAL_CHOLESTEROL",
  "heading": "총콜레스테롤",
  "screening_domain": "LIPID",
  "source_locator": "1쪽 이상지질혈증",
  "review_status": "SOURCE_VERIFIED",
  "corpus_version": "2026.1",
  "related_terms": [
    "총콜레스테롤",
    "총 콜레스테롤",
    "total cholesterol",
    "TC",
    "이상지질혈증"
  ],
  "category": "health_screening"
}</x:v>
      </x:c>
    </x:row>
    <x:row r="2223" ht="54" customHeight="1">
      <x:c r="A2223" s="8" t="str">
        <x:v>gold-screening-57a842255a1db2a3</x:v>
      </x:c>
      <x:c r="B2223" s="8" t="str">
        <x:v>screening:hdl_cholesterol:001</x:v>
      </x:c>
      <x:c r="C2223" s="8" t="str">
        <x:v>screening:hdl_cholesterol:001</x:v>
      </x:c>
      <x:c r="D2223" s="8" t="str">
        <x:v>근거와 함께 답변</x:v>
      </x:c>
      <x:c r="E2223" s="15" t="n">
        <x:v>2221</x:v>
      </x:c>
      <x:c r="F2223" s="8" t="str">
        <x:v>건강검진 VDB 검증 정답</x:v>
      </x:c>
      <x:c r="G2223" s="8" t="str">
        <x:v>https://law.go.kr/LSW/flDownload.do?bylClsCd=200207&amp;flNm=%5B%EB%B3%84%EC%B2%A8+1%5D+%EA%B2%80%EC%82%AC%ED%95%AD%EB%AA%A9%EB%B3%84+%ED%8C%90%EC%A0%95%EA%B8%B0%EC%A4%80&amp;flSeq=160922929</x:v>
      </x:c>
      <x:c r="H2223" s="8" t="str">
        <x:v>{
  "canonical_key": "HDL_CHOLESTEROL",
  "heading": "HDL 콜레스테롤",
  "screening_domain": "LIPID",
  "source_locator": "1쪽 HDL 콜레스테롤",
  "review_status": "SOURCE_VERIFIED",
  "corpus_version": "2026.1",
  "related_terms": [
    "HDL",
    "고밀도콜레스테롤",
    "좋은 콜레스테롤",
    "고밀도 지단백"
  ],
  "category": "health_screening"
}</x:v>
      </x:c>
    </x:row>
    <x:row r="2224" ht="54" customHeight="1">
      <x:c r="A2224" s="8" t="str">
        <x:v>gold-screening-cf0cd06b25bf6c3b</x:v>
      </x:c>
      <x:c r="B2224" s="8" t="str">
        <x:v>screening:hdl_cholesterol:001</x:v>
      </x:c>
      <x:c r="C2224" s="8" t="str">
        <x:v>screening:hdl_cholesterol:001</x:v>
      </x:c>
      <x:c r="D2224" s="8" t="str">
        <x:v>근거와 함께 답변</x:v>
      </x:c>
      <x:c r="E2224" s="15" t="n">
        <x:v>2222</x:v>
      </x:c>
      <x:c r="F2224" s="8" t="str">
        <x:v>건강검진 VDB 검증 정답</x:v>
      </x:c>
      <x:c r="G2224" s="8" t="str">
        <x:v>https://law.go.kr/LSW/flDownload.do?bylClsCd=200207&amp;flNm=%5B%EB%B3%84%EC%B2%A8+1%5D+%EA%B2%80%EC%82%AC%ED%95%AD%EB%AA%A9%EB%B3%84+%ED%8C%90%EC%A0%95%EA%B8%B0%EC%A4%80&amp;flSeq=160922929</x:v>
      </x:c>
      <x:c r="H2224" s="8" t="str">
        <x:v>{
  "canonical_key": "HDL_CHOLESTEROL",
  "heading": "HDL 콜레스테롤",
  "screening_domain": "LIPID",
  "source_locator": "1쪽 HDL 콜레스테롤",
  "review_status": "SOURCE_VERIFIED",
  "corpus_version": "2026.1",
  "related_terms": [
    "HDL",
    "고밀도콜레스테롤",
    "좋은 콜레스테롤",
    "고밀도 지단백"
  ],
  "category": "health_screening"
}</x:v>
      </x:c>
    </x:row>
    <x:row r="2225" ht="54" customHeight="1">
      <x:c r="A2225" s="8" t="str">
        <x:v>gold-screening-f8be0bde2d339c61</x:v>
      </x:c>
      <x:c r="B2225" s="8" t="str">
        <x:v>screening:hdl_cholesterol:001</x:v>
      </x:c>
      <x:c r="C2225" s="8" t="str">
        <x:v>screening:hdl_cholesterol:001</x:v>
      </x:c>
      <x:c r="D2225" s="8" t="str">
        <x:v>근거와 함께 답변</x:v>
      </x:c>
      <x:c r="E2225" s="15" t="n">
        <x:v>2223</x:v>
      </x:c>
      <x:c r="F2225" s="8" t="str">
        <x:v>건강검진 VDB 검증 정답</x:v>
      </x:c>
      <x:c r="G2225" s="8" t="str">
        <x:v>https://law.go.kr/LSW/flDownload.do?bylClsCd=200207&amp;flNm=%5B%EB%B3%84%EC%B2%A8+1%5D+%EA%B2%80%EC%82%AC%ED%95%AD%EB%AA%A9%EB%B3%84+%ED%8C%90%EC%A0%95%EA%B8%B0%EC%A4%80&amp;flSeq=160922929</x:v>
      </x:c>
      <x:c r="H2225" s="8" t="str">
        <x:v>{
  "canonical_key": "HDL_CHOLESTEROL",
  "heading": "HDL 콜레스테롤",
  "screening_domain": "LIPID",
  "source_locator": "1쪽 HDL 콜레스테롤",
  "review_status": "SOURCE_VERIFIED",
  "corpus_version": "2026.1",
  "related_terms": [
    "HDL",
    "고밀도콜레스테롤",
    "좋은 콜레스테롤",
    "고밀도 지단백"
  ],
  "category": "health_screening"
}</x:v>
      </x:c>
    </x:row>
    <x:row r="2226" ht="54" customHeight="1">
      <x:c r="A2226" s="8" t="str">
        <x:v>gold-screening-70f3bcea23c1113f</x:v>
      </x:c>
      <x:c r="B2226" s="8" t="str">
        <x:v>screening:ldl_cholesterol:001</x:v>
      </x:c>
      <x:c r="C2226" s="8" t="str">
        <x:v>screening:ldl_cholesterol:001</x:v>
      </x:c>
      <x:c r="D2226" s="8" t="str">
        <x:v>근거와 함께 답변</x:v>
      </x:c>
      <x:c r="E2226" s="15" t="n">
        <x:v>2224</x:v>
      </x:c>
      <x:c r="F2226" s="8" t="str">
        <x:v>건강검진 VDB 검증 정답</x:v>
      </x:c>
      <x:c r="G2226" s="8" t="str">
        <x:v>https://law.go.kr/LSW/flDownload.do?bylClsCd=200207&amp;flNm=%5B%EB%B3%84%EC%B2%A8+1%5D+%EA%B2%80%EC%82%AC%ED%95%AD%EB%AA%A9%EB%B3%84+%ED%8C%90%EC%A0%95%EA%B8%B0%EC%A4%80&amp;flSeq=160922929</x:v>
      </x:c>
      <x:c r="H2226" s="8" t="str">
        <x:v>{
  "canonical_key": "LDL_CHOLESTEROL",
  "heading": "LDL 콜레스테롤",
  "screening_domain": "LIPID",
  "source_locator": "1쪽 LDL 콜레스테롤",
  "review_status": "SOURCE_VERIFIED",
  "corpus_version": "2026.1",
  "related_terms": [
    "LDL",
    "저밀도콜레스테롤",
    "나쁜 콜레스테롤",
    "저밀도 지단백"
  ],
  "category": "health_screening"
}</x:v>
      </x:c>
    </x:row>
    <x:row r="2227" ht="54" customHeight="1">
      <x:c r="A2227" s="8" t="str">
        <x:v>gold-screening-20baaa2399a69221</x:v>
      </x:c>
      <x:c r="B2227" s="8" t="str">
        <x:v>screening:ldl_cholesterol:001</x:v>
      </x:c>
      <x:c r="C2227" s="8" t="str">
        <x:v>screening:ldl_cholesterol:001</x:v>
      </x:c>
      <x:c r="D2227" s="8" t="str">
        <x:v>근거와 함께 답변</x:v>
      </x:c>
      <x:c r="E2227" s="15" t="n">
        <x:v>2225</x:v>
      </x:c>
      <x:c r="F2227" s="8" t="str">
        <x:v>건강검진 VDB 검증 정답</x:v>
      </x:c>
      <x:c r="G2227" s="8" t="str">
        <x:v>https://law.go.kr/LSW/flDownload.do?bylClsCd=200207&amp;flNm=%5B%EB%B3%84%EC%B2%A8+1%5D+%EA%B2%80%EC%82%AC%ED%95%AD%EB%AA%A9%EB%B3%84+%ED%8C%90%EC%A0%95%EA%B8%B0%EC%A4%80&amp;flSeq=160922929</x:v>
      </x:c>
      <x:c r="H2227" s="8" t="str">
        <x:v>{
  "canonical_key": "LDL_CHOLESTEROL",
  "heading": "LDL 콜레스테롤",
  "screening_domain": "LIPID",
  "source_locator": "1쪽 LDL 콜레스테롤",
  "review_status": "SOURCE_VERIFIED",
  "corpus_version": "2026.1",
  "related_terms": [
    "LDL",
    "저밀도콜레스테롤",
    "나쁜 콜레스테롤",
    "저밀도 지단백"
  ],
  "category": "health_screening"
}</x:v>
      </x:c>
    </x:row>
    <x:row r="2228" ht="54" customHeight="1">
      <x:c r="A2228" s="8" t="str">
        <x:v>gold-screening-na-e522a33a483b03b0</x:v>
      </x:c>
      <x:c r="B2228" s="8" t="str"/>
      <x:c r="C2228" s="8" t="str"/>
      <x:c r="D2228" s="8" t="str">
        <x:v>답변 거부 또는 추가 확인 요청</x:v>
      </x:c>
      <x:c r="E2228" s="15" t="n">
        <x:v>2226</x:v>
      </x:c>
      <x:c r="F2228" s="8" t="str">
        <x:v>답변 거부 기준 문구</x:v>
      </x:c>
      <x:c r="G2228" s="8" t="str">
        <x:v>https://law.go.kr/LSW/flDownload.do?bylClsCd=200207&amp;flNm=%5B%EB%B3%84%EC%B2%A8+1%5D+%EA%B2%80%EC%82%AC%ED%95%AD%EB%AA%A9%EB%B3%84+%ED%8C%90%EC%A0%95%EA%B8%B0%EC%A4%80&amp;flSeq=160922929</x:v>
      </x:c>
      <x:c r="H2228" s="8" t="str">
        <x:v>{
  "canonical_key": "LDL_CHOLESTEROL",
  "heading": "LDL 콜레스테롤",
  "screening_domain": "LIPID",
  "source_locator": "1쪽 LDL 콜레스테롤",
  "review_status": "SOURCE_VERIFIED",
  "corpus_version": "2026.1",
  "related_terms": [
    "LDL",
    "저밀도콜레스테롤",
    "나쁜 콜레스테롤",
    "저밀도 지단백"
  ],
  "category": "health_screening",
  "abstention_reason": "personal_diagnosis_or_treatment_out_of_scope"
}</x:v>
      </x:c>
    </x:row>
    <x:row r="2229" ht="54" customHeight="1">
      <x:c r="A2229" s="8" t="str">
        <x:v>gold-screening-73b0a3c0b590b713</x:v>
      </x:c>
      <x:c r="B2229" s="8" t="str">
        <x:v>screening:triglycerides:001</x:v>
      </x:c>
      <x:c r="C2229" s="8" t="str">
        <x:v>screening:triglycerides:001</x:v>
      </x:c>
      <x:c r="D2229" s="8" t="str">
        <x:v>근거와 함께 답변</x:v>
      </x:c>
      <x:c r="E2229" s="15" t="n">
        <x:v>2227</x:v>
      </x:c>
      <x:c r="F2229" s="8" t="str">
        <x:v>건강검진 VDB 검증 정답</x:v>
      </x:c>
      <x:c r="G2229" s="8" t="str">
        <x:v>https://law.go.kr/LSW/flDownload.do?bylClsCd=200207&amp;flNm=%5B%EB%B3%84%EC%B2%A8+1%5D+%EA%B2%80%EC%82%AC%ED%95%AD%EB%AA%A9%EB%B3%84+%ED%8C%90%EC%A0%95%EA%B8%B0%EC%A4%80&amp;flSeq=160922929</x:v>
      </x:c>
      <x:c r="H2229" s="8" t="str">
        <x:v>{
  "canonical_key": "TRIGLYCERIDES",
  "heading": "중성지방",
  "screening_domain": "LIPID",
  "source_locator": "1쪽 중성지방",
  "review_status": "SOURCE_VERIFIED",
  "corpus_version": "2026.1",
  "related_terms": [
    "중성지방",
    "트리글리세라이드",
    "triglyceride",
    "TG",
    "지질검사"
  ],
  "category": "health_screening"
}</x:v>
      </x:c>
    </x:row>
    <x:row r="2230" ht="54" customHeight="1">
      <x:c r="A2230" s="8" t="str">
        <x:v>gold-screening-be1dace0ac200499</x:v>
      </x:c>
      <x:c r="B2230" s="8" t="str">
        <x:v>screening:triglycerides:001</x:v>
      </x:c>
      <x:c r="C2230" s="8" t="str">
        <x:v>screening:triglycerides:001</x:v>
      </x:c>
      <x:c r="D2230" s="8" t="str">
        <x:v>근거와 함께 답변</x:v>
      </x:c>
      <x:c r="E2230" s="15" t="n">
        <x:v>2228</x:v>
      </x:c>
      <x:c r="F2230" s="8" t="str">
        <x:v>건강검진 VDB 검증 정답</x:v>
      </x:c>
      <x:c r="G2230" s="8" t="str">
        <x:v>https://law.go.kr/LSW/flDownload.do?bylClsCd=200207&amp;flNm=%5B%EB%B3%84%EC%B2%A8+1%5D+%EA%B2%80%EC%82%AC%ED%95%AD%EB%AA%A9%EB%B3%84+%ED%8C%90%EC%A0%95%EA%B8%B0%EC%A4%80&amp;flSeq=160922929</x:v>
      </x:c>
      <x:c r="H2230" s="8" t="str">
        <x:v>{
  "canonical_key": "TRIGLYCERIDES",
  "heading": "중성지방",
  "screening_domain": "LIPID",
  "source_locator": "1쪽 중성지방",
  "review_status": "SOURCE_VERIFIED",
  "corpus_version": "2026.1",
  "related_terms": [
    "중성지방",
    "트리글리세라이드",
    "triglyceride",
    "TG",
    "지질검사"
  ],
  "category": "health_screening"
}</x:v>
      </x:c>
    </x:row>
    <x:row r="2231" ht="54" customHeight="1">
      <x:c r="A2231" s="8" t="str">
        <x:v>gold-screening-62eecd1dc25a43ec</x:v>
      </x:c>
      <x:c r="B2231" s="8" t="str">
        <x:v>screening:triglycerides:001</x:v>
      </x:c>
      <x:c r="C2231" s="8" t="str">
        <x:v>screening:triglycerides:001</x:v>
      </x:c>
      <x:c r="D2231" s="8" t="str">
        <x:v>근거와 함께 답변</x:v>
      </x:c>
      <x:c r="E2231" s="15" t="n">
        <x:v>2229</x:v>
      </x:c>
      <x:c r="F2231" s="8" t="str">
        <x:v>건강검진 VDB 검증 정답</x:v>
      </x:c>
      <x:c r="G2231" s="8" t="str">
        <x:v>https://law.go.kr/LSW/flDownload.do?bylClsCd=200207&amp;flNm=%5B%EB%B3%84%EC%B2%A8+1%5D+%EA%B2%80%EC%82%AC%ED%95%AD%EB%AA%A9%EB%B3%84+%ED%8C%90%EC%A0%95%EA%B8%B0%EC%A4%80&amp;flSeq=160922929</x:v>
      </x:c>
      <x:c r="H2231" s="8" t="str">
        <x:v>{
  "canonical_key": "TRIGLYCERIDES",
  "heading": "중성지방",
  "screening_domain": "LIPID",
  "source_locator": "1쪽 중성지방",
  "review_status": "SOURCE_VERIFIED",
  "corpus_version": "2026.1",
  "related_terms": [
    "중성지방",
    "트리글리세라이드",
    "triglyceride",
    "TG",
    "지질검사"
  ],
  "category": "health_screening"
}</x:v>
      </x:c>
    </x:row>
    <x:row r="2232" ht="54" customHeight="1">
      <x:c r="A2232" s="8" t="str">
        <x:v>gold-screening-51cc05ecbaa7db63</x:v>
      </x:c>
      <x:c r="B2232" s="8" t="str">
        <x:v>screening:ast:001</x:v>
      </x:c>
      <x:c r="C2232" s="8" t="str">
        <x:v>screening:ast:001</x:v>
      </x:c>
      <x:c r="D2232" s="8" t="str">
        <x:v>근거와 함께 답변</x:v>
      </x:c>
      <x:c r="E2232" s="15" t="n">
        <x:v>2230</x:v>
      </x:c>
      <x:c r="F2232" s="8" t="str">
        <x:v>건강검진 VDB 검증 정답</x:v>
      </x:c>
      <x:c r="G2232" s="8" t="str">
        <x:v>https://law.go.kr/LSW/flDownload.do?bylClsCd=200207&amp;flNm=%5B%EB%B3%84%EC%B2%A8+1%5D+%EA%B2%80%EC%82%AC%ED%95%AD%EB%AA%A9%EB%B3%84+%ED%8C%90%EC%A0%95%EA%B8%B0%EC%A4%80&amp;flSeq=160922929</x:v>
      </x:c>
      <x:c r="H2232" s="8" t="str">
        <x:v>{
  "canonical_key": "AST",
  "heading": "AST(SGOT)",
  "screening_domain": "LIVER",
  "source_locator": "1쪽 간장질환",
  "review_status": "SOURCE_VERIFIED",
  "corpus_version": "2026.1",
  "related_terms": [
    "AST",
    "SGOT",
    "에이에스티",
    "간수치",
    "간기능"
  ],
  "category": "health_screening"
}</x:v>
      </x:c>
    </x:row>
    <x:row r="2233" ht="54" customHeight="1">
      <x:c r="A2233" s="8" t="str">
        <x:v>gold-screening-940592efba783af2</x:v>
      </x:c>
      <x:c r="B2233" s="8" t="str">
        <x:v>screening:ast:001</x:v>
      </x:c>
      <x:c r="C2233" s="8" t="str">
        <x:v>screening:ast:001</x:v>
      </x:c>
      <x:c r="D2233" s="8" t="str">
        <x:v>근거와 함께 답변</x:v>
      </x:c>
      <x:c r="E2233" s="15" t="n">
        <x:v>2231</x:v>
      </x:c>
      <x:c r="F2233" s="8" t="str">
        <x:v>건강검진 VDB 검증 정답</x:v>
      </x:c>
      <x:c r="G2233" s="8" t="str">
        <x:v>https://law.go.kr/LSW/flDownload.do?bylClsCd=200207&amp;flNm=%5B%EB%B3%84%EC%B2%A8+1%5D+%EA%B2%80%EC%82%AC%ED%95%AD%EB%AA%A9%EB%B3%84+%ED%8C%90%EC%A0%95%EA%B8%B0%EC%A4%80&amp;flSeq=160922929</x:v>
      </x:c>
      <x:c r="H2233" s="8" t="str">
        <x:v>{
  "canonical_key": "AST",
  "heading": "AST(SGOT)",
  "screening_domain": "LIVER",
  "source_locator": "1쪽 간장질환",
  "review_status": "SOURCE_VERIFIED",
  "corpus_version": "2026.1",
  "related_terms": [
    "AST",
    "SGOT",
    "에이에스티",
    "간수치",
    "간기능"
  ],
  "category": "health_screening"
}</x:v>
      </x:c>
    </x:row>
    <x:row r="2234" ht="54" customHeight="1">
      <x:c r="A2234" s="8" t="str">
        <x:v>gold-screening-afbc00eb0b0d94ac</x:v>
      </x:c>
      <x:c r="B2234" s="8" t="str">
        <x:v>screening:ast:001</x:v>
      </x:c>
      <x:c r="C2234" s="8" t="str">
        <x:v>screening:ast:001</x:v>
      </x:c>
      <x:c r="D2234" s="8" t="str">
        <x:v>근거와 함께 답변</x:v>
      </x:c>
      <x:c r="E2234" s="15" t="n">
        <x:v>2232</x:v>
      </x:c>
      <x:c r="F2234" s="8" t="str">
        <x:v>건강검진 VDB 검증 정답</x:v>
      </x:c>
      <x:c r="G2234" s="8" t="str">
        <x:v>https://law.go.kr/LSW/flDownload.do?bylClsCd=200207&amp;flNm=%5B%EB%B3%84%EC%B2%A8+1%5D+%EA%B2%80%EC%82%AC%ED%95%AD%EB%AA%A9%EB%B3%84+%ED%8C%90%EC%A0%95%EA%B8%B0%EC%A4%80&amp;flSeq=160922929</x:v>
      </x:c>
      <x:c r="H2234" s="8" t="str">
        <x:v>{
  "canonical_key": "AST",
  "heading": "AST(SGOT)",
  "screening_domain": "LIVER",
  "source_locator": "1쪽 간장질환",
  "review_status": "SOURCE_VERIFIED",
  "corpus_version": "2026.1",
  "related_terms": [
    "AST",
    "SGOT",
    "에이에스티",
    "간수치",
    "간기능"
  ],
  "category": "health_screening"
}</x:v>
      </x:c>
    </x:row>
    <x:row r="2235" ht="54" customHeight="1">
      <x:c r="A2235" s="8" t="str">
        <x:v>gold-screening-bfcc97a8d449764d</x:v>
      </x:c>
      <x:c r="B2235" s="8" t="str">
        <x:v>screening:alt:001</x:v>
      </x:c>
      <x:c r="C2235" s="8" t="str">
        <x:v>screening:alt:001</x:v>
      </x:c>
      <x:c r="D2235" s="8" t="str">
        <x:v>근거와 함께 답변</x:v>
      </x:c>
      <x:c r="E2235" s="15" t="n">
        <x:v>2233</x:v>
      </x:c>
      <x:c r="F2235" s="8" t="str">
        <x:v>건강검진 VDB 검증 정답</x:v>
      </x:c>
      <x:c r="G2235" s="8" t="str">
        <x:v>https://law.go.kr/LSW/flDownload.do?bylClsCd=200207&amp;flNm=%5B%EB%B3%84%EC%B2%A8+1%5D+%EA%B2%80%EC%82%AC%ED%95%AD%EB%AA%A9%EB%B3%84+%ED%8C%90%EC%A0%95%EA%B8%B0%EC%A4%80&amp;flSeq=160922929</x:v>
      </x:c>
      <x:c r="H2235" s="8" t="str">
        <x:v>{
  "canonical_key": "ALT",
  "heading": "ALT(SGPT)",
  "screening_domain": "LIVER",
  "source_locator": "1쪽 간장질환",
  "review_status": "SOURCE_VERIFIED",
  "corpus_version": "2026.1",
  "related_terms": [
    "ALT",
    "SGPT",
    "에이엘티",
    "간수치",
    "간세포"
  ],
  "category": "health_screening"
}</x:v>
      </x:c>
    </x:row>
    <x:row r="2236" ht="54" customHeight="1">
      <x:c r="A2236" s="8" t="str">
        <x:v>gold-screening-f01b5a47adda1077</x:v>
      </x:c>
      <x:c r="B2236" s="8" t="str">
        <x:v>screening:alt:001</x:v>
      </x:c>
      <x:c r="C2236" s="8" t="str">
        <x:v>screening:alt:001</x:v>
      </x:c>
      <x:c r="D2236" s="8" t="str">
        <x:v>근거와 함께 답변</x:v>
      </x:c>
      <x:c r="E2236" s="15" t="n">
        <x:v>2234</x:v>
      </x:c>
      <x:c r="F2236" s="8" t="str">
        <x:v>건강검진 VDB 검증 정답</x:v>
      </x:c>
      <x:c r="G2236" s="8" t="str">
        <x:v>https://law.go.kr/LSW/flDownload.do?bylClsCd=200207&amp;flNm=%5B%EB%B3%84%EC%B2%A8+1%5D+%EA%B2%80%EC%82%AC%ED%95%AD%EB%AA%A9%EB%B3%84+%ED%8C%90%EC%A0%95%EA%B8%B0%EC%A4%80&amp;flSeq=160922929</x:v>
      </x:c>
      <x:c r="H2236" s="8" t="str">
        <x:v>{
  "canonical_key": "ALT",
  "heading": "ALT(SGPT)",
  "screening_domain": "LIVER",
  "source_locator": "1쪽 간장질환",
  "review_status": "SOURCE_VERIFIED",
  "corpus_version": "2026.1",
  "related_terms": [
    "ALT",
    "SGPT",
    "에이엘티",
    "간수치",
    "간세포"
  ],
  "category": "health_screening"
}</x:v>
      </x:c>
    </x:row>
    <x:row r="2237" ht="54" customHeight="1">
      <x:c r="A2237" s="8" t="str">
        <x:v>gold-screening-416c0a94249bad2f</x:v>
      </x:c>
      <x:c r="B2237" s="8" t="str">
        <x:v>screening:alt:001</x:v>
      </x:c>
      <x:c r="C2237" s="8" t="str">
        <x:v>screening:alt:001</x:v>
      </x:c>
      <x:c r="D2237" s="8" t="str">
        <x:v>근거와 함께 답변</x:v>
      </x:c>
      <x:c r="E2237" s="15" t="n">
        <x:v>2235</x:v>
      </x:c>
      <x:c r="F2237" s="8" t="str">
        <x:v>건강검진 VDB 검증 정답</x:v>
      </x:c>
      <x:c r="G2237" s="8" t="str">
        <x:v>https://law.go.kr/LSW/flDownload.do?bylClsCd=200207&amp;flNm=%5B%EB%B3%84%EC%B2%A8+1%5D+%EA%B2%80%EC%82%AC%ED%95%AD%EB%AA%A9%EB%B3%84+%ED%8C%90%EC%A0%95%EA%B8%B0%EC%A4%80&amp;flSeq=160922929</x:v>
      </x:c>
      <x:c r="H2237" s="8" t="str">
        <x:v>{
  "canonical_key": "ALT",
  "heading": "ALT(SGPT)",
  "screening_domain": "LIVER",
  "source_locator": "1쪽 간장질환",
  "review_status": "SOURCE_VERIFIED",
  "corpus_version": "2026.1",
  "related_terms": [
    "ALT",
    "SGPT",
    "에이엘티",
    "간수치",
    "간세포"
  ],
  "category": "health_screening"
}</x:v>
      </x:c>
    </x:row>
    <x:row r="2238" ht="54" customHeight="1">
      <x:c r="A2238" s="8" t="str">
        <x:v>gold-screening-c1b3ad8995baf8f8</x:v>
      </x:c>
      <x:c r="B2238" s="8" t="str">
        <x:v>screening:gamma_gtp:001</x:v>
      </x:c>
      <x:c r="C2238" s="8" t="str">
        <x:v>screening:gamma_gtp:001</x:v>
      </x:c>
      <x:c r="D2238" s="8" t="str">
        <x:v>근거와 함께 답변</x:v>
      </x:c>
      <x:c r="E2238" s="15" t="n">
        <x:v>2236</x:v>
      </x:c>
      <x:c r="F2238" s="8" t="str">
        <x:v>건강검진 VDB 검증 정답</x:v>
      </x:c>
      <x:c r="G2238" s="8" t="str">
        <x:v>https://law.go.kr/LSW/flDownload.do?bylClsCd=200207&amp;flNm=%5B%EB%B3%84%EC%B2%A8+1%5D+%EA%B2%80%EC%82%AC%ED%95%AD%EB%AA%A9%EB%B3%84+%ED%8C%90%EC%A0%95%EA%B8%B0%EC%A4%80&amp;flSeq=160922929</x:v>
      </x:c>
      <x:c r="H2238" s="8" t="str">
        <x:v>{
  "canonical_key": "GAMMA_GTP",
  "heading": "감마지티피(γ-GTP, GGT)",
  "screening_domain": "LIVER",
  "source_locator": "1쪽 감마지티피",
  "review_status": "SOURCE_VERIFIED",
  "corpus_version": "2026.1",
  "related_terms": [
    "감마지티피",
    "감마GTP",
    "γ-GTP",
    "GGT",
    "r-GTP",
    "간수치"
  ],
  "category": "health_screening"
}</x:v>
      </x:c>
    </x:row>
    <x:row r="2239" ht="54" customHeight="1">
      <x:c r="A2239" s="8" t="str">
        <x:v>gold-screening-bd0dd06213df14e3</x:v>
      </x:c>
      <x:c r="B2239" s="8" t="str">
        <x:v>screening:gamma_gtp:001</x:v>
      </x:c>
      <x:c r="C2239" s="8" t="str">
        <x:v>screening:gamma_gtp:001</x:v>
      </x:c>
      <x:c r="D2239" s="8" t="str">
        <x:v>근거와 함께 답변</x:v>
      </x:c>
      <x:c r="E2239" s="15" t="n">
        <x:v>2237</x:v>
      </x:c>
      <x:c r="F2239" s="8" t="str">
        <x:v>건강검진 VDB 검증 정답</x:v>
      </x:c>
      <x:c r="G2239" s="8" t="str">
        <x:v>https://law.go.kr/LSW/flDownload.do?bylClsCd=200207&amp;flNm=%5B%EB%B3%84%EC%B2%A8+1%5D+%EA%B2%80%EC%82%AC%ED%95%AD%EB%AA%A9%EB%B3%84+%ED%8C%90%EC%A0%95%EA%B8%B0%EC%A4%80&amp;flSeq=160922929</x:v>
      </x:c>
      <x:c r="H2239" s="8" t="str">
        <x:v>{
  "canonical_key": "GAMMA_GTP",
  "heading": "감마지티피(γ-GTP, GGT)",
  "screening_domain": "LIVER",
  "source_locator": "1쪽 감마지티피",
  "review_status": "SOURCE_VERIFIED",
  "corpus_version": "2026.1",
  "related_terms": [
    "감마지티피",
    "감마GTP",
    "γ-GTP",
    "GGT",
    "r-GTP",
    "간수치"
  ],
  "category": "health_screening"
}</x:v>
      </x:c>
    </x:row>
    <x:row r="2240" ht="54" customHeight="1">
      <x:c r="A2240" s="8" t="str">
        <x:v>gold-screening-288ff5fe5b1f8bf5</x:v>
      </x:c>
      <x:c r="B2240" s="8" t="str">
        <x:v>screening:gamma_gtp:001</x:v>
      </x:c>
      <x:c r="C2240" s="8" t="str">
        <x:v>screening:gamma_gtp:001</x:v>
      </x:c>
      <x:c r="D2240" s="8" t="str">
        <x:v>근거와 함께 답변</x:v>
      </x:c>
      <x:c r="E2240" s="15" t="n">
        <x:v>2238</x:v>
      </x:c>
      <x:c r="F2240" s="8" t="str">
        <x:v>건강검진 VDB 검증 정답</x:v>
      </x:c>
      <x:c r="G2240" s="8" t="str">
        <x:v>https://law.go.kr/LSW/flDownload.do?bylClsCd=200207&amp;flNm=%5B%EB%B3%84%EC%B2%A8+1%5D+%EA%B2%80%EC%82%AC%ED%95%AD%EB%AA%A9%EB%B3%84+%ED%8C%90%EC%A0%95%EA%B8%B0%EC%A4%80&amp;flSeq=160922929</x:v>
      </x:c>
      <x:c r="H2240" s="8" t="str">
        <x:v>{
  "canonical_key": "GAMMA_GTP",
  "heading": "감마지티피(γ-GTP, GGT)",
  "screening_domain": "LIVER",
  "source_locator": "1쪽 감마지티피",
  "review_status": "SOURCE_VERIFIED",
  "corpus_version": "2026.1",
  "related_terms": [
    "감마지티피",
    "감마GTP",
    "γ-GTP",
    "GGT",
    "r-GTP",
    "간수치"
  ],
  "category": "health_screening"
}</x:v>
      </x:c>
    </x:row>
    <x:row r="2241" ht="54" customHeight="1">
      <x:c r="A2241" s="8" t="str">
        <x:v>gold-screening-acf758ea46f9f3f4</x:v>
      </x:c>
      <x:c r="B2241" s="8" t="str">
        <x:v>screening:urine_protein:001</x:v>
      </x:c>
      <x:c r="C2241" s="8" t="str">
        <x:v>screening:urine_protein:001</x:v>
      </x:c>
      <x:c r="D2241" s="8" t="str">
        <x:v>근거와 함께 답변</x:v>
      </x:c>
      <x:c r="E2241" s="15" t="n">
        <x:v>2239</x:v>
      </x:c>
      <x:c r="F2241" s="8" t="str">
        <x:v>건강검진 VDB 검증 정답</x:v>
      </x:c>
      <x:c r="G2241" s="8" t="str">
        <x:v>https://law.go.kr/LSW/flDownload.do?bylClsCd=200207&amp;flNm=%5B%EB%B3%84%EC%B2%A8+1%5D+%EA%B2%80%EC%82%AC%ED%95%AD%EB%AA%A9%EB%B3%84+%ED%8C%90%EC%A0%95%EA%B8%B0%EC%A4%80&amp;flSeq=160922929</x:v>
      </x:c>
      <x:c r="H2241" s="8" t="str">
        <x:v>{
  "canonical_key": "URINE_PROTEIN",
  "heading": "요단백",
  "screening_domain": "KIDNEY",
  "source_locator": "1쪽 신장질환",
  "review_status": "SOURCE_VERIFIED",
  "corpus_version": "2026.1",
  "related_terms": [
    "요단백",
    "단백뇨",
    "urine protein",
    "소변 단백",
    "신장"
  ],
  "category": "health_screening"
}</x:v>
      </x:c>
    </x:row>
    <x:row r="2242" ht="54" customHeight="1">
      <x:c r="A2242" s="8" t="str">
        <x:v>gold-screening-5440e01cb809ec50</x:v>
      </x:c>
      <x:c r="B2242" s="8" t="str">
        <x:v>screening:urine_protein:001</x:v>
      </x:c>
      <x:c r="C2242" s="8" t="str">
        <x:v>screening:urine_protein:001</x:v>
      </x:c>
      <x:c r="D2242" s="8" t="str">
        <x:v>근거와 함께 답변</x:v>
      </x:c>
      <x:c r="E2242" s="15" t="n">
        <x:v>2240</x:v>
      </x:c>
      <x:c r="F2242" s="8" t="str">
        <x:v>건강검진 VDB 검증 정답</x:v>
      </x:c>
      <x:c r="G2242" s="8" t="str">
        <x:v>https://law.go.kr/LSW/flDownload.do?bylClsCd=200207&amp;flNm=%5B%EB%B3%84%EC%B2%A8+1%5D+%EA%B2%80%EC%82%AC%ED%95%AD%EB%AA%A9%EB%B3%84+%ED%8C%90%EC%A0%95%EA%B8%B0%EC%A4%80&amp;flSeq=160922929</x:v>
      </x:c>
      <x:c r="H2242" s="8" t="str">
        <x:v>{
  "canonical_key": "URINE_PROTEIN",
  "heading": "요단백",
  "screening_domain": "KIDNEY",
  "source_locator": "1쪽 신장질환",
  "review_status": "SOURCE_VERIFIED",
  "corpus_version": "2026.1",
  "related_terms": [
    "요단백",
    "단백뇨",
    "urine protein",
    "소변 단백",
    "신장"
  ],
  "category": "health_screening"
}</x:v>
      </x:c>
    </x:row>
    <x:row r="2243" ht="54" customHeight="1">
      <x:c r="A2243" s="8" t="str">
        <x:v>gold-screening-7027fdf2dc0b73cb</x:v>
      </x:c>
      <x:c r="B2243" s="8" t="str">
        <x:v>screening:urine_protein:001</x:v>
      </x:c>
      <x:c r="C2243" s="8" t="str">
        <x:v>screening:urine_protein:001</x:v>
      </x:c>
      <x:c r="D2243" s="8" t="str">
        <x:v>근거와 함께 답변</x:v>
      </x:c>
      <x:c r="E2243" s="15" t="n">
        <x:v>2241</x:v>
      </x:c>
      <x:c r="F2243" s="8" t="str">
        <x:v>건강검진 VDB 검증 정답</x:v>
      </x:c>
      <x:c r="G2243" s="8" t="str">
        <x:v>https://law.go.kr/LSW/flDownload.do?bylClsCd=200207&amp;flNm=%5B%EB%B3%84%EC%B2%A8+1%5D+%EA%B2%80%EC%82%AC%ED%95%AD%EB%AA%A9%EB%B3%84+%ED%8C%90%EC%A0%95%EA%B8%B0%EC%A4%80&amp;flSeq=160922929</x:v>
      </x:c>
      <x:c r="H2243" s="8" t="str">
        <x:v>{
  "canonical_key": "URINE_PROTEIN",
  "heading": "요단백",
  "screening_domain": "KIDNEY",
  "source_locator": "1쪽 신장질환",
  "review_status": "SOURCE_VERIFIED",
  "corpus_version": "2026.1",
  "related_terms": [
    "요단백",
    "단백뇨",
    "urine protein",
    "소변 단백",
    "신장"
  ],
  "category": "health_screening"
}</x:v>
      </x:c>
    </x:row>
    <x:row r="2244" ht="54" customHeight="1">
      <x:c r="A2244" s="8" t="str">
        <x:v>gold-screening-bba32d20242b5883</x:v>
      </x:c>
      <x:c r="B2244" s="8" t="str">
        <x:v>screening:serum_creatinine:001</x:v>
      </x:c>
      <x:c r="C2244" s="8" t="str">
        <x:v>screening:serum_creatinine:001</x:v>
      </x:c>
      <x:c r="D2244" s="8" t="str">
        <x:v>근거와 함께 답변</x:v>
      </x:c>
      <x:c r="E2244" s="15" t="n">
        <x:v>2242</x:v>
      </x:c>
      <x:c r="F2244" s="8" t="str">
        <x:v>건강검진 VDB 검증 정답</x:v>
      </x:c>
      <x:c r="G2244" s="8" t="str">
        <x:v>https://law.go.kr/LSW/flDownload.do?bylClsCd=200207&amp;flNm=%5B%EB%B3%84%EC%B2%A8+1%5D+%EA%B2%80%EC%82%AC%ED%95%AD%EB%AA%A9%EB%B3%84+%ED%8C%90%EC%A0%95%EA%B8%B0%EC%A4%80&amp;flSeq=160922929</x:v>
      </x:c>
      <x:c r="H2244" s="8" t="str">
        <x:v>{
  "canonical_key": "SERUM_CREATININE",
  "heading": "혈청 크레아티닌",
  "screening_domain": "KIDNEY",
  "source_locator": "1쪽 혈청크레아티닌",
  "review_status": "SOURCE_VERIFIED",
  "corpus_version": "2026.1",
  "related_terms": [
    "크레아티닌",
    "creatinine",
    "혈청크레아티닌",
    "Cr",
    "콩팥기능",
    "신장기능"
  ],
  "category": "health_screening"
}</x:v>
      </x:c>
    </x:row>
    <x:row r="2245" ht="54" customHeight="1">
      <x:c r="A2245" s="8" t="str">
        <x:v>gold-screening-fc38945075aa7b1d</x:v>
      </x:c>
      <x:c r="B2245" s="8" t="str">
        <x:v>screening:serum_creatinine:001</x:v>
      </x:c>
      <x:c r="C2245" s="8" t="str">
        <x:v>screening:serum_creatinine:001</x:v>
      </x:c>
      <x:c r="D2245" s="8" t="str">
        <x:v>근거와 함께 답변</x:v>
      </x:c>
      <x:c r="E2245" s="15" t="n">
        <x:v>2243</x:v>
      </x:c>
      <x:c r="F2245" s="8" t="str">
        <x:v>건강검진 VDB 검증 정답</x:v>
      </x:c>
      <x:c r="G2245" s="8" t="str">
        <x:v>https://law.go.kr/LSW/flDownload.do?bylClsCd=200207&amp;flNm=%5B%EB%B3%84%EC%B2%A8+1%5D+%EA%B2%80%EC%82%AC%ED%95%AD%EB%AA%A9%EB%B3%84+%ED%8C%90%EC%A0%95%EA%B8%B0%EC%A4%80&amp;flSeq=160922929</x:v>
      </x:c>
      <x:c r="H2245" s="8" t="str">
        <x:v>{
  "canonical_key": "SERUM_CREATININE",
  "heading": "혈청 크레아티닌",
  "screening_domain": "KIDNEY",
  "source_locator": "1쪽 혈청크레아티닌",
  "review_status": "SOURCE_VERIFIED",
  "corpus_version": "2026.1",
  "related_terms": [
    "크레아티닌",
    "creatinine",
    "혈청크레아티닌",
    "Cr",
    "콩팥기능",
    "신장기능"
  ],
  "category": "health_screening"
}</x:v>
      </x:c>
    </x:row>
    <x:row r="2246" ht="54" customHeight="1">
      <x:c r="A2246" s="8" t="str">
        <x:v>gold-screening-2f09ad79c65a0a99</x:v>
      </x:c>
      <x:c r="B2246" s="8" t="str">
        <x:v>screening:serum_creatinine:001</x:v>
      </x:c>
      <x:c r="C2246" s="8" t="str">
        <x:v>screening:serum_creatinine:001</x:v>
      </x:c>
      <x:c r="D2246" s="8" t="str">
        <x:v>근거와 함께 답변</x:v>
      </x:c>
      <x:c r="E2246" s="15" t="n">
        <x:v>2244</x:v>
      </x:c>
      <x:c r="F2246" s="8" t="str">
        <x:v>건강검진 VDB 검증 정답</x:v>
      </x:c>
      <x:c r="G2246" s="8" t="str">
        <x:v>https://law.go.kr/LSW/flDownload.do?bylClsCd=200207&amp;flNm=%5B%EB%B3%84%EC%B2%A8+1%5D+%EA%B2%80%EC%82%AC%ED%95%AD%EB%AA%A9%EB%B3%84+%ED%8C%90%EC%A0%95%EA%B8%B0%EC%A4%80&amp;flSeq=160922929</x:v>
      </x:c>
      <x:c r="H2246" s="8" t="str">
        <x:v>{
  "canonical_key": "SERUM_CREATININE",
  "heading": "혈청 크레아티닌",
  "screening_domain": "KIDNEY",
  "source_locator": "1쪽 혈청크레아티닌",
  "review_status": "SOURCE_VERIFIED",
  "corpus_version": "2026.1",
  "related_terms": [
    "크레아티닌",
    "creatinine",
    "혈청크레아티닌",
    "Cr",
    "콩팥기능",
    "신장기능"
  ],
  "category": "health_screening"
}</x:v>
      </x:c>
    </x:row>
    <x:row r="2247" ht="54" customHeight="1">
      <x:c r="A2247" s="8" t="str">
        <x:v>gold-screening-7488039a70a0b625</x:v>
      </x:c>
      <x:c r="B2247" s="8" t="str">
        <x:v>screening:egfr:001</x:v>
      </x:c>
      <x:c r="C2247" s="8" t="str">
        <x:v>screening:egfr:001</x:v>
      </x:c>
      <x:c r="D2247" s="8" t="str">
        <x:v>근거와 함께 답변</x:v>
      </x:c>
      <x:c r="E2247" s="15" t="n">
        <x:v>2245</x:v>
      </x:c>
      <x:c r="F2247" s="8" t="str">
        <x:v>건강검진 VDB 검증 정답</x:v>
      </x:c>
      <x:c r="G2247" s="8" t="str">
        <x:v>https://law.go.kr/LSW/flDownload.do?bylClsCd=200207&amp;flNm=%5B%EB%B3%84%EC%B2%A8+1%5D+%EA%B2%80%EC%82%AC%ED%95%AD%EB%AA%A9%EB%B3%84+%ED%8C%90%EC%A0%95%EA%B8%B0%EC%A4%80&amp;flSeq=160922929</x:v>
      </x:c>
      <x:c r="H2247" s="8" t="str">
        <x:v>{
  "canonical_key": "EGFR",
  "heading": "추정사구체여과율(eGFR)",
  "screening_domain": "KIDNEY",
  "source_locator": "1쪽 e-GFR",
  "review_status": "SOURCE_VERIFIED",
  "corpus_version": "2026.1",
  "related_terms": [
    "eGFR",
    "신사구체여과율",
    "추정사구체여과율",
    "사구체여과율",
    "콩팥기능"
  ],
  "category": "health_screening"
}</x:v>
      </x:c>
    </x:row>
    <x:row r="2248" ht="54" customHeight="1">
      <x:c r="A2248" s="8" t="str">
        <x:v>gold-screening-8caf7199eec65683</x:v>
      </x:c>
      <x:c r="B2248" s="8" t="str">
        <x:v>screening:egfr:001</x:v>
      </x:c>
      <x:c r="C2248" s="8" t="str">
        <x:v>screening:egfr:001</x:v>
      </x:c>
      <x:c r="D2248" s="8" t="str">
        <x:v>근거와 함께 답변</x:v>
      </x:c>
      <x:c r="E2248" s="15" t="n">
        <x:v>2246</x:v>
      </x:c>
      <x:c r="F2248" s="8" t="str">
        <x:v>건강검진 VDB 검증 정답</x:v>
      </x:c>
      <x:c r="G2248" s="8" t="str">
        <x:v>https://law.go.kr/LSW/flDownload.do?bylClsCd=200207&amp;flNm=%5B%EB%B3%84%EC%B2%A8+1%5D+%EA%B2%80%EC%82%AC%ED%95%AD%EB%AA%A9%EB%B3%84+%ED%8C%90%EC%A0%95%EA%B8%B0%EC%A4%80&amp;flSeq=160922929</x:v>
      </x:c>
      <x:c r="H2248" s="8" t="str">
        <x:v>{
  "canonical_key": "EGFR",
  "heading": "추정사구체여과율(eGFR)",
  "screening_domain": "KIDNEY",
  "source_locator": "1쪽 e-GFR",
  "review_status": "SOURCE_VERIFIED",
  "corpus_version": "2026.1",
  "related_terms": [
    "eGFR",
    "신사구체여과율",
    "추정사구체여과율",
    "사구체여과율",
    "콩팥기능"
  ],
  "category": "health_screening"
}</x:v>
      </x:c>
    </x:row>
    <x:row r="2249" ht="54" customHeight="1">
      <x:c r="A2249" s="8" t="str">
        <x:v>gold-screening-na-90a2152bbb65c774</x:v>
      </x:c>
      <x:c r="B2249" s="8" t="str"/>
      <x:c r="C2249" s="8" t="str"/>
      <x:c r="D2249" s="8" t="str">
        <x:v>답변 거부 또는 추가 확인 요청</x:v>
      </x:c>
      <x:c r="E2249" s="15" t="n">
        <x:v>2247</x:v>
      </x:c>
      <x:c r="F2249" s="8" t="str">
        <x:v>답변 거부 기준 문구</x:v>
      </x:c>
      <x:c r="G2249" s="8" t="str">
        <x:v>https://law.go.kr/LSW/flDownload.do?bylClsCd=200207&amp;flNm=%5B%EB%B3%84%EC%B2%A8+1%5D+%EA%B2%80%EC%82%AC%ED%95%AD%EB%AA%A9%EB%B3%84+%ED%8C%90%EC%A0%95%EA%B8%B0%EC%A4%80&amp;flSeq=160922929</x:v>
      </x:c>
      <x:c r="H2249" s="8" t="str">
        <x:v>{
  "canonical_key": "EGFR",
  "heading": "추정사구체여과율(eGFR)",
  "screening_domain": "KIDNEY",
  "source_locator": "1쪽 e-GFR",
  "review_status": "SOURCE_VERIFIED",
  "corpus_version": "2026.1",
  "related_terms": [
    "eGFR",
    "신사구체여과율",
    "추정사구체여과율",
    "사구체여과율",
    "콩팥기능"
  ],
  "category": "health_screening",
  "abstention_reason": "personal_diagnosis_or_treatment_out_of_scope"
}</x:v>
      </x:c>
    </x:row>
    <x:row r="2250" ht="54" customHeight="1">
      <x:c r="A2250" s="8" t="str">
        <x:v>gold-screening-667887d5ad3c647f</x:v>
      </x:c>
      <x:c r="B2250" s="8" t="str">
        <x:v>screening:chest_xray:001</x:v>
      </x:c>
      <x:c r="C2250" s="8" t="str">
        <x:v>screening:chest_xray:001</x:v>
      </x:c>
      <x:c r="D2250" s="8" t="str">
        <x:v>근거와 함께 답변</x:v>
      </x:c>
      <x:c r="E2250" s="15" t="n">
        <x:v>2248</x:v>
      </x:c>
      <x:c r="F2250" s="8" t="str">
        <x:v>건강검진 VDB 검증 정답</x:v>
      </x:c>
      <x:c r="G2250" s="8" t="str">
        <x:v>https://law.go.kr/LSW/flDownload.do?bylClsCd=200207&amp;flNm=%5B%EB%B3%84%EC%B2%A8+1%5D+%EA%B2%80%EC%82%AC%ED%95%AD%EB%AA%A9%EB%B3%84+%ED%8C%90%EC%A0%95%EA%B8%B0%EC%A4%80&amp;flSeq=160922929</x:v>
      </x:c>
      <x:c r="H2250" s="8" t="str">
        <x:v>{
  "canonical_key": "CHEST_XRAY",
  "heading": "흉부방사선촬영",
  "screening_domain": "RESPIRATORY",
  "source_locator": "1쪽 폐결핵 및 기타 흉부질환",
  "review_status": "SOURCE_VERIFIED",
  "corpus_version": "2026.1",
  "related_terms": [
    "흉부방사선",
    "흉부X선",
    "chest x-ray",
    "폐결핵",
    "흉부촬영"
  ],
  "category": "health_screening"
}</x:v>
      </x:c>
    </x:row>
    <x:row r="2251" ht="54" customHeight="1">
      <x:c r="A2251" s="8" t="str">
        <x:v>gold-screening-9b99216f85d7f8f4</x:v>
      </x:c>
      <x:c r="B2251" s="8" t="str">
        <x:v>screening:chest_xray:001</x:v>
      </x:c>
      <x:c r="C2251" s="8" t="str">
        <x:v>screening:chest_xray:001</x:v>
      </x:c>
      <x:c r="D2251" s="8" t="str">
        <x:v>근거와 함께 답변</x:v>
      </x:c>
      <x:c r="E2251" s="15" t="n">
        <x:v>2249</x:v>
      </x:c>
      <x:c r="F2251" s="8" t="str">
        <x:v>건강검진 VDB 검증 정답</x:v>
      </x:c>
      <x:c r="G2251" s="8" t="str">
        <x:v>https://law.go.kr/LSW/flDownload.do?bylClsCd=200207&amp;flNm=%5B%EB%B3%84%EC%B2%A8+1%5D+%EA%B2%80%EC%82%AC%ED%95%AD%EB%AA%A9%EB%B3%84+%ED%8C%90%EC%A0%95%EA%B8%B0%EC%A4%80&amp;flSeq=160922929</x:v>
      </x:c>
      <x:c r="H2251" s="8" t="str">
        <x:v>{
  "canonical_key": "CHEST_XRAY",
  "heading": "흉부방사선촬영",
  "screening_domain": "RESPIRATORY",
  "source_locator": "1쪽 폐결핵 및 기타 흉부질환",
  "review_status": "SOURCE_VERIFIED",
  "corpus_version": "2026.1",
  "related_terms": [
    "흉부방사선",
    "흉부X선",
    "chest x-ray",
    "폐결핵",
    "흉부촬영"
  ],
  "category": "health_screening"
}</x:v>
      </x:c>
    </x:row>
    <x:row r="2252" ht="54" customHeight="1">
      <x:c r="A2252" s="8" t="str">
        <x:v>gold-screening-na-17830d28fa94e0aa</x:v>
      </x:c>
      <x:c r="B2252" s="8" t="str"/>
      <x:c r="C2252" s="8" t="str"/>
      <x:c r="D2252" s="8" t="str">
        <x:v>답변 거부 또는 추가 확인 요청</x:v>
      </x:c>
      <x:c r="E2252" s="15" t="n">
        <x:v>2250</x:v>
      </x:c>
      <x:c r="F2252" s="8" t="str">
        <x:v>답변 거부 기준 문구</x:v>
      </x:c>
      <x:c r="G2252" s="8" t="str">
        <x:v>https://law.go.kr/LSW/flDownload.do?bylClsCd=200207&amp;flNm=%5B%EB%B3%84%EC%B2%A8+1%5D+%EA%B2%80%EC%82%AC%ED%95%AD%EB%AA%A9%EB%B3%84+%ED%8C%90%EC%A0%95%EA%B8%B0%EC%A4%80&amp;flSeq=160922929</x:v>
      </x:c>
      <x:c r="H2252" s="8" t="str">
        <x:v>{
  "canonical_key": "CHEST_XRAY",
  "heading": "흉부방사선촬영",
  "screening_domain": "RESPIRATORY",
  "source_locator": "1쪽 폐결핵 및 기타 흉부질환",
  "review_status": "SOURCE_VERIFIED",
  "corpus_version": "2026.1",
  "related_terms": [
    "흉부방사선",
    "흉부X선",
    "chest x-ray",
    "폐결핵",
    "흉부촬영"
  ],
  "category": "health_screening",
  "abstention_reason": "personal_diagnosis_or_treatment_out_of_scope"
}</x:v>
      </x:c>
    </x:row>
    <x:row r="2253" ht="54" customHeight="1">
      <x:c r="A2253" s="8" t="str">
        <x:v>gold-screening-95c10f6afe0a83d8</x:v>
      </x:c>
      <x:c r="B2253" s="8" t="str">
        <x:v>screening:hearing:001</x:v>
      </x:c>
      <x:c r="C2253" s="8" t="str">
        <x:v>screening:hearing:001</x:v>
      </x:c>
      <x:c r="D2253" s="8" t="str">
        <x:v>근거와 함께 답변</x:v>
      </x:c>
      <x:c r="E2253" s="15" t="n">
        <x:v>2251</x:v>
      </x:c>
      <x:c r="F2253" s="8" t="str">
        <x:v>건강검진 VDB 검증 정답</x:v>
      </x:c>
      <x:c r="G2253" s="8" t="str">
        <x:v>https://law.go.kr/LSW/flDownload.do?bylClsCd=200207&amp;flNm=%5B%EB%B3%84%EC%B2%A8+1%5D+%EA%B2%80%EC%82%AC%ED%95%AD%EB%AA%A9%EB%B3%84+%ED%8C%90%EC%A0%95%EA%B8%B0%EC%A4%80&amp;flSeq=160922929</x:v>
      </x:c>
      <x:c r="H2253" s="8" t="str">
        <x:v>{
  "canonical_key": "HEARING",
  "heading": "청력 선별검사",
  "screening_domain": "SENSORY",
  "source_locator": "2쪽 청력",
  "review_status": "SOURCE_VERIFIED",
  "corpus_version": "2026.1",
  "related_terms": [
    "청력",
    "난청",
    "순음청력검사",
    "귓속말검사",
    "hearing",
    "dB"
  ],
  "category": "health_screening"
}</x:v>
      </x:c>
    </x:row>
    <x:row r="2254" ht="54" customHeight="1">
      <x:c r="A2254" s="8" t="str">
        <x:v>gold-screening-0fa261f30a9a6dc4</x:v>
      </x:c>
      <x:c r="B2254" s="8" t="str">
        <x:v>screening:hearing:001</x:v>
      </x:c>
      <x:c r="C2254" s="8" t="str">
        <x:v>screening:hearing:001</x:v>
      </x:c>
      <x:c r="D2254" s="8" t="str">
        <x:v>근거와 함께 답변</x:v>
      </x:c>
      <x:c r="E2254" s="15" t="n">
        <x:v>2252</x:v>
      </x:c>
      <x:c r="F2254" s="8" t="str">
        <x:v>건강검진 VDB 검증 정답</x:v>
      </x:c>
      <x:c r="G2254" s="8" t="str">
        <x:v>https://law.go.kr/LSW/flDownload.do?bylClsCd=200207&amp;flNm=%5B%EB%B3%84%EC%B2%A8+1%5D+%EA%B2%80%EC%82%AC%ED%95%AD%EB%AA%A9%EB%B3%84+%ED%8C%90%EC%A0%95%EA%B8%B0%EC%A4%80&amp;flSeq=160922929</x:v>
      </x:c>
      <x:c r="H2254" s="8" t="str">
        <x:v>{
  "canonical_key": "HEARING",
  "heading": "청력 선별검사",
  "screening_domain": "SENSORY",
  "source_locator": "2쪽 청력",
  "review_status": "SOURCE_VERIFIED",
  "corpus_version": "2026.1",
  "related_terms": [
    "청력",
    "난청",
    "순음청력검사",
    "귓속말검사",
    "hearing",
    "dB"
  ],
  "category": "health_screening"
}</x:v>
      </x:c>
    </x:row>
    <x:row r="2255" ht="54" customHeight="1">
      <x:c r="A2255" s="8" t="str">
        <x:v>gold-screening-a1ba19b37aa9cea6</x:v>
      </x:c>
      <x:c r="B2255" s="8" t="str">
        <x:v>screening:hearing:001</x:v>
      </x:c>
      <x:c r="C2255" s="8" t="str">
        <x:v>screening:hearing:001</x:v>
      </x:c>
      <x:c r="D2255" s="8" t="str">
        <x:v>근거와 함께 답변</x:v>
      </x:c>
      <x:c r="E2255" s="15" t="n">
        <x:v>2253</x:v>
      </x:c>
      <x:c r="F2255" s="8" t="str">
        <x:v>건강검진 VDB 검증 정답</x:v>
      </x:c>
      <x:c r="G2255" s="8" t="str">
        <x:v>https://law.go.kr/LSW/flDownload.do?bylClsCd=200207&amp;flNm=%5B%EB%B3%84%EC%B2%A8+1%5D+%EA%B2%80%EC%82%AC%ED%95%AD%EB%AA%A9%EB%B3%84+%ED%8C%90%EC%A0%95%EA%B8%B0%EC%A4%80&amp;flSeq=160922929</x:v>
      </x:c>
      <x:c r="H2255" s="8" t="str">
        <x:v>{
  "canonical_key": "HEARING",
  "heading": "청력 선별검사",
  "screening_domain": "SENSORY",
  "source_locator": "2쪽 청력",
  "review_status": "SOURCE_VERIFIED",
  "corpus_version": "2026.1",
  "related_terms": [
    "청력",
    "난청",
    "순음청력검사",
    "귓속말검사",
    "hearing",
    "dB"
  ],
  "category": "health_screening"
}</x:v>
      </x:c>
    </x:row>
    <x:row r="2256" ht="54" customHeight="1">
      <x:c r="A2256" s="8" t="str">
        <x:v>gold-screening-0756135ea218ca31</x:v>
      </x:c>
      <x:c r="B2256" s="8" t="str">
        <x:v>screening:bone_density:001</x:v>
      </x:c>
      <x:c r="C2256" s="8" t="str">
        <x:v>screening:bone_density:001</x:v>
      </x:c>
      <x:c r="D2256" s="8" t="str">
        <x:v>근거와 함께 답변</x:v>
      </x:c>
      <x:c r="E2256" s="15" t="n">
        <x:v>2254</x:v>
      </x:c>
      <x:c r="F2256" s="8" t="str">
        <x:v>건강검진 VDB 검증 정답</x:v>
      </x:c>
      <x:c r="G2256" s="8" t="str">
        <x:v>https://law.go.kr/LSW/flDownload.do?bylClsCd=200207&amp;flNm=%5B%EB%B3%84%EC%B2%A8+1%5D+%EA%B2%80%EC%82%AC%ED%95%AD%EB%AA%A9%EB%B3%84+%ED%8C%90%EC%A0%95%EA%B8%B0%EC%A4%80&amp;flSeq=160922929</x:v>
      </x:c>
      <x:c r="H2256" s="8" t="str">
        <x:v>{
  "canonical_key": "BONE_DENSITY",
  "heading": "골밀도검사",
  "screening_domain": "BONE",
  "source_locator": "2쪽 골다공증",
  "review_status": "SOURCE_VERIFIED",
  "corpus_version": "2026.1",
  "related_terms": [
    "골밀도",
    "골다공증",
    "T-score",
    "DEXA",
    "QCT",
    "골밀도검사"
  ],
  "category": "health_screening"
}</x:v>
      </x:c>
    </x:row>
    <x:row r="2257" ht="54" customHeight="1">
      <x:c r="A2257" s="8" t="str">
        <x:v>gold-screening-f3300660cb0e5c04</x:v>
      </x:c>
      <x:c r="B2257" s="8" t="str">
        <x:v>screening:bone_density:001</x:v>
      </x:c>
      <x:c r="C2257" s="8" t="str">
        <x:v>screening:bone_density:001</x:v>
      </x:c>
      <x:c r="D2257" s="8" t="str">
        <x:v>근거와 함께 답변</x:v>
      </x:c>
      <x:c r="E2257" s="15" t="n">
        <x:v>2255</x:v>
      </x:c>
      <x:c r="F2257" s="8" t="str">
        <x:v>건강검진 VDB 검증 정답</x:v>
      </x:c>
      <x:c r="G2257" s="8" t="str">
        <x:v>https://law.go.kr/LSW/flDownload.do?bylClsCd=200207&amp;flNm=%5B%EB%B3%84%EC%B2%A8+1%5D+%EA%B2%80%EC%82%AC%ED%95%AD%EB%AA%A9%EB%B3%84+%ED%8C%90%EC%A0%95%EA%B8%B0%EC%A4%80&amp;flSeq=160922929</x:v>
      </x:c>
      <x:c r="H2257" s="8" t="str">
        <x:v>{
  "canonical_key": "BONE_DENSITY",
  "heading": "골밀도검사",
  "screening_domain": "BONE",
  "source_locator": "2쪽 골다공증",
  "review_status": "SOURCE_VERIFIED",
  "corpus_version": "2026.1",
  "related_terms": [
    "골밀도",
    "골다공증",
    "T-score",
    "DEXA",
    "QCT",
    "골밀도검사"
  ],
  "category": "health_screening"
}</x:v>
      </x:c>
    </x:row>
    <x:row r="2258" ht="54" customHeight="1">
      <x:c r="A2258" s="8" t="str">
        <x:v>gold-screening-na-e2720a738f3c9346</x:v>
      </x:c>
      <x:c r="B2258" s="8" t="str"/>
      <x:c r="C2258" s="8" t="str"/>
      <x:c r="D2258" s="8" t="str">
        <x:v>답변 거부 또는 추가 확인 요청</x:v>
      </x:c>
      <x:c r="E2258" s="15" t="n">
        <x:v>2256</x:v>
      </x:c>
      <x:c r="F2258" s="8" t="str">
        <x:v>답변 거부 기준 문구</x:v>
      </x:c>
      <x:c r="G2258" s="8" t="str">
        <x:v>https://law.go.kr/LSW/flDownload.do?bylClsCd=200207&amp;flNm=%5B%EB%B3%84%EC%B2%A8+1%5D+%EA%B2%80%EC%82%AC%ED%95%AD%EB%AA%A9%EB%B3%84+%ED%8C%90%EC%A0%95%EA%B8%B0%EC%A4%80&amp;flSeq=160922929</x:v>
      </x:c>
      <x:c r="H2258" s="8" t="str">
        <x:v>{
  "canonical_key": "BONE_DENSITY",
  "heading": "골밀도검사",
  "screening_domain": "BONE",
  "source_locator": "2쪽 골다공증",
  "review_status": "SOURCE_VERIFIED",
  "corpus_version": "2026.1",
  "related_terms": [
    "골밀도",
    "골다공증",
    "T-score",
    "DEXA",
    "QCT",
    "골밀도검사"
  ],
  "category": "health_screening",
  "abstention_reason": "personal_diagnosis_or_treatment_out_of_scope"
}</x:v>
      </x:c>
    </x:row>
    <x:row r="2259" ht="54" customHeight="1">
      <x:c r="A2259" s="8" t="str">
        <x:v>gold-screening-ae3ec3445a2dacd0</x:v>
      </x:c>
      <x:c r="B2259" s="8" t="str">
        <x:v>screening:phq9:001</x:v>
      </x:c>
      <x:c r="C2259" s="8" t="str">
        <x:v>screening:phq9:001</x:v>
      </x:c>
      <x:c r="D2259" s="8" t="str">
        <x:v>근거와 함께 답변</x:v>
      </x:c>
      <x:c r="E2259" s="15" t="n">
        <x:v>2257</x:v>
      </x:c>
      <x:c r="F2259" s="8" t="str">
        <x:v>건강검진 VDB 검증 정답</x:v>
      </x:c>
      <x:c r="G2259" s="8" t="str">
        <x:v>https://law.go.kr/LSW/flDownload.do?bylClsCd=200207&amp;flNm=%5B%EB%B3%84%EC%B2%A8+1%5D+%EA%B2%80%EC%82%AC%ED%95%AD%EB%AA%A9%EB%B3%84+%ED%8C%90%EC%A0%95%EA%B8%B0%EC%A4%80&amp;flSeq=160922929</x:v>
      </x:c>
      <x:c r="H2259" s="8" t="str">
        <x:v>{
  "canonical_key": "PHQ9",
  "heading": "PHQ-9 우울증 선별검사",
  "screening_domain": "MENTAL_HEALTH",
  "source_locator": "2쪽 우울증",
  "review_status": "SOURCE_VERIFIED",
  "corpus_version": "2026.1",
  "related_terms": [
    "PHQ-9",
    "PHQ9",
    "우울증",
    "우울감",
    "정신건강검사",
    "자해"
  ],
  "category": "health_screening"
}</x:v>
      </x:c>
    </x:row>
    <x:row r="2260" ht="54" customHeight="1">
      <x:c r="A2260" s="8" t="str">
        <x:v>gold-screening-8dd7b2fd2877129d</x:v>
      </x:c>
      <x:c r="B2260" s="8" t="str">
        <x:v>screening:phq9:001</x:v>
      </x:c>
      <x:c r="C2260" s="8" t="str">
        <x:v>screening:phq9:001</x:v>
      </x:c>
      <x:c r="D2260" s="8" t="str">
        <x:v>근거와 함께 답변</x:v>
      </x:c>
      <x:c r="E2260" s="15" t="n">
        <x:v>2258</x:v>
      </x:c>
      <x:c r="F2260" s="8" t="str">
        <x:v>건강검진 VDB 검증 정답</x:v>
      </x:c>
      <x:c r="G2260" s="8" t="str">
        <x:v>https://law.go.kr/LSW/flDownload.do?bylClsCd=200207&amp;flNm=%5B%EB%B3%84%EC%B2%A8+1%5D+%EA%B2%80%EC%82%AC%ED%95%AD%EB%AA%A9%EB%B3%84+%ED%8C%90%EC%A0%95%EA%B8%B0%EC%A4%80&amp;flSeq=160922929</x:v>
      </x:c>
      <x:c r="H2260" s="8" t="str">
        <x:v>{
  "canonical_key": "PHQ9",
  "heading": "PHQ-9 우울증 선별검사",
  "screening_domain": "MENTAL_HEALTH",
  "source_locator": "2쪽 우울증",
  "review_status": "SOURCE_VERIFIED",
  "corpus_version": "2026.1",
  "related_terms": [
    "PHQ-9",
    "PHQ9",
    "우울증",
    "우울감",
    "정신건강검사",
    "자해"
  ],
  "category": "health_screening"
}</x:v>
      </x:c>
    </x:row>
    <x:row r="2261" ht="54" customHeight="1">
      <x:c r="A2261" s="8" t="str">
        <x:v>gold-screening-655f83d8b1de1c7a</x:v>
      </x:c>
      <x:c r="B2261" s="8" t="str">
        <x:v>screening:phq9:001</x:v>
      </x:c>
      <x:c r="C2261" s="8" t="str">
        <x:v>screening:phq9:001</x:v>
      </x:c>
      <x:c r="D2261" s="8" t="str">
        <x:v>근거와 함께 답변</x:v>
      </x:c>
      <x:c r="E2261" s="15" t="n">
        <x:v>2259</x:v>
      </x:c>
      <x:c r="F2261" s="8" t="str">
        <x:v>건강검진 VDB 검증 정답</x:v>
      </x:c>
      <x:c r="G2261" s="8" t="str">
        <x:v>https://law.go.kr/LSW/flDownload.do?bylClsCd=200207&amp;flNm=%5B%EB%B3%84%EC%B2%A8+1%5D+%EA%B2%80%EC%82%AC%ED%95%AD%EB%AA%A9%EB%B3%84+%ED%8C%90%EC%A0%95%EA%B8%B0%EC%A4%80&amp;flSeq=160922929</x:v>
      </x:c>
      <x:c r="H2261" s="8" t="str">
        <x:v>{
  "canonical_key": "PHQ9",
  "heading": "PHQ-9 우울증 선별검사",
  "screening_domain": "MENTAL_HEALTH",
  "source_locator": "2쪽 우울증",
  "review_status": "SOURCE_VERIFIED",
  "corpus_version": "2026.1",
  "related_terms": [
    "PHQ-9",
    "PHQ9",
    "우울증",
    "우울감",
    "정신건강검사",
    "자해"
  ],
  "category": "health_screening"
}</x:v>
      </x:c>
    </x:row>
    <x:row r="2262" ht="54" customHeight="1">
      <x:c r="A2262" s="8" t="str">
        <x:v>gold-screening-02d38000b99d55c8</x:v>
      </x:c>
      <x:c r="B2262" s="8" t="str">
        <x:v>screening:cape15:001</x:v>
      </x:c>
      <x:c r="C2262" s="8" t="str">
        <x:v>screening:cape15:001</x:v>
      </x:c>
      <x:c r="D2262" s="8" t="str">
        <x:v>근거와 함께 답변</x:v>
      </x:c>
      <x:c r="E2262" s="15" t="n">
        <x:v>2260</x:v>
      </x:c>
      <x:c r="F2262" s="8" t="str">
        <x:v>건강검진 VDB 검증 정답</x:v>
      </x:c>
      <x:c r="G2262" s="8" t="str">
        <x:v>https://law.go.kr/LSW/flDownload.do?bylClsCd=200207&amp;flNm=%5B%EB%B3%84%EC%B2%A8+1%5D+%EA%B2%80%EC%82%AC%ED%95%AD%EB%AA%A9%EB%B3%84+%ED%8C%90%EC%A0%95%EA%B8%B0%EC%A4%80&amp;flSeq=160922929</x:v>
      </x:c>
      <x:c r="H2262" s="8" t="str">
        <x:v>{
  "canonical_key": "CAPE15",
  "heading": "CAPE-15 조기정신증 선별검사",
  "screening_domain": "MENTAL_HEALTH",
  "source_locator": "2쪽 조기정신증",
  "review_status": "SOURCE_VERIFIED",
  "corpus_version": "2026.1",
  "related_terms": [
    "CAPE-15",
    "CAPE15",
    "조기정신증",
    "정신건강",
    "선별검사"
  ],
  "category": "health_screening"
}</x:v>
      </x:c>
    </x:row>
    <x:row r="2263" ht="54" customHeight="1">
      <x:c r="A2263" s="8" t="str">
        <x:v>gold-screening-0558b11d2e1c18ea</x:v>
      </x:c>
      <x:c r="B2263" s="8" t="str">
        <x:v>screening:cape15:001</x:v>
      </x:c>
      <x:c r="C2263" s="8" t="str">
        <x:v>screening:cape15:001</x:v>
      </x:c>
      <x:c r="D2263" s="8" t="str">
        <x:v>근거와 함께 답변</x:v>
      </x:c>
      <x:c r="E2263" s="15" t="n">
        <x:v>2261</x:v>
      </x:c>
      <x:c r="F2263" s="8" t="str">
        <x:v>건강검진 VDB 검증 정답</x:v>
      </x:c>
      <x:c r="G2263" s="8" t="str">
        <x:v>https://law.go.kr/LSW/flDownload.do?bylClsCd=200207&amp;flNm=%5B%EB%B3%84%EC%B2%A8+1%5D+%EA%B2%80%EC%82%AC%ED%95%AD%EB%AA%A9%EB%B3%84+%ED%8C%90%EC%A0%95%EA%B8%B0%EC%A4%80&amp;flSeq=160922929</x:v>
      </x:c>
      <x:c r="H2263" s="8" t="str">
        <x:v>{
  "canonical_key": "CAPE15",
  "heading": "CAPE-15 조기정신증 선별검사",
  "screening_domain": "MENTAL_HEALTH",
  "source_locator": "2쪽 조기정신증",
  "review_status": "SOURCE_VERIFIED",
  "corpus_version": "2026.1",
  "related_terms": [
    "CAPE-15",
    "CAPE15",
    "조기정신증",
    "정신건강",
    "선별검사"
  ],
  "category": "health_screening"
}</x:v>
      </x:c>
    </x:row>
    <x:row r="2264" ht="54" customHeight="1">
      <x:c r="A2264" s="8" t="str">
        <x:v>gold-screening-na-380ec80c37138e48</x:v>
      </x:c>
      <x:c r="B2264" s="8" t="str"/>
      <x:c r="C2264" s="8" t="str"/>
      <x:c r="D2264" s="8" t="str">
        <x:v>답변 거부 또는 추가 확인 요청</x:v>
      </x:c>
      <x:c r="E2264" s="15" t="n">
        <x:v>2262</x:v>
      </x:c>
      <x:c r="F2264" s="8" t="str">
        <x:v>답변 거부 기준 문구</x:v>
      </x:c>
      <x:c r="G2264" s="8" t="str">
        <x:v>https://law.go.kr/LSW/flDownload.do?bylClsCd=200207&amp;flNm=%5B%EB%B3%84%EC%B2%A8+1%5D+%EA%B2%80%EC%82%AC%ED%95%AD%EB%AA%A9%EB%B3%84+%ED%8C%90%EC%A0%95%EA%B8%B0%EC%A4%80&amp;flSeq=160922929</x:v>
      </x:c>
      <x:c r="H2264" s="8" t="str">
        <x:v>{
  "canonical_key": "CAPE15",
  "heading": "CAPE-15 조기정신증 선별검사",
  "screening_domain": "MENTAL_HEALTH",
  "source_locator": "2쪽 조기정신증",
  "review_status": "SOURCE_VERIFIED",
  "corpus_version": "2026.1",
  "related_terms": [
    "CAPE-15",
    "CAPE15",
    "조기정신증",
    "정신건강",
    "선별검사"
  ],
  "category": "health_screening",
  "abstention_reason": "personal_diagnosis_or_treatment_out_of_scope"
}</x:v>
      </x:c>
    </x:row>
    <x:row r="2265" ht="54" customHeight="1">
      <x:c r="A2265" s="8" t="str">
        <x:v>gold-screening-74c4f616996386b0</x:v>
      </x:c>
      <x:c r="B2265" s="8" t="str">
        <x:v>screening:pulmonary_function:001</x:v>
      </x:c>
      <x:c r="C2265" s="8" t="str">
        <x:v>screening:pulmonary_function:001</x:v>
      </x:c>
      <x:c r="D2265" s="8" t="str">
        <x:v>근거와 함께 답변</x:v>
      </x:c>
      <x:c r="E2265" s="15" t="n">
        <x:v>2263</x:v>
      </x:c>
      <x:c r="F2265" s="8" t="str">
        <x:v>건강검진 VDB 검증 정답</x:v>
      </x:c>
      <x:c r="G2265" s="8" t="str">
        <x:v>https://law.go.kr/LSW/flDownload.do?bylClsCd=200207&amp;flNm=%5B%EB%B3%84%EC%B2%A8+1%5D+%EA%B2%80%EC%82%AC%ED%95%AD%EB%AA%A9%EB%B3%84+%ED%8C%90%EC%A0%95%EA%B8%B0%EC%A4%80&amp;flSeq=160922929</x:v>
      </x:c>
      <x:c r="H2265" s="8" t="str">
        <x:v>{
  "canonical_key": "PULMONARY_FUNCTION",
  "heading": "폐기능검사",
  "screening_domain": "RESPIRATORY",
  "source_locator": "2쪽 만성폐쇄성폐질환",
  "review_status": "SOURCE_VERIFIED",
  "corpus_version": "2026.1",
  "related_terms": [
    "폐기능검사",
    "FEV1",
    "FVC",
    "FEV1/FVC",
    "COPD",
    "호흡기능"
  ],
  "category": "health_screening"
}</x:v>
      </x:c>
    </x:row>
    <x:row r="2266" ht="54" customHeight="1">
      <x:c r="A2266" s="8" t="str">
        <x:v>gold-screening-02b09190f4f8f64e</x:v>
      </x:c>
      <x:c r="B2266" s="8" t="str">
        <x:v>screening:pulmonary_function:001</x:v>
      </x:c>
      <x:c r="C2266" s="8" t="str">
        <x:v>screening:pulmonary_function:001</x:v>
      </x:c>
      <x:c r="D2266" s="8" t="str">
        <x:v>근거와 함께 답변</x:v>
      </x:c>
      <x:c r="E2266" s="15" t="n">
        <x:v>2264</x:v>
      </x:c>
      <x:c r="F2266" s="8" t="str">
        <x:v>건강검진 VDB 검증 정답</x:v>
      </x:c>
      <x:c r="G2266" s="8" t="str">
        <x:v>https://law.go.kr/LSW/flDownload.do?bylClsCd=200207&amp;flNm=%5B%EB%B3%84%EC%B2%A8+1%5D+%EA%B2%80%EC%82%AC%ED%95%AD%EB%AA%A9%EB%B3%84+%ED%8C%90%EC%A0%95%EA%B8%B0%EC%A4%80&amp;flSeq=160922929</x:v>
      </x:c>
      <x:c r="H2266" s="8" t="str">
        <x:v>{
  "canonical_key": "PULMONARY_FUNCTION",
  "heading": "폐기능검사",
  "screening_domain": "RESPIRATORY",
  "source_locator": "2쪽 만성폐쇄성폐질환",
  "review_status": "SOURCE_VERIFIED",
  "corpus_version": "2026.1",
  "related_terms": [
    "폐기능검사",
    "FEV1",
    "FVC",
    "FEV1/FVC",
    "COPD",
    "호흡기능"
  ],
  "category": "health_screening"
}</x:v>
      </x:c>
    </x:row>
    <x:row r="2267" ht="54" customHeight="1">
      <x:c r="A2267" s="8" t="str">
        <x:v>gold-screening-na-0170419526e0c607</x:v>
      </x:c>
      <x:c r="B2267" s="8" t="str"/>
      <x:c r="C2267" s="8" t="str"/>
      <x:c r="D2267" s="8" t="str">
        <x:v>답변 거부 또는 추가 확인 요청</x:v>
      </x:c>
      <x:c r="E2267" s="15" t="n">
        <x:v>2265</x:v>
      </x:c>
      <x:c r="F2267" s="8" t="str">
        <x:v>답변 거부 기준 문구</x:v>
      </x:c>
      <x:c r="G2267" s="8" t="str">
        <x:v>https://law.go.kr/LSW/flDownload.do?bylClsCd=200207&amp;flNm=%5B%EB%B3%84%EC%B2%A8+1%5D+%EA%B2%80%EC%82%AC%ED%95%AD%EB%AA%A9%EB%B3%84+%ED%8C%90%EC%A0%95%EA%B8%B0%EC%A4%80&amp;flSeq=160922929</x:v>
      </x:c>
      <x:c r="H2267" s="8" t="str">
        <x:v>{
  "canonical_key": "PULMONARY_FUNCTION",
  "heading": "폐기능검사",
  "screening_domain": "RESPIRATORY",
  "source_locator": "2쪽 만성폐쇄성폐질환",
  "review_status": "SOURCE_VERIFIED",
  "corpus_version": "2026.1",
  "related_terms": [
    "폐기능검사",
    "FEV1",
    "FVC",
    "FEV1/FVC",
    "COPD",
    "호흡기능"
  ],
  "category": "health_screening",
  "abstention_reason": "personal_diagnosis_or_treatment_out_of_scope"
}</x:v>
      </x:c>
    </x:row>
    <x:row r="2268" ht="54" customHeight="1">
      <x:c r="A2268" s="8" t="str">
        <x:v>gold-screening-b71d7dd53a874fcb</x:v>
      </x:c>
      <x:c r="B2268" s="8" t="str">
        <x:v>screening:oral_health:001</x:v>
      </x:c>
      <x:c r="C2268" s="8" t="str">
        <x:v>screening:oral_health:001</x:v>
      </x:c>
      <x:c r="D2268" s="8" t="str">
        <x:v>근거와 함께 답변</x:v>
      </x:c>
      <x:c r="E2268" s="15" t="n">
        <x:v>2266</x:v>
      </x:c>
      <x:c r="F2268" s="8" t="str">
        <x:v>건강검진 VDB 검증 정답</x:v>
      </x:c>
      <x:c r="G2268" s="8" t="str">
        <x:v>https://law.go.kr/LSW/flDownload.do?bylClsCd=200207&amp;flNm=%5B%EB%B3%84%EC%B2%A8+1%5D+%EA%B2%80%EC%82%AC%ED%95%AD%EB%AA%A9%EB%B3%84+%ED%8C%90%EC%A0%95%EA%B8%B0%EC%A4%80&amp;flSeq=160922929</x:v>
      </x:c>
      <x:c r="H2268" s="8" t="str">
        <x:v>{
  "canonical_key": "ORAL_HEALTH",
  "heading": "구강검진 결과",
  "screening_domain": "ORAL_HEALTH",
  "source_locator": "3쪽 구강검진",
  "review_status": "SOURCE_VERIFIED",
  "corpus_version": "2026.1",
  "related_terms": [
    "구강검진",
    "치아우식",
    "충치",
    "치주질환",
    "치석",
    "치면세균막"
  ],
  "category": "health_screening"
}</x:v>
      </x:c>
    </x:row>
    <x:row r="2269" ht="54" customHeight="1">
      <x:c r="A2269" s="8" t="str">
        <x:v>gold-screening-2d166fbb5a23838f</x:v>
      </x:c>
      <x:c r="B2269" s="8" t="str">
        <x:v>screening:oral_health:001</x:v>
      </x:c>
      <x:c r="C2269" s="8" t="str">
        <x:v>screening:oral_health:001</x:v>
      </x:c>
      <x:c r="D2269" s="8" t="str">
        <x:v>근거와 함께 답변</x:v>
      </x:c>
      <x:c r="E2269" s="15" t="n">
        <x:v>2267</x:v>
      </x:c>
      <x:c r="F2269" s="8" t="str">
        <x:v>건강검진 VDB 검증 정답</x:v>
      </x:c>
      <x:c r="G2269" s="8" t="str">
        <x:v>https://law.go.kr/LSW/flDownload.do?bylClsCd=200207&amp;flNm=%5B%EB%B3%84%EC%B2%A8+1%5D+%EA%B2%80%EC%82%AC%ED%95%AD%EB%AA%A9%EB%B3%84+%ED%8C%90%EC%A0%95%EA%B8%B0%EC%A4%80&amp;flSeq=160922929</x:v>
      </x:c>
      <x:c r="H2269" s="8" t="str">
        <x:v>{
  "canonical_key": "ORAL_HEALTH",
  "heading": "구강검진 결과",
  "screening_domain": "ORAL_HEALTH",
  "source_locator": "3쪽 구강검진",
  "review_status": "SOURCE_VERIFIED",
  "corpus_version": "2026.1",
  "related_terms": [
    "구강검진",
    "치아우식",
    "충치",
    "치주질환",
    "치석",
    "치면세균막"
  ],
  "category": "health_screening"
}</x:v>
      </x:c>
    </x:row>
    <x:row r="2270" ht="54" customHeight="1">
      <x:c r="A2270" s="8" t="str">
        <x:v>gold-screening-c71d69bd2b528751</x:v>
      </x:c>
      <x:c r="B2270" s="8" t="str">
        <x:v>screening:oral_health:001</x:v>
      </x:c>
      <x:c r="C2270" s="8" t="str">
        <x:v>screening:oral_health:001</x:v>
      </x:c>
      <x:c r="D2270" s="8" t="str">
        <x:v>근거와 함께 답변</x:v>
      </x:c>
      <x:c r="E2270" s="15" t="n">
        <x:v>2268</x:v>
      </x:c>
      <x:c r="F2270" s="8" t="str">
        <x:v>건강검진 VDB 검증 정답</x:v>
      </x:c>
      <x:c r="G2270" s="8" t="str">
        <x:v>https://law.go.kr/LSW/flDownload.do?bylClsCd=200207&amp;flNm=%5B%EB%B3%84%EC%B2%A8+1%5D+%EA%B2%80%EC%82%AC%ED%95%AD%EB%AA%A9%EB%B3%84+%ED%8C%90%EC%A0%95%EA%B8%B0%EC%A4%80&amp;flSeq=160922929</x:v>
      </x:c>
      <x:c r="H2270" s="8" t="str">
        <x:v>{
  "canonical_key": "ORAL_HEALTH",
  "heading": "구강검진 결과",
  "screening_domain": "ORAL_HEALTH",
  "source_locator": "3쪽 구강검진",
  "review_status": "SOURCE_VERIFIED",
  "corpus_version": "2026.1",
  "related_terms": [
    "구강검진",
    "치아우식",
    "충치",
    "치주질환",
    "치석",
    "치면세균막"
  ],
  "category": "health_screening"
}</x:v>
      </x:c>
    </x:row>
    <x:row r="2271" ht="54" customHeight="1">
      <x:c r="A2271" s="8" t="str">
        <x:v>gold-screening-88f8e76011fc6a5e</x:v>
      </x:c>
      <x:c r="B2271" s="8" t="str">
        <x:v>screening:hepatitis_b:001</x:v>
      </x:c>
      <x:c r="C2271" s="8" t="str">
        <x:v>screening:hepatitis_b:001</x:v>
      </x:c>
      <x:c r="D2271" s="8" t="str">
        <x:v>근거와 함께 답변</x:v>
      </x:c>
      <x:c r="E2271" s="15" t="n">
        <x:v>2269</x:v>
      </x:c>
      <x:c r="F2271" s="8" t="str">
        <x:v>건강검진 VDB 검증 정답</x:v>
      </x:c>
      <x:c r="G2271" s="8" t="str">
        <x:v>https://health.kdca.go.kr/healthinfo/biz/health/gnrlzHealthInfo/gnrlzHealthInfo/gnrlzHealthInfoView.do?cntnts_sn=6672</x:v>
      </x:c>
      <x:c r="H2271" s="8" t="str">
        <x:v>{
  "canonical_key": "HEPATITIS_B",
  "heading": "B형간염 검사",
  "screening_domain": "INFECTIOUS_DISEASE",
  "source_locator": "진단 및 검사",
  "review_status": "SOURCE_VERIFIED",
  "corpus_version": "2026.1",
  "related_terms": [
    "B형간염",
    "HBsAg",
    "HBsAb",
    "B형간염항원",
    "B형간염항체",
    "간염검사"
  ],
  "category": "health_screening"
}</x:v>
      </x:c>
    </x:row>
    <x:row r="2272" ht="54" customHeight="1">
      <x:c r="A2272" s="8" t="str">
        <x:v>gold-screening-cf7b04e9354216a8</x:v>
      </x:c>
      <x:c r="B2272" s="8" t="str">
        <x:v>screening:hepatitis_b:001</x:v>
      </x:c>
      <x:c r="C2272" s="8" t="str">
        <x:v>screening:hepatitis_b:001</x:v>
      </x:c>
      <x:c r="D2272" s="8" t="str">
        <x:v>근거와 함께 답변</x:v>
      </x:c>
      <x:c r="E2272" s="15" t="n">
        <x:v>2270</x:v>
      </x:c>
      <x:c r="F2272" s="8" t="str">
        <x:v>건강검진 VDB 검증 정답</x:v>
      </x:c>
      <x:c r="G2272" s="8" t="str">
        <x:v>https://health.kdca.go.kr/healthinfo/biz/health/gnrlzHealthInfo/gnrlzHealthInfo/gnrlzHealthInfoView.do?cntnts_sn=6672</x:v>
      </x:c>
      <x:c r="H2272" s="8" t="str">
        <x:v>{
  "canonical_key": "HEPATITIS_B",
  "heading": "B형간염 검사",
  "screening_domain": "INFECTIOUS_DISEASE",
  "source_locator": "진단 및 검사",
  "review_status": "SOURCE_VERIFIED",
  "corpus_version": "2026.1",
  "related_terms": [
    "B형간염",
    "HBsAg",
    "HBsAb",
    "B형간염항원",
    "B형간염항체",
    "간염검사"
  ],
  "category": "health_screening"
}</x:v>
      </x:c>
    </x:row>
    <x:row r="2273" ht="54" customHeight="1">
      <x:c r="A2273" s="8" t="str">
        <x:v>gold-screening-7de38201dda96cc5</x:v>
      </x:c>
      <x:c r="B2273" s="8" t="str">
        <x:v>screening:hepatitis_b:001</x:v>
      </x:c>
      <x:c r="C2273" s="8" t="str">
        <x:v>screening:hepatitis_b:001</x:v>
      </x:c>
      <x:c r="D2273" s="8" t="str">
        <x:v>근거와 함께 답변</x:v>
      </x:c>
      <x:c r="E2273" s="15" t="n">
        <x:v>2271</x:v>
      </x:c>
      <x:c r="F2273" s="8" t="str">
        <x:v>건강검진 VDB 검증 정답</x:v>
      </x:c>
      <x:c r="G2273" s="8" t="str">
        <x:v>https://health.kdca.go.kr/healthinfo/biz/health/gnrlzHealthInfo/gnrlzHealthInfo/gnrlzHealthInfoView.do?cntnts_sn=6672</x:v>
      </x:c>
      <x:c r="H2273" s="8" t="str">
        <x:v>{
  "canonical_key": "HEPATITIS_B",
  "heading": "B형간염 검사",
  "screening_domain": "INFECTIOUS_DISEASE",
  "source_locator": "진단 및 검사",
  "review_status": "SOURCE_VERIFIED",
  "corpus_version": "2026.1",
  "related_terms": [
    "B형간염",
    "HBsAg",
    "HBsAb",
    "B형간염항원",
    "B형간염항체",
    "간염검사"
  ],
  "category": "health_screening"
}</x:v>
      </x:c>
    </x:row>
    <x:row r="2274" ht="54" customHeight="1">
      <x:c r="A2274" s="8" t="str">
        <x:v>gold-screening-9e3e5b03c9338ae3</x:v>
      </x:c>
      <x:c r="B2274" s="8" t="str">
        <x:v>screening:hepatitis_c:001</x:v>
      </x:c>
      <x:c r="C2274" s="8" t="str">
        <x:v>screening:hepatitis_c:001</x:v>
      </x:c>
      <x:c r="D2274" s="8" t="str">
        <x:v>근거와 함께 답변</x:v>
      </x:c>
      <x:c r="E2274" s="15" t="n">
        <x:v>2272</x:v>
      </x:c>
      <x:c r="F2274" s="8" t="str">
        <x:v>건강검진 VDB 검증 정답</x:v>
      </x:c>
      <x:c r="G2274" s="8" t="str">
        <x:v>https://health.kdca.go.kr/healthinfo/biz/health/gnrlzHealthInfo/gnrlzHealthInfo/gnrlzHealthInfoView.do?cntnts_sn=5309</x:v>
      </x:c>
      <x:c r="H2274" s="8" t="str">
        <x:v>{
  "canonical_key": "HEPATITIS_C",
  "heading": "C형간염 검사",
  "screening_domain": "INFECTIOUS_DISEASE",
  "source_locator": "진단을 위한 검사기준",
  "review_status": "SOURCE_VERIFIED",
  "corpus_version": "2026.1",
  "related_terms": [
    "C형간염",
    "HCV",
    "HCV 항체",
    "C형간염항체",
    "간염",
    "RNA 검사"
  ],
  "category": "health_screening"
}</x:v>
      </x:c>
    </x:row>
    <x:row r="2275" ht="54" customHeight="1">
      <x:c r="A2275" s="8" t="str">
        <x:v>gold-screening-f152110c0e74a5e9</x:v>
      </x:c>
      <x:c r="B2275" s="8" t="str">
        <x:v>screening:hepatitis_c:001</x:v>
      </x:c>
      <x:c r="C2275" s="8" t="str">
        <x:v>screening:hepatitis_c:001</x:v>
      </x:c>
      <x:c r="D2275" s="8" t="str">
        <x:v>근거와 함께 답변</x:v>
      </x:c>
      <x:c r="E2275" s="15" t="n">
        <x:v>2273</x:v>
      </x:c>
      <x:c r="F2275" s="8" t="str">
        <x:v>건강검진 VDB 검증 정답</x:v>
      </x:c>
      <x:c r="G2275" s="8" t="str">
        <x:v>https://health.kdca.go.kr/healthinfo/biz/health/gnrlzHealthInfo/gnrlzHealthInfo/gnrlzHealthInfoView.do?cntnts_sn=5309</x:v>
      </x:c>
      <x:c r="H2275" s="8" t="str">
        <x:v>{
  "canonical_key": "HEPATITIS_C",
  "heading": "C형간염 검사",
  "screening_domain": "INFECTIOUS_DISEASE",
  "source_locator": "진단을 위한 검사기준",
  "review_status": "SOURCE_VERIFIED",
  "corpus_version": "2026.1",
  "related_terms": [
    "C형간염",
    "HCV",
    "HCV 항체",
    "C형간염항체",
    "간염",
    "RNA 검사"
  ],
  "category": "health_screening"
}</x:v>
      </x:c>
    </x:row>
    <x:row r="2276" ht="54" customHeight="1">
      <x:c r="A2276" s="8" t="str">
        <x:v>gold-screening-c4acc79891f24cd8</x:v>
      </x:c>
      <x:c r="B2276" s="8" t="str">
        <x:v>screening:hepatitis_c:001</x:v>
      </x:c>
      <x:c r="C2276" s="8" t="str">
        <x:v>screening:hepatitis_c:001</x:v>
      </x:c>
      <x:c r="D2276" s="8" t="str">
        <x:v>근거와 함께 답변</x:v>
      </x:c>
      <x:c r="E2276" s="15" t="n">
        <x:v>2274</x:v>
      </x:c>
      <x:c r="F2276" s="8" t="str">
        <x:v>건강검진 VDB 검증 정답</x:v>
      </x:c>
      <x:c r="G2276" s="8" t="str">
        <x:v>https://health.kdca.go.kr/healthinfo/biz/health/gnrlzHealthInfo/gnrlzHealthInfo/gnrlzHealthInfoView.do?cntnts_sn=5309</x:v>
      </x:c>
      <x:c r="H2276" s="8" t="str">
        <x:v>{
  "canonical_key": "HEPATITIS_C",
  "heading": "C형간염 검사",
  "screening_domain": "INFECTIOUS_DISEASE",
  "source_locator": "진단을 위한 검사기준",
  "review_status": "SOURCE_VERIFIED",
  "corpus_version": "2026.1",
  "related_terms": [
    "C형간염",
    "HCV",
    "HCV 항체",
    "C형간염항체",
    "간염",
    "RNA 검사"
  ],
  "category": "health_screening"
}</x:v>
      </x:c>
    </x:row>
    <x:row r="2277" ht="54" customHeight="1">
      <x:c r="A2277" s="8" t="str">
        <x:v>gold-screening-66d84710fef1af77</x:v>
      </x:c>
      <x:c r="B2277" s="8" t="str">
        <x:v>screening:smoking:001</x:v>
      </x:c>
      <x:c r="C2277" s="8" t="str">
        <x:v>screening:smoking:001</x:v>
      </x:c>
      <x:c r="D2277" s="8" t="str">
        <x:v>근거와 함께 답변</x:v>
      </x:c>
      <x:c r="E2277" s="15" t="n">
        <x:v>2275</x:v>
      </x:c>
      <x:c r="F2277" s="8" t="str">
        <x:v>건강검진 VDB 검증 정답</x:v>
      </x:c>
      <x:c r="G2277" s="8" t="str">
        <x:v>https://health.kdca.go.kr/healthinfo/biz/health/gnrlzHealthInfo/gnrlzHealthInfo/gnrlzHealthInfoView.do?cntnts_sn=5351</x:v>
      </x:c>
      <x:c r="H2277" s="8" t="str">
        <x:v>{
  "canonical_key": "SMOKING",
  "heading": "흡연 생활습관",
  "screening_domain": "LIFESTYLE",
  "source_locator": "요약문",
  "review_status": "SOURCE_VERIFIED",
  "corpus_version": "2026.1",
  "related_terms": [
    "흡연",
    "담배",
    "전자담배",
    "금연",
    "pack-year",
    "갑년"
  ],
  "category": "health_screening"
}</x:v>
      </x:c>
    </x:row>
    <x:row r="2278" ht="54" customHeight="1">
      <x:c r="A2278" s="8" t="str">
        <x:v>gold-screening-3bf02628f21a0b93</x:v>
      </x:c>
      <x:c r="B2278" s="8" t="str">
        <x:v>screening:smoking:001</x:v>
      </x:c>
      <x:c r="C2278" s="8" t="str">
        <x:v>screening:smoking:001</x:v>
      </x:c>
      <x:c r="D2278" s="8" t="str">
        <x:v>근거와 함께 답변</x:v>
      </x:c>
      <x:c r="E2278" s="15" t="n">
        <x:v>2276</x:v>
      </x:c>
      <x:c r="F2278" s="8" t="str">
        <x:v>건강검진 VDB 검증 정답</x:v>
      </x:c>
      <x:c r="G2278" s="8" t="str">
        <x:v>https://health.kdca.go.kr/healthinfo/biz/health/gnrlzHealthInfo/gnrlzHealthInfo/gnrlzHealthInfoView.do?cntnts_sn=5351</x:v>
      </x:c>
      <x:c r="H2278" s="8" t="str">
        <x:v>{
  "canonical_key": "SMOKING",
  "heading": "흡연 생활습관",
  "screening_domain": "LIFESTYLE",
  "source_locator": "요약문",
  "review_status": "SOURCE_VERIFIED",
  "corpus_version": "2026.1",
  "related_terms": [
    "흡연",
    "담배",
    "전자담배",
    "금연",
    "pack-year",
    "갑년"
  ],
  "category": "health_screening"
}</x:v>
      </x:c>
    </x:row>
    <x:row r="2279" ht="54" customHeight="1">
      <x:c r="A2279" s="8" t="str">
        <x:v>gold-screening-e87882d9078fc998</x:v>
      </x:c>
      <x:c r="B2279" s="8" t="str">
        <x:v>screening:smoking:001</x:v>
      </x:c>
      <x:c r="C2279" s="8" t="str">
        <x:v>screening:smoking:001</x:v>
      </x:c>
      <x:c r="D2279" s="8" t="str">
        <x:v>근거와 함께 답변</x:v>
      </x:c>
      <x:c r="E2279" s="15" t="n">
        <x:v>2277</x:v>
      </x:c>
      <x:c r="F2279" s="8" t="str">
        <x:v>건강검진 VDB 검증 정답</x:v>
      </x:c>
      <x:c r="G2279" s="8" t="str">
        <x:v>https://health.kdca.go.kr/healthinfo/biz/health/gnrlzHealthInfo/gnrlzHealthInfo/gnrlzHealthInfoView.do?cntnts_sn=5351</x:v>
      </x:c>
      <x:c r="H2279" s="8" t="str">
        <x:v>{
  "canonical_key": "SMOKING",
  "heading": "흡연 생활습관",
  "screening_domain": "LIFESTYLE",
  "source_locator": "요약문",
  "review_status": "SOURCE_VERIFIED",
  "corpus_version": "2026.1",
  "related_terms": [
    "흡연",
    "담배",
    "전자담배",
    "금연",
    "pack-year",
    "갑년"
  ],
  "category": "health_screening"
}</x:v>
      </x:c>
    </x:row>
    <x:row r="2280" ht="54" customHeight="1">
      <x:c r="A2280" s="8" t="str">
        <x:v>gold-screening-abe6f2c27dfb6f15</x:v>
      </x:c>
      <x:c r="B2280" s="8" t="str">
        <x:v>screening:alcohol:001</x:v>
      </x:c>
      <x:c r="C2280" s="8" t="str">
        <x:v>screening:alcohol:001</x:v>
      </x:c>
      <x:c r="D2280" s="8" t="str">
        <x:v>근거와 함께 답변</x:v>
      </x:c>
      <x:c r="E2280" s="15" t="n">
        <x:v>2278</x:v>
      </x:c>
      <x:c r="F2280" s="8" t="str">
        <x:v>건강검진 VDB 검증 정답</x:v>
      </x:c>
      <x:c r="G2280" s="8" t="str">
        <x:v>https://health.kdca.go.kr/healthinfo/biz/health/ntcnInfo/healthSourc/thtimtCntnts/thtimtCntntsView.do?thtimt_cntnts_sn=7</x:v>
      </x:c>
      <x:c r="H2280" s="8" t="str">
        <x:v>{
  "canonical_key": "ALCOHOL",
  "heading": "음주 생활습관",
  "screening_domain": "LIFESTYLE",
  "source_locator": "생활습관평가",
  "review_status": "SOURCE_VERIFIED",
  "corpus_version": "2026.1",
  "related_terms": [
    "음주",
    "술",
    "알코올",
    "절주",
    "폭음",
    "음주빈도"
  ],
  "category": "health_screening"
}</x:v>
      </x:c>
    </x:row>
    <x:row r="2281" ht="54" customHeight="1">
      <x:c r="A2281" s="8" t="str">
        <x:v>gold-screening-9f2dd39f3e79238b</x:v>
      </x:c>
      <x:c r="B2281" s="8" t="str">
        <x:v>screening:alcohol:001</x:v>
      </x:c>
      <x:c r="C2281" s="8" t="str">
        <x:v>screening:alcohol:001</x:v>
      </x:c>
      <x:c r="D2281" s="8" t="str">
        <x:v>근거와 함께 답변</x:v>
      </x:c>
      <x:c r="E2281" s="15" t="n">
        <x:v>2279</x:v>
      </x:c>
      <x:c r="F2281" s="8" t="str">
        <x:v>건강검진 VDB 검증 정답</x:v>
      </x:c>
      <x:c r="G2281" s="8" t="str">
        <x:v>https://health.kdca.go.kr/healthinfo/biz/health/ntcnInfo/healthSourc/thtimtCntnts/thtimtCntntsView.do?thtimt_cntnts_sn=7</x:v>
      </x:c>
      <x:c r="H2281" s="8" t="str">
        <x:v>{
  "canonical_key": "ALCOHOL",
  "heading": "음주 생활습관",
  "screening_domain": "LIFESTYLE",
  "source_locator": "생활습관평가",
  "review_status": "SOURCE_VERIFIED",
  "corpus_version": "2026.1",
  "related_terms": [
    "음주",
    "술",
    "알코올",
    "절주",
    "폭음",
    "음주빈도"
  ],
  "category": "health_screening"
}</x:v>
      </x:c>
    </x:row>
    <x:row r="2282" ht="54" customHeight="1">
      <x:c r="A2282" s="8" t="str">
        <x:v>gold-screening-7329f70090730cbe</x:v>
      </x:c>
      <x:c r="B2282" s="8" t="str">
        <x:v>screening:alcohol:001</x:v>
      </x:c>
      <x:c r="C2282" s="8" t="str">
        <x:v>screening:alcohol:001</x:v>
      </x:c>
      <x:c r="D2282" s="8" t="str">
        <x:v>근거와 함께 답변</x:v>
      </x:c>
      <x:c r="E2282" s="15" t="n">
        <x:v>2280</x:v>
      </x:c>
      <x:c r="F2282" s="8" t="str">
        <x:v>건강검진 VDB 검증 정답</x:v>
      </x:c>
      <x:c r="G2282" s="8" t="str">
        <x:v>https://health.kdca.go.kr/healthinfo/biz/health/ntcnInfo/healthSourc/thtimtCntnts/thtimtCntntsView.do?thtimt_cntnts_sn=7</x:v>
      </x:c>
      <x:c r="H2282" s="8" t="str">
        <x:v>{
  "canonical_key": "ALCOHOL",
  "heading": "음주 생활습관",
  "screening_domain": "LIFESTYLE",
  "source_locator": "생활습관평가",
  "review_status": "SOURCE_VERIFIED",
  "corpus_version": "2026.1",
  "related_terms": [
    "음주",
    "술",
    "알코올",
    "절주",
    "폭음",
    "음주빈도"
  ],
  "category": "health_screening"
}</x:v>
      </x:c>
    </x:row>
    <x:row r="2283" ht="54" customHeight="1">
      <x:c r="A2283" s="8" t="str">
        <x:v>gold-screening-54463d06bc3d0719</x:v>
      </x:c>
      <x:c r="B2283" s="8" t="str">
        <x:v>screening:physical_activity:001</x:v>
      </x:c>
      <x:c r="C2283" s="8" t="str">
        <x:v>screening:physical_activity:001</x:v>
      </x:c>
      <x:c r="D2283" s="8" t="str">
        <x:v>근거와 함께 답변</x:v>
      </x:c>
      <x:c r="E2283" s="15" t="n">
        <x:v>2281</x:v>
      </x:c>
      <x:c r="F2283" s="8" t="str">
        <x:v>건강검진 VDB 검증 정답</x:v>
      </x:c>
      <x:c r="G2283" s="8" t="str">
        <x:v>https://health.kdca.go.kr/healthinfo/biz/health/gnrlzHealthInfo/gnrlzHealthInfo/gnrlzHealthInfoView.do?cntnts_sn=6251</x:v>
      </x:c>
      <x:c r="H2283" s="8" t="str">
        <x:v>{
  "canonical_key": "PHYSICAL_ACTIVITY",
  "heading": "신체활동 기록",
  "screening_domain": "LIFESTYLE",
  "source_locator": "신체활동의 정의와 강도",
  "review_status": "SOURCE_VERIFIED",
  "corpus_version": "2026.1",
  "related_terms": [
    "신체활동",
    "운동",
    "유산소",
    "근력운동",
    "중강도",
    "활동량"
  ],
  "category": "health_screening"
}</x:v>
      </x:c>
    </x:row>
    <x:row r="2284" ht="54" customHeight="1">
      <x:c r="A2284" s="8" t="str">
        <x:v>gold-screening-6006e6d00594956d</x:v>
      </x:c>
      <x:c r="B2284" s="8" t="str">
        <x:v>screening:physical_activity:001</x:v>
      </x:c>
      <x:c r="C2284" s="8" t="str">
        <x:v>screening:physical_activity:001</x:v>
      </x:c>
      <x:c r="D2284" s="8" t="str">
        <x:v>근거와 함께 답변</x:v>
      </x:c>
      <x:c r="E2284" s="15" t="n">
        <x:v>2282</x:v>
      </x:c>
      <x:c r="F2284" s="8" t="str">
        <x:v>건강검진 VDB 검증 정답</x:v>
      </x:c>
      <x:c r="G2284" s="8" t="str">
        <x:v>https://health.kdca.go.kr/healthinfo/biz/health/gnrlzHealthInfo/gnrlzHealthInfo/gnrlzHealthInfoView.do?cntnts_sn=6251</x:v>
      </x:c>
      <x:c r="H2284" s="8" t="str">
        <x:v>{
  "canonical_key": "PHYSICAL_ACTIVITY",
  "heading": "신체활동 기록",
  "screening_domain": "LIFESTYLE",
  "source_locator": "신체활동의 정의와 강도",
  "review_status": "SOURCE_VERIFIED",
  "corpus_version": "2026.1",
  "related_terms": [
    "신체활동",
    "운동",
    "유산소",
    "근력운동",
    "중강도",
    "활동량"
  ],
  "category": "health_screening"
}</x:v>
      </x:c>
    </x:row>
    <x:row r="2285" ht="54" customHeight="1">
      <x:c r="A2285" s="8" t="str">
        <x:v>gold-screening-0823958e150a360c</x:v>
      </x:c>
      <x:c r="B2285" s="8" t="str">
        <x:v>screening:physical_activity:001</x:v>
      </x:c>
      <x:c r="C2285" s="8" t="str">
        <x:v>screening:physical_activity:001</x:v>
      </x:c>
      <x:c r="D2285" s="8" t="str">
        <x:v>근거와 함께 답변</x:v>
      </x:c>
      <x:c r="E2285" s="15" t="n">
        <x:v>2283</x:v>
      </x:c>
      <x:c r="F2285" s="8" t="str">
        <x:v>건강검진 VDB 검증 정답</x:v>
      </x:c>
      <x:c r="G2285" s="8" t="str">
        <x:v>https://health.kdca.go.kr/healthinfo/biz/health/gnrlzHealthInfo/gnrlzHealthInfo/gnrlzHealthInfoView.do?cntnts_sn=6251</x:v>
      </x:c>
      <x:c r="H2285" s="8" t="str">
        <x:v>{
  "canonical_key": "PHYSICAL_ACTIVITY",
  "heading": "신체활동 기록",
  "screening_domain": "LIFESTYLE",
  "source_locator": "신체활동의 정의와 강도",
  "review_status": "SOURCE_VERIFIED",
  "corpus_version": "2026.1",
  "related_terms": [
    "신체활동",
    "운동",
    "유산소",
    "근력운동",
    "중강도",
    "활동량"
  ],
  "category": "health_screening"
}</x:v>
      </x:c>
    </x:row>
    <x:row r="2286" ht="54" customHeight="1">
      <x:c r="A2286" s="8" t="str">
        <x:v>gold-screening-b24b3bda70796f5a</x:v>
      </x:c>
      <x:c r="B2286" s="8" t="str">
        <x:v>screening:nutrition:001</x:v>
      </x:c>
      <x:c r="C2286" s="8" t="str">
        <x:v>screening:nutrition:001</x:v>
      </x:c>
      <x:c r="D2286" s="8" t="str">
        <x:v>근거와 함께 답변</x:v>
      </x:c>
      <x:c r="E2286" s="15" t="n">
        <x:v>2284</x:v>
      </x:c>
      <x:c r="F2286" s="8" t="str">
        <x:v>건강검진 VDB 검증 정답</x:v>
      </x:c>
      <x:c r="G2286" s="8" t="str">
        <x:v>https://health.kdca.go.kr/healthinfo/biz/health/gnrlzHealthInfo/gnrlzHealthInfo/gnrlzHealthInfoView.do?cntnts_sn=6763</x:v>
      </x:c>
      <x:c r="H2286" s="8" t="str">
        <x:v>{
  "canonical_key": "NUTRITION",
  "heading": "식생활·영양 기록",
  "screening_domain": "LIFESTYLE",
  "source_locator": "영양표시 항목",
  "review_status": "SOURCE_VERIFIED",
  "corpus_version": "2026.1",
  "related_terms": [
    "영양",
    "식생활",
    "식사",
    "나트륨",
    "채소",
    "과일",
    "식단"
  ],
  "category": "health_screening"
}</x:v>
      </x:c>
    </x:row>
    <x:row r="2287" ht="54" customHeight="1">
      <x:c r="A2287" s="8" t="str">
        <x:v>gold-screening-a29bfb3da26811e0</x:v>
      </x:c>
      <x:c r="B2287" s="8" t="str">
        <x:v>screening:nutrition:001</x:v>
      </x:c>
      <x:c r="C2287" s="8" t="str">
        <x:v>screening:nutrition:001</x:v>
      </x:c>
      <x:c r="D2287" s="8" t="str">
        <x:v>근거와 함께 답변</x:v>
      </x:c>
      <x:c r="E2287" s="15" t="n">
        <x:v>2285</x:v>
      </x:c>
      <x:c r="F2287" s="8" t="str">
        <x:v>건강검진 VDB 검증 정답</x:v>
      </x:c>
      <x:c r="G2287" s="8" t="str">
        <x:v>https://health.kdca.go.kr/healthinfo/biz/health/gnrlzHealthInfo/gnrlzHealthInfo/gnrlzHealthInfoView.do?cntnts_sn=6763</x:v>
      </x:c>
      <x:c r="H2287" s="8" t="str">
        <x:v>{
  "canonical_key": "NUTRITION",
  "heading": "식생활·영양 기록",
  "screening_domain": "LIFESTYLE",
  "source_locator": "영양표시 항목",
  "review_status": "SOURCE_VERIFIED",
  "corpus_version": "2026.1",
  "related_terms": [
    "영양",
    "식생활",
    "식사",
    "나트륨",
    "채소",
    "과일",
    "식단"
  ],
  "category": "health_screening"
}</x:v>
      </x:c>
    </x:row>
    <x:row r="2288" ht="54" customHeight="1">
      <x:c r="A2288" s="8" t="str">
        <x:v>gold-screening-71fadadcfdcff338</x:v>
      </x:c>
      <x:c r="B2288" s="8" t="str">
        <x:v>screening:nutrition:001</x:v>
      </x:c>
      <x:c r="C2288" s="8" t="str">
        <x:v>screening:nutrition:001</x:v>
      </x:c>
      <x:c r="D2288" s="8" t="str">
        <x:v>근거와 함께 답변</x:v>
      </x:c>
      <x:c r="E2288" s="15" t="n">
        <x:v>2286</x:v>
      </x:c>
      <x:c r="F2288" s="8" t="str">
        <x:v>건강검진 VDB 검증 정답</x:v>
      </x:c>
      <x:c r="G2288" s="8" t="str">
        <x:v>https://health.kdca.go.kr/healthinfo/biz/health/gnrlzHealthInfo/gnrlzHealthInfo/gnrlzHealthInfoView.do?cntnts_sn=6763</x:v>
      </x:c>
      <x:c r="H2288" s="8" t="str">
        <x:v>{
  "canonical_key": "NUTRITION",
  "heading": "식생활·영양 기록",
  "screening_domain": "LIFESTYLE",
  "source_locator": "영양표시 항목",
  "review_status": "SOURCE_VERIFIED",
  "corpus_version": "2026.1",
  "related_terms": [
    "영양",
    "식생활",
    "식사",
    "나트륨",
    "채소",
    "과일",
    "식단"
  ],
  "category": "health_screening"
}</x:v>
      </x:c>
    </x:row>
    <x:row r="2289" ht="54" customHeight="1">
      <x:c r="A2289" s="8" t="str">
        <x:v>gold-screening-5f36bdca43c8a82f</x:v>
      </x:c>
      <x:c r="B2289" s="8" t="str">
        <x:v>screening:reference_range_limits:001</x:v>
      </x:c>
      <x:c r="C2289" s="8" t="str">
        <x:v>screening:reference_range_limits:001</x:v>
      </x:c>
      <x:c r="D2289" s="8" t="str">
        <x:v>근거와 함께 답변</x:v>
      </x:c>
      <x:c r="E2289" s="15" t="n">
        <x:v>2287</x:v>
      </x:c>
      <x:c r="F2289" s="8" t="str">
        <x:v>건강검진 VDB 검증 정답</x:v>
      </x:c>
      <x:c r="G2289" s="8" t="str">
        <x:v>https://law.go.kr/LSW/admRulLsInfoP.do?admRulId=38208&amp;efYd=0</x:v>
      </x:c>
      <x:c r="H2289" s="8" t="str">
        <x:v>{
  "canonical_key": "REFERENCE_RANGE_LIMITS",
  "heading": "정상범위와 검진 판정기준의 차이",
  "screening_domain": "SCREENING_GENERAL",
  "source_locator": "별표 4 및 별첨",
  "review_status": "SOURCE_VERIFIED",
  "corpus_version": "2026.1",
  "related_terms": [
    "정상범위",
    "참고범위",
    "reference range",
    "판정기준",
    "검사실 기준",
    "정상치"
  ],
  "category": "health_screening"
}</x:v>
      </x:c>
    </x:row>
    <x:row r="2290" ht="54" customHeight="1">
      <x:c r="A2290" s="8" t="str">
        <x:v>gold-screening-7b37d16c07d337de</x:v>
      </x:c>
      <x:c r="B2290" s="8" t="str">
        <x:v>screening:reference_range_limits:001</x:v>
      </x:c>
      <x:c r="C2290" s="8" t="str">
        <x:v>screening:reference_range_limits:001</x:v>
      </x:c>
      <x:c r="D2290" s="8" t="str">
        <x:v>근거와 함께 답변</x:v>
      </x:c>
      <x:c r="E2290" s="15" t="n">
        <x:v>2288</x:v>
      </x:c>
      <x:c r="F2290" s="8" t="str">
        <x:v>건강검진 VDB 검증 정답</x:v>
      </x:c>
      <x:c r="G2290" s="8" t="str">
        <x:v>https://law.go.kr/LSW/admRulLsInfoP.do?admRulId=38208&amp;efYd=0</x:v>
      </x:c>
      <x:c r="H2290" s="8" t="str">
        <x:v>{
  "canonical_key": "REFERENCE_RANGE_LIMITS",
  "heading": "정상범위와 검진 판정기준의 차이",
  "screening_domain": "SCREENING_GENERAL",
  "source_locator": "별표 4 및 별첨",
  "review_status": "SOURCE_VERIFIED",
  "corpus_version": "2026.1",
  "related_terms": [
    "정상범위",
    "참고범위",
    "reference range",
    "판정기준",
    "검사실 기준",
    "정상치"
  ],
  "category": "health_screening"
}</x:v>
      </x:c>
    </x:row>
    <x:row r="2291" ht="54" customHeight="1">
      <x:c r="A2291" s="8" t="str">
        <x:v>gold-screening-e1994b027417e1d1</x:v>
      </x:c>
      <x:c r="B2291" s="8" t="str">
        <x:v>screening:reference_range_limits:001</x:v>
      </x:c>
      <x:c r="C2291" s="8" t="str">
        <x:v>screening:reference_range_limits:001</x:v>
      </x:c>
      <x:c r="D2291" s="8" t="str">
        <x:v>근거와 함께 답변</x:v>
      </x:c>
      <x:c r="E2291" s="15" t="n">
        <x:v>2289</x:v>
      </x:c>
      <x:c r="F2291" s="8" t="str">
        <x:v>건강검진 VDB 검증 정답</x:v>
      </x:c>
      <x:c r="G2291" s="8" t="str">
        <x:v>https://law.go.kr/LSW/admRulLsInfoP.do?admRulId=38208&amp;efYd=0</x:v>
      </x:c>
      <x:c r="H2291" s="8" t="str">
        <x:v>{
  "canonical_key": "REFERENCE_RANGE_LIMITS",
  "heading": "정상범위와 검진 판정기준의 차이",
  "screening_domain": "SCREENING_GENERAL",
  "source_locator": "별표 4 및 별첨",
  "review_status": "SOURCE_VERIFIED",
  "corpus_version": "2026.1",
  "related_terms": [
    "정상범위",
    "참고범위",
    "reference range",
    "판정기준",
    "검사실 기준",
    "정상치"
  ],
  "category": "health_screening"
}</x:v>
      </x:c>
    </x:row>
  </x:sheetData>
  <x:pageMargins left="0.7" right="0.7" top="0.75" bottom="0.75" header="0.3" footer="0.3"/>
  <x:tableParts count="1">
    <x:tablePart xmlns:r="http://schemas.openxmlformats.org/officeDocument/2006/relationships" r:id="R2619f8454f234834"/>
  </x:tableParts>
</x:worksheet>
</file>